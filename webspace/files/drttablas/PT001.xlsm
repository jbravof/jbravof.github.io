
<file path=[Content_Types].xml><?xml version="1.0" encoding="utf-8"?>
<Types xmlns="http://schemas.openxmlformats.org/package/2006/content-types">
  <Default Extension="bin" ContentType="application/vnd.ms-office.activeX"/>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slicers/slicer1.xml" ContentType="application/vnd.ms-excel.slicer+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952" yWindow="324" windowWidth="17148" windowHeight="8808"/>
  </bookViews>
  <sheets>
    <sheet name="PT-SIE-SLICERS" sheetId="1" r:id="rId1"/>
    <sheet name="SP_JC_60_022_2018" sheetId="3" r:id="rId2"/>
  </sheets>
  <externalReferences>
    <externalReference r:id="rId3"/>
  </externalReferences>
  <definedNames>
    <definedName name="costdesc">[1]Listas!$E$1:$G$12</definedName>
    <definedName name="formulas">[1]!CorpusChristi3[[#All],[Year]:[4th]]</definedName>
    <definedName name="mesnome">[1]Listas!$A$1:$B$12</definedName>
    <definedName name="Slicer_Direct_Indirect">#N/A</definedName>
    <definedName name="Slicer_Module">#N/A</definedName>
    <definedName name="Slicer_MonthName">#N/A</definedName>
    <definedName name="Slicer_Nature">#N/A</definedName>
    <definedName name="Slicer_WeekEnding">#N/A</definedName>
    <definedName name="Slicer_Year">#N/A</definedName>
    <definedName name="Slicer_YEAR_MO111">#N/A</definedName>
  </definedNames>
  <calcPr calcId="145621"/>
  <pivotCaches>
    <pivotCache cacheId="1075"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AD2" i="3" l="1"/>
  <c r="AE2" i="3"/>
  <c r="AF2" i="3"/>
  <c r="AG2" i="3"/>
  <c r="AH2" i="3"/>
  <c r="V2" i="3"/>
  <c r="W2" i="3"/>
  <c r="X2" i="3"/>
  <c r="Y2" i="3"/>
  <c r="Z2" i="3"/>
  <c r="AA2" i="3" s="1"/>
  <c r="AB2" i="3"/>
  <c r="AC2" i="3"/>
  <c r="U2" i="3"/>
  <c r="AH20" i="3"/>
  <c r="AG20" i="3"/>
  <c r="AF20" i="3"/>
  <c r="AE20" i="3"/>
  <c r="AD20" i="3"/>
  <c r="AC20" i="3"/>
  <c r="AB20" i="3"/>
  <c r="Y20" i="3"/>
  <c r="X20" i="3"/>
  <c r="W20" i="3"/>
  <c r="V20" i="3"/>
  <c r="Z20" i="3" s="1"/>
  <c r="U20" i="3"/>
  <c r="AH19" i="3"/>
  <c r="AG19" i="3"/>
  <c r="AF19" i="3"/>
  <c r="AE19" i="3"/>
  <c r="AD19" i="3"/>
  <c r="AC19" i="3"/>
  <c r="AB19" i="3"/>
  <c r="Y19" i="3"/>
  <c r="X19" i="3"/>
  <c r="W19" i="3"/>
  <c r="V19" i="3"/>
  <c r="Z19" i="3" s="1"/>
  <c r="AA19" i="3" s="1"/>
  <c r="U19" i="3"/>
  <c r="AH18" i="3"/>
  <c r="AG18" i="3"/>
  <c r="AF18" i="3"/>
  <c r="AE18" i="3"/>
  <c r="AD18" i="3"/>
  <c r="AC18" i="3"/>
  <c r="AB18" i="3"/>
  <c r="Y18" i="3"/>
  <c r="X18" i="3"/>
  <c r="W18" i="3"/>
  <c r="V18" i="3"/>
  <c r="Z18" i="3" s="1"/>
  <c r="U18" i="3"/>
  <c r="AH17" i="3"/>
  <c r="AG17" i="3"/>
  <c r="AF17" i="3"/>
  <c r="AE17" i="3"/>
  <c r="AD17" i="3"/>
  <c r="AC17" i="3"/>
  <c r="AB17" i="3"/>
  <c r="Y17" i="3"/>
  <c r="X17" i="3"/>
  <c r="W17" i="3"/>
  <c r="V17" i="3"/>
  <c r="Z17" i="3" s="1"/>
  <c r="AA17" i="3" s="1"/>
  <c r="U17" i="3"/>
  <c r="AH16" i="3"/>
  <c r="AG16" i="3"/>
  <c r="AF16" i="3"/>
  <c r="AE16" i="3"/>
  <c r="AD16" i="3"/>
  <c r="AC16" i="3"/>
  <c r="AB16" i="3"/>
  <c r="Y16" i="3"/>
  <c r="X16" i="3"/>
  <c r="W16" i="3"/>
  <c r="V16" i="3"/>
  <c r="Z16" i="3" s="1"/>
  <c r="U16" i="3"/>
  <c r="AH15" i="3"/>
  <c r="AG15" i="3"/>
  <c r="AF15" i="3"/>
  <c r="AE15" i="3"/>
  <c r="AD15" i="3"/>
  <c r="AC15" i="3"/>
  <c r="AB15" i="3"/>
  <c r="Y15" i="3"/>
  <c r="X15" i="3"/>
  <c r="W15" i="3"/>
  <c r="V15" i="3"/>
  <c r="Z15" i="3" s="1"/>
  <c r="AA15" i="3" s="1"/>
  <c r="U15" i="3"/>
  <c r="AH14" i="3"/>
  <c r="AG14" i="3"/>
  <c r="AF14" i="3"/>
  <c r="AE14" i="3"/>
  <c r="AD14" i="3"/>
  <c r="AC14" i="3"/>
  <c r="AB14" i="3"/>
  <c r="Y14" i="3"/>
  <c r="X14" i="3"/>
  <c r="W14" i="3"/>
  <c r="V14" i="3"/>
  <c r="Z14" i="3" s="1"/>
  <c r="U14" i="3"/>
  <c r="AH13" i="3"/>
  <c r="AG13" i="3"/>
  <c r="AF13" i="3"/>
  <c r="AE13" i="3"/>
  <c r="AD13" i="3"/>
  <c r="AC13" i="3"/>
  <c r="AB13" i="3"/>
  <c r="Y13" i="3"/>
  <c r="X13" i="3"/>
  <c r="W13" i="3"/>
  <c r="V13" i="3"/>
  <c r="Z13" i="3" s="1"/>
  <c r="AA13" i="3" s="1"/>
  <c r="U13" i="3"/>
  <c r="AH12" i="3"/>
  <c r="AG12" i="3"/>
  <c r="AF12" i="3"/>
  <c r="AE12" i="3"/>
  <c r="AD12" i="3"/>
  <c r="AC12" i="3"/>
  <c r="AB12" i="3"/>
  <c r="Y12" i="3"/>
  <c r="X12" i="3"/>
  <c r="W12" i="3"/>
  <c r="V12" i="3"/>
  <c r="Z12" i="3" s="1"/>
  <c r="AA12" i="3" s="1"/>
  <c r="U12" i="3"/>
  <c r="AH11" i="3"/>
  <c r="AG11" i="3"/>
  <c r="AF11" i="3"/>
  <c r="AE11" i="3"/>
  <c r="AD11" i="3"/>
  <c r="AC11" i="3"/>
  <c r="AB11" i="3"/>
  <c r="Y11" i="3"/>
  <c r="X11" i="3"/>
  <c r="W11" i="3"/>
  <c r="V11" i="3"/>
  <c r="Z11" i="3" s="1"/>
  <c r="AA11" i="3" s="1"/>
  <c r="U11" i="3"/>
  <c r="AH10" i="3"/>
  <c r="AG10" i="3"/>
  <c r="AF10" i="3"/>
  <c r="AE10" i="3"/>
  <c r="AD10" i="3"/>
  <c r="AC10" i="3"/>
  <c r="AB10" i="3"/>
  <c r="Y10" i="3"/>
  <c r="X10" i="3"/>
  <c r="W10" i="3"/>
  <c r="V10" i="3"/>
  <c r="Z10" i="3" s="1"/>
  <c r="AA10" i="3" s="1"/>
  <c r="U10" i="3"/>
  <c r="AH9" i="3"/>
  <c r="AG9" i="3"/>
  <c r="AF9" i="3"/>
  <c r="AE9" i="3"/>
  <c r="AD9" i="3"/>
  <c r="AC9" i="3"/>
  <c r="AB9" i="3"/>
  <c r="Y9" i="3"/>
  <c r="X9" i="3"/>
  <c r="W9" i="3"/>
  <c r="V9" i="3"/>
  <c r="Z9" i="3" s="1"/>
  <c r="AA9" i="3" s="1"/>
  <c r="U9" i="3"/>
  <c r="AH8" i="3"/>
  <c r="AG8" i="3"/>
  <c r="AF8" i="3"/>
  <c r="AE8" i="3"/>
  <c r="AD8" i="3"/>
  <c r="AC8" i="3"/>
  <c r="AB8" i="3"/>
  <c r="Y8" i="3"/>
  <c r="X8" i="3"/>
  <c r="W8" i="3"/>
  <c r="V8" i="3"/>
  <c r="Z8" i="3" s="1"/>
  <c r="AA8" i="3" s="1"/>
  <c r="U8" i="3"/>
  <c r="AH7" i="3"/>
  <c r="AG7" i="3"/>
  <c r="AF7" i="3"/>
  <c r="AE7" i="3"/>
  <c r="AD7" i="3"/>
  <c r="AC7" i="3"/>
  <c r="AB7" i="3"/>
  <c r="Y7" i="3"/>
  <c r="X7" i="3"/>
  <c r="W7" i="3"/>
  <c r="V7" i="3"/>
  <c r="Z7" i="3" s="1"/>
  <c r="AA7" i="3" s="1"/>
  <c r="U7" i="3"/>
  <c r="AH6" i="3"/>
  <c r="AG6" i="3"/>
  <c r="AF6" i="3"/>
  <c r="AE6" i="3"/>
  <c r="AD6" i="3"/>
  <c r="AC6" i="3"/>
  <c r="AB6" i="3"/>
  <c r="Y6" i="3"/>
  <c r="X6" i="3"/>
  <c r="W6" i="3"/>
  <c r="V6" i="3"/>
  <c r="Z6" i="3" s="1"/>
  <c r="AA6" i="3" s="1"/>
  <c r="U6" i="3"/>
  <c r="AH5" i="3"/>
  <c r="AG5" i="3"/>
  <c r="AF5" i="3"/>
  <c r="AE5" i="3"/>
  <c r="AD5" i="3"/>
  <c r="AC5" i="3"/>
  <c r="AB5" i="3"/>
  <c r="Y5" i="3"/>
  <c r="X5" i="3"/>
  <c r="W5" i="3"/>
  <c r="V5" i="3"/>
  <c r="Z5" i="3" s="1"/>
  <c r="AA5" i="3" s="1"/>
  <c r="U5" i="3"/>
  <c r="AH4" i="3"/>
  <c r="AG4" i="3"/>
  <c r="AF4" i="3"/>
  <c r="AE4" i="3"/>
  <c r="AD4" i="3"/>
  <c r="AC4" i="3"/>
  <c r="AB4" i="3"/>
  <c r="Y4" i="3"/>
  <c r="X4" i="3"/>
  <c r="W4" i="3"/>
  <c r="V4" i="3"/>
  <c r="Z4" i="3" s="1"/>
  <c r="AA4" i="3" s="1"/>
  <c r="U4" i="3"/>
  <c r="AH3" i="3"/>
  <c r="AG3" i="3"/>
  <c r="AF3" i="3"/>
  <c r="AE3" i="3"/>
  <c r="AD3" i="3"/>
  <c r="AC3" i="3"/>
  <c r="AB3" i="3"/>
  <c r="Y3" i="3"/>
  <c r="X3" i="3"/>
  <c r="W3" i="3"/>
  <c r="V3" i="3"/>
  <c r="Z3" i="3" s="1"/>
  <c r="AA3" i="3" s="1"/>
  <c r="U3" i="3"/>
  <c r="AA14" i="3" l="1"/>
  <c r="AA16" i="3"/>
  <c r="AA18" i="3"/>
  <c r="AA20" i="3"/>
</calcChain>
</file>

<file path=xl/sharedStrings.xml><?xml version="1.0" encoding="utf-8"?>
<sst xmlns="http://schemas.openxmlformats.org/spreadsheetml/2006/main" count="391" uniqueCount="160">
  <si>
    <t>Year</t>
  </si>
  <si>
    <t>Month</t>
  </si>
  <si>
    <t>WeekNumber</t>
  </si>
  <si>
    <t>WeekDay</t>
  </si>
  <si>
    <t>Day</t>
  </si>
  <si>
    <t>MonthName</t>
  </si>
  <si>
    <t>WeekEnding</t>
  </si>
  <si>
    <t>Nature</t>
  </si>
  <si>
    <t>Direct/Indirect</t>
  </si>
  <si>
    <t>Module</t>
  </si>
  <si>
    <t>1st</t>
  </si>
  <si>
    <t>2nd</t>
  </si>
  <si>
    <t>3rd</t>
  </si>
  <si>
    <t>4th</t>
  </si>
  <si>
    <t>January</t>
  </si>
  <si>
    <t>WE-0/January/1900</t>
  </si>
  <si>
    <t>(All)</t>
  </si>
  <si>
    <t>Cost</t>
  </si>
  <si>
    <t>Column Labels</t>
  </si>
  <si>
    <t>Revenue</t>
  </si>
  <si>
    <t>Grand Total</t>
  </si>
  <si>
    <t>Row Labels</t>
  </si>
  <si>
    <t>DISTRIBUTION_DESC</t>
  </si>
  <si>
    <t>TRAN_DESCRIPTION</t>
  </si>
  <si>
    <t>000.000.0000000.00</t>
  </si>
  <si>
    <t>JOB INCOME</t>
  </si>
  <si>
    <t>400000.000.000.001</t>
  </si>
  <si>
    <t>CO_DIV</t>
  </si>
  <si>
    <t>DIV_NAME</t>
  </si>
  <si>
    <t>JOB</t>
  </si>
  <si>
    <t>SUBJOB</t>
  </si>
  <si>
    <t>JOB_NAME</t>
  </si>
  <si>
    <t>JOURNAL_DATE</t>
  </si>
  <si>
    <t>YEAR_MO</t>
  </si>
  <si>
    <t>GL_ACCOUNT</t>
  </si>
  <si>
    <t>JC_DISTRIBUTION</t>
  </si>
  <si>
    <t>TYPE</t>
  </si>
  <si>
    <t>JOURNAL</t>
  </si>
  <si>
    <t>TRAN_SOURCE</t>
  </si>
  <si>
    <t>VENDOR</t>
  </si>
  <si>
    <t>PO_NUMBER</t>
  </si>
  <si>
    <t>INVOICE</t>
  </si>
  <si>
    <t>LABOR_HOURS</t>
  </si>
  <si>
    <t>EQUIP_HOURS</t>
  </si>
  <si>
    <t>COST_AMOUNT</t>
  </si>
  <si>
    <t>1</t>
  </si>
  <si>
    <t/>
  </si>
  <si>
    <t>2018-03</t>
  </si>
  <si>
    <t>2018-02</t>
  </si>
  <si>
    <t>2018-05</t>
  </si>
  <si>
    <t>511111.000.000.001</t>
  </si>
  <si>
    <t>C</t>
  </si>
  <si>
    <t>515242.000.000.001</t>
  </si>
  <si>
    <t>O</t>
  </si>
  <si>
    <t>GENERAL EXPENSE</t>
  </si>
  <si>
    <t>S</t>
  </si>
  <si>
    <t>2018-01-31</t>
  </si>
  <si>
    <t>2018-01</t>
  </si>
  <si>
    <t>000.000.0001100.00</t>
  </si>
  <si>
    <t>88465 - WASTE MANAGEMENT OF AZ</t>
  </si>
  <si>
    <t>515220.000.000.001</t>
  </si>
  <si>
    <t>511320.000.000.002</t>
  </si>
  <si>
    <t>000.000.0001600.00</t>
  </si>
  <si>
    <t>T</t>
  </si>
  <si>
    <t>SALES TAX</t>
  </si>
  <si>
    <t>AZ DEPT OF</t>
  </si>
  <si>
    <t>80945 - AZ DEPT OF REVENUE</t>
  </si>
  <si>
    <t>690060.000.000.001</t>
  </si>
  <si>
    <t>999.999.9999998.01</t>
  </si>
  <si>
    <t>H</t>
  </si>
  <si>
    <t>SG&amp;A BRANCH</t>
  </si>
  <si>
    <t>SG&amp;A CHARGE</t>
  </si>
  <si>
    <t>#JAN 18</t>
  </si>
  <si>
    <t>2018-01-26</t>
  </si>
  <si>
    <t>JOB SUPPLIES</t>
  </si>
  <si>
    <t>511320.000.000.003</t>
  </si>
  <si>
    <t>GJ80945</t>
  </si>
  <si>
    <t>2018-01-01</t>
  </si>
  <si>
    <t>2018-02-28</t>
  </si>
  <si>
    <t>QC</t>
  </si>
  <si>
    <t>2018-02-12</t>
  </si>
  <si>
    <t>02/12/2018</t>
  </si>
  <si>
    <t>AZ DEPT OF REV</t>
  </si>
  <si>
    <t>2018-12-31</t>
  </si>
  <si>
    <t>2018-12</t>
  </si>
  <si>
    <t>690050.000.000.005</t>
  </si>
  <si>
    <t>999.999.9999995.00</t>
  </si>
  <si>
    <t>F</t>
  </si>
  <si>
    <t>G/A - FINANCIAL CHAR</t>
  </si>
  <si>
    <t>DEC 2018</t>
  </si>
  <si>
    <t>FINANCIAL CHARGE</t>
  </si>
  <si>
    <t>JAN 2018</t>
  </si>
  <si>
    <t>2018-05-03</t>
  </si>
  <si>
    <t>BORDER CON</t>
  </si>
  <si>
    <t>81440 - BORDER CONSTRUCTION SPEC</t>
  </si>
  <si>
    <t>690050.000.000.001</t>
  </si>
  <si>
    <t>999.999.9999999.01</t>
  </si>
  <si>
    <t>Z</t>
  </si>
  <si>
    <t>SG&amp;A CORPORATE</t>
  </si>
  <si>
    <t>WASTE MANA</t>
  </si>
  <si>
    <t>I</t>
  </si>
  <si>
    <t>511111.000.000.003</t>
  </si>
  <si>
    <t>COA RCLS</t>
  </si>
  <si>
    <t>RCLS GEN LDGER</t>
  </si>
  <si>
    <t>888.000.0004700.00</t>
  </si>
  <si>
    <t>85835 - PARADISE REBAR INC</t>
  </si>
  <si>
    <t>2018-01-18</t>
  </si>
  <si>
    <t>FEB 2018</t>
  </si>
  <si>
    <t>PARADISE R</t>
  </si>
  <si>
    <t>PJ00119-0002</t>
  </si>
  <si>
    <t>888.000.0009700.00</t>
  </si>
  <si>
    <t>PAVEMENT M</t>
  </si>
  <si>
    <t>85870 - PAVEMENT MARKING INC</t>
  </si>
  <si>
    <t>PJ00120-0002</t>
  </si>
  <si>
    <t>2018-02-13</t>
  </si>
  <si>
    <t>20171231 SALES TX</t>
  </si>
  <si>
    <t>****FINAL****</t>
  </si>
  <si>
    <t>PJ00121-0002</t>
  </si>
  <si>
    <t>PJ00116-0002</t>
  </si>
  <si>
    <t>PJ00113-0002</t>
  </si>
  <si>
    <t>511111.000.000.002</t>
  </si>
  <si>
    <t>SALES TAX DEC 17</t>
  </si>
  <si>
    <t>PJ00115-0002</t>
  </si>
  <si>
    <t>60-022</t>
  </si>
  <si>
    <t>Jacks Canyon Bridge</t>
  </si>
  <si>
    <t>60-022 Jacks Canyon Bridge</t>
  </si>
  <si>
    <t>GJ02424-0017</t>
  </si>
  <si>
    <t>185122423001</t>
  </si>
  <si>
    <t>#8033405666</t>
  </si>
  <si>
    <t>GJ02386-0071</t>
  </si>
  <si>
    <t>PJ00116-0004</t>
  </si>
  <si>
    <t>#INV5604490</t>
  </si>
  <si>
    <t>2018-01-02</t>
  </si>
  <si>
    <t>REBAR</t>
  </si>
  <si>
    <t>#6002202B</t>
  </si>
  <si>
    <t>GJ02424-0072</t>
  </si>
  <si>
    <t>GJ01861-0011</t>
  </si>
  <si>
    <t>GJ02386-0074</t>
  </si>
  <si>
    <t>GJ02386-0068</t>
  </si>
  <si>
    <t>GJ02386-0077</t>
  </si>
  <si>
    <t>2018-12-14</t>
  </si>
  <si>
    <t>888.000.0015000.00</t>
  </si>
  <si>
    <t>QUALITY TE</t>
  </si>
  <si>
    <t>SUBCONTRACT SEP</t>
  </si>
  <si>
    <t>86280 - QUALITY TESTING LLC</t>
  </si>
  <si>
    <t>#6002202</t>
  </si>
  <si>
    <t>SA00010-0001</t>
  </si>
  <si>
    <t>ADOT</t>
  </si>
  <si>
    <t>EST 9F MAY</t>
  </si>
  <si>
    <t>2018-03-06</t>
  </si>
  <si>
    <t>PAVEMENT MARKINGS</t>
  </si>
  <si>
    <t>#6002203</t>
  </si>
  <si>
    <t>CR00010-0001</t>
  </si>
  <si>
    <t>GJ00047-0001</t>
  </si>
  <si>
    <t>PJ03251-0007</t>
  </si>
  <si>
    <t>185121193001</t>
  </si>
  <si>
    <t>#66306304610</t>
  </si>
  <si>
    <t>GJ01891-0011</t>
  </si>
  <si>
    <t>2018-03-14</t>
  </si>
  <si>
    <t>ADOT Total</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</si>
</sst>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font>
    <font>
      <sz val="11"/>
      <color indexed="8"/>
      <name val="Calibri"/>
      <family val="2"/>
      <scheme val="minor"/>
    </font>
    <font>
      <b/>
      <sz val="10"/>
      <color indexed="8"/>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14">
    <xf numFmtId="0" fontId="0" fillId="0" borderId="0" xfId="0"/>
    <xf numFmtId="0" fontId="0" fillId="0" borderId="0" xfId="0" applyAlignment="1">
      <alignment horizontal="center" vertical="center"/>
    </xf>
    <xf numFmtId="0" fontId="0" fillId="0" borderId="0" xfId="0" applyAlignment="1">
      <alignment horizontal="left"/>
    </xf>
    <xf numFmtId="4" fontId="0" fillId="0" borderId="0" xfId="0" applyNumberFormat="1"/>
    <xf numFmtId="0" fontId="0" fillId="0" borderId="0" xfId="0" applyAlignment="1">
      <alignment horizontal="left" indent="1"/>
    </xf>
    <xf numFmtId="0" fontId="1" fillId="0" borderId="0" xfId="1"/>
    <xf numFmtId="0" fontId="2" fillId="0" borderId="0" xfId="1" applyFont="1" applyFill="1" applyAlignment="1">
      <alignment horizontal="left" vertical="center" indent="1"/>
    </xf>
    <xf numFmtId="0" fontId="1" fillId="0" borderId="0" xfId="1" applyFill="1"/>
    <xf numFmtId="0" fontId="0" fillId="0" borderId="0" xfId="0" pivotButton="1"/>
    <xf numFmtId="0" fontId="0" fillId="0" borderId="0" xfId="0" pivotButton="1" applyAlignment="1">
      <alignment horizontal="center" vertical="center"/>
    </xf>
    <xf numFmtId="0" fontId="2" fillId="0" borderId="0" xfId="1" applyFont="1" applyFill="1" applyAlignment="1">
      <alignment horizontal="left" vertical="center"/>
    </xf>
    <xf numFmtId="0" fontId="1" fillId="0" borderId="0" xfId="1" applyNumberFormat="1" applyFill="1"/>
    <xf numFmtId="14" fontId="1" fillId="0" borderId="0" xfId="1" applyNumberFormat="1" applyFill="1"/>
    <xf numFmtId="14" fontId="1" fillId="0" borderId="0" xfId="1" applyNumberFormat="1"/>
  </cellXfs>
  <cellStyles count="2">
    <cellStyle name="Normal" xfId="0" builtinId="0"/>
    <cellStyle name="Normal 2" xfId="1"/>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3" Type="http://schemas.openxmlformats.org/officeDocument/2006/relationships/externalLink" Target="externalLinks/externalLink1.xml"/><Relationship Id="rId7" Type="http://schemas.microsoft.com/office/2007/relationships/slicerCache" Target="slicerCaches/slicerCache3.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calcChain" Target="calcChain.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0</xdr:row>
          <xdr:rowOff>76200</xdr:rowOff>
        </xdr:from>
        <xdr:to>
          <xdr:col>3</xdr:col>
          <xdr:colOff>68580</xdr:colOff>
          <xdr:row>1</xdr:row>
          <xdr:rowOff>92334</xdr:rowOff>
        </xdr:to>
        <xdr:grpSp>
          <xdr:nvGrpSpPr>
            <xdr:cNvPr id="2" name="Group 1"/>
            <xdr:cNvGrpSpPr/>
          </xdr:nvGrpSpPr>
          <xdr:grpSpPr>
            <a:xfrm>
              <a:off x="68580" y="76200"/>
              <a:ext cx="1463040" cy="1349634"/>
              <a:chOff x="259080" y="53340"/>
              <a:chExt cx="1463040" cy="1357216"/>
            </a:xfrm>
          </xdr:grpSpPr>
          <xdr:sp macro="" textlink="">
            <xdr:nvSpPr>
              <xdr:cNvPr id="1025" name="ListBox1" hidden="1">
                <a:extLst>
                  <a:ext uri="{63B3BB69-23CF-44E3-9099-C40C66FF867C}">
                    <a14:compatExt spid="_x0000_s1025"/>
                  </a:ext>
                </a:extLst>
              </xdr:cNvPr>
              <xdr:cNvSpPr/>
            </xdr:nvSpPr>
            <xdr:spPr>
              <a:xfrm>
                <a:off x="259080" y="53340"/>
                <a:ext cx="1463040" cy="1028700"/>
              </a:xfrm>
              <a:prstGeom prst="rect">
                <a:avLst/>
              </a:prstGeom>
            </xdr:spPr>
          </xdr:sp>
          <xdr:sp macro="" textlink="">
            <xdr:nvSpPr>
              <xdr:cNvPr id="1026" name="CommandButton1" hidden="1">
                <a:extLst>
                  <a:ext uri="{63B3BB69-23CF-44E3-9099-C40C66FF867C}">
                    <a14:compatExt spid="_x0000_s1026"/>
                  </a:ext>
                </a:extLst>
              </xdr:cNvPr>
              <xdr:cNvSpPr/>
            </xdr:nvSpPr>
            <xdr:spPr>
              <a:xfrm>
                <a:off x="259080" y="1104901"/>
                <a:ext cx="434340" cy="304800"/>
              </a:xfrm>
              <a:prstGeom prst="rect">
                <a:avLst/>
              </a:prstGeom>
            </xdr:spPr>
          </xdr:sp>
          <xdr:sp macro="" textlink="">
            <xdr:nvSpPr>
              <xdr:cNvPr id="1027" name="CommandButton2" hidden="1">
                <a:extLst>
                  <a:ext uri="{63B3BB69-23CF-44E3-9099-C40C66FF867C}">
                    <a14:compatExt spid="_x0000_s1027"/>
                  </a:ext>
                </a:extLst>
              </xdr:cNvPr>
              <xdr:cNvSpPr/>
            </xdr:nvSpPr>
            <xdr:spPr>
              <a:xfrm>
                <a:off x="777240" y="1104901"/>
                <a:ext cx="419100" cy="304800"/>
              </a:xfrm>
              <a:prstGeom prst="rect">
                <a:avLst/>
              </a:prstGeom>
            </xdr:spPr>
          </xdr:sp>
          <xdr:sp macro="" textlink="">
            <xdr:nvSpPr>
              <xdr:cNvPr id="1028" name="CommandButton5" hidden="1">
                <a:extLst>
                  <a:ext uri="{63B3BB69-23CF-44E3-9099-C40C66FF867C}">
                    <a14:compatExt spid="_x0000_s1028"/>
                  </a:ext>
                </a:extLst>
              </xdr:cNvPr>
              <xdr:cNvSpPr/>
            </xdr:nvSpPr>
            <xdr:spPr>
              <a:xfrm>
                <a:off x="1264920" y="1104044"/>
                <a:ext cx="449580" cy="306512"/>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10</xdr:row>
          <xdr:rowOff>144780</xdr:rowOff>
        </xdr:from>
        <xdr:to>
          <xdr:col>3</xdr:col>
          <xdr:colOff>106680</xdr:colOff>
          <xdr:row>17</xdr:row>
          <xdr:rowOff>129540</xdr:rowOff>
        </xdr:to>
        <xdr:grpSp>
          <xdr:nvGrpSpPr>
            <xdr:cNvPr id="7" name="Group 6"/>
            <xdr:cNvGrpSpPr/>
          </xdr:nvGrpSpPr>
          <xdr:grpSpPr>
            <a:xfrm>
              <a:off x="114300" y="2758440"/>
              <a:ext cx="1455420" cy="1264920"/>
              <a:chOff x="114300" y="1615440"/>
              <a:chExt cx="1455420" cy="1264920"/>
            </a:xfrm>
          </xdr:grpSpPr>
          <xdr:sp macro="" textlink="">
            <xdr:nvSpPr>
              <xdr:cNvPr id="1029" name="ListBox2" hidden="1">
                <a:extLst>
                  <a:ext uri="{63B3BB69-23CF-44E3-9099-C40C66FF867C}">
                    <a14:compatExt spid="_x0000_s1029"/>
                  </a:ext>
                </a:extLst>
              </xdr:cNvPr>
              <xdr:cNvSpPr/>
            </xdr:nvSpPr>
            <xdr:spPr>
              <a:xfrm>
                <a:off x="114300" y="1615440"/>
                <a:ext cx="1447800" cy="914400"/>
              </a:xfrm>
              <a:prstGeom prst="rect">
                <a:avLst/>
              </a:prstGeom>
            </xdr:spPr>
          </xdr:sp>
          <xdr:sp macro="" textlink="">
            <xdr:nvSpPr>
              <xdr:cNvPr id="1030" name="CommandButton3" hidden="1">
                <a:extLst>
                  <a:ext uri="{63B3BB69-23CF-44E3-9099-C40C66FF867C}">
                    <a14:compatExt spid="_x0000_s1030"/>
                  </a:ext>
                </a:extLst>
              </xdr:cNvPr>
              <xdr:cNvSpPr/>
            </xdr:nvSpPr>
            <xdr:spPr>
              <a:xfrm>
                <a:off x="121920" y="2575560"/>
                <a:ext cx="419100" cy="304800"/>
              </a:xfrm>
              <a:prstGeom prst="rect">
                <a:avLst/>
              </a:prstGeom>
            </xdr:spPr>
          </xdr:sp>
          <xdr:sp macro="" textlink="">
            <xdr:nvSpPr>
              <xdr:cNvPr id="1031" name="CommandButton4" hidden="1">
                <a:extLst>
                  <a:ext uri="{63B3BB69-23CF-44E3-9099-C40C66FF867C}">
                    <a14:compatExt spid="_x0000_s1031"/>
                  </a:ext>
                </a:extLst>
              </xdr:cNvPr>
              <xdr:cNvSpPr/>
            </xdr:nvSpPr>
            <xdr:spPr>
              <a:xfrm>
                <a:off x="1135380" y="2575560"/>
                <a:ext cx="434340" cy="304800"/>
              </a:xfrm>
              <a:prstGeom prst="rect">
                <a:avLst/>
              </a:prstGeom>
            </xdr:spPr>
          </xdr:sp>
        </xdr:grpSp>
        <xdr:clientData/>
      </xdr:twoCellAnchor>
    </mc:Choice>
    <mc:Fallback/>
  </mc:AlternateContent>
  <xdr:twoCellAnchor>
    <xdr:from>
      <xdr:col>3</xdr:col>
      <xdr:colOff>129540</xdr:colOff>
      <xdr:row>0</xdr:row>
      <xdr:rowOff>68579</xdr:rowOff>
    </xdr:from>
    <xdr:to>
      <xdr:col>16</xdr:col>
      <xdr:colOff>922020</xdr:colOff>
      <xdr:row>4</xdr:row>
      <xdr:rowOff>114300</xdr:rowOff>
    </xdr:to>
    <xdr:grpSp>
      <xdr:nvGrpSpPr>
        <xdr:cNvPr id="11" name="slicers"/>
        <xdr:cNvGrpSpPr/>
      </xdr:nvGrpSpPr>
      <xdr:grpSpPr>
        <a:xfrm>
          <a:off x="1592580" y="68579"/>
          <a:ext cx="12839700" cy="1562101"/>
          <a:chOff x="1592580" y="68579"/>
          <a:chExt cx="12839700" cy="1562101"/>
        </a:xfrm>
      </xdr:grpSpPr>
      <xdr:grpSp>
        <xdr:nvGrpSpPr>
          <xdr:cNvPr id="12" name="slicers"/>
          <xdr:cNvGrpSpPr/>
        </xdr:nvGrpSpPr>
        <xdr:grpSpPr>
          <a:xfrm>
            <a:off x="1592580" y="68579"/>
            <a:ext cx="12839700" cy="990601"/>
            <a:chOff x="1242060" y="68579"/>
            <a:chExt cx="12496800" cy="990601"/>
          </a:xfrm>
        </xdr:grpSpPr>
        <mc:AlternateContent xmlns:mc="http://schemas.openxmlformats.org/markup-compatibility/2006">
          <mc:Choice xmlns:a14="http://schemas.microsoft.com/office/drawing/2010/main" Requires="a14">
            <xdr:graphicFrame macro="">
              <xdr:nvGraphicFramePr>
                <xdr:cNvPr id="14" name="YEAR_MO 3"/>
                <xdr:cNvGraphicFramePr/>
              </xdr:nvGraphicFramePr>
              <xdr:xfrm>
                <a:off x="6972300" y="76201"/>
                <a:ext cx="3017520" cy="952499"/>
              </xdr:xfrm>
              <a:graphic>
                <a:graphicData uri="http://schemas.microsoft.com/office/drawing/2010/slicer">
                  <sle:slicer xmlns:sle="http://schemas.microsoft.com/office/drawing/2010/slicer" name="YEAR_MO 3"/>
                </a:graphicData>
              </a:graphic>
            </xdr:graphicFrame>
          </mc:Choice>
          <mc:Fallback>
            <xdr:sp macro="" textlink="">
              <xdr:nvSpPr>
                <xdr:cNvPr id="0" name=""/>
                <xdr:cNvSpPr>
                  <a:spLocks noTextEdit="1"/>
                </xdr:cNvSpPr>
              </xdr:nvSpPr>
              <xdr:spPr>
                <a:xfrm>
                  <a:off x="7480052" y="76201"/>
                  <a:ext cx="3100318" cy="952499"/>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5" name="Year"/>
                <xdr:cNvGraphicFramePr/>
              </xdr:nvGraphicFramePr>
              <xdr:xfrm>
                <a:off x="1242060" y="68579"/>
                <a:ext cx="1653540" cy="944881"/>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592580" y="68579"/>
                  <a:ext cx="1698912" cy="944881"/>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6" name="WeekEnding"/>
                <xdr:cNvGraphicFramePr/>
              </xdr:nvGraphicFramePr>
              <xdr:xfrm>
                <a:off x="5059680" y="68581"/>
                <a:ext cx="1828800" cy="960120"/>
              </xdr:xfrm>
              <a:graphic>
                <a:graphicData uri="http://schemas.microsoft.com/office/drawing/2010/slicer">
                  <sle:slicer xmlns:sle="http://schemas.microsoft.com/office/drawing/2010/slicer" name="WeekEnding"/>
                </a:graphicData>
              </a:graphic>
            </xdr:graphicFrame>
          </mc:Choice>
          <mc:Fallback>
            <xdr:sp macro="" textlink="">
              <xdr:nvSpPr>
                <xdr:cNvPr id="0" name=""/>
                <xdr:cNvSpPr>
                  <a:spLocks noTextEdit="1"/>
                </xdr:cNvSpPr>
              </xdr:nvSpPr>
              <xdr:spPr>
                <a:xfrm>
                  <a:off x="5514952" y="68581"/>
                  <a:ext cx="1878980" cy="960120"/>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7" name="Nature"/>
                <xdr:cNvGraphicFramePr/>
              </xdr:nvGraphicFramePr>
              <xdr:xfrm>
                <a:off x="11910060" y="99060"/>
                <a:ext cx="1828800" cy="960120"/>
              </xdr:xfrm>
              <a:graphic>
                <a:graphicData uri="http://schemas.microsoft.com/office/drawing/2010/slicer">
                  <sle:slicer xmlns:sle="http://schemas.microsoft.com/office/drawing/2010/slicer" name="Nature"/>
                </a:graphicData>
              </a:graphic>
            </xdr:graphicFrame>
          </mc:Choice>
          <mc:Fallback>
            <xdr:sp macro="" textlink="">
              <xdr:nvSpPr>
                <xdr:cNvPr id="0" name=""/>
                <xdr:cNvSpPr>
                  <a:spLocks noTextEdit="1"/>
                </xdr:cNvSpPr>
              </xdr:nvSpPr>
              <xdr:spPr>
                <a:xfrm>
                  <a:off x="12553300" y="99060"/>
                  <a:ext cx="1878980" cy="960120"/>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8" name="Direct/Indirect"/>
                <xdr:cNvGraphicFramePr/>
              </xdr:nvGraphicFramePr>
              <xdr:xfrm>
                <a:off x="10027920" y="83821"/>
                <a:ext cx="1828800" cy="960120"/>
              </xdr:xfrm>
              <a:graphic>
                <a:graphicData uri="http://schemas.microsoft.com/office/drawing/2010/slicer">
                  <sle:slicer xmlns:sle="http://schemas.microsoft.com/office/drawing/2010/slicer" name="Direct/Indirect"/>
                </a:graphicData>
              </a:graphic>
            </xdr:graphicFrame>
          </mc:Choice>
          <mc:Fallback>
            <xdr:sp macro="" textlink="">
              <xdr:nvSpPr>
                <xdr:cNvPr id="0" name=""/>
                <xdr:cNvSpPr>
                  <a:spLocks noTextEdit="1"/>
                </xdr:cNvSpPr>
              </xdr:nvSpPr>
              <xdr:spPr>
                <a:xfrm>
                  <a:off x="10619515" y="83821"/>
                  <a:ext cx="1878980" cy="960120"/>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9" name="MonthName"/>
                <xdr:cNvGraphicFramePr/>
              </xdr:nvGraphicFramePr>
              <xdr:xfrm>
                <a:off x="2956560" y="76201"/>
                <a:ext cx="2061210" cy="944880"/>
              </xdr:xfrm>
              <a:graphic>
                <a:graphicData uri="http://schemas.microsoft.com/office/drawing/2010/slicer">
                  <sle:slicer xmlns:sle="http://schemas.microsoft.com/office/drawing/2010/slicer" name="MonthName"/>
                </a:graphicData>
              </a:graphic>
            </xdr:graphicFrame>
          </mc:Choice>
          <mc:Fallback>
            <xdr:sp macro="" textlink="">
              <xdr:nvSpPr>
                <xdr:cNvPr id="0" name=""/>
                <xdr:cNvSpPr>
                  <a:spLocks noTextEdit="1"/>
                </xdr:cNvSpPr>
              </xdr:nvSpPr>
              <xdr:spPr>
                <a:xfrm>
                  <a:off x="3354124" y="76201"/>
                  <a:ext cx="2117768" cy="944880"/>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xdr:grpSp>
      <mc:AlternateContent xmlns:mc="http://schemas.openxmlformats.org/markup-compatibility/2006">
        <mc:Choice xmlns:a14="http://schemas.microsoft.com/office/drawing/2010/main" Requires="a14">
          <xdr:graphicFrame macro="">
            <xdr:nvGraphicFramePr>
              <xdr:cNvPr id="13" name="Module"/>
              <xdr:cNvGraphicFramePr/>
            </xdr:nvGraphicFramePr>
            <xdr:xfrm>
              <a:off x="1592580" y="1036321"/>
              <a:ext cx="2011680" cy="594359"/>
            </xdr:xfrm>
            <a:graphic>
              <a:graphicData uri="http://schemas.microsoft.com/office/drawing/2010/slicer">
                <sle:slicer xmlns:sle="http://schemas.microsoft.com/office/drawing/2010/slicer" name="Module"/>
              </a:graphicData>
            </a:graphic>
          </xdr:graphicFrame>
        </mc:Choice>
        <mc:Fallback>
          <xdr:sp macro="" textlink="">
            <xdr:nvSpPr>
              <xdr:cNvPr id="0" name=""/>
              <xdr:cNvSpPr>
                <a:spLocks noTextEdit="1"/>
              </xdr:cNvSpPr>
            </xdr:nvSpPr>
            <xdr:spPr>
              <a:xfrm>
                <a:off x="1592580" y="1036321"/>
                <a:ext cx="2011680" cy="594359"/>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rt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9"/>
      <sheetName val="Sheet9 (2)"/>
      <sheetName val="TableOne"/>
      <sheetName val="DRT"/>
      <sheetName val="SP_JC_60_022_2018"/>
      <sheetName val="SP_JC_60_019_Kelvin_2018"/>
      <sheetName val="SP_JC_60_018_Houghton_2017"/>
      <sheetName val="SP_JC_75_047_2017-2018"/>
      <sheetName val="SP_JC_ActualCostDetail-20-701"/>
      <sheetName val="formulacion"/>
      <sheetName val="SP_JC_ActualCostDetail6-701"/>
      <sheetName val="SP_JC_ActualCostDetail"/>
      <sheetName val="SP_JC_ActualCostDetail-calavera"/>
      <sheetName val="PT-Invoices"/>
      <sheetName val="PT-SIE"/>
      <sheetName val="PT-SIE-SLICERS"/>
      <sheetName val="List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
          <cell r="A1">
            <v>1</v>
          </cell>
          <cell r="B1" t="str">
            <v>January</v>
          </cell>
          <cell r="E1" t="str">
            <v>C</v>
          </cell>
          <cell r="F1" t="str">
            <v>10-Materials</v>
          </cell>
          <cell r="G1" t="str">
            <v>Direct Cost</v>
          </cell>
        </row>
        <row r="2">
          <cell r="A2">
            <v>2</v>
          </cell>
          <cell r="B2" t="str">
            <v>February</v>
          </cell>
          <cell r="E2" t="str">
            <v>E</v>
          </cell>
          <cell r="F2" t="str">
            <v>11-Equipment</v>
          </cell>
          <cell r="G2" t="str">
            <v>Direct Cost</v>
          </cell>
        </row>
        <row r="3">
          <cell r="A3">
            <v>3</v>
          </cell>
          <cell r="B3" t="str">
            <v>March</v>
          </cell>
          <cell r="E3" t="str">
            <v>I</v>
          </cell>
          <cell r="F3" t="str">
            <v>0-Revenue</v>
          </cell>
          <cell r="G3" t="str">
            <v>Revenue</v>
          </cell>
        </row>
        <row r="4">
          <cell r="A4">
            <v>4</v>
          </cell>
          <cell r="B4" t="str">
            <v>April</v>
          </cell>
          <cell r="E4" t="str">
            <v>L</v>
          </cell>
          <cell r="F4" t="str">
            <v>12-Labor</v>
          </cell>
          <cell r="G4" t="str">
            <v>Direct Cost</v>
          </cell>
        </row>
        <row r="5">
          <cell r="A5">
            <v>5</v>
          </cell>
          <cell r="B5" t="str">
            <v>May</v>
          </cell>
          <cell r="E5" t="str">
            <v>M</v>
          </cell>
          <cell r="F5" t="str">
            <v>21-AuxEqipm</v>
          </cell>
          <cell r="G5" t="str">
            <v>Indirect Cost</v>
          </cell>
        </row>
        <row r="6">
          <cell r="A6">
            <v>6</v>
          </cell>
          <cell r="B6" t="str">
            <v>June</v>
          </cell>
          <cell r="E6" t="str">
            <v>N</v>
          </cell>
          <cell r="F6" t="str">
            <v>30-CloseOut</v>
          </cell>
          <cell r="G6" t="str">
            <v>Indirect Cost</v>
          </cell>
        </row>
        <row r="7">
          <cell r="A7">
            <v>7</v>
          </cell>
          <cell r="B7" t="str">
            <v>July</v>
          </cell>
          <cell r="E7" t="str">
            <v>O</v>
          </cell>
          <cell r="F7" t="str">
            <v>25-Other Ind</v>
          </cell>
          <cell r="G7" t="str">
            <v>Indirect Cost</v>
          </cell>
        </row>
        <row r="8">
          <cell r="A8">
            <v>8</v>
          </cell>
          <cell r="B8" t="str">
            <v>August</v>
          </cell>
          <cell r="E8" t="str">
            <v>P</v>
          </cell>
          <cell r="F8" t="str">
            <v>10-Materials</v>
          </cell>
          <cell r="G8" t="str">
            <v>Direct Cost</v>
          </cell>
        </row>
        <row r="9">
          <cell r="A9">
            <v>9</v>
          </cell>
          <cell r="B9" t="str">
            <v>September</v>
          </cell>
          <cell r="E9" t="str">
            <v>S</v>
          </cell>
          <cell r="F9" t="str">
            <v>13-Subcontracts</v>
          </cell>
          <cell r="G9" t="str">
            <v>Direct Cost</v>
          </cell>
        </row>
        <row r="10">
          <cell r="A10">
            <v>10</v>
          </cell>
          <cell r="B10" t="str">
            <v>October</v>
          </cell>
          <cell r="E10" t="str">
            <v>W</v>
          </cell>
          <cell r="F10" t="str">
            <v>15-OwnEqipment</v>
          </cell>
          <cell r="G10" t="str">
            <v>Direct Cost</v>
          </cell>
        </row>
        <row r="11">
          <cell r="A11">
            <v>11</v>
          </cell>
          <cell r="B11" t="str">
            <v>November</v>
          </cell>
          <cell r="E11" t="str">
            <v>X</v>
          </cell>
          <cell r="F11" t="str">
            <v>19-Other Direct</v>
          </cell>
          <cell r="G11" t="str">
            <v>Direct Cost</v>
          </cell>
        </row>
        <row r="12">
          <cell r="A12">
            <v>12</v>
          </cell>
          <cell r="B12" t="str">
            <v>December</v>
          </cell>
          <cell r="E12" t="str">
            <v>Y</v>
          </cell>
          <cell r="F12" t="str">
            <v>20-Indirect Labor</v>
          </cell>
          <cell r="G12" t="str">
            <v>Indirect Cost</v>
          </cell>
        </row>
      </sheetData>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Bravo, Juan Carlos" refreshedDate="43553.035632754632" createdVersion="4" refreshedVersion="4" minRefreshableVersion="3" recordCount="19">
  <cacheSource type="worksheet">
    <worksheetSource name="SP_JC_60_022_2018"/>
  </cacheSource>
  <cacheFields count="35">
    <cacheField name="CO_DIV" numFmtId="0">
      <sharedItems/>
    </cacheField>
    <cacheField name="DIV_NAME" numFmtId="0">
      <sharedItems/>
    </cacheField>
    <cacheField name="JOB" numFmtId="0">
      <sharedItems/>
    </cacheField>
    <cacheField name="SUBJOB" numFmtId="0">
      <sharedItems/>
    </cacheField>
    <cacheField name="JOB_NAME" numFmtId="0">
      <sharedItems/>
    </cacheField>
    <cacheField name="JOURNAL_DATE" numFmtId="0">
      <sharedItems/>
    </cacheField>
    <cacheField name="YEAR_MO" numFmtId="0">
      <sharedItems count="5">
        <s v="2018-12"/>
        <s v="2018-01"/>
        <s v="2018-02"/>
        <s v="2018-05"/>
        <s v="2018-03"/>
      </sharedItems>
    </cacheField>
    <cacheField name="GL_ACCOUNT" numFmtId="0">
      <sharedItems count="11">
        <s v="690060.000.000.001"/>
        <s v="511111.000.000.001"/>
        <s v="511320.000.000.002"/>
        <s v="515242.000.000.001"/>
        <s v="515220.000.000.001"/>
        <s v="690050.000.000.001"/>
        <s v="690050.000.000.005"/>
        <s v="511320.000.000.003"/>
        <s v="511111.000.000.002"/>
        <s v="511111.000.000.003"/>
        <s v="400000.000.000.001"/>
      </sharedItems>
    </cacheField>
    <cacheField name="JC_DISTRIBUTION" numFmtId="0">
      <sharedItems count="9">
        <s v="999.999.9999998.01"/>
        <s v="000.000.0001100.00"/>
        <s v="000.000.0001600.00"/>
        <s v="888.000.0004700.00"/>
        <s v="999.999.9999999.01"/>
        <s v="999.999.9999995.00"/>
        <s v="888.000.0015000.00"/>
        <s v="000.000.0000000.00"/>
        <s v="888.000.0009700.00"/>
      </sharedItems>
    </cacheField>
    <cacheField name="TYPE" numFmtId="0">
      <sharedItems/>
    </cacheField>
    <cacheField name="DISTRIBUTION_DESC" numFmtId="0">
      <sharedItems count="9">
        <s v="SG&amp;A BRANCH"/>
        <s v="GENERAL EXPENSE"/>
        <s v="SALES TAX"/>
        <s v="REBAR"/>
        <s v="SG&amp;A CORPORATE"/>
        <s v="G/A - FINANCIAL CHAR"/>
        <s v="QC"/>
        <s v="JOB INCOME"/>
        <s v="PAVEMENT MARKINGS"/>
      </sharedItems>
    </cacheField>
    <cacheField name="JOURNAL" numFmtId="0">
      <sharedItems/>
    </cacheField>
    <cacheField name="TRAN_SOURCE" numFmtId="0">
      <sharedItems count="13">
        <s v="DEC 2018"/>
        <s v="WASTE MANA"/>
        <s v="COA RCLS"/>
        <s v="BORDER CON"/>
        <s v="PARADISE R"/>
        <s v="JAN 2018"/>
        <s v="QUALITY TE"/>
        <s v="ADOT"/>
        <s v="PAVEMENT M"/>
        <s v="02/12/2018"/>
        <s v="GJ80945"/>
        <s v="AZ DEPT OF"/>
        <s v="FEB 2018"/>
      </sharedItems>
    </cacheField>
    <cacheField name="TRAN_DESCRIPTION" numFmtId="0">
      <sharedItems count="12">
        <s v="SG&amp;A CHARGE"/>
        <s v="185122423001"/>
        <s v="RCLS GEN LDGER"/>
        <s v="JOB SUPPLIES"/>
        <s v="****FINAL****"/>
        <s v="FINANCIAL CHARGE"/>
        <s v="SUBCONTRACT SEP"/>
        <s v="EST 9F MAY"/>
        <s v="AZ DEPT OF REV"/>
        <s v="20171231 SALES TX"/>
        <s v="SALES TAX DEC 17"/>
        <s v="185121193001"/>
      </sharedItems>
    </cacheField>
    <cacheField name="VENDOR" numFmtId="0">
      <sharedItems/>
    </cacheField>
    <cacheField name="PO_NUMBER" numFmtId="0">
      <sharedItems/>
    </cacheField>
    <cacheField name="INVOICE" numFmtId="0">
      <sharedItems/>
    </cacheField>
    <cacheField name="LABOR_HOURS" numFmtId="0">
      <sharedItems containsSemiMixedTypes="0" containsString="0" containsNumber="1" containsInteger="1" minValue="0" maxValue="0"/>
    </cacheField>
    <cacheField name="EQUIP_HOURS" numFmtId="0">
      <sharedItems containsSemiMixedTypes="0" containsString="0" containsNumber="1" containsInteger="1" minValue="0" maxValue="0"/>
    </cacheField>
    <cacheField name="COST_AMOUNT" numFmtId="0">
      <sharedItems containsSemiMixedTypes="0" containsString="0" containsNumber="1" minValue="-4109" maxValue="7236.16"/>
    </cacheField>
    <cacheField name="Year" numFmtId="0">
      <sharedItems containsSemiMixedTypes="0" containsString="0" containsNumber="1" containsInteger="1" minValue="2018" maxValue="2018" count="1">
        <n v="2018"/>
      </sharedItems>
    </cacheField>
    <cacheField name="Month" numFmtId="0">
      <sharedItems containsSemiMixedTypes="0" containsString="0" containsNumber="1" containsInteger="1" minValue="1" maxValue="12" count="5">
        <n v="12"/>
        <n v="1"/>
        <n v="2"/>
        <n v="5"/>
        <n v="3"/>
      </sharedItems>
    </cacheField>
    <cacheField name="WeekNumber" numFmtId="0">
      <sharedItems containsSemiMixedTypes="0" containsString="0" containsNumber="1" containsInteger="1" minValue="1" maxValue="53"/>
    </cacheField>
    <cacheField name="WeekDay" numFmtId="0">
      <sharedItems containsSemiMixedTypes="0" containsString="0" containsNumber="1" containsInteger="1" minValue="2" maxValue="6"/>
    </cacheField>
    <cacheField name="Day" numFmtId="0">
      <sharedItems containsSemiMixedTypes="0" containsString="0" containsNumber="1" containsInteger="1" minValue="1" maxValue="31"/>
    </cacheField>
    <cacheField name="MonthName" numFmtId="0">
      <sharedItems count="5">
        <s v="December"/>
        <s v="January"/>
        <s v="February"/>
        <s v="May"/>
        <s v="March"/>
      </sharedItems>
    </cacheField>
    <cacheField name="WeekEnding" numFmtId="14">
      <sharedItems count="11">
        <s v="WE-5/December/2018"/>
        <s v="WE-20/January/2018"/>
        <s v="WE-17/February/2018"/>
        <s v="WE-6/January/2018"/>
        <s v="WE-3/January/2018"/>
        <s v="WE-15/December/2018"/>
        <s v="WE-5/May/2018"/>
        <s v="WE-10/March/2018"/>
        <s v="WE-27/January/2018"/>
        <s v="WE-3/February/2018"/>
        <s v="WE-17/March/2018"/>
      </sharedItems>
    </cacheField>
    <cacheField name="Nature" numFmtId="0">
      <sharedItems count="6">
        <s v="11-Equipment"/>
        <s v="10-Materials"/>
        <s v="13-Subcontracts"/>
        <s v="25-Other Ind"/>
        <s v="20-Indirect Labor"/>
        <s v="0-Revenue"/>
      </sharedItems>
    </cacheField>
    <cacheField name="Direct/Indirect" numFmtId="0">
      <sharedItems count="3">
        <s v="Direct Cost"/>
        <s v="Indirect Cost"/>
        <s v="Revenue"/>
      </sharedItems>
    </cacheField>
    <cacheField name="Module" numFmtId="0">
      <sharedItems count="4">
        <s v="GJ"/>
        <s v="PJ"/>
        <s v="SA"/>
        <s v="CR"/>
      </sharedItems>
    </cacheField>
    <cacheField name="1st" numFmtId="0">
      <sharedItems/>
    </cacheField>
    <cacheField name="2nd" numFmtId="0">
      <sharedItems/>
    </cacheField>
    <cacheField name="3rd" numFmtId="0">
      <sharedItems/>
    </cacheField>
    <cacheField name="4th" numFmtId="0">
      <sharedItems/>
    </cacheField>
    <cacheField name="amount02" numFmtId="0" formula="COST_AMOUNT" databaseField="0"/>
  </cacheFields>
  <extLst>
    <ext xmlns:x14="http://schemas.microsoft.com/office/spreadsheetml/2009/9/main" uri="{725AE2AE-9491-48be-B2B4-4EB974FC3084}">
      <x14:pivotCacheDefinition pivotCacheId="165"/>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075" applyNumberFormats="0" applyBorderFormats="0" applyFontFormats="0" applyPatternFormats="0" applyAlignmentFormats="0" applyWidthHeightFormats="1" dataCaption="Values" updatedVersion="4" minRefreshableVersion="3" showDrill="0" itemPrintTitles="1" createdVersion="4" indent="0" outline="1" outlineData="1" multipleFieldFilters="0">
  <location ref="G6:K14" firstHeaderRow="1" firstDataRow="3" firstDataCol="3" rowPageCount="2" colPageCount="1"/>
  <pivotFields count="35">
    <pivotField showAll="0"/>
    <pivotField showAll="0"/>
    <pivotField showAll="0"/>
    <pivotField showAll="0"/>
    <pivotField showAll="0"/>
    <pivotField showAll="0"/>
    <pivotField showAll="0">
      <items count="6">
        <item x="1"/>
        <item x="2"/>
        <item x="4"/>
        <item x="3"/>
        <item x="0"/>
        <item t="default"/>
      </items>
    </pivotField>
    <pivotField axis="axisRow" showAll="0">
      <items count="12">
        <item x="10"/>
        <item x="1"/>
        <item x="4"/>
        <item x="3"/>
        <item x="0"/>
        <item x="2"/>
        <item x="7"/>
        <item x="6"/>
        <item x="5"/>
        <item x="9"/>
        <item x="8"/>
        <item t="default"/>
      </items>
    </pivotField>
    <pivotField axis="axisRow" outline="0" showAll="0" insertBlankRow="1" defaultSubtotal="0">
      <items count="9">
        <item x="7"/>
        <item x="1"/>
        <item x="2"/>
        <item x="0"/>
        <item x="5"/>
        <item x="4"/>
        <item x="3"/>
        <item x="8"/>
        <item x="6"/>
      </items>
    </pivotField>
    <pivotField showAll="0"/>
    <pivotField axis="axisRow" showAll="0">
      <items count="10">
        <item x="7"/>
        <item x="1"/>
        <item x="2"/>
        <item x="0"/>
        <item x="6"/>
        <item x="5"/>
        <item x="4"/>
        <item x="3"/>
        <item x="8"/>
        <item t="default"/>
      </items>
    </pivotField>
    <pivotField showAll="0"/>
    <pivotField axis="axisRow" outline="0" showAll="0">
      <items count="14">
        <item x="0"/>
        <item x="12"/>
        <item x="5"/>
        <item x="11"/>
        <item x="10"/>
        <item x="9"/>
        <item x="3"/>
        <item x="1"/>
        <item x="2"/>
        <item x="4"/>
        <item x="8"/>
        <item x="6"/>
        <item x="7"/>
        <item t="default"/>
      </items>
    </pivotField>
    <pivotField axis="axisRow" showAll="0">
      <items count="13">
        <item x="5"/>
        <item x="0"/>
        <item x="3"/>
        <item x="8"/>
        <item x="2"/>
        <item x="9"/>
        <item x="4"/>
        <item x="10"/>
        <item x="1"/>
        <item x="6"/>
        <item x="7"/>
        <item x="11"/>
        <item t="default"/>
      </items>
    </pivotField>
    <pivotField multipleItemSelectionAllowed="1" showAll="0"/>
    <pivotField showAll="0"/>
    <pivotField showAll="0"/>
    <pivotField showAll="0"/>
    <pivotField showAll="0"/>
    <pivotField dataField="1" showAll="0"/>
    <pivotField axis="axisPage" showAll="0" defaultSubtotal="0">
      <items count="1">
        <item x="0"/>
      </items>
    </pivotField>
    <pivotField axis="axisPage" showAll="0" defaultSubtotal="0">
      <items count="5">
        <item x="4"/>
        <item x="3"/>
        <item x="0"/>
        <item x="1"/>
        <item x="2"/>
      </items>
    </pivotField>
    <pivotField showAll="0" defaultSubtotal="0"/>
    <pivotField showAll="0" defaultSubtotal="0"/>
    <pivotField showAll="0" defaultSubtotal="0"/>
    <pivotField showAll="0" defaultSubtotal="0">
      <items count="5">
        <item x="1"/>
        <item x="2"/>
        <item x="4"/>
        <item x="3"/>
        <item x="0"/>
      </items>
    </pivotField>
    <pivotField showAll="0" defaultSubtotal="0">
      <items count="11">
        <item x="7"/>
        <item x="5"/>
        <item x="2"/>
        <item x="10"/>
        <item x="1"/>
        <item x="8"/>
        <item x="9"/>
        <item x="4"/>
        <item x="0"/>
        <item x="6"/>
        <item x="3"/>
      </items>
    </pivotField>
    <pivotField axis="axisCol" showAll="0" defaultSubtotal="0">
      <items count="6">
        <item sd="0" x="5"/>
        <item sd="0" x="1"/>
        <item sd="0" x="0"/>
        <item sd="0" x="2"/>
        <item sd="0" x="4"/>
        <item sd="0" x="3"/>
      </items>
    </pivotField>
    <pivotField axis="axisCol" showAll="0" defaultSubtotal="0">
      <items count="3">
        <item sd="0" x="2"/>
        <item sd="0" x="0"/>
        <item sd="0" x="1"/>
      </items>
    </pivotField>
    <pivotField showAll="0" defaultSubtotal="0">
      <items count="4">
        <item h="1" x="3"/>
        <item h="1" x="0"/>
        <item h="1" x="1"/>
        <item x="2"/>
      </items>
    </pivotField>
    <pivotField showAll="0" defaultSubtotal="0"/>
    <pivotField showAll="0" defaultSubtotal="0"/>
    <pivotField showAll="0" defaultSubtotal="0"/>
    <pivotField showAll="0" defaultSubtotal="0"/>
    <pivotField dragToRow="0" dragToCol="0" dragToPage="0" showAll="0" defaultSubtotal="0"/>
  </pivotFields>
  <rowFields count="5">
    <field x="8"/>
    <field x="10"/>
    <field x="12"/>
    <field x="13"/>
    <field x="7"/>
  </rowFields>
  <rowItems count="6">
    <i>
      <x/>
      <x/>
    </i>
    <i r="2">
      <x v="12"/>
      <x v="10"/>
    </i>
    <i r="4">
      <x/>
    </i>
    <i t="default" r="2">
      <x v="12"/>
    </i>
    <i t="blank">
      <x/>
    </i>
    <i t="grand">
      <x/>
    </i>
  </rowItems>
  <colFields count="2">
    <field x="28"/>
    <field x="27"/>
  </colFields>
  <colItems count="2">
    <i>
      <x/>
    </i>
    <i t="grand">
      <x/>
    </i>
  </colItems>
  <pageFields count="2">
    <pageField fld="20" hier="-1"/>
    <pageField fld="21" hier="-1"/>
  </pageFields>
  <dataFields count="1">
    <dataField name="Cost" fld="19" baseField="0" baseItem="2748824" numFmtId="4"/>
  </dataFields>
  <formats count="6">
    <format dxfId="14">
      <pivotArea type="origin" dataOnly="0" labelOnly="1" outline="0" fieldPosition="0"/>
    </format>
    <format dxfId="15">
      <pivotArea type="topRight" dataOnly="0" labelOnly="1" outline="0" fieldPosition="0"/>
    </format>
    <format dxfId="16">
      <pivotArea dataOnly="0" labelOnly="1" grandCol="1" outline="0" fieldPosition="0"/>
    </format>
    <format dxfId="17">
      <pivotArea type="topRight" dataOnly="0" labelOnly="1" outline="0" fieldPosition="0"/>
    </format>
    <format dxfId="18">
      <pivotArea dataOnly="0" labelOnly="1" grandCol="1" outline="0" fieldPosition="0"/>
    </format>
    <format dxfId="19">
      <pivotArea type="origin" dataOnly="0" labelOnly="1" outline="0"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dule" sourceName="Module">
  <pivotTables>
    <pivotTable tabId="1" name="PivotTable1"/>
  </pivotTables>
  <data>
    <tabular pivotCacheId="165">
      <items count="4">
        <i x="3"/>
        <i x="0"/>
        <i x="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YEAR_MO111" sourceName="YEAR_MO">
  <pivotTables>
    <pivotTable tabId="1" name="PivotTable1"/>
  </pivotTables>
  <data>
    <tabular pivotCacheId="165">
      <items count="5">
        <i x="3" s="1"/>
        <i x="1" s="1" nd="1"/>
        <i x="2" s="1" nd="1"/>
        <i x="4"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1" name="PivotTable1"/>
  </pivotTables>
  <data>
    <tabular pivotCacheId="165">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WeekEnding" sourceName="WeekEnding">
  <pivotTables>
    <pivotTable tabId="1" name="PivotTable1"/>
  </pivotTables>
  <data>
    <tabular pivotCacheId="165">
      <items count="11">
        <i x="6" s="1"/>
        <i x="7" s="1" nd="1"/>
        <i x="5" s="1" nd="1"/>
        <i x="2" s="1" nd="1"/>
        <i x="10" s="1" nd="1"/>
        <i x="1" s="1" nd="1"/>
        <i x="8" s="1" nd="1"/>
        <i x="9" s="1" nd="1"/>
        <i x="4" s="1" nd="1"/>
        <i x="0" s="1" nd="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Nature" sourceName="Nature">
  <pivotTables>
    <pivotTable tabId="1" name="PivotTable1"/>
  </pivotTables>
  <data>
    <tabular pivotCacheId="165">
      <items count="6">
        <i x="5" s="1"/>
        <i x="1" s="1" nd="1"/>
        <i x="0" s="1" nd="1"/>
        <i x="2" s="1" nd="1"/>
        <i x="4" s="1" nd="1"/>
        <i x="3"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Direct_Indirect" sourceName="Direct/Indirect">
  <pivotTables>
    <pivotTable tabId="1" name="PivotTable1"/>
  </pivotTables>
  <data>
    <tabular pivotCacheId="165">
      <items count="3">
        <i x="2" s="1"/>
        <i x="0" s="1" nd="1"/>
        <i x="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MonthName" sourceName="MonthName">
  <pivotTables>
    <pivotTable tabId="1" name="PivotTable1"/>
  </pivotTables>
  <data>
    <tabular pivotCacheId="165">
      <items count="5">
        <i x="3" s="1"/>
        <i x="1" s="1" nd="1"/>
        <i x="2" s="1" nd="1"/>
        <i x="4" s="1" nd="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dule" cache="Slicer_Module" caption="Module" columnCount="5" rowHeight="182880"/>
  <slicer name="YEAR_MO 3" cache="Slicer_YEAR_MO111" caption="YEAR_MO" columnCount="4" rowHeight="182880"/>
  <slicer name="Year" cache="Slicer_Year" caption="Year" columnCount="3" rowHeight="234950"/>
  <slicer name="WeekEnding" cache="Slicer_WeekEnding" caption="WeekEnding" startItem="1" rowHeight="137160"/>
  <slicer name="Nature" cache="Slicer_Nature" caption="Nature" columnCount="2" rowHeight="234950"/>
  <slicer name="Direct/Indirect" cache="Slicer_Direct_Indirect" caption="Direct/Indirect" rowHeight="182880"/>
  <slicer name="MonthName" cache="Slicer_MonthName" caption="MonthName" columnCount="3" rowHeight="234950"/>
</slicers>
</file>

<file path=xl/tables/table1.xml><?xml version="1.0" encoding="utf-8"?>
<table xmlns="http://schemas.openxmlformats.org/spreadsheetml/2006/main" id="2" name="SP_JC_60_022_2018" displayName="SP_JC_60_022_2018" ref="A1:AH20" totalsRowShown="0">
  <autoFilter ref="A1:AH20"/>
  <tableColumns count="34">
    <tableColumn id="1" name="CO_DIV"/>
    <tableColumn id="2" name="DIV_NAME"/>
    <tableColumn id="3" name="JOB"/>
    <tableColumn id="4" name="SUBJOB"/>
    <tableColumn id="5" name="JOB_NAME"/>
    <tableColumn id="6" name="JOURNAL_DATE"/>
    <tableColumn id="7" name="YEAR_MO"/>
    <tableColumn id="8" name="GL_ACCOUNT"/>
    <tableColumn id="9" name="JC_DISTRIBUTION"/>
    <tableColumn id="10" name="TYPE"/>
    <tableColumn id="11" name="DISTRIBUTION_DESC"/>
    <tableColumn id="12" name="JOURNAL"/>
    <tableColumn id="13" name="TRAN_SOURCE"/>
    <tableColumn id="14" name="TRAN_DESCRIPTION"/>
    <tableColumn id="15" name="VENDOR"/>
    <tableColumn id="16" name="PO_NUMBER"/>
    <tableColumn id="17" name="INVOICE"/>
    <tableColumn id="18" name="LABOR_HOURS"/>
    <tableColumn id="19" name="EQUIP_HOURS"/>
    <tableColumn id="20" name="COST_AMOUNT"/>
    <tableColumn id="73" name="Year" dataDxfId="13" dataCellStyle="Normal 2">
      <calculatedColumnFormula>YEAR(F2)</calculatedColumnFormula>
    </tableColumn>
    <tableColumn id="74" name="Month" dataDxfId="12" dataCellStyle="Normal 2">
      <calculatedColumnFormula>MONTH(F2)</calculatedColumnFormula>
    </tableColumn>
    <tableColumn id="75" name="WeekNumber" dataDxfId="11" dataCellStyle="Normal 2">
      <calculatedColumnFormula>WEEKNUM(F2)</calculatedColumnFormula>
    </tableColumn>
    <tableColumn id="76" name="WeekDay" dataDxfId="10" dataCellStyle="Normal 2">
      <calculatedColumnFormula>WEEKDAY(F2)</calculatedColumnFormula>
    </tableColumn>
    <tableColumn id="77" name="Day" dataDxfId="9" dataCellStyle="Normal 2">
      <calculatedColumnFormula>DAY(F2)</calculatedColumnFormula>
    </tableColumn>
    <tableColumn id="78" name="MonthName" dataDxfId="8" dataCellStyle="Normal 2">
      <calculatedColumnFormula>VLOOKUP(V:V,mesnome,2)</calculatedColumnFormula>
    </tableColumn>
    <tableColumn id="79" name="WeekEnding" dataDxfId="7" dataCellStyle="Normal 2">
      <calculatedColumnFormula>"WE-"  &amp; DAY( ($F2 - $X2)+7) &amp; "/" &amp; Z2 &amp; "/" &amp; U2</calculatedColumnFormula>
    </tableColumn>
    <tableColumn id="80" name="Nature" dataDxfId="6" dataCellStyle="Normal 2">
      <calculatedColumnFormula>VLOOKUP($J:$J,costdesc,2)</calculatedColumnFormula>
    </tableColumn>
    <tableColumn id="81" name="Direct/Indirect" dataDxfId="5" dataCellStyle="Normal 2">
      <calculatedColumnFormula>VLOOKUP($J:$J,costdesc,3)</calculatedColumnFormula>
    </tableColumn>
    <tableColumn id="82" name="Module" dataDxfId="4" dataCellStyle="Normal 2">
      <calculatedColumnFormula>LEFT(L2,2)</calculatedColumnFormula>
    </tableColumn>
    <tableColumn id="83" name="1st" dataDxfId="3" dataCellStyle="Normal 2">
      <calculatedColumnFormula>LEFT(I2,3)</calculatedColumnFormula>
    </tableColumn>
    <tableColumn id="84" name="2nd" dataDxfId="2" dataCellStyle="Normal 2">
      <calculatedColumnFormula>RIGHT(LEFT(I2,7),3)</calculatedColumnFormula>
    </tableColumn>
    <tableColumn id="85" name="3rd" dataDxfId="1" dataCellStyle="Normal 2">
      <calculatedColumnFormula>RIGHT(LEFT($I2,15),7)</calculatedColumnFormula>
    </tableColumn>
    <tableColumn id="86" name="4th" dataDxfId="0" dataCellStyle="Normal 2">
      <calculatedColumnFormula>RIGHT($I2,2)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ivotTable" Target="../pivotTables/pivotTable1.xml"/><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C000"/>
  </sheetPr>
  <dimension ref="G1:AH14"/>
  <sheetViews>
    <sheetView showGridLines="0" showRowColHeaders="0" tabSelected="1" workbookViewId="0">
      <pane ySplit="8" topLeftCell="A9" activePane="bottomLeft" state="frozen"/>
      <selection pane="bottomLeft" activeCell="M6" sqref="M6"/>
    </sheetView>
  </sheetViews>
  <sheetFormatPr defaultRowHeight="14.4" x14ac:dyDescent="0.3"/>
  <cols>
    <col min="1" max="1" width="11.77734375" bestFit="1" customWidth="1"/>
    <col min="2" max="2" width="5.33203125" customWidth="1"/>
    <col min="3" max="3" width="4.21875" customWidth="1"/>
    <col min="4" max="4" width="5.6640625" customWidth="1"/>
    <col min="5" max="5" width="4.6640625" customWidth="1"/>
    <col min="6" max="6" width="5.88671875" customWidth="1"/>
    <col min="7" max="7" width="22" bestFit="1" customWidth="1"/>
    <col min="8" max="8" width="23.6640625" bestFit="1" customWidth="1"/>
    <col min="9" max="9" width="19.21875" bestFit="1" customWidth="1"/>
    <col min="10" max="11" width="14.21875" bestFit="1" customWidth="1"/>
    <col min="12" max="16" width="13.21875" bestFit="1" customWidth="1"/>
    <col min="17" max="17" width="14.33203125" customWidth="1"/>
    <col min="18" max="22" width="13.21875" bestFit="1" customWidth="1"/>
    <col min="23" max="23" width="14.21875" bestFit="1" customWidth="1"/>
    <col min="24" max="25" width="13.21875" bestFit="1" customWidth="1"/>
    <col min="26" max="26" width="14.21875" bestFit="1" customWidth="1"/>
    <col min="27" max="29" width="12.6640625" bestFit="1" customWidth="1"/>
    <col min="30" max="36" width="13.44140625" bestFit="1" customWidth="1"/>
  </cols>
  <sheetData>
    <row r="1" spans="7:34" ht="105" customHeight="1" x14ac:dyDescent="0.3">
      <c r="U1" t="s">
        <v>0</v>
      </c>
      <c r="V1" t="s">
        <v>1</v>
      </c>
      <c r="W1" t="s">
        <v>2</v>
      </c>
      <c r="X1" t="s">
        <v>3</v>
      </c>
      <c r="Y1" t="s">
        <v>4</v>
      </c>
      <c r="Z1" t="s">
        <v>5</v>
      </c>
      <c r="AA1" t="s">
        <v>6</v>
      </c>
      <c r="AB1" t="s">
        <v>7</v>
      </c>
      <c r="AC1" t="s">
        <v>8</v>
      </c>
      <c r="AD1" t="s">
        <v>9</v>
      </c>
      <c r="AE1" t="s">
        <v>10</v>
      </c>
      <c r="AF1" t="s">
        <v>11</v>
      </c>
      <c r="AG1" t="s">
        <v>12</v>
      </c>
      <c r="AH1" t="s">
        <v>13</v>
      </c>
    </row>
    <row r="2" spans="7:34" x14ac:dyDescent="0.3">
      <c r="U2">
        <v>1900</v>
      </c>
      <c r="V2">
        <v>1</v>
      </c>
      <c r="W2">
        <v>0</v>
      </c>
      <c r="X2">
        <v>7</v>
      </c>
      <c r="Y2">
        <v>0</v>
      </c>
      <c r="Z2" t="s">
        <v>14</v>
      </c>
      <c r="AA2" t="s">
        <v>15</v>
      </c>
      <c r="AB2" t="e">
        <v>#N/A</v>
      </c>
      <c r="AC2" t="e">
        <v>#N/A</v>
      </c>
    </row>
    <row r="3" spans="7:34" hidden="1" x14ac:dyDescent="0.3">
      <c r="G3" s="8" t="s">
        <v>0</v>
      </c>
      <c r="H3" t="s">
        <v>16</v>
      </c>
    </row>
    <row r="4" spans="7:34" hidden="1" x14ac:dyDescent="0.3">
      <c r="G4" s="8" t="s">
        <v>1</v>
      </c>
      <c r="H4" t="s">
        <v>16</v>
      </c>
    </row>
    <row r="6" spans="7:34" x14ac:dyDescent="0.3">
      <c r="G6" s="9" t="s">
        <v>17</v>
      </c>
      <c r="H6" s="1"/>
      <c r="I6" s="1"/>
      <c r="J6" s="8" t="s">
        <v>18</v>
      </c>
    </row>
    <row r="7" spans="7:34" s="1" customFormat="1" x14ac:dyDescent="0.3">
      <c r="J7" t="s">
        <v>19</v>
      </c>
      <c r="K7" s="1" t="s">
        <v>20</v>
      </c>
      <c r="L7"/>
      <c r="M7"/>
      <c r="N7"/>
      <c r="O7"/>
      <c r="P7"/>
      <c r="Q7"/>
      <c r="R7"/>
      <c r="S7"/>
      <c r="T7"/>
      <c r="U7"/>
      <c r="V7"/>
      <c r="W7"/>
      <c r="X7"/>
      <c r="Y7"/>
      <c r="Z7"/>
    </row>
    <row r="8" spans="7:34" s="1" customFormat="1" x14ac:dyDescent="0.3">
      <c r="G8" s="8" t="s">
        <v>21</v>
      </c>
      <c r="H8" s="8" t="s">
        <v>22</v>
      </c>
      <c r="I8" s="8" t="s">
        <v>23</v>
      </c>
      <c r="J8"/>
      <c r="L8"/>
      <c r="M8"/>
      <c r="N8"/>
      <c r="O8"/>
      <c r="P8"/>
      <c r="Q8"/>
      <c r="R8"/>
      <c r="S8"/>
      <c r="T8"/>
      <c r="U8"/>
      <c r="V8"/>
      <c r="W8"/>
      <c r="X8"/>
      <c r="Y8"/>
      <c r="Z8"/>
    </row>
    <row r="9" spans="7:34" s="1" customFormat="1" x14ac:dyDescent="0.3">
      <c r="G9" s="2" t="s">
        <v>24</v>
      </c>
      <c r="H9" s="2" t="s">
        <v>25</v>
      </c>
      <c r="I9"/>
      <c r="J9" s="3">
        <v>12.41</v>
      </c>
      <c r="K9" s="3">
        <v>12.41</v>
      </c>
      <c r="L9"/>
      <c r="M9"/>
      <c r="N9"/>
      <c r="O9"/>
      <c r="P9"/>
      <c r="Q9"/>
      <c r="R9"/>
      <c r="S9"/>
      <c r="T9"/>
      <c r="U9"/>
      <c r="V9"/>
      <c r="W9"/>
      <c r="X9"/>
      <c r="Y9"/>
      <c r="Z9"/>
    </row>
    <row r="10" spans="7:34" x14ac:dyDescent="0.3">
      <c r="H10" s="4" t="s">
        <v>147</v>
      </c>
      <c r="I10" s="2" t="s">
        <v>148</v>
      </c>
      <c r="J10" s="3">
        <v>12.41</v>
      </c>
      <c r="K10" s="3">
        <v>12.41</v>
      </c>
    </row>
    <row r="11" spans="7:34" x14ac:dyDescent="0.3">
      <c r="I11" s="4" t="s">
        <v>26</v>
      </c>
      <c r="J11" s="3">
        <v>12.41</v>
      </c>
      <c r="K11" s="3">
        <v>12.41</v>
      </c>
    </row>
    <row r="12" spans="7:34" x14ac:dyDescent="0.3">
      <c r="H12" s="4" t="s">
        <v>159</v>
      </c>
      <c r="J12" s="3">
        <v>12.41</v>
      </c>
      <c r="K12" s="3">
        <v>12.41</v>
      </c>
    </row>
    <row r="13" spans="7:34" x14ac:dyDescent="0.3">
      <c r="G13" s="2"/>
      <c r="J13" s="3"/>
      <c r="K13" s="3"/>
    </row>
    <row r="14" spans="7:34" x14ac:dyDescent="0.3">
      <c r="G14" s="2" t="s">
        <v>20</v>
      </c>
      <c r="J14" s="3">
        <v>12.41</v>
      </c>
      <c r="K14" s="3">
        <v>12.41</v>
      </c>
    </row>
  </sheetData>
  <pageMargins left="0.7" right="0.7" top="0.75" bottom="0.75" header="0.3" footer="0.3"/>
  <drawing r:id="rId2"/>
  <legacyDrawing r:id="rId3"/>
  <controls>
    <mc:AlternateContent xmlns:mc="http://schemas.openxmlformats.org/markup-compatibility/2006">
      <mc:Choice Requires="x14">
        <control shapeId="1031" r:id="rId4" name="CommandButton4">
          <controlPr autoLine="0" r:id="rId5">
            <anchor moveWithCells="1">
              <from>
                <xdr:col>1</xdr:col>
                <xdr:colOff>327660</xdr:colOff>
                <xdr:row>16</xdr:row>
                <xdr:rowOff>7620</xdr:rowOff>
              </from>
              <to>
                <xdr:col>3</xdr:col>
                <xdr:colOff>106680</xdr:colOff>
                <xdr:row>17</xdr:row>
                <xdr:rowOff>129540</xdr:rowOff>
              </to>
            </anchor>
          </controlPr>
        </control>
      </mc:Choice>
      <mc:Fallback>
        <control shapeId="1031" r:id="rId4" name="CommandButton4"/>
      </mc:Fallback>
    </mc:AlternateContent>
    <mc:AlternateContent xmlns:mc="http://schemas.openxmlformats.org/markup-compatibility/2006">
      <mc:Choice Requires="x14">
        <control shapeId="1030" r:id="rId6" name="CommandButton3">
          <controlPr autoLine="0" r:id="rId7">
            <anchor moveWithCells="1">
              <from>
                <xdr:col>0</xdr:col>
                <xdr:colOff>121920</xdr:colOff>
                <xdr:row>16</xdr:row>
                <xdr:rowOff>7620</xdr:rowOff>
              </from>
              <to>
                <xdr:col>0</xdr:col>
                <xdr:colOff>541020</xdr:colOff>
                <xdr:row>17</xdr:row>
                <xdr:rowOff>129540</xdr:rowOff>
              </to>
            </anchor>
          </controlPr>
        </control>
      </mc:Choice>
      <mc:Fallback>
        <control shapeId="1030" r:id="rId6" name="CommandButton3"/>
      </mc:Fallback>
    </mc:AlternateContent>
    <mc:AlternateContent xmlns:mc="http://schemas.openxmlformats.org/markup-compatibility/2006">
      <mc:Choice Requires="x14">
        <control shapeId="1029" r:id="rId8" name="ListBox2">
          <controlPr autoLine="0" r:id="rId9">
            <anchor moveWithCells="1">
              <from>
                <xdr:col>0</xdr:col>
                <xdr:colOff>114300</xdr:colOff>
                <xdr:row>10</xdr:row>
                <xdr:rowOff>144780</xdr:rowOff>
              </from>
              <to>
                <xdr:col>3</xdr:col>
                <xdr:colOff>99060</xdr:colOff>
                <xdr:row>15</xdr:row>
                <xdr:rowOff>144780</xdr:rowOff>
              </to>
            </anchor>
          </controlPr>
        </control>
      </mc:Choice>
      <mc:Fallback>
        <control shapeId="1029" r:id="rId8" name="ListBox2"/>
      </mc:Fallback>
    </mc:AlternateContent>
    <mc:AlternateContent xmlns:mc="http://schemas.openxmlformats.org/markup-compatibility/2006">
      <mc:Choice Requires="x14">
        <control shapeId="1028" r:id="rId10" name="CommandButton5">
          <controlPr autoLine="0" r:id="rId11">
            <anchor moveWithCells="1">
              <from>
                <xdr:col>1</xdr:col>
                <xdr:colOff>266700</xdr:colOff>
                <xdr:row>0</xdr:row>
                <xdr:rowOff>1120140</xdr:rowOff>
              </from>
              <to>
                <xdr:col>3</xdr:col>
                <xdr:colOff>60960</xdr:colOff>
                <xdr:row>1</xdr:row>
                <xdr:rowOff>91440</xdr:rowOff>
              </to>
            </anchor>
          </controlPr>
        </control>
      </mc:Choice>
      <mc:Fallback>
        <control shapeId="1028" r:id="rId10" name="CommandButton5"/>
      </mc:Fallback>
    </mc:AlternateContent>
    <mc:AlternateContent xmlns:mc="http://schemas.openxmlformats.org/markup-compatibility/2006">
      <mc:Choice Requires="x14">
        <control shapeId="1027" r:id="rId12" name="CommandButton2">
          <controlPr autoLine="0" r:id="rId13">
            <anchor moveWithCells="1">
              <from>
                <xdr:col>0</xdr:col>
                <xdr:colOff>586740</xdr:colOff>
                <xdr:row>0</xdr:row>
                <xdr:rowOff>1120140</xdr:rowOff>
              </from>
              <to>
                <xdr:col>1</xdr:col>
                <xdr:colOff>198120</xdr:colOff>
                <xdr:row>1</xdr:row>
                <xdr:rowOff>91440</xdr:rowOff>
              </to>
            </anchor>
          </controlPr>
        </control>
      </mc:Choice>
      <mc:Fallback>
        <control shapeId="1027" r:id="rId12" name="CommandButton2"/>
      </mc:Fallback>
    </mc:AlternateContent>
    <mc:AlternateContent xmlns:mc="http://schemas.openxmlformats.org/markup-compatibility/2006">
      <mc:Choice Requires="x14">
        <control shapeId="1026" r:id="rId14" name="CommandButton1">
          <controlPr autoLine="0" r:id="rId15">
            <anchor moveWithCells="1">
              <from>
                <xdr:col>0</xdr:col>
                <xdr:colOff>68580</xdr:colOff>
                <xdr:row>0</xdr:row>
                <xdr:rowOff>1120140</xdr:rowOff>
              </from>
              <to>
                <xdr:col>0</xdr:col>
                <xdr:colOff>502920</xdr:colOff>
                <xdr:row>1</xdr:row>
                <xdr:rowOff>91440</xdr:rowOff>
              </to>
            </anchor>
          </controlPr>
        </control>
      </mc:Choice>
      <mc:Fallback>
        <control shapeId="1026" r:id="rId14" name="CommandButton1"/>
      </mc:Fallback>
    </mc:AlternateContent>
    <mc:AlternateContent xmlns:mc="http://schemas.openxmlformats.org/markup-compatibility/2006">
      <mc:Choice Requires="x14">
        <control shapeId="1025" r:id="rId16" name="ListBox1">
          <controlPr autoLine="0" linkedCell="G3" r:id="rId17">
            <anchor moveWithCells="1" sizeWithCells="1">
              <from>
                <xdr:col>0</xdr:col>
                <xdr:colOff>68580</xdr:colOff>
                <xdr:row>0</xdr:row>
                <xdr:rowOff>76200</xdr:rowOff>
              </from>
              <to>
                <xdr:col>3</xdr:col>
                <xdr:colOff>68580</xdr:colOff>
                <xdr:row>0</xdr:row>
                <xdr:rowOff>1097280</xdr:rowOff>
              </to>
            </anchor>
          </controlPr>
        </control>
      </mc:Choice>
      <mc:Fallback>
        <control shapeId="1025" r:id="rId16" name="ListBox1"/>
      </mc:Fallback>
    </mc:AlternateContent>
  </controls>
  <extLst>
    <ext xmlns:x14="http://schemas.microsoft.com/office/spreadsheetml/2009/9/main" uri="{A8765BA9-456A-4dab-B4F3-ACF838C121DE}">
      <x14:slicerList>
        <x14:slicer r:id="rId1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H20"/>
  <sheetViews>
    <sheetView zoomScale="60" zoomScaleNormal="60" workbookViewId="0">
      <selection activeCell="AI9" sqref="AI9"/>
    </sheetView>
  </sheetViews>
  <sheetFormatPr defaultRowHeight="14.4" x14ac:dyDescent="0.3"/>
  <cols>
    <col min="1" max="1" width="9.33203125" style="5" customWidth="1"/>
    <col min="2" max="2" width="12.21875" style="5" customWidth="1"/>
    <col min="3" max="3" width="8.88671875" style="5"/>
    <col min="4" max="4" width="9.44140625" style="5" customWidth="1"/>
    <col min="5" max="5" width="12.33203125" style="5" customWidth="1"/>
    <col min="6" max="6" width="16.21875" style="5" customWidth="1"/>
    <col min="7" max="7" width="11.33203125" style="5" customWidth="1"/>
    <col min="8" max="8" width="14.44140625" style="5" customWidth="1"/>
    <col min="9" max="9" width="17.77734375" style="5" customWidth="1"/>
    <col min="10" max="10" width="8.88671875" style="5"/>
    <col min="11" max="11" width="20.33203125" style="5" customWidth="1"/>
    <col min="12" max="12" width="10.77734375" style="5" customWidth="1"/>
    <col min="13" max="13" width="15.44140625" style="5" customWidth="1"/>
    <col min="14" max="14" width="19.88671875" style="5" customWidth="1"/>
    <col min="15" max="15" width="10.109375" style="5" customWidth="1"/>
    <col min="16" max="16" width="14" style="5" customWidth="1"/>
    <col min="17" max="17" width="10" style="5" customWidth="1"/>
    <col min="18" max="18" width="15.5546875" style="5" customWidth="1"/>
    <col min="19" max="19" width="15.21875" style="5" customWidth="1"/>
    <col min="20" max="20" width="16.33203125" style="5" customWidth="1"/>
    <col min="21" max="16384" width="8.88671875" style="5"/>
  </cols>
  <sheetData>
    <row r="1" spans="1:34" ht="15" customHeight="1" x14ac:dyDescent="0.3">
      <c r="A1" s="5" t="s">
        <v>27</v>
      </c>
      <c r="B1" s="5" t="s">
        <v>28</v>
      </c>
      <c r="C1" s="5" t="s">
        <v>29</v>
      </c>
      <c r="D1" s="5" t="s">
        <v>30</v>
      </c>
      <c r="E1" s="5" t="s">
        <v>31</v>
      </c>
      <c r="F1" s="5" t="s">
        <v>32</v>
      </c>
      <c r="G1" s="5" t="s">
        <v>33</v>
      </c>
      <c r="H1" s="5" t="s">
        <v>34</v>
      </c>
      <c r="I1" s="5" t="s">
        <v>35</v>
      </c>
      <c r="J1" s="5" t="s">
        <v>36</v>
      </c>
      <c r="K1" s="5" t="s">
        <v>22</v>
      </c>
      <c r="L1" s="5" t="s">
        <v>37</v>
      </c>
      <c r="M1" s="5" t="s">
        <v>38</v>
      </c>
      <c r="N1" s="5" t="s">
        <v>23</v>
      </c>
      <c r="O1" s="5" t="s">
        <v>39</v>
      </c>
      <c r="P1" s="5" t="s">
        <v>40</v>
      </c>
      <c r="Q1" s="5" t="s">
        <v>41</v>
      </c>
      <c r="R1" s="5" t="s">
        <v>42</v>
      </c>
      <c r="S1" s="5" t="s">
        <v>43</v>
      </c>
      <c r="T1" s="5" t="s">
        <v>44</v>
      </c>
      <c r="U1" s="6" t="s">
        <v>0</v>
      </c>
      <c r="V1" s="6" t="s">
        <v>1</v>
      </c>
      <c r="W1" s="6" t="s">
        <v>2</v>
      </c>
      <c r="X1" s="6" t="s">
        <v>3</v>
      </c>
      <c r="Y1" s="6" t="s">
        <v>4</v>
      </c>
      <c r="Z1" s="6" t="s">
        <v>5</v>
      </c>
      <c r="AA1" s="6" t="s">
        <v>6</v>
      </c>
      <c r="AB1" s="6" t="s">
        <v>7</v>
      </c>
      <c r="AC1" s="6" t="s">
        <v>8</v>
      </c>
      <c r="AD1" s="5" t="s">
        <v>9</v>
      </c>
      <c r="AE1" s="10" t="s">
        <v>10</v>
      </c>
      <c r="AF1" s="10" t="s">
        <v>11</v>
      </c>
      <c r="AG1" s="10" t="s">
        <v>12</v>
      </c>
      <c r="AH1" s="10" t="s">
        <v>13</v>
      </c>
    </row>
    <row r="2" spans="1:34" ht="15" customHeight="1" x14ac:dyDescent="0.3">
      <c r="A2" s="5" t="s">
        <v>123</v>
      </c>
      <c r="B2" s="5" t="s">
        <v>124</v>
      </c>
      <c r="C2" s="5" t="s">
        <v>45</v>
      </c>
      <c r="D2" s="5" t="s">
        <v>46</v>
      </c>
      <c r="E2" s="5" t="s">
        <v>125</v>
      </c>
      <c r="F2" s="5" t="s">
        <v>83</v>
      </c>
      <c r="G2" s="5" t="s">
        <v>84</v>
      </c>
      <c r="H2" s="5" t="s">
        <v>67</v>
      </c>
      <c r="I2" s="5" t="s">
        <v>68</v>
      </c>
      <c r="J2" s="5" t="s">
        <v>69</v>
      </c>
      <c r="K2" s="5" t="s">
        <v>70</v>
      </c>
      <c r="L2" s="5" t="s">
        <v>126</v>
      </c>
      <c r="M2" s="5" t="s">
        <v>89</v>
      </c>
      <c r="N2" s="5" t="s">
        <v>71</v>
      </c>
      <c r="O2" s="5" t="s">
        <v>46</v>
      </c>
      <c r="P2" s="5" t="s">
        <v>46</v>
      </c>
      <c r="Q2" s="5" t="s">
        <v>46</v>
      </c>
      <c r="R2" s="5">
        <v>0</v>
      </c>
      <c r="S2" s="5">
        <v>0</v>
      </c>
      <c r="T2" s="5">
        <v>-0.73</v>
      </c>
      <c r="U2" s="7">
        <f>YEAR(F2)</f>
        <v>2018</v>
      </c>
      <c r="V2" s="7">
        <f>MONTH(F2)</f>
        <v>12</v>
      </c>
      <c r="W2" s="7">
        <f>WEEKNUM(F2)</f>
        <v>53</v>
      </c>
      <c r="X2" s="7">
        <f>WEEKDAY(F2)</f>
        <v>2</v>
      </c>
      <c r="Y2" s="7">
        <f>DAY(F2)</f>
        <v>31</v>
      </c>
      <c r="Z2" s="11" t="str">
        <f>VLOOKUP(V:V,mesnome,2)</f>
        <v>December</v>
      </c>
      <c r="AA2" s="12" t="str">
        <f>"WE-"  &amp; DAY( ($F2 - $X2)+7) &amp; "/" &amp; Z2 &amp; "/" &amp; U2</f>
        <v>WE-5/December/2018</v>
      </c>
      <c r="AB2" s="7" t="str">
        <f>VLOOKUP($J:$J,costdesc,2)</f>
        <v>11-Equipment</v>
      </c>
      <c r="AC2" s="7" t="str">
        <f>VLOOKUP($J:$J,costdesc,3)</f>
        <v>Direct Cost</v>
      </c>
      <c r="AD2" s="5" t="str">
        <f t="shared" ref="AD2" si="0">LEFT(L2,2)</f>
        <v>GJ</v>
      </c>
      <c r="AE2" s="5" t="str">
        <f t="shared" ref="AE2" si="1">LEFT(I2,3)</f>
        <v>999</v>
      </c>
      <c r="AF2" s="5" t="str">
        <f t="shared" ref="AF2" si="2">RIGHT(LEFT(I2,7),3)</f>
        <v>999</v>
      </c>
      <c r="AG2" s="5" t="str">
        <f t="shared" ref="AG2:AG21" si="3">RIGHT(LEFT($I2,15),7)</f>
        <v>9999998</v>
      </c>
      <c r="AH2" s="5" t="str">
        <f t="shared" ref="AH2:AH21" si="4">RIGHT($I2,2)</f>
        <v>01</v>
      </c>
    </row>
    <row r="3" spans="1:34" ht="15" customHeight="1" x14ac:dyDescent="0.3">
      <c r="A3" s="5" t="s">
        <v>123</v>
      </c>
      <c r="B3" s="5" t="s">
        <v>124</v>
      </c>
      <c r="C3" s="5" t="s">
        <v>45</v>
      </c>
      <c r="D3" s="5" t="s">
        <v>46</v>
      </c>
      <c r="E3" s="5" t="s">
        <v>125</v>
      </c>
      <c r="F3" s="5" t="s">
        <v>106</v>
      </c>
      <c r="G3" s="5" t="s">
        <v>57</v>
      </c>
      <c r="H3" s="5" t="s">
        <v>50</v>
      </c>
      <c r="I3" s="5" t="s">
        <v>58</v>
      </c>
      <c r="J3" s="5" t="s">
        <v>51</v>
      </c>
      <c r="K3" s="5" t="s">
        <v>54</v>
      </c>
      <c r="L3" s="5" t="s">
        <v>122</v>
      </c>
      <c r="M3" s="5" t="s">
        <v>99</v>
      </c>
      <c r="N3" s="5" t="s">
        <v>127</v>
      </c>
      <c r="O3" s="5" t="s">
        <v>59</v>
      </c>
      <c r="P3" s="5" t="s">
        <v>46</v>
      </c>
      <c r="Q3" s="5" t="s">
        <v>128</v>
      </c>
      <c r="R3" s="5">
        <v>0</v>
      </c>
      <c r="S3" s="5">
        <v>0</v>
      </c>
      <c r="T3" s="5">
        <v>26.77</v>
      </c>
      <c r="U3" s="5">
        <f t="shared" ref="U3:U21" si="5">YEAR(F3)</f>
        <v>2018</v>
      </c>
      <c r="V3" s="5">
        <f t="shared" ref="V3:V21" si="6">MONTH(F3)</f>
        <v>1</v>
      </c>
      <c r="W3" s="5">
        <f t="shared" ref="W3:W21" si="7">WEEKNUM(F3)</f>
        <v>3</v>
      </c>
      <c r="X3" s="5">
        <f t="shared" ref="X3:X21" si="8">WEEKDAY(F3)</f>
        <v>5</v>
      </c>
      <c r="Y3" s="5">
        <f t="shared" ref="Y3:Y21" si="9">DAY(F3)</f>
        <v>18</v>
      </c>
      <c r="Z3" s="5" t="str">
        <f>VLOOKUP(V:V,mesnome,2)</f>
        <v>January</v>
      </c>
      <c r="AA3" s="13" t="str">
        <f t="shared" ref="AA3:AA20" si="10">"WE-"  &amp; DAY( ($F3 - $X3)+7) &amp; "/" &amp; Z3 &amp; "/" &amp; U3</f>
        <v>WE-20/January/2018</v>
      </c>
      <c r="AB3" s="5" t="str">
        <f>VLOOKUP($J:$J,costdesc,2)</f>
        <v>10-Materials</v>
      </c>
      <c r="AC3" s="5" t="str">
        <f>VLOOKUP($J:$J,costdesc,3)</f>
        <v>Direct Cost</v>
      </c>
      <c r="AD3" s="5" t="str">
        <f t="shared" ref="AD3:AD21" si="11">LEFT(L3,2)</f>
        <v>PJ</v>
      </c>
      <c r="AE3" s="5" t="str">
        <f t="shared" ref="AE3:AE21" si="12">LEFT(I3,3)</f>
        <v>000</v>
      </c>
      <c r="AF3" s="5" t="str">
        <f t="shared" ref="AF3:AF21" si="13">RIGHT(LEFT(I3,7),3)</f>
        <v>000</v>
      </c>
      <c r="AG3" s="5" t="str">
        <f t="shared" si="3"/>
        <v>0001100</v>
      </c>
      <c r="AH3" s="5" t="str">
        <f t="shared" si="4"/>
        <v>00</v>
      </c>
    </row>
    <row r="4" spans="1:34" ht="15" customHeight="1" x14ac:dyDescent="0.3">
      <c r="A4" s="5" t="s">
        <v>123</v>
      </c>
      <c r="B4" s="5" t="s">
        <v>124</v>
      </c>
      <c r="C4" s="5" t="s">
        <v>45</v>
      </c>
      <c r="D4" s="5" t="s">
        <v>46</v>
      </c>
      <c r="E4" s="5" t="s">
        <v>125</v>
      </c>
      <c r="F4" s="5" t="s">
        <v>83</v>
      </c>
      <c r="G4" s="5" t="s">
        <v>84</v>
      </c>
      <c r="H4" s="5" t="s">
        <v>61</v>
      </c>
      <c r="I4" s="5" t="s">
        <v>62</v>
      </c>
      <c r="J4" s="5" t="s">
        <v>63</v>
      </c>
      <c r="K4" s="5" t="s">
        <v>64</v>
      </c>
      <c r="L4" s="5" t="s">
        <v>129</v>
      </c>
      <c r="M4" s="5" t="s">
        <v>102</v>
      </c>
      <c r="N4" s="5" t="s">
        <v>103</v>
      </c>
      <c r="O4" s="5" t="s">
        <v>46</v>
      </c>
      <c r="P4" s="5" t="s">
        <v>46</v>
      </c>
      <c r="Q4" s="5" t="s">
        <v>46</v>
      </c>
      <c r="R4" s="5">
        <v>0</v>
      </c>
      <c r="S4" s="5">
        <v>0</v>
      </c>
      <c r="T4" s="5">
        <v>-1173.57</v>
      </c>
      <c r="U4" s="5">
        <f t="shared" si="5"/>
        <v>2018</v>
      </c>
      <c r="V4" s="5">
        <f t="shared" si="6"/>
        <v>12</v>
      </c>
      <c r="W4" s="5">
        <f t="shared" si="7"/>
        <v>53</v>
      </c>
      <c r="X4" s="5">
        <f t="shared" si="8"/>
        <v>2</v>
      </c>
      <c r="Y4" s="5">
        <f t="shared" si="9"/>
        <v>31</v>
      </c>
      <c r="Z4" s="5" t="str">
        <f>VLOOKUP(V:V,mesnome,2)</f>
        <v>December</v>
      </c>
      <c r="AA4" s="13" t="str">
        <f t="shared" si="10"/>
        <v>WE-5/December/2018</v>
      </c>
      <c r="AB4" s="5" t="str">
        <f>VLOOKUP($J:$J,costdesc,2)</f>
        <v>13-Subcontracts</v>
      </c>
      <c r="AC4" s="5" t="str">
        <f>VLOOKUP($J:$J,costdesc,3)</f>
        <v>Direct Cost</v>
      </c>
      <c r="AD4" s="5" t="str">
        <f t="shared" si="11"/>
        <v>GJ</v>
      </c>
      <c r="AE4" s="5" t="str">
        <f t="shared" si="12"/>
        <v>000</v>
      </c>
      <c r="AF4" s="5" t="str">
        <f t="shared" si="13"/>
        <v>000</v>
      </c>
      <c r="AG4" s="5" t="str">
        <f t="shared" si="3"/>
        <v>0001600</v>
      </c>
      <c r="AH4" s="5" t="str">
        <f t="shared" si="4"/>
        <v>00</v>
      </c>
    </row>
    <row r="5" spans="1:34" ht="15" customHeight="1" x14ac:dyDescent="0.3">
      <c r="A5" s="5" t="s">
        <v>123</v>
      </c>
      <c r="B5" s="5" t="s">
        <v>124</v>
      </c>
      <c r="C5" s="5" t="s">
        <v>45</v>
      </c>
      <c r="D5" s="5" t="s">
        <v>46</v>
      </c>
      <c r="E5" s="5" t="s">
        <v>125</v>
      </c>
      <c r="F5" s="5" t="s">
        <v>114</v>
      </c>
      <c r="G5" s="5" t="s">
        <v>48</v>
      </c>
      <c r="H5" s="5" t="s">
        <v>52</v>
      </c>
      <c r="I5" s="5" t="s">
        <v>58</v>
      </c>
      <c r="J5" s="5" t="s">
        <v>53</v>
      </c>
      <c r="K5" s="5" t="s">
        <v>54</v>
      </c>
      <c r="L5" s="5" t="s">
        <v>130</v>
      </c>
      <c r="M5" s="5" t="s">
        <v>93</v>
      </c>
      <c r="N5" s="5" t="s">
        <v>74</v>
      </c>
      <c r="O5" s="5" t="s">
        <v>94</v>
      </c>
      <c r="P5" s="5" t="s">
        <v>46</v>
      </c>
      <c r="Q5" s="5" t="s">
        <v>131</v>
      </c>
      <c r="R5" s="5">
        <v>0</v>
      </c>
      <c r="S5" s="5">
        <v>0</v>
      </c>
      <c r="T5" s="5">
        <v>69.290000000000006</v>
      </c>
      <c r="U5" s="5">
        <f t="shared" si="5"/>
        <v>2018</v>
      </c>
      <c r="V5" s="5">
        <f t="shared" si="6"/>
        <v>2</v>
      </c>
      <c r="W5" s="5">
        <f t="shared" si="7"/>
        <v>7</v>
      </c>
      <c r="X5" s="5">
        <f t="shared" si="8"/>
        <v>3</v>
      </c>
      <c r="Y5" s="5">
        <f t="shared" si="9"/>
        <v>13</v>
      </c>
      <c r="Z5" s="5" t="str">
        <f>VLOOKUP(V:V,mesnome,2)</f>
        <v>February</v>
      </c>
      <c r="AA5" s="13" t="str">
        <f t="shared" si="10"/>
        <v>WE-17/February/2018</v>
      </c>
      <c r="AB5" s="5" t="str">
        <f>VLOOKUP($J:$J,costdesc,2)</f>
        <v>25-Other Ind</v>
      </c>
      <c r="AC5" s="5" t="str">
        <f>VLOOKUP($J:$J,costdesc,3)</f>
        <v>Indirect Cost</v>
      </c>
      <c r="AD5" s="5" t="str">
        <f t="shared" si="11"/>
        <v>PJ</v>
      </c>
      <c r="AE5" s="5" t="str">
        <f t="shared" si="12"/>
        <v>000</v>
      </c>
      <c r="AF5" s="5" t="str">
        <f t="shared" si="13"/>
        <v>000</v>
      </c>
      <c r="AG5" s="5" t="str">
        <f t="shared" si="3"/>
        <v>0001100</v>
      </c>
      <c r="AH5" s="5" t="str">
        <f t="shared" si="4"/>
        <v>00</v>
      </c>
    </row>
    <row r="6" spans="1:34" ht="15" customHeight="1" x14ac:dyDescent="0.3">
      <c r="A6" s="5" t="s">
        <v>123</v>
      </c>
      <c r="B6" s="5" t="s">
        <v>124</v>
      </c>
      <c r="C6" s="5" t="s">
        <v>45</v>
      </c>
      <c r="D6" s="5" t="s">
        <v>46</v>
      </c>
      <c r="E6" s="5" t="s">
        <v>125</v>
      </c>
      <c r="F6" s="5" t="s">
        <v>132</v>
      </c>
      <c r="G6" s="5" t="s">
        <v>57</v>
      </c>
      <c r="H6" s="5" t="s">
        <v>60</v>
      </c>
      <c r="I6" s="5" t="s">
        <v>104</v>
      </c>
      <c r="J6" s="5" t="s">
        <v>55</v>
      </c>
      <c r="K6" s="5" t="s">
        <v>133</v>
      </c>
      <c r="L6" s="5" t="s">
        <v>119</v>
      </c>
      <c r="M6" s="5" t="s">
        <v>108</v>
      </c>
      <c r="N6" s="5" t="s">
        <v>116</v>
      </c>
      <c r="O6" s="5" t="s">
        <v>105</v>
      </c>
      <c r="P6" s="5" t="s">
        <v>46</v>
      </c>
      <c r="Q6" s="5" t="s">
        <v>134</v>
      </c>
      <c r="R6" s="5">
        <v>0</v>
      </c>
      <c r="S6" s="5">
        <v>0</v>
      </c>
      <c r="T6" s="5">
        <v>1913.1</v>
      </c>
      <c r="U6" s="5">
        <f t="shared" si="5"/>
        <v>2018</v>
      </c>
      <c r="V6" s="5">
        <f t="shared" si="6"/>
        <v>1</v>
      </c>
      <c r="W6" s="5">
        <f t="shared" si="7"/>
        <v>1</v>
      </c>
      <c r="X6" s="5">
        <f t="shared" si="8"/>
        <v>3</v>
      </c>
      <c r="Y6" s="5">
        <f t="shared" si="9"/>
        <v>2</v>
      </c>
      <c r="Z6" s="5" t="str">
        <f>VLOOKUP(V:V,mesnome,2)</f>
        <v>January</v>
      </c>
      <c r="AA6" s="13" t="str">
        <f t="shared" si="10"/>
        <v>WE-6/January/2018</v>
      </c>
      <c r="AB6" s="5" t="str">
        <f>VLOOKUP($J:$J,costdesc,2)</f>
        <v>13-Subcontracts</v>
      </c>
      <c r="AC6" s="5" t="str">
        <f>VLOOKUP($J:$J,costdesc,3)</f>
        <v>Direct Cost</v>
      </c>
      <c r="AD6" s="5" t="str">
        <f t="shared" si="11"/>
        <v>PJ</v>
      </c>
      <c r="AE6" s="5" t="str">
        <f t="shared" si="12"/>
        <v>888</v>
      </c>
      <c r="AF6" s="5" t="str">
        <f t="shared" si="13"/>
        <v>000</v>
      </c>
      <c r="AG6" s="5" t="str">
        <f t="shared" si="3"/>
        <v>0004700</v>
      </c>
      <c r="AH6" s="5" t="str">
        <f t="shared" si="4"/>
        <v>00</v>
      </c>
    </row>
    <row r="7" spans="1:34" ht="15" customHeight="1" x14ac:dyDescent="0.3">
      <c r="A7" s="5" t="s">
        <v>123</v>
      </c>
      <c r="B7" s="5" t="s">
        <v>124</v>
      </c>
      <c r="C7" s="5" t="s">
        <v>45</v>
      </c>
      <c r="D7" s="5" t="s">
        <v>46</v>
      </c>
      <c r="E7" s="5" t="s">
        <v>125</v>
      </c>
      <c r="F7" s="5" t="s">
        <v>83</v>
      </c>
      <c r="G7" s="5" t="s">
        <v>84</v>
      </c>
      <c r="H7" s="5" t="s">
        <v>95</v>
      </c>
      <c r="I7" s="5" t="s">
        <v>96</v>
      </c>
      <c r="J7" s="5" t="s">
        <v>97</v>
      </c>
      <c r="K7" s="5" t="s">
        <v>98</v>
      </c>
      <c r="L7" s="5" t="s">
        <v>135</v>
      </c>
      <c r="M7" s="5" t="s">
        <v>89</v>
      </c>
      <c r="N7" s="5" t="s">
        <v>71</v>
      </c>
      <c r="O7" s="5" t="s">
        <v>46</v>
      </c>
      <c r="P7" s="5" t="s">
        <v>46</v>
      </c>
      <c r="Q7" s="5" t="s">
        <v>46</v>
      </c>
      <c r="R7" s="5">
        <v>0</v>
      </c>
      <c r="S7" s="5">
        <v>0</v>
      </c>
      <c r="T7" s="5">
        <v>-0.5</v>
      </c>
      <c r="U7" s="5">
        <f t="shared" si="5"/>
        <v>2018</v>
      </c>
      <c r="V7" s="5">
        <f t="shared" si="6"/>
        <v>12</v>
      </c>
      <c r="W7" s="5">
        <f t="shared" si="7"/>
        <v>53</v>
      </c>
      <c r="X7" s="5">
        <f t="shared" si="8"/>
        <v>2</v>
      </c>
      <c r="Y7" s="5">
        <f t="shared" si="9"/>
        <v>31</v>
      </c>
      <c r="Z7" s="5" t="str">
        <f>VLOOKUP(V:V,mesnome,2)</f>
        <v>December</v>
      </c>
      <c r="AA7" s="13" t="str">
        <f t="shared" si="10"/>
        <v>WE-5/December/2018</v>
      </c>
      <c r="AB7" s="5" t="str">
        <f>VLOOKUP($J:$J,costdesc,2)</f>
        <v>20-Indirect Labor</v>
      </c>
      <c r="AC7" s="5" t="str">
        <f>VLOOKUP($J:$J,costdesc,3)</f>
        <v>Indirect Cost</v>
      </c>
      <c r="AD7" s="5" t="str">
        <f t="shared" si="11"/>
        <v>GJ</v>
      </c>
      <c r="AE7" s="5" t="str">
        <f t="shared" si="12"/>
        <v>999</v>
      </c>
      <c r="AF7" s="5" t="str">
        <f t="shared" si="13"/>
        <v>999</v>
      </c>
      <c r="AG7" s="5" t="str">
        <f t="shared" si="3"/>
        <v>9999999</v>
      </c>
      <c r="AH7" s="5" t="str">
        <f t="shared" si="4"/>
        <v>01</v>
      </c>
    </row>
    <row r="8" spans="1:34" ht="15" customHeight="1" x14ac:dyDescent="0.3">
      <c r="A8" s="5" t="s">
        <v>123</v>
      </c>
      <c r="B8" s="5" t="s">
        <v>124</v>
      </c>
      <c r="C8" s="5" t="s">
        <v>45</v>
      </c>
      <c r="D8" s="5" t="s">
        <v>46</v>
      </c>
      <c r="E8" s="5" t="s">
        <v>125</v>
      </c>
      <c r="F8" s="5" t="s">
        <v>56</v>
      </c>
      <c r="G8" s="5" t="s">
        <v>57</v>
      </c>
      <c r="H8" s="5" t="s">
        <v>85</v>
      </c>
      <c r="I8" s="5" t="s">
        <v>86</v>
      </c>
      <c r="J8" s="5" t="s">
        <v>87</v>
      </c>
      <c r="K8" s="5" t="s">
        <v>88</v>
      </c>
      <c r="L8" s="5" t="s">
        <v>136</v>
      </c>
      <c r="M8" s="5" t="s">
        <v>91</v>
      </c>
      <c r="N8" s="5" t="s">
        <v>90</v>
      </c>
      <c r="O8" s="5" t="s">
        <v>46</v>
      </c>
      <c r="P8" s="5" t="s">
        <v>46</v>
      </c>
      <c r="Q8" s="5" t="s">
        <v>46</v>
      </c>
      <c r="R8" s="5">
        <v>0</v>
      </c>
      <c r="S8" s="5">
        <v>0</v>
      </c>
      <c r="T8" s="5">
        <v>667.38</v>
      </c>
      <c r="U8" s="5">
        <f t="shared" si="5"/>
        <v>2018</v>
      </c>
      <c r="V8" s="5">
        <f t="shared" si="6"/>
        <v>1</v>
      </c>
      <c r="W8" s="5">
        <f t="shared" si="7"/>
        <v>5</v>
      </c>
      <c r="X8" s="5">
        <f t="shared" si="8"/>
        <v>4</v>
      </c>
      <c r="Y8" s="5">
        <f t="shared" si="9"/>
        <v>31</v>
      </c>
      <c r="Z8" s="5" t="str">
        <f>VLOOKUP(V:V,mesnome,2)</f>
        <v>January</v>
      </c>
      <c r="AA8" s="13" t="str">
        <f t="shared" si="10"/>
        <v>WE-3/January/2018</v>
      </c>
      <c r="AB8" s="5" t="str">
        <f>VLOOKUP($J:$J,costdesc,2)</f>
        <v>11-Equipment</v>
      </c>
      <c r="AC8" s="5" t="str">
        <f>VLOOKUP($J:$J,costdesc,3)</f>
        <v>Direct Cost</v>
      </c>
      <c r="AD8" s="5" t="str">
        <f t="shared" si="11"/>
        <v>GJ</v>
      </c>
      <c r="AE8" s="5" t="str">
        <f t="shared" si="12"/>
        <v>999</v>
      </c>
      <c r="AF8" s="5" t="str">
        <f t="shared" si="13"/>
        <v>999</v>
      </c>
      <c r="AG8" s="5" t="str">
        <f t="shared" si="3"/>
        <v>9999995</v>
      </c>
      <c r="AH8" s="5" t="str">
        <f t="shared" si="4"/>
        <v>00</v>
      </c>
    </row>
    <row r="9" spans="1:34" ht="15" customHeight="1" x14ac:dyDescent="0.3">
      <c r="A9" s="5" t="s">
        <v>123</v>
      </c>
      <c r="B9" s="5" t="s">
        <v>124</v>
      </c>
      <c r="C9" s="5" t="s">
        <v>45</v>
      </c>
      <c r="D9" s="5" t="s">
        <v>46</v>
      </c>
      <c r="E9" s="5" t="s">
        <v>125</v>
      </c>
      <c r="F9" s="5" t="s">
        <v>83</v>
      </c>
      <c r="G9" s="5" t="s">
        <v>84</v>
      </c>
      <c r="H9" s="5" t="s">
        <v>75</v>
      </c>
      <c r="I9" s="5" t="s">
        <v>62</v>
      </c>
      <c r="J9" s="5" t="s">
        <v>63</v>
      </c>
      <c r="K9" s="5" t="s">
        <v>64</v>
      </c>
      <c r="L9" s="5" t="s">
        <v>137</v>
      </c>
      <c r="M9" s="5" t="s">
        <v>102</v>
      </c>
      <c r="N9" s="5" t="s">
        <v>103</v>
      </c>
      <c r="O9" s="5" t="s">
        <v>46</v>
      </c>
      <c r="P9" s="5" t="s">
        <v>46</v>
      </c>
      <c r="Q9" s="5" t="s">
        <v>46</v>
      </c>
      <c r="R9" s="5">
        <v>0</v>
      </c>
      <c r="S9" s="5">
        <v>0</v>
      </c>
      <c r="T9" s="5">
        <v>1180</v>
      </c>
      <c r="U9" s="5">
        <f t="shared" si="5"/>
        <v>2018</v>
      </c>
      <c r="V9" s="5">
        <f t="shared" si="6"/>
        <v>12</v>
      </c>
      <c r="W9" s="5">
        <f t="shared" si="7"/>
        <v>53</v>
      </c>
      <c r="X9" s="5">
        <f t="shared" si="8"/>
        <v>2</v>
      </c>
      <c r="Y9" s="5">
        <f t="shared" si="9"/>
        <v>31</v>
      </c>
      <c r="Z9" s="5" t="str">
        <f>VLOOKUP(V:V,mesnome,2)</f>
        <v>December</v>
      </c>
      <c r="AA9" s="13" t="str">
        <f t="shared" si="10"/>
        <v>WE-5/December/2018</v>
      </c>
      <c r="AB9" s="5" t="str">
        <f>VLOOKUP($J:$J,costdesc,2)</f>
        <v>13-Subcontracts</v>
      </c>
      <c r="AC9" s="5" t="str">
        <f>VLOOKUP($J:$J,costdesc,3)</f>
        <v>Direct Cost</v>
      </c>
      <c r="AD9" s="5" t="str">
        <f t="shared" si="11"/>
        <v>GJ</v>
      </c>
      <c r="AE9" s="5" t="str">
        <f t="shared" si="12"/>
        <v>000</v>
      </c>
      <c r="AF9" s="5" t="str">
        <f t="shared" si="13"/>
        <v>000</v>
      </c>
      <c r="AG9" s="5" t="str">
        <f t="shared" si="3"/>
        <v>0001600</v>
      </c>
      <c r="AH9" s="5" t="str">
        <f t="shared" si="4"/>
        <v>00</v>
      </c>
    </row>
    <row r="10" spans="1:34" ht="15" customHeight="1" x14ac:dyDescent="0.3">
      <c r="A10" s="5" t="s">
        <v>123</v>
      </c>
      <c r="B10" s="5" t="s">
        <v>124</v>
      </c>
      <c r="C10" s="5" t="s">
        <v>45</v>
      </c>
      <c r="D10" s="5" t="s">
        <v>46</v>
      </c>
      <c r="E10" s="5" t="s">
        <v>125</v>
      </c>
      <c r="F10" s="5" t="s">
        <v>83</v>
      </c>
      <c r="G10" s="5" t="s">
        <v>84</v>
      </c>
      <c r="H10" s="5" t="s">
        <v>120</v>
      </c>
      <c r="I10" s="5" t="s">
        <v>62</v>
      </c>
      <c r="J10" s="5" t="s">
        <v>63</v>
      </c>
      <c r="K10" s="5" t="s">
        <v>64</v>
      </c>
      <c r="L10" s="5" t="s">
        <v>138</v>
      </c>
      <c r="M10" s="5" t="s">
        <v>102</v>
      </c>
      <c r="N10" s="5" t="s">
        <v>103</v>
      </c>
      <c r="O10" s="5" t="s">
        <v>46</v>
      </c>
      <c r="P10" s="5" t="s">
        <v>46</v>
      </c>
      <c r="Q10" s="5" t="s">
        <v>46</v>
      </c>
      <c r="R10" s="5">
        <v>0</v>
      </c>
      <c r="S10" s="5">
        <v>0</v>
      </c>
      <c r="T10" s="5">
        <v>1173.57</v>
      </c>
      <c r="U10" s="5">
        <f t="shared" si="5"/>
        <v>2018</v>
      </c>
      <c r="V10" s="5">
        <f t="shared" si="6"/>
        <v>12</v>
      </c>
      <c r="W10" s="5">
        <f t="shared" si="7"/>
        <v>53</v>
      </c>
      <c r="X10" s="5">
        <f t="shared" si="8"/>
        <v>2</v>
      </c>
      <c r="Y10" s="5">
        <f t="shared" si="9"/>
        <v>31</v>
      </c>
      <c r="Z10" s="5" t="str">
        <f>VLOOKUP(V:V,mesnome,2)</f>
        <v>December</v>
      </c>
      <c r="AA10" s="13" t="str">
        <f t="shared" si="10"/>
        <v>WE-5/December/2018</v>
      </c>
      <c r="AB10" s="5" t="str">
        <f>VLOOKUP($J:$J,costdesc,2)</f>
        <v>13-Subcontracts</v>
      </c>
      <c r="AC10" s="5" t="str">
        <f>VLOOKUP($J:$J,costdesc,3)</f>
        <v>Direct Cost</v>
      </c>
      <c r="AD10" s="5" t="str">
        <f t="shared" si="11"/>
        <v>GJ</v>
      </c>
      <c r="AE10" s="5" t="str">
        <f t="shared" si="12"/>
        <v>000</v>
      </c>
      <c r="AF10" s="5" t="str">
        <f t="shared" si="13"/>
        <v>000</v>
      </c>
      <c r="AG10" s="5" t="str">
        <f t="shared" si="3"/>
        <v>0001600</v>
      </c>
      <c r="AH10" s="5" t="str">
        <f t="shared" si="4"/>
        <v>00</v>
      </c>
    </row>
    <row r="11" spans="1:34" ht="15" customHeight="1" x14ac:dyDescent="0.3">
      <c r="A11" s="5" t="s">
        <v>123</v>
      </c>
      <c r="B11" s="5" t="s">
        <v>124</v>
      </c>
      <c r="C11" s="5" t="s">
        <v>45</v>
      </c>
      <c r="D11" s="5" t="s">
        <v>46</v>
      </c>
      <c r="E11" s="5" t="s">
        <v>125</v>
      </c>
      <c r="F11" s="5" t="s">
        <v>83</v>
      </c>
      <c r="G11" s="5" t="s">
        <v>84</v>
      </c>
      <c r="H11" s="5" t="s">
        <v>101</v>
      </c>
      <c r="I11" s="5" t="s">
        <v>62</v>
      </c>
      <c r="J11" s="5" t="s">
        <v>63</v>
      </c>
      <c r="K11" s="5" t="s">
        <v>64</v>
      </c>
      <c r="L11" s="5" t="s">
        <v>139</v>
      </c>
      <c r="M11" s="5" t="s">
        <v>102</v>
      </c>
      <c r="N11" s="5" t="s">
        <v>103</v>
      </c>
      <c r="O11" s="5" t="s">
        <v>46</v>
      </c>
      <c r="P11" s="5" t="s">
        <v>46</v>
      </c>
      <c r="Q11" s="5" t="s">
        <v>46</v>
      </c>
      <c r="R11" s="5">
        <v>0</v>
      </c>
      <c r="S11" s="5">
        <v>0</v>
      </c>
      <c r="T11" s="5">
        <v>-1180</v>
      </c>
      <c r="U11" s="5">
        <f t="shared" si="5"/>
        <v>2018</v>
      </c>
      <c r="V11" s="5">
        <f t="shared" si="6"/>
        <v>12</v>
      </c>
      <c r="W11" s="5">
        <f t="shared" si="7"/>
        <v>53</v>
      </c>
      <c r="X11" s="5">
        <f t="shared" si="8"/>
        <v>2</v>
      </c>
      <c r="Y11" s="5">
        <f t="shared" si="9"/>
        <v>31</v>
      </c>
      <c r="Z11" s="5" t="str">
        <f>VLOOKUP(V:V,mesnome,2)</f>
        <v>December</v>
      </c>
      <c r="AA11" s="13" t="str">
        <f t="shared" si="10"/>
        <v>WE-5/December/2018</v>
      </c>
      <c r="AB11" s="5" t="str">
        <f>VLOOKUP($J:$J,costdesc,2)</f>
        <v>13-Subcontracts</v>
      </c>
      <c r="AC11" s="5" t="str">
        <f>VLOOKUP($J:$J,costdesc,3)</f>
        <v>Direct Cost</v>
      </c>
      <c r="AD11" s="5" t="str">
        <f t="shared" si="11"/>
        <v>GJ</v>
      </c>
      <c r="AE11" s="5" t="str">
        <f t="shared" si="12"/>
        <v>000</v>
      </c>
      <c r="AF11" s="5" t="str">
        <f t="shared" si="13"/>
        <v>000</v>
      </c>
      <c r="AG11" s="5" t="str">
        <f t="shared" si="3"/>
        <v>0001600</v>
      </c>
      <c r="AH11" s="5" t="str">
        <f t="shared" si="4"/>
        <v>00</v>
      </c>
    </row>
    <row r="12" spans="1:34" ht="15" customHeight="1" x14ac:dyDescent="0.3">
      <c r="A12" s="5" t="s">
        <v>123</v>
      </c>
      <c r="B12" s="5" t="s">
        <v>124</v>
      </c>
      <c r="C12" s="5" t="s">
        <v>45</v>
      </c>
      <c r="D12" s="5" t="s">
        <v>46</v>
      </c>
      <c r="E12" s="5" t="s">
        <v>125</v>
      </c>
      <c r="F12" s="5" t="s">
        <v>140</v>
      </c>
      <c r="G12" s="5" t="s">
        <v>84</v>
      </c>
      <c r="H12" s="5" t="s">
        <v>60</v>
      </c>
      <c r="I12" s="5" t="s">
        <v>141</v>
      </c>
      <c r="J12" s="5" t="s">
        <v>55</v>
      </c>
      <c r="K12" s="5" t="s">
        <v>79</v>
      </c>
      <c r="L12" s="5" t="s">
        <v>117</v>
      </c>
      <c r="M12" s="5" t="s">
        <v>142</v>
      </c>
      <c r="N12" s="5" t="s">
        <v>143</v>
      </c>
      <c r="O12" s="5" t="s">
        <v>144</v>
      </c>
      <c r="P12" s="5" t="s">
        <v>46</v>
      </c>
      <c r="Q12" s="5" t="s">
        <v>145</v>
      </c>
      <c r="R12" s="5">
        <v>0</v>
      </c>
      <c r="S12" s="5">
        <v>0</v>
      </c>
      <c r="T12" s="5">
        <v>-4109</v>
      </c>
      <c r="U12" s="5">
        <f t="shared" si="5"/>
        <v>2018</v>
      </c>
      <c r="V12" s="5">
        <f t="shared" si="6"/>
        <v>12</v>
      </c>
      <c r="W12" s="5">
        <f t="shared" si="7"/>
        <v>50</v>
      </c>
      <c r="X12" s="5">
        <f t="shared" si="8"/>
        <v>6</v>
      </c>
      <c r="Y12" s="5">
        <f t="shared" si="9"/>
        <v>14</v>
      </c>
      <c r="Z12" s="5" t="str">
        <f>VLOOKUP(V:V,mesnome,2)</f>
        <v>December</v>
      </c>
      <c r="AA12" s="13" t="str">
        <f t="shared" si="10"/>
        <v>WE-15/December/2018</v>
      </c>
      <c r="AB12" s="5" t="str">
        <f>VLOOKUP($J:$J,costdesc,2)</f>
        <v>13-Subcontracts</v>
      </c>
      <c r="AC12" s="5" t="str">
        <f>VLOOKUP($J:$J,costdesc,3)</f>
        <v>Direct Cost</v>
      </c>
      <c r="AD12" s="5" t="str">
        <f t="shared" si="11"/>
        <v>PJ</v>
      </c>
      <c r="AE12" s="5" t="str">
        <f t="shared" si="12"/>
        <v>888</v>
      </c>
      <c r="AF12" s="5" t="str">
        <f t="shared" si="13"/>
        <v>000</v>
      </c>
      <c r="AG12" s="5" t="str">
        <f t="shared" si="3"/>
        <v>0015000</v>
      </c>
      <c r="AH12" s="5" t="str">
        <f t="shared" si="4"/>
        <v>00</v>
      </c>
    </row>
    <row r="13" spans="1:34" ht="15" customHeight="1" x14ac:dyDescent="0.3">
      <c r="A13" s="5" t="s">
        <v>123</v>
      </c>
      <c r="B13" s="5" t="s">
        <v>124</v>
      </c>
      <c r="C13" s="5" t="s">
        <v>45</v>
      </c>
      <c r="D13" s="5" t="s">
        <v>46</v>
      </c>
      <c r="E13" s="5" t="s">
        <v>125</v>
      </c>
      <c r="F13" s="5" t="s">
        <v>92</v>
      </c>
      <c r="G13" s="5" t="s">
        <v>49</v>
      </c>
      <c r="H13" s="5" t="s">
        <v>26</v>
      </c>
      <c r="I13" s="5" t="s">
        <v>24</v>
      </c>
      <c r="J13" s="5" t="s">
        <v>100</v>
      </c>
      <c r="K13" s="5" t="s">
        <v>25</v>
      </c>
      <c r="L13" s="5" t="s">
        <v>146</v>
      </c>
      <c r="M13" s="5" t="s">
        <v>147</v>
      </c>
      <c r="N13" s="5" t="s">
        <v>148</v>
      </c>
      <c r="O13" s="5" t="s">
        <v>46</v>
      </c>
      <c r="P13" s="5" t="s">
        <v>46</v>
      </c>
      <c r="Q13" s="5" t="s">
        <v>46</v>
      </c>
      <c r="R13" s="5">
        <v>0</v>
      </c>
      <c r="S13" s="5">
        <v>0</v>
      </c>
      <c r="T13" s="5">
        <v>12.41</v>
      </c>
      <c r="U13" s="5">
        <f t="shared" si="5"/>
        <v>2018</v>
      </c>
      <c r="V13" s="5">
        <f t="shared" si="6"/>
        <v>5</v>
      </c>
      <c r="W13" s="5">
        <f t="shared" si="7"/>
        <v>18</v>
      </c>
      <c r="X13" s="5">
        <f t="shared" si="8"/>
        <v>5</v>
      </c>
      <c r="Y13" s="5">
        <f t="shared" si="9"/>
        <v>3</v>
      </c>
      <c r="Z13" s="5" t="str">
        <f>VLOOKUP(V:V,mesnome,2)</f>
        <v>May</v>
      </c>
      <c r="AA13" s="13" t="str">
        <f t="shared" si="10"/>
        <v>WE-5/May/2018</v>
      </c>
      <c r="AB13" s="5" t="str">
        <f>VLOOKUP($J:$J,costdesc,2)</f>
        <v>0-Revenue</v>
      </c>
      <c r="AC13" s="5" t="str">
        <f>VLOOKUP($J:$J,costdesc,3)</f>
        <v>Revenue</v>
      </c>
      <c r="AD13" s="5" t="str">
        <f t="shared" si="11"/>
        <v>SA</v>
      </c>
      <c r="AE13" s="5" t="str">
        <f t="shared" si="12"/>
        <v>000</v>
      </c>
      <c r="AF13" s="5" t="str">
        <f t="shared" si="13"/>
        <v>000</v>
      </c>
      <c r="AG13" s="5" t="str">
        <f t="shared" si="3"/>
        <v>0000000</v>
      </c>
      <c r="AH13" s="5" t="str">
        <f t="shared" si="4"/>
        <v>00</v>
      </c>
    </row>
    <row r="14" spans="1:34" ht="15" customHeight="1" x14ac:dyDescent="0.3">
      <c r="A14" s="5" t="s">
        <v>123</v>
      </c>
      <c r="B14" s="5" t="s">
        <v>124</v>
      </c>
      <c r="C14" s="5" t="s">
        <v>45</v>
      </c>
      <c r="D14" s="5" t="s">
        <v>46</v>
      </c>
      <c r="E14" s="5" t="s">
        <v>125</v>
      </c>
      <c r="F14" s="5" t="s">
        <v>149</v>
      </c>
      <c r="G14" s="5" t="s">
        <v>47</v>
      </c>
      <c r="H14" s="5" t="s">
        <v>60</v>
      </c>
      <c r="I14" s="5" t="s">
        <v>110</v>
      </c>
      <c r="J14" s="5" t="s">
        <v>55</v>
      </c>
      <c r="K14" s="5" t="s">
        <v>150</v>
      </c>
      <c r="L14" s="5" t="s">
        <v>109</v>
      </c>
      <c r="M14" s="5" t="s">
        <v>111</v>
      </c>
      <c r="N14" s="5" t="s">
        <v>116</v>
      </c>
      <c r="O14" s="5" t="s">
        <v>112</v>
      </c>
      <c r="P14" s="5" t="s">
        <v>46</v>
      </c>
      <c r="Q14" s="5" t="s">
        <v>151</v>
      </c>
      <c r="R14" s="5">
        <v>0</v>
      </c>
      <c r="S14" s="5">
        <v>0</v>
      </c>
      <c r="T14" s="5">
        <v>7236.16</v>
      </c>
      <c r="U14" s="5">
        <f t="shared" si="5"/>
        <v>2018</v>
      </c>
      <c r="V14" s="5">
        <f t="shared" si="6"/>
        <v>3</v>
      </c>
      <c r="W14" s="5">
        <f t="shared" si="7"/>
        <v>10</v>
      </c>
      <c r="X14" s="5">
        <f t="shared" si="8"/>
        <v>3</v>
      </c>
      <c r="Y14" s="5">
        <f t="shared" si="9"/>
        <v>6</v>
      </c>
      <c r="Z14" s="5" t="str">
        <f>VLOOKUP(V:V,mesnome,2)</f>
        <v>March</v>
      </c>
      <c r="AA14" s="13" t="str">
        <f t="shared" si="10"/>
        <v>WE-10/March/2018</v>
      </c>
      <c r="AB14" s="5" t="str">
        <f>VLOOKUP($J:$J,costdesc,2)</f>
        <v>13-Subcontracts</v>
      </c>
      <c r="AC14" s="5" t="str">
        <f>VLOOKUP($J:$J,costdesc,3)</f>
        <v>Direct Cost</v>
      </c>
      <c r="AD14" s="5" t="str">
        <f t="shared" si="11"/>
        <v>PJ</v>
      </c>
      <c r="AE14" s="5" t="str">
        <f t="shared" si="12"/>
        <v>888</v>
      </c>
      <c r="AF14" s="5" t="str">
        <f t="shared" si="13"/>
        <v>000</v>
      </c>
      <c r="AG14" s="5" t="str">
        <f t="shared" si="3"/>
        <v>0009700</v>
      </c>
      <c r="AH14" s="5" t="str">
        <f t="shared" si="4"/>
        <v>00</v>
      </c>
    </row>
    <row r="15" spans="1:34" ht="15" customHeight="1" x14ac:dyDescent="0.3">
      <c r="A15" s="5" t="s">
        <v>123</v>
      </c>
      <c r="B15" s="5" t="s">
        <v>124</v>
      </c>
      <c r="C15" s="5" t="s">
        <v>45</v>
      </c>
      <c r="D15" s="5" t="s">
        <v>46</v>
      </c>
      <c r="E15" s="5" t="s">
        <v>125</v>
      </c>
      <c r="F15" s="5" t="s">
        <v>80</v>
      </c>
      <c r="G15" s="5" t="s">
        <v>48</v>
      </c>
      <c r="H15" s="5" t="s">
        <v>61</v>
      </c>
      <c r="I15" s="5" t="s">
        <v>62</v>
      </c>
      <c r="J15" s="5" t="s">
        <v>63</v>
      </c>
      <c r="K15" s="5" t="s">
        <v>64</v>
      </c>
      <c r="L15" s="5" t="s">
        <v>152</v>
      </c>
      <c r="M15" s="5" t="s">
        <v>81</v>
      </c>
      <c r="N15" s="5" t="s">
        <v>82</v>
      </c>
      <c r="O15" s="5" t="s">
        <v>46</v>
      </c>
      <c r="P15" s="5" t="s">
        <v>46</v>
      </c>
      <c r="Q15" s="5" t="s">
        <v>46</v>
      </c>
      <c r="R15" s="5">
        <v>0</v>
      </c>
      <c r="S15" s="5">
        <v>0</v>
      </c>
      <c r="T15" s="5">
        <v>-6.61</v>
      </c>
      <c r="U15" s="5">
        <f t="shared" si="5"/>
        <v>2018</v>
      </c>
      <c r="V15" s="5">
        <f t="shared" si="6"/>
        <v>2</v>
      </c>
      <c r="W15" s="5">
        <f t="shared" si="7"/>
        <v>7</v>
      </c>
      <c r="X15" s="5">
        <f t="shared" si="8"/>
        <v>2</v>
      </c>
      <c r="Y15" s="5">
        <f t="shared" si="9"/>
        <v>12</v>
      </c>
      <c r="Z15" s="5" t="str">
        <f>VLOOKUP(V:V,mesnome,2)</f>
        <v>February</v>
      </c>
      <c r="AA15" s="13" t="str">
        <f t="shared" si="10"/>
        <v>WE-17/February/2018</v>
      </c>
      <c r="AB15" s="5" t="str">
        <f>VLOOKUP($J:$J,costdesc,2)</f>
        <v>13-Subcontracts</v>
      </c>
      <c r="AC15" s="5" t="str">
        <f>VLOOKUP($J:$J,costdesc,3)</f>
        <v>Direct Cost</v>
      </c>
      <c r="AD15" s="5" t="str">
        <f t="shared" si="11"/>
        <v>CR</v>
      </c>
      <c r="AE15" s="5" t="str">
        <f t="shared" si="12"/>
        <v>000</v>
      </c>
      <c r="AF15" s="5" t="str">
        <f t="shared" si="13"/>
        <v>000</v>
      </c>
      <c r="AG15" s="5" t="str">
        <f t="shared" si="3"/>
        <v>0001600</v>
      </c>
      <c r="AH15" s="5" t="str">
        <f t="shared" si="4"/>
        <v>00</v>
      </c>
    </row>
    <row r="16" spans="1:34" ht="15" customHeight="1" x14ac:dyDescent="0.3">
      <c r="A16" s="5" t="s">
        <v>123</v>
      </c>
      <c r="B16" s="5" t="s">
        <v>124</v>
      </c>
      <c r="C16" s="5" t="s">
        <v>45</v>
      </c>
      <c r="D16" s="5" t="s">
        <v>46</v>
      </c>
      <c r="E16" s="5" t="s">
        <v>125</v>
      </c>
      <c r="F16" s="5" t="s">
        <v>77</v>
      </c>
      <c r="G16" s="5" t="s">
        <v>57</v>
      </c>
      <c r="H16" s="5" t="s">
        <v>75</v>
      </c>
      <c r="I16" s="5" t="s">
        <v>62</v>
      </c>
      <c r="J16" s="5" t="s">
        <v>63</v>
      </c>
      <c r="K16" s="5" t="s">
        <v>64</v>
      </c>
      <c r="L16" s="5" t="s">
        <v>153</v>
      </c>
      <c r="M16" s="5" t="s">
        <v>76</v>
      </c>
      <c r="N16" s="5" t="s">
        <v>115</v>
      </c>
      <c r="O16" s="5" t="s">
        <v>66</v>
      </c>
      <c r="P16" s="5" t="s">
        <v>46</v>
      </c>
      <c r="Q16" s="5" t="s">
        <v>46</v>
      </c>
      <c r="R16" s="5">
        <v>0</v>
      </c>
      <c r="S16" s="5">
        <v>0</v>
      </c>
      <c r="T16" s="5">
        <v>-1180</v>
      </c>
      <c r="U16" s="5">
        <f t="shared" si="5"/>
        <v>2018</v>
      </c>
      <c r="V16" s="5">
        <f t="shared" si="6"/>
        <v>1</v>
      </c>
      <c r="W16" s="5">
        <f t="shared" si="7"/>
        <v>1</v>
      </c>
      <c r="X16" s="5">
        <f t="shared" si="8"/>
        <v>2</v>
      </c>
      <c r="Y16" s="5">
        <f t="shared" si="9"/>
        <v>1</v>
      </c>
      <c r="Z16" s="5" t="str">
        <f>VLOOKUP(V:V,mesnome,2)</f>
        <v>January</v>
      </c>
      <c r="AA16" s="13" t="str">
        <f t="shared" si="10"/>
        <v>WE-6/January/2018</v>
      </c>
      <c r="AB16" s="5" t="str">
        <f>VLOOKUP($J:$J,costdesc,2)</f>
        <v>13-Subcontracts</v>
      </c>
      <c r="AC16" s="5" t="str">
        <f>VLOOKUP($J:$J,costdesc,3)</f>
        <v>Direct Cost</v>
      </c>
      <c r="AD16" s="5" t="str">
        <f t="shared" si="11"/>
        <v>GJ</v>
      </c>
      <c r="AE16" s="5" t="str">
        <f t="shared" si="12"/>
        <v>000</v>
      </c>
      <c r="AF16" s="5" t="str">
        <f t="shared" si="13"/>
        <v>000</v>
      </c>
      <c r="AG16" s="5" t="str">
        <f t="shared" si="3"/>
        <v>0001600</v>
      </c>
      <c r="AH16" s="5" t="str">
        <f t="shared" si="4"/>
        <v>00</v>
      </c>
    </row>
    <row r="17" spans="1:34" ht="15" customHeight="1" x14ac:dyDescent="0.3">
      <c r="A17" s="5" t="s">
        <v>123</v>
      </c>
      <c r="B17" s="5" t="s">
        <v>124</v>
      </c>
      <c r="C17" s="5" t="s">
        <v>45</v>
      </c>
      <c r="D17" s="5" t="s">
        <v>46</v>
      </c>
      <c r="E17" s="5" t="s">
        <v>125</v>
      </c>
      <c r="F17" s="5" t="s">
        <v>73</v>
      </c>
      <c r="G17" s="5" t="s">
        <v>57</v>
      </c>
      <c r="H17" s="5" t="s">
        <v>61</v>
      </c>
      <c r="I17" s="5" t="s">
        <v>62</v>
      </c>
      <c r="J17" s="5" t="s">
        <v>63</v>
      </c>
      <c r="K17" s="5" t="s">
        <v>64</v>
      </c>
      <c r="L17" s="5" t="s">
        <v>154</v>
      </c>
      <c r="M17" s="5" t="s">
        <v>65</v>
      </c>
      <c r="N17" s="5" t="s">
        <v>121</v>
      </c>
      <c r="O17" s="5" t="s">
        <v>66</v>
      </c>
      <c r="P17" s="5" t="s">
        <v>46</v>
      </c>
      <c r="Q17" s="5" t="s">
        <v>72</v>
      </c>
      <c r="R17" s="5">
        <v>0</v>
      </c>
      <c r="S17" s="5">
        <v>0</v>
      </c>
      <c r="T17" s="5">
        <v>1180.18</v>
      </c>
      <c r="U17" s="5">
        <f t="shared" si="5"/>
        <v>2018</v>
      </c>
      <c r="V17" s="5">
        <f t="shared" si="6"/>
        <v>1</v>
      </c>
      <c r="W17" s="5">
        <f t="shared" si="7"/>
        <v>4</v>
      </c>
      <c r="X17" s="5">
        <f t="shared" si="8"/>
        <v>6</v>
      </c>
      <c r="Y17" s="5">
        <f t="shared" si="9"/>
        <v>26</v>
      </c>
      <c r="Z17" s="5" t="str">
        <f>VLOOKUP(V:V,mesnome,2)</f>
        <v>January</v>
      </c>
      <c r="AA17" s="13" t="str">
        <f t="shared" si="10"/>
        <v>WE-27/January/2018</v>
      </c>
      <c r="AB17" s="5" t="str">
        <f>VLOOKUP($J:$J,costdesc,2)</f>
        <v>13-Subcontracts</v>
      </c>
      <c r="AC17" s="5" t="str">
        <f>VLOOKUP($J:$J,costdesc,3)</f>
        <v>Direct Cost</v>
      </c>
      <c r="AD17" s="5" t="str">
        <f t="shared" si="11"/>
        <v>PJ</v>
      </c>
      <c r="AE17" s="5" t="str">
        <f t="shared" si="12"/>
        <v>000</v>
      </c>
      <c r="AF17" s="5" t="str">
        <f t="shared" si="13"/>
        <v>000</v>
      </c>
      <c r="AG17" s="5" t="str">
        <f t="shared" si="3"/>
        <v>0001600</v>
      </c>
      <c r="AH17" s="5" t="str">
        <f t="shared" si="4"/>
        <v>00</v>
      </c>
    </row>
    <row r="18" spans="1:34" ht="15" customHeight="1" x14ac:dyDescent="0.3">
      <c r="A18" s="5" t="s">
        <v>123</v>
      </c>
      <c r="B18" s="5" t="s">
        <v>124</v>
      </c>
      <c r="C18" s="5" t="s">
        <v>45</v>
      </c>
      <c r="D18" s="5" t="s">
        <v>46</v>
      </c>
      <c r="E18" s="5" t="s">
        <v>125</v>
      </c>
      <c r="F18" s="5" t="s">
        <v>114</v>
      </c>
      <c r="G18" s="5" t="s">
        <v>48</v>
      </c>
      <c r="H18" s="5" t="s">
        <v>52</v>
      </c>
      <c r="I18" s="5" t="s">
        <v>58</v>
      </c>
      <c r="J18" s="5" t="s">
        <v>53</v>
      </c>
      <c r="K18" s="5" t="s">
        <v>54</v>
      </c>
      <c r="L18" s="5" t="s">
        <v>118</v>
      </c>
      <c r="M18" s="5" t="s">
        <v>99</v>
      </c>
      <c r="N18" s="5" t="s">
        <v>155</v>
      </c>
      <c r="O18" s="5" t="s">
        <v>59</v>
      </c>
      <c r="P18" s="5" t="s">
        <v>46</v>
      </c>
      <c r="Q18" s="5" t="s">
        <v>156</v>
      </c>
      <c r="R18" s="5">
        <v>0</v>
      </c>
      <c r="S18" s="5">
        <v>0</v>
      </c>
      <c r="T18" s="5">
        <v>10.67</v>
      </c>
      <c r="U18" s="5">
        <f t="shared" si="5"/>
        <v>2018</v>
      </c>
      <c r="V18" s="5">
        <f t="shared" si="6"/>
        <v>2</v>
      </c>
      <c r="W18" s="5">
        <f t="shared" si="7"/>
        <v>7</v>
      </c>
      <c r="X18" s="5">
        <f t="shared" si="8"/>
        <v>3</v>
      </c>
      <c r="Y18" s="5">
        <f t="shared" si="9"/>
        <v>13</v>
      </c>
      <c r="Z18" s="5" t="str">
        <f>VLOOKUP(V:V,mesnome,2)</f>
        <v>February</v>
      </c>
      <c r="AA18" s="13" t="str">
        <f t="shared" si="10"/>
        <v>WE-17/February/2018</v>
      </c>
      <c r="AB18" s="5" t="str">
        <f>VLOOKUP($J:$J,costdesc,2)</f>
        <v>25-Other Ind</v>
      </c>
      <c r="AC18" s="5" t="str">
        <f>VLOOKUP($J:$J,costdesc,3)</f>
        <v>Indirect Cost</v>
      </c>
      <c r="AD18" s="5" t="str">
        <f t="shared" si="11"/>
        <v>PJ</v>
      </c>
      <c r="AE18" s="5" t="str">
        <f t="shared" si="12"/>
        <v>000</v>
      </c>
      <c r="AF18" s="5" t="str">
        <f t="shared" si="13"/>
        <v>000</v>
      </c>
      <c r="AG18" s="5" t="str">
        <f t="shared" si="3"/>
        <v>0001100</v>
      </c>
      <c r="AH18" s="5" t="str">
        <f t="shared" si="4"/>
        <v>00</v>
      </c>
    </row>
    <row r="19" spans="1:34" ht="15" customHeight="1" x14ac:dyDescent="0.3">
      <c r="A19" s="5" t="s">
        <v>123</v>
      </c>
      <c r="B19" s="5" t="s">
        <v>124</v>
      </c>
      <c r="C19" s="5" t="s">
        <v>45</v>
      </c>
      <c r="D19" s="5" t="s">
        <v>46</v>
      </c>
      <c r="E19" s="5" t="s">
        <v>125</v>
      </c>
      <c r="F19" s="5" t="s">
        <v>78</v>
      </c>
      <c r="G19" s="5" t="s">
        <v>48</v>
      </c>
      <c r="H19" s="5" t="s">
        <v>85</v>
      </c>
      <c r="I19" s="5" t="s">
        <v>86</v>
      </c>
      <c r="J19" s="5" t="s">
        <v>87</v>
      </c>
      <c r="K19" s="5" t="s">
        <v>88</v>
      </c>
      <c r="L19" s="5" t="s">
        <v>157</v>
      </c>
      <c r="M19" s="5" t="s">
        <v>107</v>
      </c>
      <c r="N19" s="5" t="s">
        <v>90</v>
      </c>
      <c r="O19" s="5" t="s">
        <v>46</v>
      </c>
      <c r="P19" s="5" t="s">
        <v>46</v>
      </c>
      <c r="Q19" s="5" t="s">
        <v>46</v>
      </c>
      <c r="R19" s="5">
        <v>0</v>
      </c>
      <c r="S19" s="5">
        <v>0</v>
      </c>
      <c r="T19" s="5">
        <v>13.04</v>
      </c>
      <c r="U19" s="5">
        <f t="shared" si="5"/>
        <v>2018</v>
      </c>
      <c r="V19" s="5">
        <f t="shared" si="6"/>
        <v>2</v>
      </c>
      <c r="W19" s="5">
        <f t="shared" si="7"/>
        <v>9</v>
      </c>
      <c r="X19" s="5">
        <f t="shared" si="8"/>
        <v>4</v>
      </c>
      <c r="Y19" s="5">
        <f t="shared" si="9"/>
        <v>28</v>
      </c>
      <c r="Z19" s="5" t="str">
        <f>VLOOKUP(V:V,mesnome,2)</f>
        <v>February</v>
      </c>
      <c r="AA19" s="13" t="str">
        <f t="shared" si="10"/>
        <v>WE-3/February/2018</v>
      </c>
      <c r="AB19" s="5" t="str">
        <f>VLOOKUP($J:$J,costdesc,2)</f>
        <v>11-Equipment</v>
      </c>
      <c r="AC19" s="5" t="str">
        <f>VLOOKUP($J:$J,costdesc,3)</f>
        <v>Direct Cost</v>
      </c>
      <c r="AD19" s="5" t="str">
        <f t="shared" si="11"/>
        <v>GJ</v>
      </c>
      <c r="AE19" s="5" t="str">
        <f t="shared" si="12"/>
        <v>999</v>
      </c>
      <c r="AF19" s="5" t="str">
        <f t="shared" si="13"/>
        <v>999</v>
      </c>
      <c r="AG19" s="5" t="str">
        <f t="shared" si="3"/>
        <v>9999995</v>
      </c>
      <c r="AH19" s="5" t="str">
        <f t="shared" si="4"/>
        <v>00</v>
      </c>
    </row>
    <row r="20" spans="1:34" ht="15" customHeight="1" x14ac:dyDescent="0.3">
      <c r="A20" s="5" t="s">
        <v>123</v>
      </c>
      <c r="B20" s="5" t="s">
        <v>124</v>
      </c>
      <c r="C20" s="5" t="s">
        <v>45</v>
      </c>
      <c r="D20" s="5" t="s">
        <v>46</v>
      </c>
      <c r="E20" s="5" t="s">
        <v>125</v>
      </c>
      <c r="F20" s="5" t="s">
        <v>158</v>
      </c>
      <c r="G20" s="5" t="s">
        <v>47</v>
      </c>
      <c r="H20" s="5" t="s">
        <v>60</v>
      </c>
      <c r="I20" s="5" t="s">
        <v>141</v>
      </c>
      <c r="J20" s="5" t="s">
        <v>55</v>
      </c>
      <c r="K20" s="5" t="s">
        <v>79</v>
      </c>
      <c r="L20" s="5" t="s">
        <v>113</v>
      </c>
      <c r="M20" s="5" t="s">
        <v>142</v>
      </c>
      <c r="N20" s="5" t="s">
        <v>116</v>
      </c>
      <c r="O20" s="5" t="s">
        <v>144</v>
      </c>
      <c r="P20" s="5" t="s">
        <v>46</v>
      </c>
      <c r="Q20" s="5" t="s">
        <v>151</v>
      </c>
      <c r="R20" s="5">
        <v>0</v>
      </c>
      <c r="S20" s="5">
        <v>0</v>
      </c>
      <c r="T20" s="5">
        <v>70</v>
      </c>
      <c r="U20" s="5">
        <f t="shared" si="5"/>
        <v>2018</v>
      </c>
      <c r="V20" s="5">
        <f t="shared" si="6"/>
        <v>3</v>
      </c>
      <c r="W20" s="5">
        <f t="shared" si="7"/>
        <v>11</v>
      </c>
      <c r="X20" s="5">
        <f t="shared" si="8"/>
        <v>4</v>
      </c>
      <c r="Y20" s="5">
        <f t="shared" si="9"/>
        <v>14</v>
      </c>
      <c r="Z20" s="5" t="str">
        <f>VLOOKUP(V:V,mesnome,2)</f>
        <v>March</v>
      </c>
      <c r="AA20" s="13" t="str">
        <f t="shared" si="10"/>
        <v>WE-17/March/2018</v>
      </c>
      <c r="AB20" s="5" t="str">
        <f>VLOOKUP($J:$J,costdesc,2)</f>
        <v>13-Subcontracts</v>
      </c>
      <c r="AC20" s="5" t="str">
        <f>VLOOKUP($J:$J,costdesc,3)</f>
        <v>Direct Cost</v>
      </c>
      <c r="AD20" s="5" t="str">
        <f t="shared" si="11"/>
        <v>PJ</v>
      </c>
      <c r="AE20" s="5" t="str">
        <f t="shared" si="12"/>
        <v>888</v>
      </c>
      <c r="AF20" s="5" t="str">
        <f t="shared" si="13"/>
        <v>000</v>
      </c>
      <c r="AG20" s="5" t="str">
        <f t="shared" si="3"/>
        <v>0015000</v>
      </c>
      <c r="AH20" s="5" t="str">
        <f t="shared" si="4"/>
        <v>00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PT-SIE-SLICERS</vt:lpstr>
      <vt:lpstr>SP_JC_60_022_2018</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Bravo, Juan Carlos</dc:creator>
  <cp:lastModifiedBy>Bravo, Juan Carlos</cp:lastModifiedBy>
  <dcterms:created xsi:type="dcterms:W3CDTF">2019-03-29T04:47:41Z</dcterms:created>
  <dcterms:modified xsi:type="dcterms:W3CDTF">2019-03-29T04:52:41Z</dcterms:modified>
</cp:coreProperties>
</file>