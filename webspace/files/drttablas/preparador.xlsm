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2" yWindow="120" windowWidth="15672" windowHeight="8124"/>
  </bookViews>
  <sheets>
    <sheet name="TCvisor" sheetId="5" r:id="rId1"/>
    <sheet name="Sheet2" sheetId="2" state="hidden" r:id="rId2"/>
    <sheet name="Listas" sheetId="4" state="hidden" r:id="rId3"/>
    <sheet name="Template" sheetId="12" r:id="rId4"/>
    <sheet name="Sheet8" sheetId="8" r:id="rId5"/>
    <sheet name="Sheet9" sheetId="9" r:id="rId6"/>
    <sheet name="Sheet10" sheetId="10" r:id="rId7"/>
    <sheet name="Template (2)" sheetId="13" r:id="rId8"/>
    <sheet name="Sheet14" sheetId="14" r:id="rId9"/>
  </sheets>
  <externalReferences>
    <externalReference r:id="rId10"/>
  </externalReferences>
  <definedNames>
    <definedName name="costdesc">Listas!$E$2:$G$17</definedName>
    <definedName name="dayname">Listas!$I$2:$J$8</definedName>
    <definedName name="formulas" localSheetId="3">[1]!CorpusChristi3[[#All],[Year]:[dayname]]</definedName>
    <definedName name="formulas" localSheetId="7">[1]!CorpusChristi3[[#All],[Year]:[dayname]]</definedName>
    <definedName name="formulas">[1]!CorpusChristi3[[#All],[Year]:[dayname]]</definedName>
    <definedName name="formulas2" localSheetId="3">[1]!CorpusChristi3[[#All],[Year]:[dayname]]</definedName>
    <definedName name="formulas2" localSheetId="7">[1]!CorpusChristi3[[#All],[Year]:[dayname]]</definedName>
    <definedName name="formulas2">[1]!CorpusChristi3[[#All],[Year]:[dayname]]</definedName>
    <definedName name="lista99" localSheetId="3">Template!$A$2:$Z$911</definedName>
    <definedName name="lista99" localSheetId="7">'Template (2)'!$A$2:$Z$911</definedName>
    <definedName name="lista99">Sheet2!$A$2:$Z$911</definedName>
    <definedName name="mesnome">Listas!$A$2:$B$13</definedName>
    <definedName name="Slicer_EMPLOYEENAME">#N/A</definedName>
    <definedName name="Slicer_HOURSTYPE">#N/A</definedName>
    <definedName name="Slicer_WEEKENDINGDATE">#N/A</definedName>
  </definedNames>
  <calcPr calcId="145621"/>
  <pivotCaches>
    <pivotCache cacheId="275"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S3" i="13" l="1"/>
  <c r="T3" i="13"/>
  <c r="U3" i="13"/>
  <c r="V3" i="13"/>
  <c r="W3" i="13"/>
  <c r="X3" i="13"/>
  <c r="Y3" i="13"/>
  <c r="Z3" i="13"/>
  <c r="S4" i="13"/>
  <c r="T4" i="13"/>
  <c r="U4" i="13"/>
  <c r="V4" i="13"/>
  <c r="W4" i="13"/>
  <c r="X4" i="13"/>
  <c r="Y4" i="13"/>
  <c r="Z4" i="13"/>
  <c r="S5" i="13"/>
  <c r="T5" i="13"/>
  <c r="U5" i="13"/>
  <c r="V5" i="13"/>
  <c r="W5" i="13"/>
  <c r="X5" i="13"/>
  <c r="Y5" i="13"/>
  <c r="Z5" i="13"/>
  <c r="S6" i="13"/>
  <c r="T6" i="13"/>
  <c r="U6" i="13"/>
  <c r="V6" i="13"/>
  <c r="W6" i="13"/>
  <c r="X6" i="13"/>
  <c r="Y6" i="13"/>
  <c r="Z6" i="13"/>
  <c r="S7" i="13"/>
  <c r="T7" i="13"/>
  <c r="U7" i="13"/>
  <c r="V7" i="13"/>
  <c r="W7" i="13"/>
  <c r="X7" i="13"/>
  <c r="Y7" i="13"/>
  <c r="Z7" i="13"/>
  <c r="S8" i="13"/>
  <c r="T8" i="13"/>
  <c r="U8" i="13"/>
  <c r="V8" i="13"/>
  <c r="W8" i="13"/>
  <c r="X8" i="13"/>
  <c r="Y8" i="13"/>
  <c r="Z8" i="13"/>
  <c r="S9" i="13"/>
  <c r="T9" i="13"/>
  <c r="U9" i="13"/>
  <c r="V9" i="13"/>
  <c r="W9" i="13"/>
  <c r="X9" i="13"/>
  <c r="Y9" i="13"/>
  <c r="Z9" i="13"/>
  <c r="S10" i="13"/>
  <c r="T10" i="13"/>
  <c r="U10" i="13"/>
  <c r="V10" i="13"/>
  <c r="W10" i="13"/>
  <c r="X10" i="13"/>
  <c r="Y10" i="13"/>
  <c r="Z10" i="13"/>
  <c r="S11" i="13"/>
  <c r="T11" i="13"/>
  <c r="U11" i="13"/>
  <c r="V11" i="13"/>
  <c r="W11" i="13"/>
  <c r="X11" i="13"/>
  <c r="Y11" i="13"/>
  <c r="Z11" i="13"/>
  <c r="S12" i="13"/>
  <c r="T12" i="13"/>
  <c r="U12" i="13"/>
  <c r="V12" i="13"/>
  <c r="W12" i="13"/>
  <c r="X12" i="13"/>
  <c r="Y12" i="13"/>
  <c r="Z12" i="13"/>
  <c r="S13" i="13"/>
  <c r="T13" i="13"/>
  <c r="U13" i="13"/>
  <c r="V13" i="13"/>
  <c r="W13" i="13"/>
  <c r="X13" i="13"/>
  <c r="Y13" i="13"/>
  <c r="Z13" i="13"/>
  <c r="S14" i="13"/>
  <c r="T14" i="13"/>
  <c r="U14" i="13"/>
  <c r="V14" i="13"/>
  <c r="W14" i="13"/>
  <c r="X14" i="13"/>
  <c r="Y14" i="13"/>
  <c r="Z14" i="13"/>
  <c r="S15" i="13"/>
  <c r="T15" i="13"/>
  <c r="U15" i="13"/>
  <c r="V15" i="13"/>
  <c r="W15" i="13"/>
  <c r="X15" i="13"/>
  <c r="Y15" i="13"/>
  <c r="Z15" i="13"/>
  <c r="S16" i="13"/>
  <c r="T16" i="13"/>
  <c r="U16" i="13"/>
  <c r="V16" i="13"/>
  <c r="W16" i="13"/>
  <c r="X16" i="13"/>
  <c r="Y16" i="13"/>
  <c r="Z16" i="13"/>
  <c r="S17" i="13"/>
  <c r="T17" i="13"/>
  <c r="U17" i="13"/>
  <c r="V17" i="13"/>
  <c r="W17" i="13"/>
  <c r="X17" i="13"/>
  <c r="Y17" i="13"/>
  <c r="Z17" i="13"/>
  <c r="S18" i="13"/>
  <c r="T18" i="13"/>
  <c r="U18" i="13"/>
  <c r="V18" i="13"/>
  <c r="W18" i="13"/>
  <c r="X18" i="13"/>
  <c r="Y18" i="13"/>
  <c r="Z18" i="13"/>
  <c r="S19" i="13"/>
  <c r="T19" i="13"/>
  <c r="U19" i="13"/>
  <c r="V19" i="13"/>
  <c r="W19" i="13"/>
  <c r="X19" i="13"/>
  <c r="Y19" i="13"/>
  <c r="Z19" i="13"/>
  <c r="S20" i="13"/>
  <c r="T20" i="13"/>
  <c r="U20" i="13"/>
  <c r="V20" i="13"/>
  <c r="W20" i="13"/>
  <c r="X20" i="13"/>
  <c r="Y20" i="13"/>
  <c r="Z20" i="13"/>
  <c r="S21" i="13"/>
  <c r="T21" i="13"/>
  <c r="U21" i="13"/>
  <c r="V21" i="13"/>
  <c r="W21" i="13"/>
  <c r="X21" i="13"/>
  <c r="Y21" i="13"/>
  <c r="Z21" i="13"/>
  <c r="S22" i="13"/>
  <c r="T22" i="13"/>
  <c r="U22" i="13"/>
  <c r="V22" i="13"/>
  <c r="W22" i="13"/>
  <c r="X22" i="13"/>
  <c r="Y22" i="13"/>
  <c r="Z22" i="13"/>
  <c r="S23" i="13"/>
  <c r="T23" i="13"/>
  <c r="U23" i="13"/>
  <c r="V23" i="13"/>
  <c r="W23" i="13"/>
  <c r="X23" i="13"/>
  <c r="Y23" i="13"/>
  <c r="Z23" i="13"/>
  <c r="S24" i="13"/>
  <c r="T24" i="13"/>
  <c r="U24" i="13"/>
  <c r="V24" i="13"/>
  <c r="W24" i="13"/>
  <c r="X24" i="13"/>
  <c r="Y24" i="13"/>
  <c r="Z24" i="13"/>
  <c r="S25" i="13"/>
  <c r="T25" i="13"/>
  <c r="U25" i="13"/>
  <c r="V25" i="13"/>
  <c r="W25" i="13"/>
  <c r="X25" i="13"/>
  <c r="Y25" i="13"/>
  <c r="Z25" i="13"/>
  <c r="S26" i="13"/>
  <c r="T26" i="13"/>
  <c r="U26" i="13"/>
  <c r="V26" i="13"/>
  <c r="W26" i="13"/>
  <c r="X26" i="13"/>
  <c r="Y26" i="13"/>
  <c r="Z26" i="13"/>
  <c r="S27" i="13"/>
  <c r="T27" i="13"/>
  <c r="U27" i="13"/>
  <c r="V27" i="13"/>
  <c r="W27" i="13"/>
  <c r="X27" i="13"/>
  <c r="Y27" i="13"/>
  <c r="Z27" i="13"/>
  <c r="S28" i="13"/>
  <c r="T28" i="13"/>
  <c r="U28" i="13"/>
  <c r="V28" i="13"/>
  <c r="W28" i="13"/>
  <c r="X28" i="13"/>
  <c r="Y28" i="13"/>
  <c r="Z28" i="13"/>
  <c r="S29" i="13"/>
  <c r="T29" i="13"/>
  <c r="U29" i="13"/>
  <c r="V29" i="13"/>
  <c r="W29" i="13"/>
  <c r="X29" i="13"/>
  <c r="Y29" i="13"/>
  <c r="Z29" i="13"/>
  <c r="S30" i="13"/>
  <c r="T30" i="13"/>
  <c r="U30" i="13"/>
  <c r="V30" i="13"/>
  <c r="W30" i="13"/>
  <c r="X30" i="13"/>
  <c r="Y30" i="13"/>
  <c r="Z30" i="13"/>
  <c r="S31" i="13"/>
  <c r="T31" i="13"/>
  <c r="U31" i="13"/>
  <c r="V31" i="13"/>
  <c r="W31" i="13"/>
  <c r="X31" i="13"/>
  <c r="Y31" i="13"/>
  <c r="Z31" i="13"/>
  <c r="S32" i="13"/>
  <c r="T32" i="13"/>
  <c r="U32" i="13"/>
  <c r="V32" i="13"/>
  <c r="W32" i="13"/>
  <c r="X32" i="13"/>
  <c r="Y32" i="13"/>
  <c r="Z32" i="13"/>
  <c r="S33" i="13"/>
  <c r="T33" i="13"/>
  <c r="U33" i="13"/>
  <c r="V33" i="13"/>
  <c r="W33" i="13"/>
  <c r="X33" i="13"/>
  <c r="Y33" i="13"/>
  <c r="Z33" i="13"/>
  <c r="S34" i="13"/>
  <c r="T34" i="13"/>
  <c r="U34" i="13"/>
  <c r="V34" i="13"/>
  <c r="W34" i="13"/>
  <c r="X34" i="13"/>
  <c r="Y34" i="13"/>
  <c r="Z34" i="13"/>
  <c r="S35" i="13"/>
  <c r="T35" i="13"/>
  <c r="U35" i="13"/>
  <c r="V35" i="13"/>
  <c r="W35" i="13"/>
  <c r="X35" i="13"/>
  <c r="Y35" i="13"/>
  <c r="Z35" i="13"/>
  <c r="S36" i="13"/>
  <c r="T36" i="13"/>
  <c r="U36" i="13"/>
  <c r="V36" i="13"/>
  <c r="W36" i="13"/>
  <c r="X36" i="13"/>
  <c r="Y36" i="13"/>
  <c r="Z36" i="13"/>
  <c r="S37" i="13"/>
  <c r="T37" i="13"/>
  <c r="U37" i="13"/>
  <c r="V37" i="13"/>
  <c r="W37" i="13"/>
  <c r="X37" i="13"/>
  <c r="Y37" i="13"/>
  <c r="Z37" i="13"/>
  <c r="S38" i="13"/>
  <c r="T38" i="13"/>
  <c r="U38" i="13"/>
  <c r="V38" i="13"/>
  <c r="W38" i="13"/>
  <c r="X38" i="13"/>
  <c r="Y38" i="13"/>
  <c r="Z38" i="13"/>
  <c r="S39" i="13"/>
  <c r="T39" i="13"/>
  <c r="U39" i="13"/>
  <c r="V39" i="13"/>
  <c r="W39" i="13"/>
  <c r="X39" i="13"/>
  <c r="Y39" i="13"/>
  <c r="Z39" i="13"/>
  <c r="S40" i="13"/>
  <c r="T40" i="13"/>
  <c r="U40" i="13"/>
  <c r="V40" i="13"/>
  <c r="W40" i="13"/>
  <c r="X40" i="13"/>
  <c r="Y40" i="13"/>
  <c r="Z40" i="13"/>
  <c r="S41" i="13"/>
  <c r="T41" i="13"/>
  <c r="U41" i="13"/>
  <c r="V41" i="13"/>
  <c r="W41" i="13"/>
  <c r="X41" i="13"/>
  <c r="Y41" i="13"/>
  <c r="Z41" i="13"/>
  <c r="S42" i="13"/>
  <c r="T42" i="13"/>
  <c r="U42" i="13"/>
  <c r="V42" i="13"/>
  <c r="W42" i="13"/>
  <c r="X42" i="13"/>
  <c r="Y42" i="13"/>
  <c r="Z42" i="13"/>
  <c r="S43" i="13"/>
  <c r="T43" i="13"/>
  <c r="U43" i="13"/>
  <c r="V43" i="13"/>
  <c r="W43" i="13"/>
  <c r="X43" i="13"/>
  <c r="Y43" i="13"/>
  <c r="Z43" i="13"/>
  <c r="S44" i="13"/>
  <c r="T44" i="13"/>
  <c r="U44" i="13"/>
  <c r="V44" i="13"/>
  <c r="W44" i="13"/>
  <c r="X44" i="13"/>
  <c r="Y44" i="13"/>
  <c r="Z44" i="13"/>
  <c r="S45" i="13"/>
  <c r="T45" i="13"/>
  <c r="U45" i="13"/>
  <c r="V45" i="13"/>
  <c r="W45" i="13"/>
  <c r="X45" i="13"/>
  <c r="Y45" i="13"/>
  <c r="Z45" i="13"/>
  <c r="S46" i="13"/>
  <c r="T46" i="13"/>
  <c r="U46" i="13"/>
  <c r="V46" i="13"/>
  <c r="W46" i="13"/>
  <c r="X46" i="13"/>
  <c r="Y46" i="13"/>
  <c r="Z46" i="13"/>
  <c r="S47" i="13"/>
  <c r="T47" i="13"/>
  <c r="U47" i="13"/>
  <c r="V47" i="13"/>
  <c r="W47" i="13"/>
  <c r="X47" i="13"/>
  <c r="Y47" i="13"/>
  <c r="Z47" i="13"/>
  <c r="S48" i="13"/>
  <c r="T48" i="13"/>
  <c r="U48" i="13"/>
  <c r="V48" i="13"/>
  <c r="W48" i="13"/>
  <c r="X48" i="13"/>
  <c r="Y48" i="13"/>
  <c r="Z48" i="13"/>
  <c r="S49" i="13"/>
  <c r="T49" i="13"/>
  <c r="U49" i="13"/>
  <c r="V49" i="13"/>
  <c r="W49" i="13"/>
  <c r="X49" i="13"/>
  <c r="Y49" i="13"/>
  <c r="Z49" i="13"/>
  <c r="S50" i="13"/>
  <c r="T50" i="13"/>
  <c r="U50" i="13"/>
  <c r="V50" i="13"/>
  <c r="W50" i="13"/>
  <c r="X50" i="13"/>
  <c r="Y50" i="13"/>
  <c r="Z50" i="13"/>
  <c r="S51" i="13"/>
  <c r="T51" i="13"/>
  <c r="U51" i="13"/>
  <c r="V51" i="13"/>
  <c r="W51" i="13"/>
  <c r="X51" i="13"/>
  <c r="Y51" i="13"/>
  <c r="Z51" i="13"/>
  <c r="S52" i="13"/>
  <c r="T52" i="13"/>
  <c r="U52" i="13"/>
  <c r="V52" i="13"/>
  <c r="W52" i="13"/>
  <c r="X52" i="13"/>
  <c r="Y52" i="13"/>
  <c r="Z52" i="13"/>
  <c r="S53" i="13"/>
  <c r="T53" i="13"/>
  <c r="U53" i="13"/>
  <c r="V53" i="13"/>
  <c r="W53" i="13"/>
  <c r="X53" i="13"/>
  <c r="Y53" i="13"/>
  <c r="Z53" i="13"/>
  <c r="S54" i="13"/>
  <c r="T54" i="13"/>
  <c r="U54" i="13"/>
  <c r="V54" i="13"/>
  <c r="W54" i="13"/>
  <c r="X54" i="13"/>
  <c r="Y54" i="13"/>
  <c r="Z54" i="13"/>
  <c r="S55" i="13"/>
  <c r="T55" i="13"/>
  <c r="U55" i="13"/>
  <c r="V55" i="13"/>
  <c r="W55" i="13"/>
  <c r="X55" i="13"/>
  <c r="Y55" i="13"/>
  <c r="Z55" i="13"/>
  <c r="S56" i="13"/>
  <c r="T56" i="13"/>
  <c r="U56" i="13"/>
  <c r="V56" i="13"/>
  <c r="W56" i="13"/>
  <c r="X56" i="13"/>
  <c r="Y56" i="13"/>
  <c r="Z56" i="13"/>
  <c r="S57" i="13"/>
  <c r="T57" i="13"/>
  <c r="U57" i="13"/>
  <c r="V57" i="13"/>
  <c r="W57" i="13"/>
  <c r="X57" i="13"/>
  <c r="Y57" i="13"/>
  <c r="Z57" i="13"/>
  <c r="S58" i="13"/>
  <c r="T58" i="13"/>
  <c r="U58" i="13"/>
  <c r="V58" i="13"/>
  <c r="W58" i="13"/>
  <c r="X58" i="13"/>
  <c r="Y58" i="13"/>
  <c r="Z58" i="13"/>
  <c r="S59" i="13"/>
  <c r="T59" i="13"/>
  <c r="U59" i="13"/>
  <c r="V59" i="13"/>
  <c r="W59" i="13"/>
  <c r="X59" i="13"/>
  <c r="Y59" i="13"/>
  <c r="Z59" i="13"/>
  <c r="S60" i="13"/>
  <c r="T60" i="13"/>
  <c r="U60" i="13"/>
  <c r="V60" i="13"/>
  <c r="W60" i="13"/>
  <c r="X60" i="13"/>
  <c r="Y60" i="13"/>
  <c r="Z60" i="13"/>
  <c r="S61" i="13"/>
  <c r="T61" i="13"/>
  <c r="U61" i="13"/>
  <c r="V61" i="13"/>
  <c r="W61" i="13"/>
  <c r="X61" i="13"/>
  <c r="Y61" i="13"/>
  <c r="Z61" i="13"/>
  <c r="S62" i="13"/>
  <c r="T62" i="13"/>
  <c r="U62" i="13"/>
  <c r="V62" i="13"/>
  <c r="W62" i="13"/>
  <c r="X62" i="13"/>
  <c r="Y62" i="13"/>
  <c r="Z62" i="13"/>
  <c r="S63" i="13"/>
  <c r="T63" i="13"/>
  <c r="U63" i="13"/>
  <c r="V63" i="13"/>
  <c r="W63" i="13"/>
  <c r="X63" i="13"/>
  <c r="Y63" i="13"/>
  <c r="Z63" i="13"/>
  <c r="S64" i="13"/>
  <c r="T64" i="13"/>
  <c r="U64" i="13"/>
  <c r="V64" i="13"/>
  <c r="W64" i="13"/>
  <c r="X64" i="13"/>
  <c r="Y64" i="13"/>
  <c r="Z64" i="13"/>
  <c r="S65" i="13"/>
  <c r="T65" i="13"/>
  <c r="U65" i="13"/>
  <c r="V65" i="13"/>
  <c r="W65" i="13"/>
  <c r="X65" i="13"/>
  <c r="Y65" i="13"/>
  <c r="Z65" i="13"/>
  <c r="S66" i="13"/>
  <c r="T66" i="13"/>
  <c r="U66" i="13"/>
  <c r="V66" i="13"/>
  <c r="W66" i="13"/>
  <c r="X66" i="13"/>
  <c r="Y66" i="13"/>
  <c r="Z66" i="13"/>
  <c r="S67" i="13"/>
  <c r="T67" i="13"/>
  <c r="U67" i="13"/>
  <c r="V67" i="13"/>
  <c r="W67" i="13"/>
  <c r="X67" i="13"/>
  <c r="Y67" i="13"/>
  <c r="Z67" i="13"/>
  <c r="S68" i="13"/>
  <c r="T68" i="13"/>
  <c r="U68" i="13"/>
  <c r="V68" i="13"/>
  <c r="W68" i="13"/>
  <c r="X68" i="13"/>
  <c r="Y68" i="13"/>
  <c r="Z68" i="13"/>
  <c r="S69" i="13"/>
  <c r="T69" i="13"/>
  <c r="U69" i="13"/>
  <c r="V69" i="13"/>
  <c r="W69" i="13"/>
  <c r="X69" i="13"/>
  <c r="Y69" i="13"/>
  <c r="Z69" i="13"/>
  <c r="S70" i="13"/>
  <c r="T70" i="13"/>
  <c r="U70" i="13"/>
  <c r="V70" i="13"/>
  <c r="W70" i="13"/>
  <c r="X70" i="13"/>
  <c r="Y70" i="13"/>
  <c r="Z70" i="13"/>
  <c r="S71" i="13"/>
  <c r="T71" i="13"/>
  <c r="U71" i="13"/>
  <c r="V71" i="13"/>
  <c r="W71" i="13"/>
  <c r="X71" i="13"/>
  <c r="Y71" i="13"/>
  <c r="Z71" i="13"/>
  <c r="S72" i="13"/>
  <c r="T72" i="13"/>
  <c r="U72" i="13"/>
  <c r="V72" i="13"/>
  <c r="W72" i="13"/>
  <c r="X72" i="13"/>
  <c r="Y72" i="13"/>
  <c r="Z72" i="13"/>
  <c r="S73" i="13"/>
  <c r="T73" i="13"/>
  <c r="U73" i="13"/>
  <c r="V73" i="13"/>
  <c r="W73" i="13"/>
  <c r="X73" i="13"/>
  <c r="Y73" i="13"/>
  <c r="Z73" i="13"/>
  <c r="S74" i="13"/>
  <c r="T74" i="13"/>
  <c r="U74" i="13"/>
  <c r="V74" i="13"/>
  <c r="W74" i="13"/>
  <c r="X74" i="13"/>
  <c r="Y74" i="13"/>
  <c r="Z74" i="13"/>
  <c r="S75" i="13"/>
  <c r="T75" i="13"/>
  <c r="U75" i="13"/>
  <c r="V75" i="13"/>
  <c r="W75" i="13"/>
  <c r="X75" i="13"/>
  <c r="Y75" i="13"/>
  <c r="Z75" i="13"/>
  <c r="S76" i="13"/>
  <c r="T76" i="13"/>
  <c r="U76" i="13"/>
  <c r="V76" i="13"/>
  <c r="W76" i="13"/>
  <c r="X76" i="13"/>
  <c r="Y76" i="13"/>
  <c r="Z76" i="13"/>
  <c r="S77" i="13"/>
  <c r="T77" i="13"/>
  <c r="U77" i="13"/>
  <c r="V77" i="13"/>
  <c r="W77" i="13"/>
  <c r="X77" i="13"/>
  <c r="Y77" i="13"/>
  <c r="Z77" i="13"/>
  <c r="S78" i="13"/>
  <c r="T78" i="13"/>
  <c r="U78" i="13"/>
  <c r="V78" i="13"/>
  <c r="W78" i="13"/>
  <c r="X78" i="13"/>
  <c r="Y78" i="13"/>
  <c r="Z78" i="13"/>
  <c r="S79" i="13"/>
  <c r="T79" i="13"/>
  <c r="U79" i="13"/>
  <c r="V79" i="13"/>
  <c r="W79" i="13"/>
  <c r="X79" i="13"/>
  <c r="Y79" i="13"/>
  <c r="Z79" i="13"/>
  <c r="S80" i="13"/>
  <c r="T80" i="13"/>
  <c r="U80" i="13"/>
  <c r="V80" i="13"/>
  <c r="W80" i="13"/>
  <c r="X80" i="13"/>
  <c r="Y80" i="13"/>
  <c r="Z80" i="13"/>
  <c r="S81" i="13"/>
  <c r="T81" i="13"/>
  <c r="U81" i="13"/>
  <c r="V81" i="13"/>
  <c r="W81" i="13"/>
  <c r="X81" i="13"/>
  <c r="Y81" i="13"/>
  <c r="Z81" i="13"/>
  <c r="S82" i="13"/>
  <c r="T82" i="13"/>
  <c r="U82" i="13"/>
  <c r="V82" i="13"/>
  <c r="W82" i="13"/>
  <c r="X82" i="13"/>
  <c r="Y82" i="13"/>
  <c r="Z82" i="13"/>
  <c r="S83" i="13"/>
  <c r="T83" i="13"/>
  <c r="U83" i="13"/>
  <c r="V83" i="13"/>
  <c r="W83" i="13"/>
  <c r="X83" i="13"/>
  <c r="Y83" i="13"/>
  <c r="Z83" i="13"/>
  <c r="S84" i="13"/>
  <c r="T84" i="13"/>
  <c r="U84" i="13"/>
  <c r="V84" i="13"/>
  <c r="W84" i="13"/>
  <c r="X84" i="13"/>
  <c r="Y84" i="13"/>
  <c r="Z84" i="13"/>
  <c r="S85" i="13"/>
  <c r="T85" i="13"/>
  <c r="U85" i="13"/>
  <c r="V85" i="13"/>
  <c r="W85" i="13"/>
  <c r="X85" i="13"/>
  <c r="Y85" i="13"/>
  <c r="Z85" i="13"/>
  <c r="S86" i="13"/>
  <c r="T86" i="13"/>
  <c r="U86" i="13"/>
  <c r="V86" i="13"/>
  <c r="W86" i="13"/>
  <c r="X86" i="13"/>
  <c r="Y86" i="13"/>
  <c r="Z86" i="13"/>
  <c r="S87" i="13"/>
  <c r="T87" i="13"/>
  <c r="U87" i="13"/>
  <c r="V87" i="13"/>
  <c r="W87" i="13"/>
  <c r="X87" i="13"/>
  <c r="Y87" i="13"/>
  <c r="Z87" i="13"/>
  <c r="S88" i="13"/>
  <c r="T88" i="13"/>
  <c r="U88" i="13"/>
  <c r="V88" i="13"/>
  <c r="W88" i="13"/>
  <c r="X88" i="13"/>
  <c r="Y88" i="13"/>
  <c r="Z88" i="13"/>
  <c r="S89" i="13"/>
  <c r="T89" i="13"/>
  <c r="U89" i="13"/>
  <c r="V89" i="13"/>
  <c r="W89" i="13"/>
  <c r="X89" i="13"/>
  <c r="Y89" i="13"/>
  <c r="Z89" i="13"/>
  <c r="S90" i="13"/>
  <c r="T90" i="13"/>
  <c r="U90" i="13"/>
  <c r="V90" i="13"/>
  <c r="W90" i="13"/>
  <c r="X90" i="13"/>
  <c r="Y90" i="13"/>
  <c r="Z90" i="13"/>
  <c r="S91" i="13"/>
  <c r="T91" i="13"/>
  <c r="U91" i="13"/>
  <c r="V91" i="13"/>
  <c r="W91" i="13"/>
  <c r="X91" i="13"/>
  <c r="Y91" i="13"/>
  <c r="Z91" i="13"/>
  <c r="S92" i="13"/>
  <c r="T92" i="13"/>
  <c r="U92" i="13"/>
  <c r="V92" i="13"/>
  <c r="W92" i="13"/>
  <c r="X92" i="13"/>
  <c r="Y92" i="13"/>
  <c r="Z92" i="13"/>
  <c r="Z2" i="13"/>
  <c r="Y2" i="13"/>
  <c r="X2" i="13"/>
  <c r="W2" i="13"/>
  <c r="V2" i="13"/>
  <c r="U2" i="13"/>
  <c r="T2" i="13"/>
  <c r="S2" i="13"/>
  <c r="R92" i="13"/>
  <c r="R91" i="13"/>
  <c r="R90" i="13"/>
  <c r="R89" i="13"/>
  <c r="R88" i="13"/>
  <c r="R87" i="13"/>
  <c r="R86" i="13"/>
  <c r="R85" i="13"/>
  <c r="R84" i="13"/>
  <c r="R83" i="13"/>
  <c r="R82" i="13"/>
  <c r="R81" i="13"/>
  <c r="R80" i="13"/>
  <c r="R79" i="13"/>
  <c r="R78" i="13"/>
  <c r="R77" i="13"/>
  <c r="R76" i="13"/>
  <c r="R75" i="13"/>
  <c r="R74" i="13"/>
  <c r="R73" i="13"/>
  <c r="R72" i="13"/>
  <c r="R71" i="13"/>
  <c r="R70" i="13"/>
  <c r="R69" i="13"/>
  <c r="R68" i="13"/>
  <c r="R67" i="13"/>
  <c r="R66" i="13"/>
  <c r="R65" i="13"/>
  <c r="R64" i="13"/>
  <c r="R63" i="13"/>
  <c r="R62" i="13"/>
  <c r="R61" i="13"/>
  <c r="R60" i="13"/>
  <c r="R59" i="13"/>
  <c r="R58" i="13"/>
  <c r="R57" i="13"/>
  <c r="R56" i="13"/>
  <c r="R55" i="13"/>
  <c r="R54" i="13"/>
  <c r="R53" i="13"/>
  <c r="R52" i="13"/>
  <c r="R51" i="13"/>
  <c r="R50" i="13"/>
  <c r="R49" i="13"/>
  <c r="R48" i="13"/>
  <c r="R47" i="13"/>
  <c r="R46" i="13"/>
  <c r="R45" i="13"/>
  <c r="R44" i="13"/>
  <c r="R43" i="13"/>
  <c r="R42" i="13"/>
  <c r="R41" i="13"/>
  <c r="R40" i="13"/>
  <c r="R39" i="13"/>
  <c r="R38" i="13"/>
  <c r="R37" i="13"/>
  <c r="R36" i="13"/>
  <c r="R35" i="13"/>
  <c r="R34" i="13"/>
  <c r="R33" i="13"/>
  <c r="R32" i="13"/>
  <c r="R31" i="13"/>
  <c r="R30" i="13"/>
  <c r="R29" i="13"/>
  <c r="R28" i="13"/>
  <c r="R27" i="13"/>
  <c r="R26" i="13"/>
  <c r="R25" i="13"/>
  <c r="R24" i="13"/>
  <c r="R23" i="13"/>
  <c r="R22" i="13"/>
  <c r="R21" i="13"/>
  <c r="R20" i="13"/>
  <c r="R19" i="13"/>
  <c r="R18" i="13"/>
  <c r="R17" i="13"/>
  <c r="R16" i="13"/>
  <c r="R15" i="13"/>
  <c r="R14" i="13"/>
  <c r="R13" i="13"/>
  <c r="R12" i="13"/>
  <c r="R11" i="13"/>
  <c r="R10" i="13"/>
  <c r="R9" i="13"/>
  <c r="R8" i="13"/>
  <c r="R7" i="13"/>
  <c r="R6" i="13"/>
  <c r="R5" i="13"/>
  <c r="R4" i="13"/>
  <c r="R3" i="13"/>
  <c r="R2" i="13"/>
  <c r="S3" i="10"/>
  <c r="T3" i="10"/>
  <c r="U3" i="10"/>
  <c r="V3" i="10"/>
  <c r="W3" i="10"/>
  <c r="X3" i="10"/>
  <c r="Y3" i="10"/>
  <c r="Z3" i="10"/>
  <c r="S4" i="10"/>
  <c r="T4" i="10"/>
  <c r="U4" i="10"/>
  <c r="V4" i="10"/>
  <c r="W4" i="10"/>
  <c r="X4" i="10"/>
  <c r="Y4" i="10"/>
  <c r="Z4" i="10"/>
  <c r="S5" i="10"/>
  <c r="T5" i="10"/>
  <c r="U5" i="10"/>
  <c r="V5" i="10"/>
  <c r="W5" i="10"/>
  <c r="X5" i="10"/>
  <c r="Y5" i="10"/>
  <c r="Z5" i="10"/>
  <c r="S6" i="10"/>
  <c r="T6" i="10"/>
  <c r="U6" i="10"/>
  <c r="V6" i="10"/>
  <c r="W6" i="10"/>
  <c r="X6" i="10"/>
  <c r="Y6" i="10"/>
  <c r="Z6" i="10"/>
  <c r="S7" i="10"/>
  <c r="T7" i="10"/>
  <c r="U7" i="10"/>
  <c r="V7" i="10"/>
  <c r="W7" i="10"/>
  <c r="X7" i="10"/>
  <c r="Y7" i="10"/>
  <c r="Z7" i="10"/>
  <c r="S8" i="10"/>
  <c r="T8" i="10"/>
  <c r="U8" i="10"/>
  <c r="V8" i="10"/>
  <c r="W8" i="10"/>
  <c r="X8" i="10"/>
  <c r="Y8" i="10"/>
  <c r="Z8" i="10"/>
  <c r="S9" i="10"/>
  <c r="T9" i="10"/>
  <c r="U9" i="10"/>
  <c r="V9" i="10"/>
  <c r="W9" i="10"/>
  <c r="X9" i="10"/>
  <c r="Y9" i="10"/>
  <c r="Z9" i="10"/>
  <c r="S10" i="10"/>
  <c r="T10" i="10"/>
  <c r="U10" i="10"/>
  <c r="V10" i="10"/>
  <c r="W10" i="10"/>
  <c r="X10" i="10"/>
  <c r="Y10" i="10"/>
  <c r="Z10" i="10"/>
  <c r="S11" i="10"/>
  <c r="T11" i="10"/>
  <c r="U11" i="10"/>
  <c r="V11" i="10"/>
  <c r="W11" i="10"/>
  <c r="X11" i="10"/>
  <c r="Y11" i="10"/>
  <c r="Z11" i="10"/>
  <c r="S12" i="10"/>
  <c r="T12" i="10"/>
  <c r="U12" i="10"/>
  <c r="V12" i="10"/>
  <c r="W12" i="10"/>
  <c r="X12" i="10"/>
  <c r="Y12" i="10"/>
  <c r="Z12" i="10"/>
  <c r="S13" i="10"/>
  <c r="T13" i="10"/>
  <c r="U13" i="10"/>
  <c r="V13" i="10"/>
  <c r="W13" i="10"/>
  <c r="X13" i="10"/>
  <c r="Y13" i="10"/>
  <c r="Z13" i="10"/>
  <c r="S14" i="10"/>
  <c r="T14" i="10"/>
  <c r="U14" i="10"/>
  <c r="V14" i="10"/>
  <c r="W14" i="10"/>
  <c r="X14" i="10"/>
  <c r="Y14" i="10"/>
  <c r="Z14" i="10"/>
  <c r="S15" i="10"/>
  <c r="T15" i="10"/>
  <c r="U15" i="10"/>
  <c r="V15" i="10"/>
  <c r="W15" i="10"/>
  <c r="X15" i="10"/>
  <c r="Y15" i="10"/>
  <c r="Z15" i="10"/>
  <c r="S16" i="10"/>
  <c r="T16" i="10"/>
  <c r="U16" i="10"/>
  <c r="V16" i="10"/>
  <c r="W16" i="10"/>
  <c r="X16" i="10"/>
  <c r="Y16" i="10"/>
  <c r="Z16" i="10"/>
  <c r="S17" i="10"/>
  <c r="T17" i="10"/>
  <c r="U17" i="10"/>
  <c r="V17" i="10"/>
  <c r="W17" i="10"/>
  <c r="X17" i="10"/>
  <c r="Y17" i="10"/>
  <c r="Z17" i="10"/>
  <c r="S18" i="10"/>
  <c r="T18" i="10"/>
  <c r="U18" i="10"/>
  <c r="V18" i="10"/>
  <c r="W18" i="10"/>
  <c r="X18" i="10"/>
  <c r="Y18" i="10"/>
  <c r="Z18" i="10"/>
  <c r="S19" i="10"/>
  <c r="T19" i="10"/>
  <c r="U19" i="10"/>
  <c r="V19" i="10"/>
  <c r="W19" i="10"/>
  <c r="X19" i="10"/>
  <c r="Y19" i="10"/>
  <c r="Z19" i="10"/>
  <c r="S20" i="10"/>
  <c r="T20" i="10"/>
  <c r="U20" i="10"/>
  <c r="V20" i="10"/>
  <c r="W20" i="10"/>
  <c r="X20" i="10"/>
  <c r="Y20" i="10"/>
  <c r="Z20" i="10"/>
  <c r="S21" i="10"/>
  <c r="T21" i="10"/>
  <c r="U21" i="10"/>
  <c r="V21" i="10"/>
  <c r="W21" i="10"/>
  <c r="X21" i="10"/>
  <c r="Y21" i="10"/>
  <c r="Z21" i="10"/>
  <c r="S22" i="10"/>
  <c r="T22" i="10"/>
  <c r="U22" i="10"/>
  <c r="V22" i="10"/>
  <c r="W22" i="10"/>
  <c r="X22" i="10"/>
  <c r="Y22" i="10"/>
  <c r="Z22" i="10"/>
  <c r="S23" i="10"/>
  <c r="T23" i="10"/>
  <c r="U23" i="10"/>
  <c r="V23" i="10"/>
  <c r="W23" i="10"/>
  <c r="X23" i="10"/>
  <c r="Y23" i="10"/>
  <c r="Z23" i="10"/>
  <c r="S24" i="10"/>
  <c r="T24" i="10"/>
  <c r="U24" i="10"/>
  <c r="V24" i="10"/>
  <c r="W24" i="10"/>
  <c r="X24" i="10"/>
  <c r="Y24" i="10"/>
  <c r="Z24" i="10"/>
  <c r="S25" i="10"/>
  <c r="T25" i="10"/>
  <c r="U25" i="10"/>
  <c r="V25" i="10"/>
  <c r="W25" i="10"/>
  <c r="X25" i="10"/>
  <c r="Y25" i="10"/>
  <c r="Z25" i="10"/>
  <c r="S26" i="10"/>
  <c r="T26" i="10"/>
  <c r="U26" i="10"/>
  <c r="V26" i="10"/>
  <c r="W26" i="10"/>
  <c r="X26" i="10"/>
  <c r="Y26" i="10"/>
  <c r="Z26" i="10"/>
  <c r="S27" i="10"/>
  <c r="T27" i="10"/>
  <c r="U27" i="10"/>
  <c r="V27" i="10"/>
  <c r="W27" i="10"/>
  <c r="X27" i="10"/>
  <c r="Y27" i="10"/>
  <c r="Z27" i="10"/>
  <c r="S28" i="10"/>
  <c r="T28" i="10"/>
  <c r="U28" i="10"/>
  <c r="V28" i="10"/>
  <c r="W28" i="10"/>
  <c r="X28" i="10"/>
  <c r="Y28" i="10"/>
  <c r="Z28" i="10"/>
  <c r="S29" i="10"/>
  <c r="T29" i="10"/>
  <c r="U29" i="10"/>
  <c r="V29" i="10"/>
  <c r="W29" i="10"/>
  <c r="X29" i="10"/>
  <c r="Y29" i="10"/>
  <c r="Z29" i="10"/>
  <c r="S30" i="10"/>
  <c r="T30" i="10"/>
  <c r="U30" i="10"/>
  <c r="V30" i="10"/>
  <c r="W30" i="10"/>
  <c r="X30" i="10"/>
  <c r="Y30" i="10"/>
  <c r="Z30" i="10"/>
  <c r="S31" i="10"/>
  <c r="T31" i="10"/>
  <c r="U31" i="10"/>
  <c r="V31" i="10"/>
  <c r="W31" i="10"/>
  <c r="X31" i="10"/>
  <c r="Y31" i="10"/>
  <c r="Z31" i="10"/>
  <c r="S32" i="10"/>
  <c r="T32" i="10"/>
  <c r="U32" i="10"/>
  <c r="V32" i="10"/>
  <c r="W32" i="10"/>
  <c r="X32" i="10"/>
  <c r="Y32" i="10"/>
  <c r="Z32" i="10"/>
  <c r="S33" i="10"/>
  <c r="T33" i="10"/>
  <c r="U33" i="10"/>
  <c r="V33" i="10"/>
  <c r="W33" i="10"/>
  <c r="X33" i="10"/>
  <c r="Y33" i="10"/>
  <c r="Z33" i="10"/>
  <c r="S34" i="10"/>
  <c r="T34" i="10"/>
  <c r="U34" i="10"/>
  <c r="V34" i="10"/>
  <c r="W34" i="10"/>
  <c r="X34" i="10"/>
  <c r="Y34" i="10"/>
  <c r="Z34" i="10"/>
  <c r="S35" i="10"/>
  <c r="T35" i="10"/>
  <c r="U35" i="10"/>
  <c r="V35" i="10"/>
  <c r="W35" i="10"/>
  <c r="X35" i="10"/>
  <c r="Y35" i="10"/>
  <c r="Z35" i="10"/>
  <c r="S36" i="10"/>
  <c r="T36" i="10"/>
  <c r="U36" i="10"/>
  <c r="V36" i="10"/>
  <c r="W36" i="10"/>
  <c r="X36" i="10"/>
  <c r="Y36" i="10"/>
  <c r="Z36" i="10"/>
  <c r="S37" i="10"/>
  <c r="T37" i="10"/>
  <c r="U37" i="10"/>
  <c r="V37" i="10"/>
  <c r="W37" i="10"/>
  <c r="X37" i="10"/>
  <c r="Y37" i="10"/>
  <c r="Z37" i="10"/>
  <c r="S38" i="10"/>
  <c r="T38" i="10"/>
  <c r="U38" i="10"/>
  <c r="V38" i="10"/>
  <c r="W38" i="10"/>
  <c r="X38" i="10"/>
  <c r="Y38" i="10"/>
  <c r="Z38" i="10"/>
  <c r="S39" i="10"/>
  <c r="T39" i="10"/>
  <c r="U39" i="10"/>
  <c r="V39" i="10"/>
  <c r="W39" i="10"/>
  <c r="X39" i="10"/>
  <c r="Y39" i="10"/>
  <c r="Z39" i="10"/>
  <c r="S40" i="10"/>
  <c r="T40" i="10"/>
  <c r="U40" i="10"/>
  <c r="V40" i="10"/>
  <c r="W40" i="10"/>
  <c r="X40" i="10"/>
  <c r="Y40" i="10"/>
  <c r="Z40" i="10"/>
  <c r="S41" i="10"/>
  <c r="T41" i="10"/>
  <c r="U41" i="10"/>
  <c r="V41" i="10"/>
  <c r="W41" i="10"/>
  <c r="X41" i="10"/>
  <c r="Y41" i="10"/>
  <c r="Z41" i="10"/>
  <c r="S42" i="10"/>
  <c r="T42" i="10"/>
  <c r="U42" i="10"/>
  <c r="V42" i="10"/>
  <c r="W42" i="10"/>
  <c r="X42" i="10"/>
  <c r="Y42" i="10"/>
  <c r="Z42" i="10"/>
  <c r="S43" i="10"/>
  <c r="T43" i="10"/>
  <c r="U43" i="10"/>
  <c r="V43" i="10"/>
  <c r="W43" i="10"/>
  <c r="X43" i="10"/>
  <c r="Y43" i="10"/>
  <c r="Z43" i="10"/>
  <c r="S44" i="10"/>
  <c r="T44" i="10"/>
  <c r="U44" i="10"/>
  <c r="V44" i="10"/>
  <c r="W44" i="10"/>
  <c r="X44" i="10"/>
  <c r="Y44" i="10"/>
  <c r="Z44" i="10"/>
  <c r="S45" i="10"/>
  <c r="T45" i="10"/>
  <c r="U45" i="10"/>
  <c r="V45" i="10"/>
  <c r="W45" i="10"/>
  <c r="X45" i="10"/>
  <c r="Y45" i="10"/>
  <c r="Z45" i="10"/>
  <c r="S46" i="10"/>
  <c r="T46" i="10"/>
  <c r="U46" i="10"/>
  <c r="V46" i="10"/>
  <c r="W46" i="10"/>
  <c r="X46" i="10"/>
  <c r="Y46" i="10"/>
  <c r="Z46" i="10"/>
  <c r="S47" i="10"/>
  <c r="T47" i="10"/>
  <c r="U47" i="10"/>
  <c r="V47" i="10"/>
  <c r="W47" i="10"/>
  <c r="X47" i="10"/>
  <c r="Y47" i="10"/>
  <c r="Z47" i="10"/>
  <c r="S48" i="10"/>
  <c r="T48" i="10"/>
  <c r="U48" i="10"/>
  <c r="V48" i="10"/>
  <c r="W48" i="10"/>
  <c r="X48" i="10"/>
  <c r="Y48" i="10"/>
  <c r="Z48" i="10"/>
  <c r="S49" i="10"/>
  <c r="T49" i="10"/>
  <c r="U49" i="10"/>
  <c r="V49" i="10"/>
  <c r="W49" i="10"/>
  <c r="X49" i="10"/>
  <c r="Y49" i="10"/>
  <c r="Z49" i="10"/>
  <c r="S50" i="10"/>
  <c r="T50" i="10"/>
  <c r="U50" i="10"/>
  <c r="V50" i="10"/>
  <c r="W50" i="10"/>
  <c r="X50" i="10"/>
  <c r="Y50" i="10"/>
  <c r="Z50" i="10"/>
  <c r="S51" i="10"/>
  <c r="T51" i="10"/>
  <c r="U51" i="10"/>
  <c r="V51" i="10"/>
  <c r="W51" i="10"/>
  <c r="X51" i="10"/>
  <c r="Y51" i="10"/>
  <c r="Z51" i="10"/>
  <c r="S52" i="10"/>
  <c r="T52" i="10"/>
  <c r="U52" i="10"/>
  <c r="V52" i="10"/>
  <c r="W52" i="10"/>
  <c r="X52" i="10"/>
  <c r="Y52" i="10"/>
  <c r="Z52" i="10"/>
  <c r="S53" i="10"/>
  <c r="T53" i="10"/>
  <c r="U53" i="10"/>
  <c r="V53" i="10"/>
  <c r="W53" i="10"/>
  <c r="X53" i="10"/>
  <c r="Y53" i="10"/>
  <c r="Z53" i="10"/>
  <c r="S54" i="10"/>
  <c r="T54" i="10"/>
  <c r="U54" i="10"/>
  <c r="V54" i="10"/>
  <c r="W54" i="10"/>
  <c r="X54" i="10"/>
  <c r="Y54" i="10"/>
  <c r="Z54" i="10"/>
  <c r="S55" i="10"/>
  <c r="T55" i="10"/>
  <c r="U55" i="10"/>
  <c r="V55" i="10"/>
  <c r="W55" i="10"/>
  <c r="X55" i="10"/>
  <c r="Y55" i="10"/>
  <c r="Z55" i="10"/>
  <c r="S56" i="10"/>
  <c r="T56" i="10"/>
  <c r="U56" i="10"/>
  <c r="V56" i="10"/>
  <c r="W56" i="10"/>
  <c r="X56" i="10"/>
  <c r="Y56" i="10"/>
  <c r="Z56" i="10"/>
  <c r="S57" i="10"/>
  <c r="T57" i="10"/>
  <c r="U57" i="10"/>
  <c r="V57" i="10"/>
  <c r="W57" i="10"/>
  <c r="X57" i="10"/>
  <c r="Y57" i="10"/>
  <c r="Z57" i="10"/>
  <c r="S58" i="10"/>
  <c r="T58" i="10"/>
  <c r="U58" i="10"/>
  <c r="V58" i="10"/>
  <c r="W58" i="10"/>
  <c r="X58" i="10"/>
  <c r="Y58" i="10"/>
  <c r="Z58" i="10"/>
  <c r="S59" i="10"/>
  <c r="T59" i="10"/>
  <c r="U59" i="10"/>
  <c r="V59" i="10"/>
  <c r="W59" i="10"/>
  <c r="X59" i="10"/>
  <c r="Y59" i="10"/>
  <c r="Z59" i="10"/>
  <c r="S60" i="10"/>
  <c r="T60" i="10"/>
  <c r="U60" i="10"/>
  <c r="V60" i="10"/>
  <c r="W60" i="10"/>
  <c r="X60" i="10"/>
  <c r="Y60" i="10"/>
  <c r="Z60" i="10"/>
  <c r="S61" i="10"/>
  <c r="T61" i="10"/>
  <c r="U61" i="10"/>
  <c r="V61" i="10"/>
  <c r="W61" i="10"/>
  <c r="X61" i="10"/>
  <c r="Y61" i="10"/>
  <c r="Z61" i="10"/>
  <c r="S62" i="10"/>
  <c r="T62" i="10"/>
  <c r="U62" i="10"/>
  <c r="V62" i="10"/>
  <c r="W62" i="10"/>
  <c r="X62" i="10"/>
  <c r="Y62" i="10"/>
  <c r="Z62" i="10"/>
  <c r="S63" i="10"/>
  <c r="T63" i="10"/>
  <c r="U63" i="10"/>
  <c r="V63" i="10"/>
  <c r="W63" i="10"/>
  <c r="X63" i="10"/>
  <c r="Y63" i="10"/>
  <c r="Z63" i="10"/>
  <c r="S64" i="10"/>
  <c r="T64" i="10"/>
  <c r="U64" i="10"/>
  <c r="V64" i="10"/>
  <c r="W64" i="10"/>
  <c r="X64" i="10"/>
  <c r="Y64" i="10"/>
  <c r="Z64" i="10"/>
  <c r="S65" i="10"/>
  <c r="T65" i="10"/>
  <c r="U65" i="10"/>
  <c r="V65" i="10"/>
  <c r="W65" i="10"/>
  <c r="X65" i="10"/>
  <c r="Y65" i="10"/>
  <c r="Z65" i="10"/>
  <c r="S66" i="10"/>
  <c r="T66" i="10"/>
  <c r="U66" i="10"/>
  <c r="V66" i="10"/>
  <c r="W66" i="10"/>
  <c r="X66" i="10"/>
  <c r="Y66" i="10"/>
  <c r="Z66" i="10"/>
  <c r="S67" i="10"/>
  <c r="T67" i="10"/>
  <c r="U67" i="10"/>
  <c r="V67" i="10"/>
  <c r="W67" i="10"/>
  <c r="X67" i="10"/>
  <c r="Y67" i="10"/>
  <c r="Z67" i="10"/>
  <c r="S68" i="10"/>
  <c r="T68" i="10"/>
  <c r="U68" i="10"/>
  <c r="V68" i="10"/>
  <c r="W68" i="10"/>
  <c r="X68" i="10"/>
  <c r="Y68" i="10"/>
  <c r="Z68" i="10"/>
  <c r="S69" i="10"/>
  <c r="T69" i="10"/>
  <c r="U69" i="10"/>
  <c r="V69" i="10"/>
  <c r="W69" i="10"/>
  <c r="X69" i="10"/>
  <c r="Y69" i="10"/>
  <c r="Z69" i="10"/>
  <c r="S70" i="10"/>
  <c r="T70" i="10"/>
  <c r="U70" i="10"/>
  <c r="V70" i="10"/>
  <c r="W70" i="10"/>
  <c r="X70" i="10"/>
  <c r="Y70" i="10"/>
  <c r="Z70" i="10"/>
  <c r="S71" i="10"/>
  <c r="T71" i="10"/>
  <c r="U71" i="10"/>
  <c r="V71" i="10"/>
  <c r="W71" i="10"/>
  <c r="X71" i="10"/>
  <c r="Y71" i="10"/>
  <c r="Z71" i="10"/>
  <c r="S72" i="10"/>
  <c r="T72" i="10"/>
  <c r="U72" i="10"/>
  <c r="V72" i="10"/>
  <c r="W72" i="10"/>
  <c r="X72" i="10"/>
  <c r="Y72" i="10"/>
  <c r="Z72" i="10"/>
  <c r="S73" i="10"/>
  <c r="T73" i="10"/>
  <c r="U73" i="10"/>
  <c r="V73" i="10"/>
  <c r="W73" i="10"/>
  <c r="X73" i="10"/>
  <c r="Y73" i="10"/>
  <c r="Z73" i="10"/>
  <c r="S74" i="10"/>
  <c r="T74" i="10"/>
  <c r="U74" i="10"/>
  <c r="V74" i="10"/>
  <c r="W74" i="10"/>
  <c r="X74" i="10"/>
  <c r="Y74" i="10"/>
  <c r="Z74" i="10"/>
  <c r="S75" i="10"/>
  <c r="T75" i="10"/>
  <c r="U75" i="10"/>
  <c r="V75" i="10"/>
  <c r="W75" i="10"/>
  <c r="X75" i="10"/>
  <c r="Y75" i="10"/>
  <c r="Z75" i="10"/>
  <c r="S76" i="10"/>
  <c r="T76" i="10"/>
  <c r="U76" i="10"/>
  <c r="V76" i="10"/>
  <c r="W76" i="10"/>
  <c r="X76" i="10"/>
  <c r="Y76" i="10"/>
  <c r="Z76" i="10"/>
  <c r="S77" i="10"/>
  <c r="T77" i="10"/>
  <c r="U77" i="10"/>
  <c r="V77" i="10"/>
  <c r="W77" i="10"/>
  <c r="X77" i="10"/>
  <c r="Y77" i="10"/>
  <c r="Z77" i="10"/>
  <c r="S78" i="10"/>
  <c r="T78" i="10"/>
  <c r="U78" i="10"/>
  <c r="V78" i="10"/>
  <c r="W78" i="10"/>
  <c r="X78" i="10"/>
  <c r="Y78" i="10"/>
  <c r="Z78" i="10"/>
  <c r="S79" i="10"/>
  <c r="T79" i="10"/>
  <c r="U79" i="10"/>
  <c r="V79" i="10"/>
  <c r="W79" i="10"/>
  <c r="X79" i="10"/>
  <c r="Y79" i="10"/>
  <c r="Z79" i="10"/>
  <c r="S80" i="10"/>
  <c r="T80" i="10"/>
  <c r="U80" i="10"/>
  <c r="V80" i="10"/>
  <c r="W80" i="10"/>
  <c r="X80" i="10"/>
  <c r="Y80" i="10"/>
  <c r="Z80" i="10"/>
  <c r="S81" i="10"/>
  <c r="T81" i="10"/>
  <c r="U81" i="10"/>
  <c r="V81" i="10"/>
  <c r="W81" i="10"/>
  <c r="X81" i="10"/>
  <c r="Y81" i="10"/>
  <c r="Z81" i="10"/>
  <c r="S82" i="10"/>
  <c r="T82" i="10"/>
  <c r="U82" i="10"/>
  <c r="V82" i="10"/>
  <c r="W82" i="10"/>
  <c r="X82" i="10"/>
  <c r="Y82" i="10"/>
  <c r="Z82" i="10"/>
  <c r="S83" i="10"/>
  <c r="T83" i="10"/>
  <c r="U83" i="10"/>
  <c r="V83" i="10"/>
  <c r="W83" i="10"/>
  <c r="X83" i="10"/>
  <c r="Y83" i="10"/>
  <c r="Z83" i="10"/>
  <c r="S84" i="10"/>
  <c r="T84" i="10"/>
  <c r="U84" i="10"/>
  <c r="V84" i="10"/>
  <c r="W84" i="10"/>
  <c r="X84" i="10"/>
  <c r="Y84" i="10"/>
  <c r="Z84" i="10"/>
  <c r="S85" i="10"/>
  <c r="T85" i="10"/>
  <c r="U85" i="10"/>
  <c r="V85" i="10"/>
  <c r="W85" i="10"/>
  <c r="X85" i="10"/>
  <c r="Y85" i="10"/>
  <c r="Z85" i="10"/>
  <c r="S86" i="10"/>
  <c r="T86" i="10"/>
  <c r="U86" i="10"/>
  <c r="V86" i="10"/>
  <c r="W86" i="10"/>
  <c r="X86" i="10"/>
  <c r="Y86" i="10"/>
  <c r="Z86" i="10"/>
  <c r="S87" i="10"/>
  <c r="T87" i="10"/>
  <c r="U87" i="10"/>
  <c r="V87" i="10"/>
  <c r="W87" i="10"/>
  <c r="X87" i="10"/>
  <c r="Y87" i="10"/>
  <c r="Z87" i="10"/>
  <c r="S88" i="10"/>
  <c r="T88" i="10"/>
  <c r="U88" i="10"/>
  <c r="V88" i="10"/>
  <c r="W88" i="10"/>
  <c r="X88" i="10"/>
  <c r="Y88" i="10"/>
  <c r="Z88" i="10"/>
  <c r="S89" i="10"/>
  <c r="T89" i="10"/>
  <c r="U89" i="10"/>
  <c r="V89" i="10"/>
  <c r="W89" i="10"/>
  <c r="X89" i="10"/>
  <c r="Y89" i="10"/>
  <c r="Z89" i="10"/>
  <c r="S90" i="10"/>
  <c r="T90" i="10"/>
  <c r="U90" i="10"/>
  <c r="V90" i="10"/>
  <c r="W90" i="10"/>
  <c r="X90" i="10"/>
  <c r="Y90" i="10"/>
  <c r="Z90" i="10"/>
  <c r="S91" i="10"/>
  <c r="T91" i="10"/>
  <c r="U91" i="10"/>
  <c r="V91" i="10"/>
  <c r="W91" i="10"/>
  <c r="X91" i="10"/>
  <c r="Y91" i="10"/>
  <c r="Z91" i="10"/>
  <c r="S92" i="10"/>
  <c r="T92" i="10"/>
  <c r="U92" i="10"/>
  <c r="V92" i="10"/>
  <c r="W92" i="10"/>
  <c r="X92" i="10"/>
  <c r="Y92" i="10"/>
  <c r="Z92" i="10"/>
  <c r="Z2" i="10"/>
  <c r="Y2" i="10"/>
  <c r="X2" i="10"/>
  <c r="W2" i="10"/>
  <c r="V2" i="10"/>
  <c r="U2" i="10"/>
  <c r="T2" i="10"/>
  <c r="S2" i="10"/>
  <c r="R92" i="10"/>
  <c r="R91" i="10"/>
  <c r="R90" i="10"/>
  <c r="R89" i="10"/>
  <c r="R88" i="10"/>
  <c r="R87" i="10"/>
  <c r="R86" i="10"/>
  <c r="R85" i="10"/>
  <c r="R84" i="10"/>
  <c r="R83" i="10"/>
  <c r="R82" i="10"/>
  <c r="R81" i="10"/>
  <c r="R80" i="10"/>
  <c r="R79" i="10"/>
  <c r="R78" i="10"/>
  <c r="R77" i="10"/>
  <c r="R76" i="10"/>
  <c r="R75" i="10"/>
  <c r="R74" i="10"/>
  <c r="R73" i="10"/>
  <c r="R72" i="10"/>
  <c r="R71" i="10"/>
  <c r="R70" i="10"/>
  <c r="R69" i="10"/>
  <c r="R68" i="10"/>
  <c r="R67" i="10"/>
  <c r="R66" i="10"/>
  <c r="R65" i="10"/>
  <c r="R64" i="10"/>
  <c r="R63" i="10"/>
  <c r="R62" i="10"/>
  <c r="R61" i="10"/>
  <c r="R60" i="10"/>
  <c r="R59" i="10"/>
  <c r="R58" i="10"/>
  <c r="R57" i="10"/>
  <c r="R56" i="10"/>
  <c r="R55" i="10"/>
  <c r="R54" i="10"/>
  <c r="R53" i="10"/>
  <c r="R52" i="10"/>
  <c r="R51" i="10"/>
  <c r="R50" i="10"/>
  <c r="R49" i="10"/>
  <c r="R48" i="10"/>
  <c r="R47" i="10"/>
  <c r="R46" i="10"/>
  <c r="R45" i="10"/>
  <c r="R44" i="10"/>
  <c r="R43" i="10"/>
  <c r="R42" i="10"/>
  <c r="R41" i="10"/>
  <c r="R40" i="10"/>
  <c r="R39" i="10"/>
  <c r="R38" i="10"/>
  <c r="R37" i="10"/>
  <c r="R36" i="10"/>
  <c r="R35" i="10"/>
  <c r="R34" i="10"/>
  <c r="R33" i="10"/>
  <c r="R32" i="10"/>
  <c r="R31" i="10"/>
  <c r="R30" i="10"/>
  <c r="R29" i="10"/>
  <c r="R28" i="10"/>
  <c r="R27" i="10"/>
  <c r="R26" i="10"/>
  <c r="R25" i="10"/>
  <c r="R24" i="10"/>
  <c r="R23" i="10"/>
  <c r="R22" i="10"/>
  <c r="R21" i="10"/>
  <c r="R20" i="10"/>
  <c r="R19" i="10"/>
  <c r="R18" i="10"/>
  <c r="R17" i="10"/>
  <c r="R16" i="10"/>
  <c r="R15" i="10"/>
  <c r="R14" i="10"/>
  <c r="R13" i="10"/>
  <c r="R12" i="10"/>
  <c r="R11" i="10"/>
  <c r="R10" i="10"/>
  <c r="R9" i="10"/>
  <c r="R8" i="10"/>
  <c r="R7" i="10"/>
  <c r="R6" i="10"/>
  <c r="R5" i="10"/>
  <c r="R4" i="10"/>
  <c r="R3" i="10"/>
  <c r="R2" i="10"/>
  <c r="S3" i="9"/>
  <c r="T3" i="9"/>
  <c r="U3" i="9"/>
  <c r="V3" i="9"/>
  <c r="W3" i="9"/>
  <c r="Z3" i="9" s="1"/>
  <c r="X3" i="9"/>
  <c r="Y3" i="9"/>
  <c r="S4" i="9"/>
  <c r="T4" i="9"/>
  <c r="U4" i="9"/>
  <c r="V4" i="9"/>
  <c r="W4" i="9"/>
  <c r="Z4" i="9" s="1"/>
  <c r="X4" i="9"/>
  <c r="Y4" i="9"/>
  <c r="S5" i="9"/>
  <c r="T5" i="9"/>
  <c r="U5" i="9"/>
  <c r="V5" i="9"/>
  <c r="W5" i="9"/>
  <c r="Z5" i="9" s="1"/>
  <c r="X5" i="9"/>
  <c r="Y5" i="9"/>
  <c r="S6" i="9"/>
  <c r="T6" i="9"/>
  <c r="U6" i="9"/>
  <c r="Y6" i="9" s="1"/>
  <c r="V6" i="9"/>
  <c r="W6" i="9"/>
  <c r="Z6" i="9" s="1"/>
  <c r="X6" i="9"/>
  <c r="S7" i="9"/>
  <c r="T7" i="9"/>
  <c r="U7" i="9"/>
  <c r="Y7" i="9" s="1"/>
  <c r="V7" i="9"/>
  <c r="W7" i="9"/>
  <c r="Z7" i="9" s="1"/>
  <c r="X7" i="9"/>
  <c r="S8" i="9"/>
  <c r="T8" i="9"/>
  <c r="U8" i="9"/>
  <c r="Y8" i="9" s="1"/>
  <c r="V8" i="9"/>
  <c r="W8" i="9"/>
  <c r="Z8" i="9" s="1"/>
  <c r="X8" i="9"/>
  <c r="S9" i="9"/>
  <c r="T9" i="9"/>
  <c r="U9" i="9"/>
  <c r="Y9" i="9" s="1"/>
  <c r="V9" i="9"/>
  <c r="W9" i="9"/>
  <c r="Z9" i="9" s="1"/>
  <c r="X9" i="9"/>
  <c r="S10" i="9"/>
  <c r="T10" i="9"/>
  <c r="U10" i="9"/>
  <c r="Y10" i="9" s="1"/>
  <c r="V10" i="9"/>
  <c r="W10" i="9"/>
  <c r="Z10" i="9" s="1"/>
  <c r="X10" i="9"/>
  <c r="S11" i="9"/>
  <c r="T11" i="9"/>
  <c r="U11" i="9"/>
  <c r="Y11" i="9" s="1"/>
  <c r="V11" i="9"/>
  <c r="W11" i="9"/>
  <c r="Z11" i="9" s="1"/>
  <c r="X11" i="9"/>
  <c r="S12" i="9"/>
  <c r="T12" i="9"/>
  <c r="U12" i="9"/>
  <c r="Y12" i="9" s="1"/>
  <c r="V12" i="9"/>
  <c r="W12" i="9"/>
  <c r="Z12" i="9" s="1"/>
  <c r="X12" i="9"/>
  <c r="S13" i="9"/>
  <c r="T13" i="9"/>
  <c r="U13" i="9"/>
  <c r="Y13" i="9" s="1"/>
  <c r="V13" i="9"/>
  <c r="W13" i="9"/>
  <c r="Z13" i="9" s="1"/>
  <c r="X13" i="9"/>
  <c r="S14" i="9"/>
  <c r="T14" i="9"/>
  <c r="U14" i="9"/>
  <c r="Y14" i="9" s="1"/>
  <c r="V14" i="9"/>
  <c r="W14" i="9"/>
  <c r="Z14" i="9" s="1"/>
  <c r="X14" i="9"/>
  <c r="S15" i="9"/>
  <c r="T15" i="9"/>
  <c r="U15" i="9"/>
  <c r="Y15" i="9" s="1"/>
  <c r="V15" i="9"/>
  <c r="W15" i="9"/>
  <c r="Z15" i="9" s="1"/>
  <c r="X15" i="9"/>
  <c r="S16" i="9"/>
  <c r="T16" i="9"/>
  <c r="U16" i="9"/>
  <c r="Y16" i="9" s="1"/>
  <c r="V16" i="9"/>
  <c r="W16" i="9"/>
  <c r="Z16" i="9" s="1"/>
  <c r="X16" i="9"/>
  <c r="S17" i="9"/>
  <c r="T17" i="9"/>
  <c r="U17" i="9"/>
  <c r="Y17" i="9" s="1"/>
  <c r="V17" i="9"/>
  <c r="W17" i="9"/>
  <c r="Z17" i="9" s="1"/>
  <c r="X17" i="9"/>
  <c r="S18" i="9"/>
  <c r="T18" i="9"/>
  <c r="U18" i="9"/>
  <c r="Y18" i="9" s="1"/>
  <c r="V18" i="9"/>
  <c r="W18" i="9"/>
  <c r="Z18" i="9" s="1"/>
  <c r="X18" i="9"/>
  <c r="S19" i="9"/>
  <c r="T19" i="9"/>
  <c r="U19" i="9"/>
  <c r="Y19" i="9" s="1"/>
  <c r="V19" i="9"/>
  <c r="W19" i="9"/>
  <c r="Z19" i="9" s="1"/>
  <c r="X19" i="9"/>
  <c r="S20" i="9"/>
  <c r="T20" i="9"/>
  <c r="U20" i="9"/>
  <c r="Y20" i="9" s="1"/>
  <c r="V20" i="9"/>
  <c r="W20" i="9"/>
  <c r="Z20" i="9" s="1"/>
  <c r="X20" i="9"/>
  <c r="S21" i="9"/>
  <c r="T21" i="9"/>
  <c r="U21" i="9"/>
  <c r="Y21" i="9" s="1"/>
  <c r="V21" i="9"/>
  <c r="W21" i="9"/>
  <c r="Z21" i="9" s="1"/>
  <c r="X21" i="9"/>
  <c r="S22" i="9"/>
  <c r="T22" i="9"/>
  <c r="U22" i="9"/>
  <c r="Y22" i="9" s="1"/>
  <c r="V22" i="9"/>
  <c r="W22" i="9"/>
  <c r="Z22" i="9" s="1"/>
  <c r="X22" i="9"/>
  <c r="S23" i="9"/>
  <c r="T23" i="9"/>
  <c r="U23" i="9"/>
  <c r="Y23" i="9" s="1"/>
  <c r="V23" i="9"/>
  <c r="W23" i="9"/>
  <c r="Z23" i="9" s="1"/>
  <c r="X23" i="9"/>
  <c r="S24" i="9"/>
  <c r="T24" i="9"/>
  <c r="U24" i="9"/>
  <c r="Y24" i="9" s="1"/>
  <c r="V24" i="9"/>
  <c r="W24" i="9"/>
  <c r="Z24" i="9" s="1"/>
  <c r="X24" i="9"/>
  <c r="S25" i="9"/>
  <c r="T25" i="9"/>
  <c r="U25" i="9"/>
  <c r="Y25" i="9" s="1"/>
  <c r="V25" i="9"/>
  <c r="W25" i="9"/>
  <c r="Z25" i="9" s="1"/>
  <c r="X25" i="9"/>
  <c r="S26" i="9"/>
  <c r="T26" i="9"/>
  <c r="U26" i="9"/>
  <c r="Y26" i="9" s="1"/>
  <c r="V26" i="9"/>
  <c r="W26" i="9"/>
  <c r="Z26" i="9" s="1"/>
  <c r="X26" i="9"/>
  <c r="S27" i="9"/>
  <c r="T27" i="9"/>
  <c r="U27" i="9"/>
  <c r="Y27" i="9" s="1"/>
  <c r="V27" i="9"/>
  <c r="W27" i="9"/>
  <c r="Z27" i="9" s="1"/>
  <c r="X27" i="9"/>
  <c r="S28" i="9"/>
  <c r="T28" i="9"/>
  <c r="U28" i="9"/>
  <c r="Y28" i="9" s="1"/>
  <c r="V28" i="9"/>
  <c r="W28" i="9"/>
  <c r="Z28" i="9" s="1"/>
  <c r="X28" i="9"/>
  <c r="S29" i="9"/>
  <c r="T29" i="9"/>
  <c r="U29" i="9"/>
  <c r="Y29" i="9" s="1"/>
  <c r="V29" i="9"/>
  <c r="W29" i="9"/>
  <c r="Z29" i="9" s="1"/>
  <c r="X29" i="9"/>
  <c r="S30" i="9"/>
  <c r="T30" i="9"/>
  <c r="U30" i="9"/>
  <c r="Y30" i="9" s="1"/>
  <c r="V30" i="9"/>
  <c r="W30" i="9"/>
  <c r="Z30" i="9" s="1"/>
  <c r="X30" i="9"/>
  <c r="S31" i="9"/>
  <c r="T31" i="9"/>
  <c r="U31" i="9"/>
  <c r="Y31" i="9" s="1"/>
  <c r="V31" i="9"/>
  <c r="W31" i="9"/>
  <c r="Z31" i="9" s="1"/>
  <c r="X31" i="9"/>
  <c r="S32" i="9"/>
  <c r="T32" i="9"/>
  <c r="U32" i="9"/>
  <c r="Y32" i="9" s="1"/>
  <c r="V32" i="9"/>
  <c r="W32" i="9"/>
  <c r="Z32" i="9" s="1"/>
  <c r="X32" i="9"/>
  <c r="S33" i="9"/>
  <c r="T33" i="9"/>
  <c r="U33" i="9"/>
  <c r="Y33" i="9" s="1"/>
  <c r="V33" i="9"/>
  <c r="W33" i="9"/>
  <c r="Z33" i="9" s="1"/>
  <c r="X33" i="9"/>
  <c r="S34" i="9"/>
  <c r="T34" i="9"/>
  <c r="U34" i="9"/>
  <c r="Y34" i="9" s="1"/>
  <c r="V34" i="9"/>
  <c r="W34" i="9"/>
  <c r="Z34" i="9" s="1"/>
  <c r="X34" i="9"/>
  <c r="S35" i="9"/>
  <c r="T35" i="9"/>
  <c r="U35" i="9"/>
  <c r="Y35" i="9" s="1"/>
  <c r="V35" i="9"/>
  <c r="W35" i="9"/>
  <c r="Z35" i="9" s="1"/>
  <c r="X35" i="9"/>
  <c r="S36" i="9"/>
  <c r="T36" i="9"/>
  <c r="U36" i="9"/>
  <c r="Y36" i="9" s="1"/>
  <c r="V36" i="9"/>
  <c r="W36" i="9"/>
  <c r="Z36" i="9" s="1"/>
  <c r="X36" i="9"/>
  <c r="S37" i="9"/>
  <c r="T37" i="9"/>
  <c r="U37" i="9"/>
  <c r="Y37" i="9" s="1"/>
  <c r="V37" i="9"/>
  <c r="W37" i="9"/>
  <c r="Z37" i="9" s="1"/>
  <c r="X37" i="9"/>
  <c r="S38" i="9"/>
  <c r="T38" i="9"/>
  <c r="U38" i="9"/>
  <c r="Y38" i="9" s="1"/>
  <c r="V38" i="9"/>
  <c r="W38" i="9"/>
  <c r="Z38" i="9" s="1"/>
  <c r="X38" i="9"/>
  <c r="S39" i="9"/>
  <c r="T39" i="9"/>
  <c r="U39" i="9"/>
  <c r="Y39" i="9" s="1"/>
  <c r="V39" i="9"/>
  <c r="W39" i="9"/>
  <c r="Z39" i="9" s="1"/>
  <c r="X39" i="9"/>
  <c r="S40" i="9"/>
  <c r="T40" i="9"/>
  <c r="U40" i="9"/>
  <c r="Y40" i="9" s="1"/>
  <c r="V40" i="9"/>
  <c r="W40" i="9"/>
  <c r="Z40" i="9" s="1"/>
  <c r="X40" i="9"/>
  <c r="S41" i="9"/>
  <c r="T41" i="9"/>
  <c r="U41" i="9"/>
  <c r="Y41" i="9" s="1"/>
  <c r="V41" i="9"/>
  <c r="W41" i="9"/>
  <c r="Z41" i="9" s="1"/>
  <c r="X41" i="9"/>
  <c r="S42" i="9"/>
  <c r="T42" i="9"/>
  <c r="U42" i="9"/>
  <c r="Y42" i="9" s="1"/>
  <c r="V42" i="9"/>
  <c r="W42" i="9"/>
  <c r="X42" i="9"/>
  <c r="Z42" i="9"/>
  <c r="S43" i="9"/>
  <c r="T43" i="9"/>
  <c r="U43" i="9"/>
  <c r="Y43" i="9" s="1"/>
  <c r="V43" i="9"/>
  <c r="W43" i="9"/>
  <c r="X43" i="9"/>
  <c r="Z43" i="9"/>
  <c r="S44" i="9"/>
  <c r="T44" i="9"/>
  <c r="U44" i="9"/>
  <c r="Y44" i="9" s="1"/>
  <c r="V44" i="9"/>
  <c r="W44" i="9"/>
  <c r="X44" i="9"/>
  <c r="Z44" i="9"/>
  <c r="S45" i="9"/>
  <c r="T45" i="9"/>
  <c r="U45" i="9"/>
  <c r="Y45" i="9" s="1"/>
  <c r="V45" i="9"/>
  <c r="W45" i="9"/>
  <c r="X45" i="9"/>
  <c r="Z45" i="9"/>
  <c r="S46" i="9"/>
  <c r="T46" i="9"/>
  <c r="U46" i="9"/>
  <c r="Y46" i="9" s="1"/>
  <c r="V46" i="9"/>
  <c r="W46" i="9"/>
  <c r="X46" i="9"/>
  <c r="Z46" i="9"/>
  <c r="S47" i="9"/>
  <c r="T47" i="9"/>
  <c r="U47" i="9"/>
  <c r="Y47" i="9" s="1"/>
  <c r="V47" i="9"/>
  <c r="W47" i="9"/>
  <c r="X47" i="9"/>
  <c r="Z47" i="9"/>
  <c r="S48" i="9"/>
  <c r="T48" i="9"/>
  <c r="U48" i="9"/>
  <c r="Y48" i="9" s="1"/>
  <c r="V48" i="9"/>
  <c r="W48" i="9"/>
  <c r="X48" i="9"/>
  <c r="Z48" i="9"/>
  <c r="S49" i="9"/>
  <c r="T49" i="9"/>
  <c r="U49" i="9"/>
  <c r="Y49" i="9" s="1"/>
  <c r="V49" i="9"/>
  <c r="W49" i="9"/>
  <c r="X49" i="9"/>
  <c r="Z49" i="9"/>
  <c r="S50" i="9"/>
  <c r="T50" i="9"/>
  <c r="U50" i="9"/>
  <c r="Y50" i="9" s="1"/>
  <c r="V50" i="9"/>
  <c r="W50" i="9"/>
  <c r="X50" i="9"/>
  <c r="Z50" i="9"/>
  <c r="S51" i="9"/>
  <c r="T51" i="9"/>
  <c r="U51" i="9"/>
  <c r="Y51" i="9" s="1"/>
  <c r="V51" i="9"/>
  <c r="W51" i="9"/>
  <c r="X51" i="9"/>
  <c r="Z51" i="9"/>
  <c r="S52" i="9"/>
  <c r="T52" i="9"/>
  <c r="U52" i="9"/>
  <c r="Y52" i="9" s="1"/>
  <c r="V52" i="9"/>
  <c r="W52" i="9"/>
  <c r="X52" i="9"/>
  <c r="Z52" i="9"/>
  <c r="S53" i="9"/>
  <c r="T53" i="9"/>
  <c r="U53" i="9"/>
  <c r="Y53" i="9" s="1"/>
  <c r="V53" i="9"/>
  <c r="W53" i="9"/>
  <c r="X53" i="9"/>
  <c r="Z53" i="9"/>
  <c r="S54" i="9"/>
  <c r="T54" i="9"/>
  <c r="U54" i="9"/>
  <c r="Y54" i="9" s="1"/>
  <c r="V54" i="9"/>
  <c r="W54" i="9"/>
  <c r="X54" i="9"/>
  <c r="Z54" i="9"/>
  <c r="S55" i="9"/>
  <c r="T55" i="9"/>
  <c r="U55" i="9"/>
  <c r="Y55" i="9" s="1"/>
  <c r="V55" i="9"/>
  <c r="W55" i="9"/>
  <c r="X55" i="9"/>
  <c r="Z55" i="9"/>
  <c r="S56" i="9"/>
  <c r="T56" i="9"/>
  <c r="U56" i="9"/>
  <c r="Y56" i="9" s="1"/>
  <c r="V56" i="9"/>
  <c r="W56" i="9"/>
  <c r="X56" i="9"/>
  <c r="Z56" i="9"/>
  <c r="S57" i="9"/>
  <c r="T57" i="9"/>
  <c r="U57" i="9"/>
  <c r="Y57" i="9" s="1"/>
  <c r="V57" i="9"/>
  <c r="W57" i="9"/>
  <c r="X57" i="9"/>
  <c r="Z57" i="9"/>
  <c r="S58" i="9"/>
  <c r="T58" i="9"/>
  <c r="U58" i="9"/>
  <c r="Y58" i="9" s="1"/>
  <c r="V58" i="9"/>
  <c r="W58" i="9"/>
  <c r="X58" i="9"/>
  <c r="Z58" i="9"/>
  <c r="S59" i="9"/>
  <c r="T59" i="9"/>
  <c r="U59" i="9"/>
  <c r="Y59" i="9" s="1"/>
  <c r="V59" i="9"/>
  <c r="W59" i="9"/>
  <c r="X59" i="9"/>
  <c r="Z59" i="9"/>
  <c r="S60" i="9"/>
  <c r="T60" i="9"/>
  <c r="U60" i="9"/>
  <c r="Y60" i="9" s="1"/>
  <c r="V60" i="9"/>
  <c r="W60" i="9"/>
  <c r="X60" i="9"/>
  <c r="Z60" i="9"/>
  <c r="S61" i="9"/>
  <c r="T61" i="9"/>
  <c r="U61" i="9"/>
  <c r="Y61" i="9" s="1"/>
  <c r="V61" i="9"/>
  <c r="W61" i="9"/>
  <c r="X61" i="9"/>
  <c r="Z61" i="9"/>
  <c r="S62" i="9"/>
  <c r="T62" i="9"/>
  <c r="U62" i="9"/>
  <c r="Y62" i="9" s="1"/>
  <c r="V62" i="9"/>
  <c r="W62" i="9"/>
  <c r="X62" i="9"/>
  <c r="Z62" i="9"/>
  <c r="S63" i="9"/>
  <c r="T63" i="9"/>
  <c r="U63" i="9"/>
  <c r="Y63" i="9" s="1"/>
  <c r="V63" i="9"/>
  <c r="W63" i="9"/>
  <c r="X63" i="9"/>
  <c r="Z63" i="9"/>
  <c r="S64" i="9"/>
  <c r="T64" i="9"/>
  <c r="U64" i="9"/>
  <c r="Y64" i="9" s="1"/>
  <c r="V64" i="9"/>
  <c r="W64" i="9"/>
  <c r="X64" i="9"/>
  <c r="Z64" i="9"/>
  <c r="S65" i="9"/>
  <c r="T65" i="9"/>
  <c r="U65" i="9"/>
  <c r="Y65" i="9" s="1"/>
  <c r="V65" i="9"/>
  <c r="W65" i="9"/>
  <c r="X65" i="9"/>
  <c r="Z65" i="9"/>
  <c r="S66" i="9"/>
  <c r="T66" i="9"/>
  <c r="U66" i="9"/>
  <c r="Y66" i="9" s="1"/>
  <c r="V66" i="9"/>
  <c r="W66" i="9"/>
  <c r="X66" i="9"/>
  <c r="Z66" i="9"/>
  <c r="S67" i="9"/>
  <c r="T67" i="9"/>
  <c r="U67" i="9"/>
  <c r="Y67" i="9" s="1"/>
  <c r="V67" i="9"/>
  <c r="W67" i="9"/>
  <c r="X67" i="9"/>
  <c r="Z67" i="9"/>
  <c r="S68" i="9"/>
  <c r="T68" i="9"/>
  <c r="U68" i="9"/>
  <c r="V68" i="9"/>
  <c r="W68" i="9"/>
  <c r="X68" i="9"/>
  <c r="Y68" i="9"/>
  <c r="Z68" i="9"/>
  <c r="S69" i="9"/>
  <c r="T69" i="9"/>
  <c r="U69" i="9"/>
  <c r="V69" i="9"/>
  <c r="W69" i="9"/>
  <c r="X69" i="9"/>
  <c r="Y69" i="9"/>
  <c r="Z69" i="9"/>
  <c r="S70" i="9"/>
  <c r="T70" i="9"/>
  <c r="U70" i="9"/>
  <c r="Y70" i="9" s="1"/>
  <c r="V70" i="9"/>
  <c r="W70" i="9"/>
  <c r="X70" i="9"/>
  <c r="Z70" i="9"/>
  <c r="S71" i="9"/>
  <c r="T71" i="9"/>
  <c r="U71" i="9"/>
  <c r="Y71" i="9" s="1"/>
  <c r="V71" i="9"/>
  <c r="W71" i="9"/>
  <c r="X71" i="9"/>
  <c r="Z71" i="9"/>
  <c r="S72" i="9"/>
  <c r="T72" i="9"/>
  <c r="U72" i="9"/>
  <c r="Y72" i="9" s="1"/>
  <c r="V72" i="9"/>
  <c r="W72" i="9"/>
  <c r="X72" i="9"/>
  <c r="Z72" i="9"/>
  <c r="S73" i="9"/>
  <c r="T73" i="9"/>
  <c r="U73" i="9"/>
  <c r="Y73" i="9" s="1"/>
  <c r="V73" i="9"/>
  <c r="W73" i="9"/>
  <c r="X73" i="9"/>
  <c r="Z73" i="9"/>
  <c r="S74" i="9"/>
  <c r="T74" i="9"/>
  <c r="U74" i="9"/>
  <c r="Y74" i="9" s="1"/>
  <c r="V74" i="9"/>
  <c r="W74" i="9"/>
  <c r="X74" i="9"/>
  <c r="Z74" i="9"/>
  <c r="S75" i="9"/>
  <c r="T75" i="9"/>
  <c r="U75" i="9"/>
  <c r="Y75" i="9" s="1"/>
  <c r="V75" i="9"/>
  <c r="W75" i="9"/>
  <c r="X75" i="9"/>
  <c r="Z75" i="9"/>
  <c r="S76" i="9"/>
  <c r="T76" i="9"/>
  <c r="U76" i="9"/>
  <c r="Y76" i="9" s="1"/>
  <c r="V76" i="9"/>
  <c r="W76" i="9"/>
  <c r="X76" i="9"/>
  <c r="Z76" i="9"/>
  <c r="S77" i="9"/>
  <c r="T77" i="9"/>
  <c r="U77" i="9"/>
  <c r="Y77" i="9" s="1"/>
  <c r="V77" i="9"/>
  <c r="W77" i="9"/>
  <c r="X77" i="9"/>
  <c r="Z77" i="9"/>
  <c r="S78" i="9"/>
  <c r="T78" i="9"/>
  <c r="U78" i="9"/>
  <c r="Y78" i="9" s="1"/>
  <c r="V78" i="9"/>
  <c r="W78" i="9"/>
  <c r="X78" i="9"/>
  <c r="Z78" i="9"/>
  <c r="S79" i="9"/>
  <c r="T79" i="9"/>
  <c r="U79" i="9"/>
  <c r="Y79" i="9" s="1"/>
  <c r="V79" i="9"/>
  <c r="W79" i="9"/>
  <c r="X79" i="9"/>
  <c r="Z79" i="9"/>
  <c r="S80" i="9"/>
  <c r="T80" i="9"/>
  <c r="U80" i="9"/>
  <c r="Y80" i="9" s="1"/>
  <c r="V80" i="9"/>
  <c r="W80" i="9"/>
  <c r="X80" i="9"/>
  <c r="Z80" i="9"/>
  <c r="S81" i="9"/>
  <c r="T81" i="9"/>
  <c r="U81" i="9"/>
  <c r="Y81" i="9" s="1"/>
  <c r="V81" i="9"/>
  <c r="W81" i="9"/>
  <c r="X81" i="9"/>
  <c r="Z81" i="9"/>
  <c r="S82" i="9"/>
  <c r="T82" i="9"/>
  <c r="U82" i="9"/>
  <c r="Y82" i="9" s="1"/>
  <c r="V82" i="9"/>
  <c r="W82" i="9"/>
  <c r="X82" i="9"/>
  <c r="Z82" i="9"/>
  <c r="S83" i="9"/>
  <c r="T83" i="9"/>
  <c r="U83" i="9"/>
  <c r="Y83" i="9" s="1"/>
  <c r="V83" i="9"/>
  <c r="W83" i="9"/>
  <c r="X83" i="9"/>
  <c r="Z83" i="9"/>
  <c r="S84" i="9"/>
  <c r="T84" i="9"/>
  <c r="U84" i="9"/>
  <c r="Y84" i="9" s="1"/>
  <c r="V84" i="9"/>
  <c r="W84" i="9"/>
  <c r="X84" i="9"/>
  <c r="Z84" i="9"/>
  <c r="S85" i="9"/>
  <c r="T85" i="9"/>
  <c r="U85" i="9"/>
  <c r="Y85" i="9" s="1"/>
  <c r="V85" i="9"/>
  <c r="W85" i="9"/>
  <c r="X85" i="9"/>
  <c r="Z85" i="9"/>
  <c r="S86" i="9"/>
  <c r="T86" i="9"/>
  <c r="U86" i="9"/>
  <c r="Y86" i="9" s="1"/>
  <c r="V86" i="9"/>
  <c r="W86" i="9"/>
  <c r="X86" i="9"/>
  <c r="Z86" i="9"/>
  <c r="S87" i="9"/>
  <c r="T87" i="9"/>
  <c r="U87" i="9"/>
  <c r="Y87" i="9" s="1"/>
  <c r="V87" i="9"/>
  <c r="W87" i="9"/>
  <c r="X87" i="9"/>
  <c r="Z87" i="9"/>
  <c r="S88" i="9"/>
  <c r="T88" i="9"/>
  <c r="U88" i="9"/>
  <c r="Y88" i="9" s="1"/>
  <c r="V88" i="9"/>
  <c r="W88" i="9"/>
  <c r="X88" i="9"/>
  <c r="Z88" i="9"/>
  <c r="S89" i="9"/>
  <c r="T89" i="9"/>
  <c r="U89" i="9"/>
  <c r="Y89" i="9" s="1"/>
  <c r="V89" i="9"/>
  <c r="W89" i="9"/>
  <c r="X89" i="9"/>
  <c r="Z89" i="9"/>
  <c r="S90" i="9"/>
  <c r="T90" i="9"/>
  <c r="U90" i="9"/>
  <c r="Y90" i="9" s="1"/>
  <c r="V90" i="9"/>
  <c r="W90" i="9"/>
  <c r="X90" i="9"/>
  <c r="Z90" i="9"/>
  <c r="S91" i="9"/>
  <c r="T91" i="9"/>
  <c r="U91" i="9"/>
  <c r="Y91" i="9" s="1"/>
  <c r="V91" i="9"/>
  <c r="W91" i="9"/>
  <c r="X91" i="9"/>
  <c r="Z91" i="9"/>
  <c r="S92" i="9"/>
  <c r="T92" i="9"/>
  <c r="U92" i="9"/>
  <c r="Y92" i="9" s="1"/>
  <c r="V92" i="9"/>
  <c r="W92" i="9"/>
  <c r="X92" i="9"/>
  <c r="Z92" i="9"/>
  <c r="Z2" i="9"/>
  <c r="Y2" i="9"/>
  <c r="X2" i="9"/>
  <c r="W2" i="9"/>
  <c r="V2" i="9"/>
  <c r="U2" i="9"/>
  <c r="T2" i="9"/>
  <c r="S2" i="9"/>
  <c r="R92" i="9"/>
  <c r="R91" i="9"/>
  <c r="R90" i="9"/>
  <c r="R89" i="9"/>
  <c r="R88" i="9"/>
  <c r="R87" i="9"/>
  <c r="R86" i="9"/>
  <c r="R85" i="9"/>
  <c r="R84" i="9"/>
  <c r="R83" i="9"/>
  <c r="R82" i="9"/>
  <c r="R81" i="9"/>
  <c r="R80" i="9"/>
  <c r="R79" i="9"/>
  <c r="R78" i="9"/>
  <c r="R77" i="9"/>
  <c r="R76" i="9"/>
  <c r="R75" i="9"/>
  <c r="R74" i="9"/>
  <c r="R73" i="9"/>
  <c r="R72" i="9"/>
  <c r="R71" i="9"/>
  <c r="R70" i="9"/>
  <c r="R69" i="9"/>
  <c r="R68" i="9"/>
  <c r="R67" i="9"/>
  <c r="R66" i="9"/>
  <c r="R65" i="9"/>
  <c r="R64" i="9"/>
  <c r="R63" i="9"/>
  <c r="R62" i="9"/>
  <c r="R61" i="9"/>
  <c r="R60" i="9"/>
  <c r="R59" i="9"/>
  <c r="R58" i="9"/>
  <c r="R57" i="9"/>
  <c r="R56" i="9"/>
  <c r="R55" i="9"/>
  <c r="R54" i="9"/>
  <c r="R53" i="9"/>
  <c r="R52" i="9"/>
  <c r="R51" i="9"/>
  <c r="R50" i="9"/>
  <c r="R49" i="9"/>
  <c r="R48" i="9"/>
  <c r="R47" i="9"/>
  <c r="R46" i="9"/>
  <c r="R45" i="9"/>
  <c r="R44" i="9"/>
  <c r="R43" i="9"/>
  <c r="R42" i="9"/>
  <c r="R41" i="9"/>
  <c r="R40" i="9"/>
  <c r="R39" i="9"/>
  <c r="R38" i="9"/>
  <c r="R37" i="9"/>
  <c r="R36" i="9"/>
  <c r="R35" i="9"/>
  <c r="R34" i="9"/>
  <c r="R33" i="9"/>
  <c r="R32" i="9"/>
  <c r="R31" i="9"/>
  <c r="R30" i="9"/>
  <c r="R29" i="9"/>
  <c r="R28" i="9"/>
  <c r="R27" i="9"/>
  <c r="R26" i="9"/>
  <c r="R25" i="9"/>
  <c r="R24" i="9"/>
  <c r="R23" i="9"/>
  <c r="R22" i="9"/>
  <c r="R21" i="9"/>
  <c r="R20" i="9"/>
  <c r="R19" i="9"/>
  <c r="R18" i="9"/>
  <c r="R17" i="9"/>
  <c r="R16" i="9"/>
  <c r="R15" i="9"/>
  <c r="R14" i="9"/>
  <c r="R13" i="9"/>
  <c r="R12" i="9"/>
  <c r="R11" i="9"/>
  <c r="R10" i="9"/>
  <c r="R9" i="9"/>
  <c r="R8" i="9"/>
  <c r="R7" i="9"/>
  <c r="R6" i="9"/>
  <c r="R5" i="9"/>
  <c r="R4" i="9"/>
  <c r="R3" i="9"/>
  <c r="R2" i="9"/>
  <c r="Z3" i="8"/>
  <c r="Z4" i="8"/>
  <c r="Z5" i="8"/>
  <c r="Z6" i="8"/>
  <c r="Z7" i="8"/>
  <c r="Z8" i="8"/>
  <c r="Z9" i="8"/>
  <c r="Z10" i="8"/>
  <c r="Z11" i="8"/>
  <c r="Z12" i="8"/>
  <c r="Z13" i="8"/>
  <c r="Z14" i="8"/>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2" i="8"/>
  <c r="Y3" i="8"/>
  <c r="Y4" i="8"/>
  <c r="Y5"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4" i="8"/>
  <c r="Y35" i="8"/>
  <c r="Y36" i="8"/>
  <c r="Y37" i="8"/>
  <c r="Y38" i="8"/>
  <c r="Y39" i="8"/>
  <c r="Y40" i="8"/>
  <c r="Y41" i="8"/>
  <c r="Y42" i="8"/>
  <c r="Y43"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92" i="8"/>
  <c r="Y2" i="8"/>
  <c r="S3" i="8"/>
  <c r="T3" i="8"/>
  <c r="U3" i="8"/>
  <c r="V3" i="8"/>
  <c r="W3" i="8"/>
  <c r="X3" i="8"/>
  <c r="S4" i="8"/>
  <c r="T4" i="8"/>
  <c r="U4" i="8"/>
  <c r="V4" i="8"/>
  <c r="W4" i="8"/>
  <c r="X4" i="8"/>
  <c r="S5" i="8"/>
  <c r="T5" i="8"/>
  <c r="U5" i="8"/>
  <c r="V5" i="8"/>
  <c r="W5" i="8"/>
  <c r="X5" i="8"/>
  <c r="S6" i="8"/>
  <c r="T6" i="8"/>
  <c r="U6" i="8"/>
  <c r="V6" i="8"/>
  <c r="W6" i="8"/>
  <c r="X6" i="8"/>
  <c r="S7" i="8"/>
  <c r="T7" i="8"/>
  <c r="U7" i="8"/>
  <c r="V7" i="8"/>
  <c r="W7" i="8"/>
  <c r="X7" i="8"/>
  <c r="S8" i="8"/>
  <c r="T8" i="8"/>
  <c r="U8" i="8"/>
  <c r="V8" i="8"/>
  <c r="W8" i="8"/>
  <c r="X8" i="8"/>
  <c r="S9" i="8"/>
  <c r="T9" i="8"/>
  <c r="U9" i="8"/>
  <c r="V9" i="8"/>
  <c r="W9" i="8"/>
  <c r="X9" i="8"/>
  <c r="S10" i="8"/>
  <c r="T10" i="8"/>
  <c r="U10" i="8"/>
  <c r="V10" i="8"/>
  <c r="W10" i="8"/>
  <c r="X10" i="8"/>
  <c r="S11" i="8"/>
  <c r="T11" i="8"/>
  <c r="U11" i="8"/>
  <c r="V11" i="8"/>
  <c r="W11" i="8"/>
  <c r="X11" i="8"/>
  <c r="S12" i="8"/>
  <c r="T12" i="8"/>
  <c r="U12" i="8"/>
  <c r="V12" i="8"/>
  <c r="W12" i="8"/>
  <c r="X12" i="8"/>
  <c r="S13" i="8"/>
  <c r="T13" i="8"/>
  <c r="U13" i="8"/>
  <c r="V13" i="8"/>
  <c r="W13" i="8"/>
  <c r="X13" i="8"/>
  <c r="S14" i="8"/>
  <c r="T14" i="8"/>
  <c r="U14" i="8"/>
  <c r="V14" i="8"/>
  <c r="W14" i="8"/>
  <c r="X14" i="8"/>
  <c r="S15" i="8"/>
  <c r="T15" i="8"/>
  <c r="U15" i="8"/>
  <c r="V15" i="8"/>
  <c r="W15" i="8"/>
  <c r="X15" i="8"/>
  <c r="S16" i="8"/>
  <c r="T16" i="8"/>
  <c r="U16" i="8"/>
  <c r="V16" i="8"/>
  <c r="W16" i="8"/>
  <c r="X16" i="8"/>
  <c r="S17" i="8"/>
  <c r="T17" i="8"/>
  <c r="U17" i="8"/>
  <c r="V17" i="8"/>
  <c r="W17" i="8"/>
  <c r="X17" i="8"/>
  <c r="S18" i="8"/>
  <c r="T18" i="8"/>
  <c r="U18" i="8"/>
  <c r="V18" i="8"/>
  <c r="W18" i="8"/>
  <c r="X18" i="8"/>
  <c r="S19" i="8"/>
  <c r="T19" i="8"/>
  <c r="U19" i="8"/>
  <c r="V19" i="8"/>
  <c r="W19" i="8"/>
  <c r="X19" i="8"/>
  <c r="S20" i="8"/>
  <c r="T20" i="8"/>
  <c r="U20" i="8"/>
  <c r="V20" i="8"/>
  <c r="W20" i="8"/>
  <c r="X20" i="8"/>
  <c r="S21" i="8"/>
  <c r="T21" i="8"/>
  <c r="U21" i="8"/>
  <c r="V21" i="8"/>
  <c r="W21" i="8"/>
  <c r="X21" i="8"/>
  <c r="S22" i="8"/>
  <c r="T22" i="8"/>
  <c r="U22" i="8"/>
  <c r="V22" i="8"/>
  <c r="W22" i="8"/>
  <c r="X22" i="8"/>
  <c r="S23" i="8"/>
  <c r="T23" i="8"/>
  <c r="U23" i="8"/>
  <c r="V23" i="8"/>
  <c r="W23" i="8"/>
  <c r="X23" i="8"/>
  <c r="S24" i="8"/>
  <c r="T24" i="8"/>
  <c r="U24" i="8"/>
  <c r="V24" i="8"/>
  <c r="W24" i="8"/>
  <c r="X24" i="8"/>
  <c r="S25" i="8"/>
  <c r="T25" i="8"/>
  <c r="U25" i="8"/>
  <c r="V25" i="8"/>
  <c r="W25" i="8"/>
  <c r="X25" i="8"/>
  <c r="S26" i="8"/>
  <c r="T26" i="8"/>
  <c r="U26" i="8"/>
  <c r="V26" i="8"/>
  <c r="W26" i="8"/>
  <c r="X26" i="8"/>
  <c r="S27" i="8"/>
  <c r="T27" i="8"/>
  <c r="U27" i="8"/>
  <c r="V27" i="8"/>
  <c r="W27" i="8"/>
  <c r="X27" i="8"/>
  <c r="S28" i="8"/>
  <c r="T28" i="8"/>
  <c r="U28" i="8"/>
  <c r="V28" i="8"/>
  <c r="W28" i="8"/>
  <c r="X28" i="8"/>
  <c r="S29" i="8"/>
  <c r="T29" i="8"/>
  <c r="U29" i="8"/>
  <c r="V29" i="8"/>
  <c r="W29" i="8"/>
  <c r="X29" i="8"/>
  <c r="S30" i="8"/>
  <c r="T30" i="8"/>
  <c r="U30" i="8"/>
  <c r="V30" i="8"/>
  <c r="W30" i="8"/>
  <c r="X30" i="8"/>
  <c r="S31" i="8"/>
  <c r="T31" i="8"/>
  <c r="U31" i="8"/>
  <c r="V31" i="8"/>
  <c r="W31" i="8"/>
  <c r="X31" i="8"/>
  <c r="S32" i="8"/>
  <c r="T32" i="8"/>
  <c r="U32" i="8"/>
  <c r="V32" i="8"/>
  <c r="W32" i="8"/>
  <c r="X32" i="8"/>
  <c r="S33" i="8"/>
  <c r="T33" i="8"/>
  <c r="U33" i="8"/>
  <c r="V33" i="8"/>
  <c r="W33" i="8"/>
  <c r="X33" i="8"/>
  <c r="S34" i="8"/>
  <c r="T34" i="8"/>
  <c r="U34" i="8"/>
  <c r="V34" i="8"/>
  <c r="W34" i="8"/>
  <c r="X34" i="8"/>
  <c r="S35" i="8"/>
  <c r="T35" i="8"/>
  <c r="U35" i="8"/>
  <c r="V35" i="8"/>
  <c r="W35" i="8"/>
  <c r="X35" i="8"/>
  <c r="S36" i="8"/>
  <c r="T36" i="8"/>
  <c r="U36" i="8"/>
  <c r="V36" i="8"/>
  <c r="W36" i="8"/>
  <c r="X36" i="8"/>
  <c r="S37" i="8"/>
  <c r="T37" i="8"/>
  <c r="U37" i="8"/>
  <c r="V37" i="8"/>
  <c r="W37" i="8"/>
  <c r="X37" i="8"/>
  <c r="S38" i="8"/>
  <c r="T38" i="8"/>
  <c r="U38" i="8"/>
  <c r="V38" i="8"/>
  <c r="W38" i="8"/>
  <c r="X38" i="8"/>
  <c r="S39" i="8"/>
  <c r="T39" i="8"/>
  <c r="U39" i="8"/>
  <c r="V39" i="8"/>
  <c r="W39" i="8"/>
  <c r="X39" i="8"/>
  <c r="S40" i="8"/>
  <c r="T40" i="8"/>
  <c r="U40" i="8"/>
  <c r="V40" i="8"/>
  <c r="W40" i="8"/>
  <c r="X40" i="8"/>
  <c r="S41" i="8"/>
  <c r="T41" i="8"/>
  <c r="U41" i="8"/>
  <c r="V41" i="8"/>
  <c r="W41" i="8"/>
  <c r="X41" i="8"/>
  <c r="S42" i="8"/>
  <c r="T42" i="8"/>
  <c r="U42" i="8"/>
  <c r="V42" i="8"/>
  <c r="W42" i="8"/>
  <c r="X42" i="8"/>
  <c r="S43" i="8"/>
  <c r="T43" i="8"/>
  <c r="U43" i="8"/>
  <c r="V43" i="8"/>
  <c r="W43" i="8"/>
  <c r="X43" i="8"/>
  <c r="S44" i="8"/>
  <c r="T44" i="8"/>
  <c r="U44" i="8"/>
  <c r="V44" i="8"/>
  <c r="W44" i="8"/>
  <c r="X44" i="8"/>
  <c r="S45" i="8"/>
  <c r="T45" i="8"/>
  <c r="U45" i="8"/>
  <c r="V45" i="8"/>
  <c r="W45" i="8"/>
  <c r="X45" i="8"/>
  <c r="S46" i="8"/>
  <c r="T46" i="8"/>
  <c r="U46" i="8"/>
  <c r="V46" i="8"/>
  <c r="W46" i="8"/>
  <c r="X46" i="8"/>
  <c r="S47" i="8"/>
  <c r="T47" i="8"/>
  <c r="U47" i="8"/>
  <c r="V47" i="8"/>
  <c r="W47" i="8"/>
  <c r="X47" i="8"/>
  <c r="S48" i="8"/>
  <c r="T48" i="8"/>
  <c r="U48" i="8"/>
  <c r="V48" i="8"/>
  <c r="W48" i="8"/>
  <c r="X48" i="8"/>
  <c r="S49" i="8"/>
  <c r="T49" i="8"/>
  <c r="U49" i="8"/>
  <c r="V49" i="8"/>
  <c r="W49" i="8"/>
  <c r="X49" i="8"/>
  <c r="S50" i="8"/>
  <c r="T50" i="8"/>
  <c r="U50" i="8"/>
  <c r="V50" i="8"/>
  <c r="W50" i="8"/>
  <c r="X50" i="8"/>
  <c r="S51" i="8"/>
  <c r="T51" i="8"/>
  <c r="U51" i="8"/>
  <c r="V51" i="8"/>
  <c r="W51" i="8"/>
  <c r="X51" i="8"/>
  <c r="S52" i="8"/>
  <c r="T52" i="8"/>
  <c r="U52" i="8"/>
  <c r="V52" i="8"/>
  <c r="W52" i="8"/>
  <c r="X52" i="8"/>
  <c r="S53" i="8"/>
  <c r="T53" i="8"/>
  <c r="U53" i="8"/>
  <c r="V53" i="8"/>
  <c r="W53" i="8"/>
  <c r="X53" i="8"/>
  <c r="S54" i="8"/>
  <c r="T54" i="8"/>
  <c r="U54" i="8"/>
  <c r="V54" i="8"/>
  <c r="W54" i="8"/>
  <c r="X54" i="8"/>
  <c r="S55" i="8"/>
  <c r="T55" i="8"/>
  <c r="U55" i="8"/>
  <c r="V55" i="8"/>
  <c r="W55" i="8"/>
  <c r="X55" i="8"/>
  <c r="S56" i="8"/>
  <c r="T56" i="8"/>
  <c r="U56" i="8"/>
  <c r="V56" i="8"/>
  <c r="W56" i="8"/>
  <c r="X56" i="8"/>
  <c r="S57" i="8"/>
  <c r="T57" i="8"/>
  <c r="U57" i="8"/>
  <c r="V57" i="8"/>
  <c r="W57" i="8"/>
  <c r="X57" i="8"/>
  <c r="S58" i="8"/>
  <c r="T58" i="8"/>
  <c r="U58" i="8"/>
  <c r="V58" i="8"/>
  <c r="W58" i="8"/>
  <c r="X58" i="8"/>
  <c r="S59" i="8"/>
  <c r="T59" i="8"/>
  <c r="U59" i="8"/>
  <c r="V59" i="8"/>
  <c r="W59" i="8"/>
  <c r="X59" i="8"/>
  <c r="S60" i="8"/>
  <c r="T60" i="8"/>
  <c r="U60" i="8"/>
  <c r="V60" i="8"/>
  <c r="W60" i="8"/>
  <c r="X60" i="8"/>
  <c r="S61" i="8"/>
  <c r="T61" i="8"/>
  <c r="U61" i="8"/>
  <c r="V61" i="8"/>
  <c r="W61" i="8"/>
  <c r="X61" i="8"/>
  <c r="S62" i="8"/>
  <c r="T62" i="8"/>
  <c r="U62" i="8"/>
  <c r="V62" i="8"/>
  <c r="W62" i="8"/>
  <c r="X62" i="8"/>
  <c r="S63" i="8"/>
  <c r="T63" i="8"/>
  <c r="U63" i="8"/>
  <c r="V63" i="8"/>
  <c r="W63" i="8"/>
  <c r="X63" i="8"/>
  <c r="S64" i="8"/>
  <c r="T64" i="8"/>
  <c r="U64" i="8"/>
  <c r="V64" i="8"/>
  <c r="W64" i="8"/>
  <c r="X64" i="8"/>
  <c r="S65" i="8"/>
  <c r="T65" i="8"/>
  <c r="U65" i="8"/>
  <c r="V65" i="8"/>
  <c r="W65" i="8"/>
  <c r="X65" i="8"/>
  <c r="S66" i="8"/>
  <c r="T66" i="8"/>
  <c r="U66" i="8"/>
  <c r="V66" i="8"/>
  <c r="W66" i="8"/>
  <c r="X66" i="8"/>
  <c r="S67" i="8"/>
  <c r="T67" i="8"/>
  <c r="U67" i="8"/>
  <c r="V67" i="8"/>
  <c r="W67" i="8"/>
  <c r="X67" i="8"/>
  <c r="S68" i="8"/>
  <c r="T68" i="8"/>
  <c r="U68" i="8"/>
  <c r="V68" i="8"/>
  <c r="W68" i="8"/>
  <c r="X68" i="8"/>
  <c r="S69" i="8"/>
  <c r="T69" i="8"/>
  <c r="U69" i="8"/>
  <c r="V69" i="8"/>
  <c r="W69" i="8"/>
  <c r="X69" i="8"/>
  <c r="S70" i="8"/>
  <c r="T70" i="8"/>
  <c r="U70" i="8"/>
  <c r="V70" i="8"/>
  <c r="W70" i="8"/>
  <c r="X70" i="8"/>
  <c r="S71" i="8"/>
  <c r="T71" i="8"/>
  <c r="U71" i="8"/>
  <c r="V71" i="8"/>
  <c r="W71" i="8"/>
  <c r="X71" i="8"/>
  <c r="S72" i="8"/>
  <c r="T72" i="8"/>
  <c r="U72" i="8"/>
  <c r="V72" i="8"/>
  <c r="W72" i="8"/>
  <c r="X72" i="8"/>
  <c r="S73" i="8"/>
  <c r="T73" i="8"/>
  <c r="U73" i="8"/>
  <c r="V73" i="8"/>
  <c r="W73" i="8"/>
  <c r="X73" i="8"/>
  <c r="S74" i="8"/>
  <c r="T74" i="8"/>
  <c r="U74" i="8"/>
  <c r="V74" i="8"/>
  <c r="W74" i="8"/>
  <c r="X74" i="8"/>
  <c r="S75" i="8"/>
  <c r="T75" i="8"/>
  <c r="U75" i="8"/>
  <c r="V75" i="8"/>
  <c r="W75" i="8"/>
  <c r="X75" i="8"/>
  <c r="S76" i="8"/>
  <c r="T76" i="8"/>
  <c r="U76" i="8"/>
  <c r="V76" i="8"/>
  <c r="W76" i="8"/>
  <c r="X76" i="8"/>
  <c r="S77" i="8"/>
  <c r="T77" i="8"/>
  <c r="U77" i="8"/>
  <c r="V77" i="8"/>
  <c r="W77" i="8"/>
  <c r="X77" i="8"/>
  <c r="S78" i="8"/>
  <c r="T78" i="8"/>
  <c r="U78" i="8"/>
  <c r="V78" i="8"/>
  <c r="W78" i="8"/>
  <c r="X78" i="8"/>
  <c r="S79" i="8"/>
  <c r="T79" i="8"/>
  <c r="U79" i="8"/>
  <c r="V79" i="8"/>
  <c r="W79" i="8"/>
  <c r="X79" i="8"/>
  <c r="S80" i="8"/>
  <c r="T80" i="8"/>
  <c r="U80" i="8"/>
  <c r="V80" i="8"/>
  <c r="W80" i="8"/>
  <c r="X80" i="8"/>
  <c r="S81" i="8"/>
  <c r="T81" i="8"/>
  <c r="U81" i="8"/>
  <c r="V81" i="8"/>
  <c r="W81" i="8"/>
  <c r="X81" i="8"/>
  <c r="S82" i="8"/>
  <c r="T82" i="8"/>
  <c r="U82" i="8"/>
  <c r="V82" i="8"/>
  <c r="W82" i="8"/>
  <c r="X82" i="8"/>
  <c r="S83" i="8"/>
  <c r="T83" i="8"/>
  <c r="U83" i="8"/>
  <c r="V83" i="8"/>
  <c r="W83" i="8"/>
  <c r="X83" i="8"/>
  <c r="S84" i="8"/>
  <c r="T84" i="8"/>
  <c r="U84" i="8"/>
  <c r="V84" i="8"/>
  <c r="W84" i="8"/>
  <c r="X84" i="8"/>
  <c r="S85" i="8"/>
  <c r="T85" i="8"/>
  <c r="U85" i="8"/>
  <c r="V85" i="8"/>
  <c r="W85" i="8"/>
  <c r="X85" i="8"/>
  <c r="S86" i="8"/>
  <c r="T86" i="8"/>
  <c r="U86" i="8"/>
  <c r="V86" i="8"/>
  <c r="W86" i="8"/>
  <c r="X86" i="8"/>
  <c r="S87" i="8"/>
  <c r="T87" i="8"/>
  <c r="U87" i="8"/>
  <c r="V87" i="8"/>
  <c r="W87" i="8"/>
  <c r="X87" i="8"/>
  <c r="S88" i="8"/>
  <c r="T88" i="8"/>
  <c r="U88" i="8"/>
  <c r="V88" i="8"/>
  <c r="W88" i="8"/>
  <c r="X88" i="8"/>
  <c r="S89" i="8"/>
  <c r="T89" i="8"/>
  <c r="U89" i="8"/>
  <c r="V89" i="8"/>
  <c r="W89" i="8"/>
  <c r="X89" i="8"/>
  <c r="S90" i="8"/>
  <c r="T90" i="8"/>
  <c r="U90" i="8"/>
  <c r="V90" i="8"/>
  <c r="W90" i="8"/>
  <c r="X90" i="8"/>
  <c r="S91" i="8"/>
  <c r="T91" i="8"/>
  <c r="U91" i="8"/>
  <c r="V91" i="8"/>
  <c r="W91" i="8"/>
  <c r="X91" i="8"/>
  <c r="S92" i="8"/>
  <c r="T92" i="8"/>
  <c r="U92" i="8"/>
  <c r="V92" i="8"/>
  <c r="W92" i="8"/>
  <c r="X92" i="8"/>
  <c r="X2" i="8"/>
  <c r="W2" i="8"/>
  <c r="V2" i="8"/>
  <c r="U2" i="8"/>
  <c r="T2" i="8"/>
  <c r="S2"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R2" i="8"/>
  <c r="S29" i="2"/>
  <c r="S31" i="2"/>
  <c r="S33" i="2"/>
  <c r="S35" i="2"/>
  <c r="S23" i="2"/>
  <c r="S25" i="2"/>
  <c r="S81" i="2"/>
  <c r="S82" i="2"/>
  <c r="S83" i="2"/>
  <c r="S84" i="2"/>
  <c r="S85" i="2"/>
  <c r="S79" i="2"/>
  <c r="S80" i="2"/>
  <c r="S60" i="2"/>
  <c r="S61" i="2"/>
  <c r="S62" i="2"/>
  <c r="S63" i="2"/>
  <c r="S64" i="2"/>
  <c r="S58" i="2"/>
  <c r="S59" i="2"/>
  <c r="S67" i="2"/>
  <c r="S68" i="2"/>
  <c r="S69" i="2"/>
  <c r="S70" i="2"/>
  <c r="S71" i="2"/>
  <c r="S65" i="2"/>
  <c r="S66" i="2"/>
  <c r="S74" i="2"/>
  <c r="S75" i="2"/>
  <c r="S76" i="2"/>
  <c r="S77" i="2"/>
  <c r="S78" i="2"/>
  <c r="S72" i="2"/>
  <c r="S73" i="2"/>
  <c r="S88" i="2"/>
  <c r="S89" i="2"/>
  <c r="S90" i="2"/>
  <c r="S91" i="2"/>
  <c r="S92" i="2"/>
  <c r="S86" i="2"/>
  <c r="S87" i="2"/>
  <c r="S4" i="2"/>
  <c r="S5" i="2"/>
  <c r="S6" i="2"/>
  <c r="S7" i="2"/>
  <c r="S8" i="2"/>
  <c r="S2" i="2"/>
  <c r="S3" i="2"/>
  <c r="S11" i="2"/>
  <c r="S12" i="2"/>
  <c r="S13" i="2"/>
  <c r="S14" i="2"/>
  <c r="S15" i="2"/>
  <c r="S9" i="2"/>
  <c r="S10" i="2"/>
  <c r="S18" i="2"/>
  <c r="S19" i="2"/>
  <c r="S20" i="2"/>
  <c r="S21" i="2"/>
  <c r="S22" i="2"/>
  <c r="S16" i="2"/>
  <c r="S17" i="2"/>
  <c r="S28" i="2"/>
  <c r="S30" i="2"/>
  <c r="S32" i="2"/>
  <c r="S34" i="2"/>
  <c r="S36" i="2"/>
  <c r="S24" i="2"/>
  <c r="S26" i="2"/>
  <c r="S39" i="2"/>
  <c r="S40" i="2"/>
  <c r="S41" i="2"/>
  <c r="S42" i="2"/>
  <c r="S43" i="2"/>
  <c r="S37" i="2"/>
  <c r="S38" i="2"/>
  <c r="S46" i="2"/>
  <c r="S47" i="2"/>
  <c r="S48" i="2"/>
  <c r="S49" i="2"/>
  <c r="S50" i="2"/>
  <c r="S44" i="2"/>
  <c r="S45" i="2"/>
  <c r="S53" i="2"/>
  <c r="S54" i="2"/>
  <c r="S55" i="2"/>
  <c r="S56" i="2"/>
  <c r="S57" i="2"/>
  <c r="S51" i="2"/>
  <c r="S52" i="2"/>
  <c r="S27" i="2"/>
  <c r="W57" i="2"/>
  <c r="Z56" i="2"/>
  <c r="W55" i="2"/>
  <c r="Z54" i="2"/>
  <c r="W53" i="2"/>
  <c r="V50" i="2"/>
  <c r="W49" i="2"/>
  <c r="V48" i="2"/>
  <c r="W47" i="2"/>
  <c r="W43" i="2"/>
  <c r="T42" i="2"/>
  <c r="W41" i="2"/>
  <c r="W39" i="2"/>
  <c r="Z36" i="2"/>
  <c r="W34" i="2"/>
  <c r="Z32" i="2"/>
  <c r="W30" i="2"/>
  <c r="Z28" i="2"/>
  <c r="W22" i="2"/>
  <c r="Z21" i="2"/>
  <c r="W20" i="2"/>
  <c r="W18" i="2"/>
  <c r="V15" i="2"/>
  <c r="W14" i="2"/>
  <c r="V13" i="2"/>
  <c r="W12" i="2"/>
  <c r="V2" i="2"/>
  <c r="W8" i="2"/>
  <c r="V7" i="2"/>
  <c r="W6" i="2"/>
  <c r="V5" i="2"/>
  <c r="Z91" i="2"/>
  <c r="Z89" i="2"/>
  <c r="V88" i="2"/>
  <c r="Z78" i="2"/>
  <c r="Z76" i="2"/>
  <c r="V75" i="2"/>
  <c r="Z74" i="2"/>
  <c r="Z70" i="2"/>
  <c r="Z68" i="2"/>
  <c r="V67" i="2"/>
  <c r="Z59" i="2"/>
  <c r="Z64" i="2"/>
  <c r="V63" i="2"/>
  <c r="Z62" i="2"/>
  <c r="Z60" i="2"/>
  <c r="Z84" i="2"/>
  <c r="Z82" i="2"/>
  <c r="Z79" i="2"/>
  <c r="Z35" i="2"/>
  <c r="Z31" i="2"/>
  <c r="Z27" i="2"/>
  <c r="W3" i="2" l="1"/>
  <c r="X3" i="2"/>
  <c r="Z3" i="2"/>
  <c r="T3" i="2"/>
  <c r="V3" i="2"/>
  <c r="X10" i="2"/>
  <c r="Z10" i="2"/>
  <c r="X45" i="2"/>
  <c r="Z45" i="2"/>
  <c r="V57" i="2"/>
  <c r="X56" i="2"/>
  <c r="V55" i="2"/>
  <c r="Z53" i="2"/>
  <c r="X49" i="2"/>
  <c r="Z48" i="2"/>
  <c r="X47" i="2"/>
  <c r="V46" i="2"/>
  <c r="Z43" i="2"/>
  <c r="Z41" i="2"/>
  <c r="V39" i="2"/>
  <c r="T34" i="2"/>
  <c r="T30" i="2"/>
  <c r="V22" i="2"/>
  <c r="X21" i="2"/>
  <c r="V20" i="2"/>
  <c r="Z18" i="2"/>
  <c r="X14" i="2"/>
  <c r="Z13" i="2"/>
  <c r="X12" i="2"/>
  <c r="V11" i="2"/>
  <c r="X2" i="2"/>
  <c r="V8" i="2"/>
  <c r="T6" i="2"/>
  <c r="U66" i="2"/>
  <c r="U27" i="2"/>
  <c r="T57" i="2"/>
  <c r="T55" i="2"/>
  <c r="X53" i="2"/>
  <c r="V49" i="2"/>
  <c r="X48" i="2"/>
  <c r="V47" i="2"/>
  <c r="X43" i="2"/>
  <c r="V42" i="2"/>
  <c r="X41" i="2"/>
  <c r="T39" i="2"/>
  <c r="Z34" i="2"/>
  <c r="Z30" i="2"/>
  <c r="T22" i="2"/>
  <c r="T20" i="2"/>
  <c r="X18" i="2"/>
  <c r="V14" i="2"/>
  <c r="X13" i="2"/>
  <c r="V12" i="2"/>
  <c r="T8" i="2"/>
  <c r="Z6" i="2"/>
  <c r="Z4" i="2"/>
  <c r="W27" i="2"/>
  <c r="Z57" i="2"/>
  <c r="Z55" i="2"/>
  <c r="V53" i="2"/>
  <c r="T49" i="2"/>
  <c r="T47" i="2"/>
  <c r="V43" i="2"/>
  <c r="V41" i="2"/>
  <c r="Z39" i="2"/>
  <c r="X34" i="2"/>
  <c r="V32" i="2"/>
  <c r="X30" i="2"/>
  <c r="Z22" i="2"/>
  <c r="Z20" i="2"/>
  <c r="V18" i="2"/>
  <c r="T14" i="2"/>
  <c r="T12" i="2"/>
  <c r="Z8" i="2"/>
  <c r="X6" i="2"/>
  <c r="Z5" i="2"/>
  <c r="W16" i="2"/>
  <c r="Y27" i="2"/>
  <c r="X57" i="2"/>
  <c r="X55" i="2"/>
  <c r="T53" i="2"/>
  <c r="Z49" i="2"/>
  <c r="Z47" i="2"/>
  <c r="T43" i="2"/>
  <c r="T41" i="2"/>
  <c r="X39" i="2"/>
  <c r="V34" i="2"/>
  <c r="T32" i="2"/>
  <c r="V30" i="2"/>
  <c r="X22" i="2"/>
  <c r="X20" i="2"/>
  <c r="T18" i="2"/>
  <c r="Z14" i="2"/>
  <c r="Z12" i="2"/>
  <c r="Z2" i="2"/>
  <c r="X8" i="2"/>
  <c r="V6" i="2"/>
  <c r="X5" i="2"/>
  <c r="W83" i="2"/>
  <c r="T83" i="2"/>
  <c r="X83" i="2"/>
  <c r="U83" i="2"/>
  <c r="Y83" i="2"/>
  <c r="V83" i="2"/>
  <c r="Z83" i="2"/>
  <c r="W80" i="2"/>
  <c r="T80" i="2"/>
  <c r="X80" i="2"/>
  <c r="U80" i="2"/>
  <c r="Y80" i="2"/>
  <c r="Z80" i="2"/>
  <c r="W71" i="2"/>
  <c r="T71" i="2"/>
  <c r="X71" i="2"/>
  <c r="U71" i="2"/>
  <c r="Y71" i="2"/>
  <c r="Z71" i="2"/>
  <c r="W92" i="2"/>
  <c r="T92" i="2"/>
  <c r="X92" i="2"/>
  <c r="U92" i="2"/>
  <c r="Y92" i="2"/>
  <c r="Z92" i="2"/>
  <c r="W19" i="2"/>
  <c r="U19" i="2"/>
  <c r="Y19" i="2"/>
  <c r="Y16" i="2"/>
  <c r="W40" i="2"/>
  <c r="U40" i="2"/>
  <c r="Y40" i="2"/>
  <c r="W37" i="2"/>
  <c r="U37" i="2"/>
  <c r="Y37" i="2"/>
  <c r="W51" i="2"/>
  <c r="U51" i="2"/>
  <c r="Y51" i="2"/>
  <c r="Z37" i="2"/>
  <c r="W29" i="2"/>
  <c r="T29" i="2"/>
  <c r="X29" i="2"/>
  <c r="U29" i="2"/>
  <c r="Y29" i="2"/>
  <c r="V29" i="2"/>
  <c r="Z29" i="2"/>
  <c r="W23" i="2"/>
  <c r="T23" i="2"/>
  <c r="X23" i="2"/>
  <c r="U23" i="2"/>
  <c r="Y23" i="2"/>
  <c r="V23" i="2"/>
  <c r="Z23" i="2"/>
  <c r="X66" i="2"/>
  <c r="W77" i="2"/>
  <c r="T77" i="2"/>
  <c r="X77" i="2"/>
  <c r="U77" i="2"/>
  <c r="Y77" i="2"/>
  <c r="Z77" i="2"/>
  <c r="W87" i="2"/>
  <c r="T87" i="2"/>
  <c r="X87" i="2"/>
  <c r="U87" i="2"/>
  <c r="Y87" i="2"/>
  <c r="Z87" i="2"/>
  <c r="W7" i="2"/>
  <c r="U7" i="2"/>
  <c r="Y7" i="2"/>
  <c r="W11" i="2"/>
  <c r="U11" i="2"/>
  <c r="Y11" i="2"/>
  <c r="W15" i="2"/>
  <c r="U15" i="2"/>
  <c r="Y15" i="2"/>
  <c r="W28" i="2"/>
  <c r="U28" i="2"/>
  <c r="Y28" i="2"/>
  <c r="W36" i="2"/>
  <c r="U36" i="2"/>
  <c r="Y36" i="2"/>
  <c r="W46" i="2"/>
  <c r="U46" i="2"/>
  <c r="Y46" i="2"/>
  <c r="W50" i="2"/>
  <c r="U50" i="2"/>
  <c r="Y50" i="2"/>
  <c r="T51" i="2"/>
  <c r="T54" i="2"/>
  <c r="T50" i="2"/>
  <c r="T46" i="2"/>
  <c r="X37" i="2"/>
  <c r="X40" i="2"/>
  <c r="X36" i="2"/>
  <c r="X28" i="2"/>
  <c r="T19" i="2"/>
  <c r="T15" i="2"/>
  <c r="T11" i="2"/>
  <c r="T7" i="2"/>
  <c r="V80" i="2"/>
  <c r="W81" i="2"/>
  <c r="T81" i="2"/>
  <c r="X81" i="2"/>
  <c r="U81" i="2"/>
  <c r="Y81" i="2"/>
  <c r="Z81" i="2"/>
  <c r="V81" i="2"/>
  <c r="W85" i="2"/>
  <c r="T85" i="2"/>
  <c r="X85" i="2"/>
  <c r="U85" i="2"/>
  <c r="Y85" i="2"/>
  <c r="Z85" i="2"/>
  <c r="V85" i="2"/>
  <c r="W61" i="2"/>
  <c r="T61" i="2"/>
  <c r="X61" i="2"/>
  <c r="U61" i="2"/>
  <c r="Y61" i="2"/>
  <c r="Z61" i="2"/>
  <c r="V61" i="2"/>
  <c r="W58" i="2"/>
  <c r="T58" i="2"/>
  <c r="X58" i="2"/>
  <c r="U58" i="2"/>
  <c r="Y58" i="2"/>
  <c r="Z58" i="2"/>
  <c r="W69" i="2"/>
  <c r="T69" i="2"/>
  <c r="X69" i="2"/>
  <c r="U69" i="2"/>
  <c r="Y69" i="2"/>
  <c r="Z69" i="2"/>
  <c r="W90" i="2"/>
  <c r="T90" i="2"/>
  <c r="X90" i="2"/>
  <c r="U90" i="2"/>
  <c r="Y90" i="2"/>
  <c r="Z90" i="2"/>
  <c r="W10" i="2"/>
  <c r="U10" i="2"/>
  <c r="Y10" i="2"/>
  <c r="W21" i="2"/>
  <c r="U21" i="2"/>
  <c r="Y21" i="2"/>
  <c r="W26" i="2"/>
  <c r="U26" i="2"/>
  <c r="Y26" i="2"/>
  <c r="W42" i="2"/>
  <c r="U42" i="2"/>
  <c r="Y42" i="2"/>
  <c r="W45" i="2"/>
  <c r="U45" i="2"/>
  <c r="Y45" i="2"/>
  <c r="W56" i="2"/>
  <c r="U56" i="2"/>
  <c r="Y56" i="2"/>
  <c r="Z51" i="2"/>
  <c r="V56" i="2"/>
  <c r="V45" i="2"/>
  <c r="Z50" i="2"/>
  <c r="Z46" i="2"/>
  <c r="V37" i="2"/>
  <c r="Z42" i="2"/>
  <c r="V40" i="2"/>
  <c r="Z26" i="2"/>
  <c r="V36" i="2"/>
  <c r="V28" i="2"/>
  <c r="V21" i="2"/>
  <c r="Z19" i="2"/>
  <c r="V10" i="2"/>
  <c r="Z15" i="2"/>
  <c r="Z11" i="2"/>
  <c r="Z7" i="2"/>
  <c r="V87" i="2"/>
  <c r="V92" i="2"/>
  <c r="V90" i="2"/>
  <c r="V77" i="2"/>
  <c r="V71" i="2"/>
  <c r="V69" i="2"/>
  <c r="V58" i="2"/>
  <c r="W63" i="2"/>
  <c r="T63" i="2"/>
  <c r="X63" i="2"/>
  <c r="U63" i="2"/>
  <c r="Y63" i="2"/>
  <c r="Z63" i="2"/>
  <c r="W67" i="2"/>
  <c r="T67" i="2"/>
  <c r="X67" i="2"/>
  <c r="U67" i="2"/>
  <c r="Y67" i="2"/>
  <c r="Z67" i="2"/>
  <c r="W88" i="2"/>
  <c r="T88" i="2"/>
  <c r="X88" i="2"/>
  <c r="U88" i="2"/>
  <c r="Y88" i="2"/>
  <c r="Z88" i="2"/>
  <c r="W54" i="2"/>
  <c r="U54" i="2"/>
  <c r="Y54" i="2"/>
  <c r="V51" i="2"/>
  <c r="V54" i="2"/>
  <c r="Z40" i="2"/>
  <c r="V19" i="2"/>
  <c r="W33" i="2"/>
  <c r="T33" i="2"/>
  <c r="X33" i="2"/>
  <c r="U33" i="2"/>
  <c r="Y33" i="2"/>
  <c r="Z33" i="2"/>
  <c r="V33" i="2"/>
  <c r="W75" i="2"/>
  <c r="T75" i="2"/>
  <c r="X75" i="2"/>
  <c r="U75" i="2"/>
  <c r="Y75" i="2"/>
  <c r="Z75" i="2"/>
  <c r="T5" i="2"/>
  <c r="U5" i="2"/>
  <c r="W5" i="2"/>
  <c r="Y5" i="2"/>
  <c r="W2" i="2"/>
  <c r="U2" i="2"/>
  <c r="AD2" i="2" s="1"/>
  <c r="Y2" i="2"/>
  <c r="W13" i="2"/>
  <c r="U13" i="2"/>
  <c r="Y13" i="2"/>
  <c r="W32" i="2"/>
  <c r="U32" i="2"/>
  <c r="Y32" i="2"/>
  <c r="W48" i="2"/>
  <c r="U48" i="2"/>
  <c r="Y48" i="2"/>
  <c r="X51" i="2"/>
  <c r="T56" i="2"/>
  <c r="X54" i="2"/>
  <c r="T45" i="2"/>
  <c r="X50" i="2"/>
  <c r="T48" i="2"/>
  <c r="X46" i="2"/>
  <c r="T37" i="2"/>
  <c r="X42" i="2"/>
  <c r="T40" i="2"/>
  <c r="X26" i="2"/>
  <c r="T36" i="2"/>
  <c r="X32" i="2"/>
  <c r="T28" i="2"/>
  <c r="X16" i="2"/>
  <c r="T21" i="2"/>
  <c r="X19" i="2"/>
  <c r="T10" i="2"/>
  <c r="X15" i="2"/>
  <c r="T13" i="2"/>
  <c r="X11" i="2"/>
  <c r="T2" i="2"/>
  <c r="X7" i="2"/>
  <c r="W35" i="2"/>
  <c r="T35" i="2"/>
  <c r="X35" i="2"/>
  <c r="U35" i="2"/>
  <c r="AD6" i="2" s="1"/>
  <c r="Y35" i="2"/>
  <c r="W82" i="2"/>
  <c r="T82" i="2"/>
  <c r="X82" i="2"/>
  <c r="U82" i="2"/>
  <c r="Y82" i="2"/>
  <c r="W79" i="2"/>
  <c r="T79" i="2"/>
  <c r="X79" i="2"/>
  <c r="U79" i="2"/>
  <c r="Y79" i="2"/>
  <c r="W62" i="2"/>
  <c r="T62" i="2"/>
  <c r="X62" i="2"/>
  <c r="U62" i="2"/>
  <c r="Y62" i="2"/>
  <c r="W59" i="2"/>
  <c r="T59" i="2"/>
  <c r="X59" i="2"/>
  <c r="U59" i="2"/>
  <c r="Y59" i="2"/>
  <c r="W70" i="2"/>
  <c r="T70" i="2"/>
  <c r="X70" i="2"/>
  <c r="U70" i="2"/>
  <c r="Y70" i="2"/>
  <c r="W74" i="2"/>
  <c r="T74" i="2"/>
  <c r="X74" i="2"/>
  <c r="U74" i="2"/>
  <c r="Y74" i="2"/>
  <c r="W78" i="2"/>
  <c r="T78" i="2"/>
  <c r="X78" i="2"/>
  <c r="U78" i="2"/>
  <c r="Y78" i="2"/>
  <c r="W89" i="2"/>
  <c r="T89" i="2"/>
  <c r="X89" i="2"/>
  <c r="U89" i="2"/>
  <c r="Y89" i="2"/>
  <c r="T27" i="2"/>
  <c r="X27" i="2"/>
  <c r="Y57" i="2"/>
  <c r="U57" i="2"/>
  <c r="Y55" i="2"/>
  <c r="U55" i="2"/>
  <c r="Y53" i="2"/>
  <c r="U53" i="2"/>
  <c r="Y49" i="2"/>
  <c r="U49" i="2"/>
  <c r="Y47" i="2"/>
  <c r="U47" i="2"/>
  <c r="Y43" i="2"/>
  <c r="U43" i="2"/>
  <c r="Y41" i="2"/>
  <c r="U41" i="2"/>
  <c r="Y39" i="2"/>
  <c r="U39" i="2"/>
  <c r="Y34" i="2"/>
  <c r="U34" i="2"/>
  <c r="Y30" i="2"/>
  <c r="U30" i="2"/>
  <c r="Y22" i="2"/>
  <c r="U22" i="2"/>
  <c r="Y20" i="2"/>
  <c r="U20" i="2"/>
  <c r="Y18" i="2"/>
  <c r="U18" i="2"/>
  <c r="Y14" i="2"/>
  <c r="U14" i="2"/>
  <c r="Y12" i="2"/>
  <c r="U12" i="2"/>
  <c r="Y3" i="2"/>
  <c r="U3" i="2"/>
  <c r="AD3" i="2" s="1"/>
  <c r="Y8" i="2"/>
  <c r="U8" i="2"/>
  <c r="Y6" i="2"/>
  <c r="U6" i="2"/>
  <c r="V89" i="2"/>
  <c r="V78" i="2"/>
  <c r="V74" i="2"/>
  <c r="V70" i="2"/>
  <c r="V59" i="2"/>
  <c r="V62" i="2"/>
  <c r="V79" i="2"/>
  <c r="V82" i="2"/>
  <c r="V35" i="2"/>
  <c r="W31" i="2"/>
  <c r="T31" i="2"/>
  <c r="X31" i="2"/>
  <c r="U31" i="2"/>
  <c r="Y31" i="2"/>
  <c r="W84" i="2"/>
  <c r="T84" i="2"/>
  <c r="X84" i="2"/>
  <c r="U84" i="2"/>
  <c r="Y84" i="2"/>
  <c r="W60" i="2"/>
  <c r="T60" i="2"/>
  <c r="X60" i="2"/>
  <c r="U60" i="2"/>
  <c r="Y60" i="2"/>
  <c r="W64" i="2"/>
  <c r="T64" i="2"/>
  <c r="X64" i="2"/>
  <c r="U64" i="2"/>
  <c r="Y64" i="2"/>
  <c r="W68" i="2"/>
  <c r="T68" i="2"/>
  <c r="X68" i="2"/>
  <c r="U68" i="2"/>
  <c r="Y68" i="2"/>
  <c r="W76" i="2"/>
  <c r="T76" i="2"/>
  <c r="X76" i="2"/>
  <c r="U76" i="2"/>
  <c r="Y76" i="2"/>
  <c r="W91" i="2"/>
  <c r="T91" i="2"/>
  <c r="X91" i="2"/>
  <c r="U91" i="2"/>
  <c r="Y91" i="2"/>
  <c r="W4" i="2"/>
  <c r="T4" i="2"/>
  <c r="X4" i="2"/>
  <c r="U4" i="2"/>
  <c r="Y4" i="2"/>
  <c r="V27" i="2"/>
  <c r="V4" i="2"/>
  <c r="V91" i="2"/>
  <c r="V76" i="2"/>
  <c r="V68" i="2"/>
  <c r="V64" i="2"/>
  <c r="V60" i="2"/>
  <c r="V84" i="2"/>
  <c r="V31" i="2"/>
  <c r="AD5" i="2" l="1"/>
  <c r="T16" i="2"/>
  <c r="Z66" i="2"/>
  <c r="T66" i="2"/>
  <c r="V16" i="2"/>
  <c r="U16" i="2"/>
  <c r="Z16" i="2"/>
  <c r="Y66" i="2"/>
  <c r="W66" i="2"/>
  <c r="V66" i="2"/>
  <c r="V26" i="2"/>
  <c r="T26" i="2"/>
  <c r="W9" i="2"/>
  <c r="U9" i="2"/>
  <c r="Y9" i="2"/>
  <c r="V9" i="2"/>
  <c r="X9" i="2"/>
  <c r="Z9" i="2"/>
  <c r="T9" i="2"/>
  <c r="W25" i="2"/>
  <c r="T25" i="2"/>
  <c r="X25" i="2"/>
  <c r="U25" i="2"/>
  <c r="Y25" i="2"/>
  <c r="V25" i="2"/>
  <c r="Z25" i="2"/>
  <c r="W44" i="2"/>
  <c r="U44" i="2"/>
  <c r="Y44" i="2"/>
  <c r="V44" i="2"/>
  <c r="X44" i="2"/>
  <c r="Z44" i="2"/>
  <c r="T44" i="2"/>
  <c r="W86" i="2"/>
  <c r="T86" i="2"/>
  <c r="X86" i="2"/>
  <c r="U86" i="2"/>
  <c r="Y86" i="2"/>
  <c r="V86" i="2"/>
  <c r="Z86" i="2"/>
  <c r="W52" i="2"/>
  <c r="U52" i="2"/>
  <c r="Y52" i="2"/>
  <c r="V52" i="2"/>
  <c r="X52" i="2"/>
  <c r="Z52" i="2"/>
  <c r="T52" i="2"/>
  <c r="W24" i="2"/>
  <c r="U24" i="2"/>
  <c r="Y24" i="2"/>
  <c r="Z24" i="2"/>
  <c r="X24" i="2"/>
  <c r="T24" i="2"/>
  <c r="V24" i="2"/>
  <c r="W65" i="2"/>
  <c r="T65" i="2"/>
  <c r="X65" i="2"/>
  <c r="U65" i="2"/>
  <c r="Y65" i="2"/>
  <c r="V65" i="2"/>
  <c r="Z65" i="2"/>
  <c r="W38" i="2"/>
  <c r="U38" i="2"/>
  <c r="Y38" i="2"/>
  <c r="Z38" i="2"/>
  <c r="T38" i="2"/>
  <c r="V38" i="2"/>
  <c r="X38" i="2"/>
  <c r="W72" i="2"/>
  <c r="T72" i="2"/>
  <c r="X72" i="2"/>
  <c r="U72" i="2"/>
  <c r="Y72" i="2"/>
  <c r="Z72" i="2"/>
  <c r="V72" i="2"/>
  <c r="W73" i="2"/>
  <c r="T73" i="2"/>
  <c r="X73" i="2"/>
  <c r="U73" i="2"/>
  <c r="Y73" i="2"/>
  <c r="V73" i="2"/>
  <c r="Z73" i="2"/>
  <c r="W17" i="2"/>
  <c r="U17" i="2"/>
  <c r="Y17" i="2"/>
  <c r="V17" i="2"/>
  <c r="X17" i="2"/>
  <c r="Z17" i="2"/>
  <c r="T17" i="2"/>
  <c r="AD4" i="2"/>
</calcChain>
</file>

<file path=xl/sharedStrings.xml><?xml version="1.0" encoding="utf-8"?>
<sst xmlns="http://schemas.openxmlformats.org/spreadsheetml/2006/main" count="4805" uniqueCount="204">
  <si>
    <t>WEEKENDINGDATE</t>
  </si>
  <si>
    <t>LASTNAME</t>
  </si>
  <si>
    <t>EMPLOYEENAME</t>
  </si>
  <si>
    <t>EMPLOYEENUMBER</t>
  </si>
  <si>
    <t>EMPDIV</t>
  </si>
  <si>
    <t>CHECKNUMBER</t>
  </si>
  <si>
    <t>DIVJOB</t>
  </si>
  <si>
    <t>JOBDESC</t>
  </si>
  <si>
    <t>JCDISTRIBUTION</t>
  </si>
  <si>
    <t>COSTTYPE</t>
  </si>
  <si>
    <t>WCCODE</t>
  </si>
  <si>
    <t>UNIONENTERED</t>
  </si>
  <si>
    <t>EMPCLASS</t>
  </si>
  <si>
    <t>HOURSTYPE</t>
  </si>
  <si>
    <t>OTHHRSTYPE</t>
  </si>
  <si>
    <t>PAYRATE</t>
  </si>
  <si>
    <t>2018-11-01</t>
  </si>
  <si>
    <t>Rogers</t>
  </si>
  <si>
    <t>Steve A Rogers</t>
  </si>
  <si>
    <t>021-1</t>
  </si>
  <si>
    <t>SR821 HEFT (E8Q78)</t>
  </si>
  <si>
    <t>009.002.0900203.00</t>
  </si>
  <si>
    <t>Y</t>
  </si>
  <si>
    <t/>
  </si>
  <si>
    <t>Regular</t>
  </si>
  <si>
    <t>2019-02-07</t>
  </si>
  <si>
    <t>001.002.0100232.00</t>
  </si>
  <si>
    <t>L</t>
  </si>
  <si>
    <t>2018-12-20</t>
  </si>
  <si>
    <t>Timmons</t>
  </si>
  <si>
    <t>Douglas D Timmons</t>
  </si>
  <si>
    <t>009.001.0900101.00</t>
  </si>
  <si>
    <t>2018-12-27</t>
  </si>
  <si>
    <t>V</t>
  </si>
  <si>
    <t>2019-01-10</t>
  </si>
  <si>
    <t>2019-03-07</t>
  </si>
  <si>
    <t>2018-08-30</t>
  </si>
  <si>
    <t>Laborde-Rivera</t>
  </si>
  <si>
    <t>Joel Laborde-Rivera</t>
  </si>
  <si>
    <t>2018-09-27</t>
  </si>
  <si>
    <t>2018-10-18</t>
  </si>
  <si>
    <t>2018-11-08</t>
  </si>
  <si>
    <t>2018-11-15</t>
  </si>
  <si>
    <t>2018-11-22</t>
  </si>
  <si>
    <t>2018-12-06</t>
  </si>
  <si>
    <t>2019-01-17</t>
  </si>
  <si>
    <t>2019-01-24</t>
  </si>
  <si>
    <t>2019-02-28</t>
  </si>
  <si>
    <t>2019-03-14</t>
  </si>
  <si>
    <t>Overtime</t>
  </si>
  <si>
    <t>2019-01-03</t>
  </si>
  <si>
    <t>2019-01-31</t>
  </si>
  <si>
    <t>2019-02-21</t>
  </si>
  <si>
    <t>2018-10-04</t>
  </si>
  <si>
    <t>2018-11-29</t>
  </si>
  <si>
    <t>HL</t>
  </si>
  <si>
    <t>Rodriguez</t>
  </si>
  <si>
    <t>McCarthy</t>
  </si>
  <si>
    <t>Sean P McCarthy</t>
  </si>
  <si>
    <t>Martinez</t>
  </si>
  <si>
    <t>weekday</t>
  </si>
  <si>
    <t>cost</t>
  </si>
  <si>
    <t>workday</t>
  </si>
  <si>
    <t>weeknumber</t>
  </si>
  <si>
    <t>month</t>
  </si>
  <si>
    <t>year</t>
  </si>
  <si>
    <t>monthname</t>
  </si>
  <si>
    <t>Month</t>
  </si>
  <si>
    <t>Name</t>
  </si>
  <si>
    <t>CT</t>
  </si>
  <si>
    <t>SIE1</t>
  </si>
  <si>
    <t>SIE2</t>
  </si>
  <si>
    <t>Weekday</t>
  </si>
  <si>
    <t xml:space="preserve">        ActiveSheet.Cells(2, i + 6).Formula = "=MONTH(RC[-5])"</t>
  </si>
  <si>
    <t>January</t>
  </si>
  <si>
    <t>A</t>
  </si>
  <si>
    <t>14-Aux Equi</t>
  </si>
  <si>
    <t>Direct Cost</t>
  </si>
  <si>
    <t>Monday</t>
  </si>
  <si>
    <t>February</t>
  </si>
  <si>
    <t>B</t>
  </si>
  <si>
    <t>16-Burden</t>
  </si>
  <si>
    <t>Tuesday</t>
  </si>
  <si>
    <t>March</t>
  </si>
  <si>
    <t>C</t>
  </si>
  <si>
    <t>10-Materials</t>
  </si>
  <si>
    <t>Wednesday</t>
  </si>
  <si>
    <t>April</t>
  </si>
  <si>
    <t>E</t>
  </si>
  <si>
    <t>11-Equipment</t>
  </si>
  <si>
    <t>Thursday</t>
  </si>
  <si>
    <t>May</t>
  </si>
  <si>
    <t>I</t>
  </si>
  <si>
    <t>0-Revenue</t>
  </si>
  <si>
    <t>Revenue</t>
  </si>
  <si>
    <t>Friday</t>
  </si>
  <si>
    <t>June</t>
  </si>
  <si>
    <t>12-Labor</t>
  </si>
  <si>
    <t>Saturday</t>
  </si>
  <si>
    <t>July</t>
  </si>
  <si>
    <t>M</t>
  </si>
  <si>
    <t>21-AuxEqipm</t>
  </si>
  <si>
    <t>Indirect Cost</t>
  </si>
  <si>
    <t>Sunday</t>
  </si>
  <si>
    <t>August</t>
  </si>
  <si>
    <t>N</t>
  </si>
  <si>
    <t>30-CloseOut</t>
  </si>
  <si>
    <t>September</t>
  </si>
  <si>
    <t>O</t>
  </si>
  <si>
    <t>25-Other Ind</t>
  </si>
  <si>
    <t>October</t>
  </si>
  <si>
    <t>P</t>
  </si>
  <si>
    <t>November</t>
  </si>
  <si>
    <t>S</t>
  </si>
  <si>
    <t>13-Subcontracts</t>
  </si>
  <si>
    <t>December</t>
  </si>
  <si>
    <t>22-Burden</t>
  </si>
  <si>
    <t>W</t>
  </si>
  <si>
    <t>15-OwnEqipment</t>
  </si>
  <si>
    <t>X</t>
  </si>
  <si>
    <t>19-Other Direct</t>
  </si>
  <si>
    <t>20-Indirect Labor</t>
  </si>
  <si>
    <t>Z</t>
  </si>
  <si>
    <t>10-G&amp;A</t>
  </si>
  <si>
    <t>G&amp;A Cost</t>
  </si>
  <si>
    <t>dayname</t>
  </si>
  <si>
    <t>hours</t>
  </si>
  <si>
    <t>workdate</t>
  </si>
  <si>
    <t>Grand Total</t>
  </si>
  <si>
    <t>Lowe</t>
  </si>
  <si>
    <t>Matthew G Lowe</t>
  </si>
  <si>
    <t>020-1</t>
  </si>
  <si>
    <t>SR60/I-75 Ramps</t>
  </si>
  <si>
    <t>010.000.0010050.00</t>
  </si>
  <si>
    <t>Olascoaga</t>
  </si>
  <si>
    <t>Fidel Olascoaga</t>
  </si>
  <si>
    <t>045.000.0045040.00</t>
  </si>
  <si>
    <t>Fernandez</t>
  </si>
  <si>
    <t>Amando Fernandez</t>
  </si>
  <si>
    <t>020.000.0020490.00</t>
  </si>
  <si>
    <t>Whightsel</t>
  </si>
  <si>
    <t>Michael S Whightsel</t>
  </si>
  <si>
    <t>Taracena Rodas</t>
  </si>
  <si>
    <t>Belsar Taracena Rodas</t>
  </si>
  <si>
    <t>060.000.0060060.00</t>
  </si>
  <si>
    <t>Mata</t>
  </si>
  <si>
    <t>Guillermo A Mata</t>
  </si>
  <si>
    <t>Patino Munguia</t>
  </si>
  <si>
    <t>Omar Patino Munguia</t>
  </si>
  <si>
    <t>062.000.0062530.00</t>
  </si>
  <si>
    <t>Martinez Cejas</t>
  </si>
  <si>
    <t>Ricardo Martinez Cejas</t>
  </si>
  <si>
    <t>060.000.0060360.00</t>
  </si>
  <si>
    <t>Garza</t>
  </si>
  <si>
    <t>Jorge A Garza</t>
  </si>
  <si>
    <t>062.000.0062531.00</t>
  </si>
  <si>
    <t>Jose L Martinez</t>
  </si>
  <si>
    <t>011.000.0011500.00</t>
  </si>
  <si>
    <t>Mestre-Davila</t>
  </si>
  <si>
    <t>Omar A Mestre-Davila</t>
  </si>
  <si>
    <t>060.000.0060200.00</t>
  </si>
  <si>
    <t>Thompson</t>
  </si>
  <si>
    <t>Franco Thompson</t>
  </si>
  <si>
    <t>020.000.0020050.00</t>
  </si>
  <si>
    <t>Conaway</t>
  </si>
  <si>
    <t>Samuel E Conaway</t>
  </si>
  <si>
    <t>Total Hrs</t>
  </si>
  <si>
    <t>Hrs</t>
  </si>
  <si>
    <t>Total Cst</t>
  </si>
  <si>
    <t>Cst</t>
  </si>
  <si>
    <t>Cortez-G</t>
  </si>
  <si>
    <t>Jaime Cortez-G</t>
  </si>
  <si>
    <t>018-1</t>
  </si>
  <si>
    <t>OIA Airside Utilitie</t>
  </si>
  <si>
    <t>039.000.0039206.00</t>
  </si>
  <si>
    <t>Barragan</t>
  </si>
  <si>
    <t>Luis A Barragan</t>
  </si>
  <si>
    <t>045.000.0045300.00</t>
  </si>
  <si>
    <t>Velasquez</t>
  </si>
  <si>
    <t>Simon Velasquez</t>
  </si>
  <si>
    <t>Palmer</t>
  </si>
  <si>
    <t>Shani J Palmer</t>
  </si>
  <si>
    <t>045.000.0045000.00</t>
  </si>
  <si>
    <t>2018-07-19</t>
  </si>
  <si>
    <t>Marcareno</t>
  </si>
  <si>
    <t>Rene V Macareno</t>
  </si>
  <si>
    <t>039.000.0039205.00</t>
  </si>
  <si>
    <t>Lopez</t>
  </si>
  <si>
    <t>Julio E Lopez</t>
  </si>
  <si>
    <t>034.000.0034125.00</t>
  </si>
  <si>
    <t>045.000.0045005.00</t>
  </si>
  <si>
    <t>Arvizu</t>
  </si>
  <si>
    <t>Javier J Arvizu</t>
  </si>
  <si>
    <t>045.000.0045100.00</t>
  </si>
  <si>
    <t>Angel Rodriguez</t>
  </si>
  <si>
    <t>2018-07-26</t>
  </si>
  <si>
    <t>039.000.0039305.00</t>
  </si>
  <si>
    <t>095.000.0095004.00</t>
  </si>
  <si>
    <t>Ruiz Colon</t>
  </si>
  <si>
    <t>Angel J Ruiz Colon</t>
  </si>
  <si>
    <t xml:space="preserve">E M P L O Y E E </t>
  </si>
  <si>
    <t>Week Ending Date</t>
  </si>
  <si>
    <t>Others</t>
  </si>
  <si>
    <t>Sheet9!$A$1:$Z$92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</si>
</sst>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dd"/>
    <numFmt numFmtId="165" formatCode="mmmm"/>
  </numFmts>
  <fonts count="9" x14ac:knownFonts="1">
    <font>
      <sz val="11"/>
      <color indexed="8"/>
      <name val="Calibri"/>
      <family val="2"/>
      <scheme val="minor"/>
    </font>
    <font>
      <sz val="11"/>
      <color theme="1"/>
      <name val="Calibri"/>
      <family val="2"/>
    </font>
    <font>
      <b/>
      <sz val="11"/>
      <color theme="1"/>
      <name val="Calibri"/>
      <family val="2"/>
    </font>
    <font>
      <sz val="11"/>
      <color indexed="8"/>
      <name val="Calibri"/>
      <family val="2"/>
      <scheme val="minor"/>
    </font>
    <font>
      <b/>
      <sz val="11"/>
      <color indexed="8"/>
      <name val="Calibri"/>
      <family val="2"/>
      <scheme val="minor"/>
    </font>
    <font>
      <b/>
      <sz val="11"/>
      <name val="Calibri"/>
      <family val="2"/>
      <scheme val="minor"/>
    </font>
    <font>
      <sz val="11"/>
      <name val="Calibri"/>
      <family val="2"/>
      <scheme val="minor"/>
    </font>
    <font>
      <sz val="18"/>
      <color indexed="8"/>
      <name val="Calibri"/>
      <family val="2"/>
      <scheme val="minor"/>
    </font>
    <font>
      <sz val="20"/>
      <color indexed="8"/>
      <name val="Calibri"/>
      <family val="2"/>
      <scheme val="minor"/>
    </font>
  </fonts>
  <fills count="7">
    <fill>
      <patternFill patternType="none"/>
    </fill>
    <fill>
      <patternFill patternType="gray125"/>
    </fill>
    <fill>
      <patternFill patternType="solid">
        <fgColor theme="0"/>
        <bgColor theme="4"/>
      </patternFill>
    </fill>
    <fill>
      <patternFill patternType="solid">
        <fgColor theme="0"/>
        <bgColor indexed="64"/>
      </patternFill>
    </fill>
    <fill>
      <patternFill patternType="solid">
        <fgColor theme="0"/>
        <bgColor theme="4" tint="0.79998168889431442"/>
      </patternFill>
    </fill>
    <fill>
      <patternFill patternType="solid">
        <fgColor theme="9" tint="0.79998168889431442"/>
        <bgColor indexed="64"/>
      </patternFill>
    </fill>
    <fill>
      <patternFill patternType="solid">
        <fgColor theme="3"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0" fontId="1" fillId="0" borderId="0"/>
    <xf numFmtId="0" fontId="3" fillId="0" borderId="0"/>
  </cellStyleXfs>
  <cellXfs count="53">
    <xf numFmtId="0" fontId="0" fillId="0" borderId="0" xfId="0"/>
    <xf numFmtId="14" fontId="0" fillId="0" borderId="0" xfId="0" applyNumberFormat="1"/>
    <xf numFmtId="0" fontId="2" fillId="0" borderId="1" xfId="1" applyFont="1" applyBorder="1" applyAlignment="1">
      <alignment horizontal="center" vertical="center"/>
    </xf>
    <xf numFmtId="0" fontId="1" fillId="0" borderId="0" xfId="1"/>
    <xf numFmtId="0" fontId="2" fillId="0" borderId="0" xfId="1" applyFont="1" applyFill="1" applyBorder="1" applyAlignment="1">
      <alignment horizontal="center" vertical="center"/>
    </xf>
    <xf numFmtId="0" fontId="3" fillId="0" borderId="0" xfId="2" applyAlignment="1">
      <alignment horizontal="center"/>
    </xf>
    <xf numFmtId="0" fontId="1" fillId="0" borderId="0" xfId="1" applyAlignment="1">
      <alignment horizontal="center" vertical="center"/>
    </xf>
    <xf numFmtId="0" fontId="3" fillId="0" borderId="0" xfId="2"/>
    <xf numFmtId="0" fontId="3" fillId="0" borderId="0" xfId="2" applyFill="1" applyAlignment="1">
      <alignment horizontal="center" vertical="center"/>
    </xf>
    <xf numFmtId="0" fontId="3" fillId="0" borderId="0" xfId="2" applyFill="1"/>
    <xf numFmtId="0" fontId="3" fillId="0" borderId="0" xfId="2" applyAlignment="1">
      <alignment horizontal="center" vertical="center"/>
    </xf>
    <xf numFmtId="0" fontId="0" fillId="3" borderId="0" xfId="0" applyFill="1"/>
    <xf numFmtId="0" fontId="6" fillId="3" borderId="0" xfId="0" applyFont="1" applyFill="1" applyBorder="1"/>
    <xf numFmtId="14" fontId="6" fillId="3" borderId="0" xfId="0" applyNumberFormat="1" applyFont="1" applyFill="1" applyBorder="1"/>
    <xf numFmtId="0" fontId="6" fillId="4" borderId="0" xfId="0" applyFont="1" applyFill="1" applyBorder="1"/>
    <xf numFmtId="14" fontId="6" fillId="4" borderId="0" xfId="0" applyNumberFormat="1" applyFont="1" applyFill="1" applyBorder="1"/>
    <xf numFmtId="164" fontId="6" fillId="3" borderId="0" xfId="0" applyNumberFormat="1" applyFont="1" applyFill="1" applyBorder="1"/>
    <xf numFmtId="165" fontId="6" fillId="3" borderId="0" xfId="0" applyNumberFormat="1" applyFont="1" applyFill="1" applyBorder="1"/>
    <xf numFmtId="0" fontId="5" fillId="2" borderId="0" xfId="0" applyFont="1" applyFill="1" applyBorder="1" applyAlignment="1">
      <alignment horizontal="center" vertical="center"/>
    </xf>
    <xf numFmtId="14" fontId="5" fillId="2" borderId="0" xfId="0" applyNumberFormat="1" applyFont="1" applyFill="1" applyBorder="1" applyAlignment="1">
      <alignment horizontal="center" vertical="center"/>
    </xf>
    <xf numFmtId="14" fontId="6" fillId="3" borderId="0" xfId="0" applyNumberFormat="1" applyFont="1" applyFill="1" applyBorder="1" applyAlignment="1">
      <alignment horizontal="center" vertical="center"/>
    </xf>
    <xf numFmtId="0" fontId="6" fillId="3" borderId="0" xfId="0" applyFont="1" applyFill="1" applyBorder="1" applyAlignment="1">
      <alignment horizontal="center" vertical="center"/>
    </xf>
    <xf numFmtId="0" fontId="0" fillId="0" borderId="0" xfId="0" applyAlignment="1">
      <alignment horizontal="center" vertical="center"/>
    </xf>
    <xf numFmtId="0" fontId="0" fillId="3" borderId="0" xfId="0" applyFill="1" applyAlignment="1">
      <alignment horizontal="left"/>
    </xf>
    <xf numFmtId="0" fontId="0" fillId="3" borderId="7" xfId="0" applyFill="1" applyBorder="1"/>
    <xf numFmtId="0" fontId="0" fillId="3" borderId="2" xfId="0" applyFill="1" applyBorder="1"/>
    <xf numFmtId="0" fontId="0" fillId="3" borderId="3" xfId="0" applyFill="1" applyBorder="1"/>
    <xf numFmtId="0" fontId="0" fillId="3" borderId="9" xfId="0" applyFill="1" applyBorder="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4" fillId="3" borderId="10" xfId="0" applyFont="1" applyFill="1" applyBorder="1" applyAlignment="1">
      <alignment horizontal="center" vertical="center"/>
    </xf>
    <xf numFmtId="0" fontId="4" fillId="3" borderId="4" xfId="0" applyFont="1" applyFill="1" applyBorder="1" applyAlignment="1">
      <alignment horizontal="center" vertical="center"/>
    </xf>
    <xf numFmtId="0" fontId="7" fillId="0" borderId="4" xfId="0" applyFont="1" applyBorder="1" applyAlignment="1">
      <alignment horizontal="center" vertical="center" textRotation="90"/>
    </xf>
    <xf numFmtId="0" fontId="7" fillId="0" borderId="10" xfId="0" applyFont="1" applyBorder="1" applyAlignment="1">
      <alignment horizontal="center" vertical="center" textRotation="90"/>
    </xf>
    <xf numFmtId="0" fontId="7" fillId="0" borderId="5" xfId="0" applyFont="1" applyBorder="1" applyAlignment="1">
      <alignment horizontal="center" vertical="center" textRotation="90"/>
    </xf>
    <xf numFmtId="0" fontId="8" fillId="0" borderId="4" xfId="0" applyFont="1" applyBorder="1" applyAlignment="1">
      <alignment horizontal="center" vertical="center" textRotation="90"/>
    </xf>
    <xf numFmtId="0" fontId="8" fillId="0" borderId="10" xfId="0" applyFont="1" applyBorder="1" applyAlignment="1">
      <alignment horizontal="center" vertical="center" textRotation="90"/>
    </xf>
    <xf numFmtId="0" fontId="8" fillId="0" borderId="5" xfId="0" applyFont="1" applyBorder="1" applyAlignment="1">
      <alignment horizontal="center" vertical="center" textRotation="90"/>
    </xf>
    <xf numFmtId="0" fontId="0" fillId="3" borderId="8" xfId="0" applyFill="1" applyBorder="1" applyAlignment="1">
      <alignment horizontal="center"/>
    </xf>
    <xf numFmtId="0" fontId="0" fillId="3" borderId="6" xfId="0" applyFill="1" applyBorder="1"/>
    <xf numFmtId="0" fontId="0" fillId="3" borderId="0" xfId="0" applyFill="1" applyBorder="1" applyAlignment="1">
      <alignment horizontal="centerContinuous" vertical="distributed"/>
    </xf>
    <xf numFmtId="0" fontId="0" fillId="3" borderId="2" xfId="0" applyFont="1" applyFill="1" applyBorder="1" applyAlignment="1">
      <alignment horizontal="left"/>
    </xf>
    <xf numFmtId="0" fontId="0" fillId="5" borderId="3" xfId="0" applyFill="1" applyBorder="1"/>
    <xf numFmtId="0" fontId="0" fillId="5" borderId="4" xfId="0" applyNumberFormat="1" applyFill="1" applyBorder="1"/>
    <xf numFmtId="0" fontId="0" fillId="5" borderId="10" xfId="0" applyNumberFormat="1" applyFill="1" applyBorder="1"/>
    <xf numFmtId="0" fontId="0" fillId="5" borderId="5" xfId="0" applyNumberFormat="1" applyFill="1" applyBorder="1"/>
    <xf numFmtId="0" fontId="0" fillId="5" borderId="3" xfId="0" applyNumberFormat="1" applyFill="1" applyBorder="1"/>
    <xf numFmtId="0" fontId="4" fillId="5" borderId="1" xfId="0" applyNumberFormat="1" applyFont="1" applyFill="1" applyBorder="1"/>
    <xf numFmtId="0" fontId="0" fillId="6" borderId="3" xfId="0" applyFill="1" applyBorder="1"/>
    <xf numFmtId="4" fontId="0" fillId="6" borderId="7" xfId="0" applyNumberFormat="1" applyFill="1" applyBorder="1"/>
    <xf numFmtId="4" fontId="0" fillId="6" borderId="3" xfId="0" applyNumberFormat="1" applyFill="1" applyBorder="1"/>
    <xf numFmtId="4" fontId="0" fillId="6" borderId="9" xfId="0" applyNumberFormat="1" applyFill="1" applyBorder="1"/>
    <xf numFmtId="4" fontId="4" fillId="6" borderId="1" xfId="0" applyNumberFormat="1" applyFont="1" applyFill="1" applyBorder="1"/>
  </cellXfs>
  <cellStyles count="3">
    <cellStyle name="Normal" xfId="0" builtinId="0"/>
    <cellStyle name="Normal 2" xfId="1"/>
    <cellStyle name="Normal 2 2" xfId="2"/>
  </cellStyles>
  <dxfs count="894">
    <dxf>
      <fill>
        <patternFill>
          <bgColor theme="9"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font>
        <color rgb="FF9C0006"/>
      </font>
      <fill>
        <patternFill>
          <bgColor rgb="FFFFC7CE"/>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ill>
        <patternFill>
          <bgColor theme="9" tint="0.79998168889431442"/>
        </patternFill>
      </fill>
    </dxf>
    <dxf>
      <fill>
        <patternFill>
          <bgColor theme="3" tint="0.79998168889431442"/>
        </patternFill>
      </fill>
    </dxf>
    <dxf>
      <fill>
        <patternFill>
          <bgColor theme="3" tint="0.79998168889431442"/>
        </patternFill>
      </fill>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alignment horizontal="general" readingOrder="0"/>
    </dxf>
    <dxf>
      <border>
        <left style="thin">
          <color indexed="64"/>
        </left>
      </border>
    </dxf>
    <dxf>
      <border>
        <right style="thin">
          <color indexed="64"/>
        </right>
      </border>
    </dxf>
    <dxf>
      <fill>
        <patternFill patternType="solid">
          <bgColor theme="0" tint="-0.34998626667073579"/>
        </patternFill>
      </fill>
    </dxf>
    <dxf>
      <font>
        <b/>
      </font>
    </dxf>
    <dxf>
      <font>
        <sz val="11"/>
      </font>
    </dxf>
    <dxf>
      <fill>
        <patternFill patternType="solid">
          <bgColor theme="7" tint="0.79998168889431442"/>
        </patternFill>
      </fill>
    </dxf>
    <dxf>
      <fill>
        <patternFill>
          <bgColor theme="6" tint="0.59999389629810485"/>
        </patternFill>
      </fill>
    </dxf>
    <dxf>
      <alignment horizontal="center" readingOrder="0"/>
    </dxf>
    <dxf>
      <fill>
        <patternFill>
          <bgColor theme="0"/>
        </patternFill>
      </fill>
    </dxf>
    <dxf>
      <border>
        <left style="thin">
          <color indexed="64"/>
        </left>
        <top style="thin">
          <color indexed="64"/>
        </top>
        <bottom style="thin">
          <color indexed="64"/>
        </bottom>
        <vertical style="thin">
          <color indexed="64"/>
        </vertical>
        <horizontal style="thin">
          <color indexed="64"/>
        </horizontal>
      </border>
    </dxf>
    <dxf>
      <border>
        <left/>
        <right/>
        <top/>
        <bottom/>
        <horizontal/>
      </border>
    </dxf>
    <dxf>
      <border>
        <bottom style="thin">
          <color indexed="64"/>
        </bottom>
        <vertical style="thin">
          <color indexed="64"/>
        </vertical>
        <horizontal style="thin">
          <color indexed="64"/>
        </horizontal>
      </border>
    </dxf>
    <dxf>
      <alignment horizontal="centerContinuous" vertical="distributed" readingOrder="0"/>
    </dxf>
    <dxf>
      <numFmt numFmtId="4" formatCode="#,##0.00"/>
    </dxf>
    <dxf>
      <fill>
        <patternFill>
          <bgColor theme="0"/>
        </patternFill>
      </fill>
    </dxf>
    <dxf>
      <border>
        <left style="thin">
          <color indexed="64"/>
        </left>
        <right style="thin">
          <color indexed="64"/>
        </right>
        <top style="thin">
          <color indexed="64"/>
        </top>
        <bottom style="thin">
          <color indexed="64"/>
        </bottom>
      </border>
    </dxf>
    <dxf>
      <border>
        <right style="thin">
          <color indexed="64"/>
        </right>
      </border>
    </dxf>
    <dxf>
      <border>
        <left/>
        <right/>
        <top/>
        <bottom/>
        <horizontal/>
      </border>
    </dxf>
    <dxf>
      <border>
        <left/>
        <right/>
        <top/>
        <bottom/>
        <horizontal/>
      </border>
    </dxf>
    <dxf>
      <border>
        <left style="thin">
          <color indexed="64"/>
        </left>
        <right style="thin">
          <color indexed="64"/>
        </right>
        <top style="thin">
          <color indexed="64"/>
        </top>
      </border>
    </dxf>
    <dxf>
      <border>
        <left style="thin">
          <color indexed="64"/>
        </left>
        <right style="thin">
          <color indexed="64"/>
        </right>
        <top style="thin">
          <color indexed="64"/>
        </top>
      </border>
    </dxf>
    <dxf>
      <alignment horizontal="center" readingOrder="0"/>
    </dxf>
    <dxf>
      <alignment vertical="center" readingOrder="0"/>
    </dxf>
    <dxf>
      <alignment vertical="center" readingOrder="0"/>
    </dxf>
    <dxf>
      <border>
        <left style="thin">
          <color indexed="64"/>
        </left>
        <right style="thin">
          <color indexed="64"/>
        </right>
        <top style="thin">
          <color indexed="64"/>
        </top>
        <bottom style="thin">
          <color indexed="64"/>
        </bottom>
      </border>
    </dxf>
    <dxf>
      <border>
        <right/>
      </border>
    </dxf>
    <dxf>
      <font>
        <sz val="11"/>
      </font>
    </dxf>
    <dxf>
      <border>
        <right style="thin">
          <color indexed="64"/>
        </right>
      </border>
    </dxf>
    <dxf>
      <border>
        <right style="thin">
          <color indexed="64"/>
        </right>
      </border>
    </dxf>
    <dxf>
      <font>
        <sz val="12"/>
      </font>
    </dxf>
    <dxf>
      <font>
        <sz val="14"/>
      </font>
    </dxf>
    <dxf>
      <font>
        <b val="0"/>
        <i val="0"/>
        <strike val="0"/>
        <condense val="0"/>
        <extend val="0"/>
        <outline val="0"/>
        <shadow val="0"/>
        <u val="none"/>
        <vertAlign val="baseline"/>
        <sz val="11"/>
        <color auto="1"/>
        <name val="Calibri"/>
        <scheme val="minor"/>
      </font>
      <numFmt numFmtId="165" formatCode="mmmm"/>
      <fill>
        <patternFill patternType="solid">
          <fgColor indexed="64"/>
          <bgColor theme="0"/>
        </patternFill>
      </fill>
    </dxf>
    <dxf>
      <font>
        <b val="0"/>
        <i val="0"/>
        <strike val="0"/>
        <condense val="0"/>
        <extend val="0"/>
        <outline val="0"/>
        <shadow val="0"/>
        <u val="none"/>
        <vertAlign val="baseline"/>
        <sz val="11"/>
        <color auto="1"/>
        <name val="Calibri"/>
        <scheme val="minor"/>
      </font>
      <numFmt numFmtId="164" formatCode="dddd"/>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numFmt numFmtId="19" formatCode="m/d/yyyy"/>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fill>
        <patternFill patternType="solid">
          <fgColor indexed="64"/>
          <bgColor theme="0"/>
        </patternFill>
      </fill>
    </dxf>
    <dxf>
      <font>
        <b val="0"/>
        <i val="0"/>
        <strike val="0"/>
        <condense val="0"/>
        <extend val="0"/>
        <outline val="0"/>
        <shadow val="0"/>
        <u val="none"/>
        <vertAlign val="baseline"/>
        <sz val="11"/>
        <color auto="1"/>
        <name val="Calibri"/>
        <scheme val="minor"/>
      </font>
      <numFmt numFmtId="19" formatCode="m/d/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9" formatCode="m/d/yyyy"/>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9" formatCode="m/d/yyyy"/>
      <fill>
        <patternFill patternType="solid">
          <fgColor indexed="64"/>
          <bgColor theme="0"/>
        </patternFill>
      </fill>
      <alignment horizontal="center" vertical="center" textRotation="0" wrapText="0" indent="0" justifyLastLine="0" shrinkToFit="0" readingOrder="0"/>
    </dxf>
    <dxf>
      <numFmt numFmtId="19" formatCode="m/d/yyyy"/>
    </dxf>
    <dxf>
      <numFmt numFmtId="19" formatCode="m/d/yyyy"/>
    </dxf>
    <dxf>
      <numFmt numFmtId="19" formatCode="m/d/yyyy"/>
    </dxf>
    <dxf>
      <font>
        <b val="0"/>
        <i val="0"/>
        <strike val="0"/>
        <condense val="0"/>
        <extend val="0"/>
        <outline val="0"/>
        <shadow val="0"/>
        <u val="none"/>
        <vertAlign val="baseline"/>
        <sz val="11"/>
        <color auto="1"/>
        <name val="Calibri"/>
        <scheme val="minor"/>
      </font>
      <numFmt numFmtId="19" formatCode="m/d/yyyy"/>
      <fill>
        <patternFill patternType="solid">
          <fgColor indexed="64"/>
          <bgColor theme="0"/>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10.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0</xdr:colOff>
      <xdr:row>20</xdr:row>
      <xdr:rowOff>1</xdr:rowOff>
    </xdr:to>
    <mc:AlternateContent xmlns:mc="http://schemas.openxmlformats.org/markup-compatibility/2006" xmlns:a14="http://schemas.microsoft.com/office/drawing/2010/main">
      <mc:Choice Requires="a14">
        <xdr:graphicFrame macro="">
          <xdr:nvGraphicFramePr>
            <xdr:cNvPr id="2" name="EMPLOYEENAME"/>
            <xdr:cNvGraphicFramePr/>
          </xdr:nvGraphicFramePr>
          <xdr:xfrm>
            <a:off x="0" y="0"/>
            <a:ext cx="0" cy="0"/>
          </xdr:xfrm>
          <a:graphic>
            <a:graphicData uri="http://schemas.microsoft.com/office/drawing/2010/slicer">
              <sle:slicer xmlns:sle="http://schemas.microsoft.com/office/drawing/2010/slicer" name="EMPLOYEENAME"/>
            </a:graphicData>
          </a:graphic>
        </xdr:graphicFrame>
      </mc:Choice>
      <mc:Fallback xmlns="">
        <xdr:sp macro="" textlink="">
          <xdr:nvSpPr>
            <xdr:cNvPr id="0" name=""/>
            <xdr:cNvSpPr>
              <a:spLocks noTextEdit="1"/>
            </xdr:cNvSpPr>
          </xdr:nvSpPr>
          <xdr:spPr>
            <a:xfrm>
              <a:off x="0" y="0"/>
              <a:ext cx="0" cy="3657601"/>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0</xdr:row>
      <xdr:rowOff>1</xdr:rowOff>
    </xdr:from>
    <xdr:to>
      <xdr:col>4</xdr:col>
      <xdr:colOff>0</xdr:colOff>
      <xdr:row>20</xdr:row>
      <xdr:rowOff>1</xdr:rowOff>
    </xdr:to>
    <mc:AlternateContent xmlns:mc="http://schemas.openxmlformats.org/markup-compatibility/2006" xmlns:a14="http://schemas.microsoft.com/office/drawing/2010/main">
      <mc:Choice Requires="a14">
        <xdr:graphicFrame macro="">
          <xdr:nvGraphicFramePr>
            <xdr:cNvPr id="3" name="WEEKENDINGDATE"/>
            <xdr:cNvGraphicFramePr/>
          </xdr:nvGraphicFramePr>
          <xdr:xfrm>
            <a:off x="0" y="0"/>
            <a:ext cx="0" cy="0"/>
          </xdr:xfrm>
          <a:graphic>
            <a:graphicData uri="http://schemas.microsoft.com/office/drawing/2010/slicer">
              <sle:slicer xmlns:sle="http://schemas.microsoft.com/office/drawing/2010/slicer" name="WEEKENDINGDATE"/>
            </a:graphicData>
          </a:graphic>
        </xdr:graphicFrame>
      </mc:Choice>
      <mc:Fallback xmlns="">
        <xdr:sp macro="" textlink="">
          <xdr:nvSpPr>
            <xdr:cNvPr id="0" name=""/>
            <xdr:cNvSpPr>
              <a:spLocks noTextEdit="1"/>
            </xdr:cNvSpPr>
          </xdr:nvSpPr>
          <xdr:spPr>
            <a:xfrm>
              <a:off x="0" y="1"/>
              <a:ext cx="0" cy="365760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0</xdr:row>
      <xdr:rowOff>1</xdr:rowOff>
    </xdr:from>
    <xdr:to>
      <xdr:col>6</xdr:col>
      <xdr:colOff>0</xdr:colOff>
      <xdr:row>6</xdr:row>
      <xdr:rowOff>1</xdr:rowOff>
    </xdr:to>
    <mc:AlternateContent xmlns:mc="http://schemas.openxmlformats.org/markup-compatibility/2006" xmlns:a14="http://schemas.microsoft.com/office/drawing/2010/main">
      <mc:Choice Requires="a14">
        <xdr:graphicFrame macro="">
          <xdr:nvGraphicFramePr>
            <xdr:cNvPr id="4" name="HOURSTYPE"/>
            <xdr:cNvGraphicFramePr/>
          </xdr:nvGraphicFramePr>
          <xdr:xfrm>
            <a:off x="0" y="0"/>
            <a:ext cx="0" cy="0"/>
          </xdr:xfrm>
          <a:graphic>
            <a:graphicData uri="http://schemas.microsoft.com/office/drawing/2010/slicer">
              <sle:slicer xmlns:sle="http://schemas.microsoft.com/office/drawing/2010/slicer" name="HOURSTYPE"/>
            </a:graphicData>
          </a:graphic>
        </xdr:graphicFrame>
      </mc:Choice>
      <mc:Fallback xmlns="">
        <xdr:sp macro="" textlink="">
          <xdr:nvSpPr>
            <xdr:cNvPr id="0" name=""/>
            <xdr:cNvSpPr>
              <a:spLocks noTextEdit="1"/>
            </xdr:cNvSpPr>
          </xdr:nvSpPr>
          <xdr:spPr>
            <a:xfrm>
              <a:off x="0" y="1"/>
              <a:ext cx="0" cy="1097280"/>
            </a:xfrm>
            <a:prstGeom prst="rect">
              <a:avLst/>
            </a:prstGeom>
            <a:solidFill>
              <a:prstClr val="white"/>
            </a:solidFill>
            <a:ln w="1">
              <a:solidFill>
                <a:prstClr val="green"/>
              </a:solidFill>
            </a:ln>
          </xdr:spPr>
          <xdr:txBody>
            <a:bodyPr vertOverflow="clip" horzOverflow="clip"/>
            <a:lstStyle/>
            <a:p>
              <a:r>
                <a:rPr lang="es-ES_tradnl"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0</xdr:colOff>
          <xdr:row>6</xdr:row>
          <xdr:rowOff>0</xdr:rowOff>
        </xdr:from>
        <xdr:to>
          <xdr:col>6</xdr:col>
          <xdr:colOff>0</xdr:colOff>
          <xdr:row>11</xdr:row>
          <xdr:rowOff>0</xdr:rowOff>
        </xdr:to>
        <xdr:grpSp>
          <xdr:nvGrpSpPr>
            <xdr:cNvPr id="11" name="Group 10"/>
            <xdr:cNvGrpSpPr/>
          </xdr:nvGrpSpPr>
          <xdr:grpSpPr>
            <a:xfrm>
              <a:off x="0" y="1097280"/>
              <a:ext cx="0" cy="914400"/>
              <a:chOff x="259080" y="231975"/>
              <a:chExt cx="1499852" cy="1178580"/>
            </a:xfrm>
          </xdr:grpSpPr>
          <xdr:sp macro="" textlink="">
            <xdr:nvSpPr>
              <xdr:cNvPr id="4102" name="ListBox1" hidden="1">
                <a:extLst>
                  <a:ext uri="{63B3BB69-23CF-44E3-9099-C40C66FF867C}">
                    <a14:compatExt spid="_x0000_s4102"/>
                  </a:ext>
                </a:extLst>
              </xdr:cNvPr>
              <xdr:cNvSpPr/>
            </xdr:nvSpPr>
            <xdr:spPr>
              <a:xfrm>
                <a:off x="259080" y="231975"/>
                <a:ext cx="1499852" cy="677684"/>
              </a:xfrm>
              <a:prstGeom prst="rect">
                <a:avLst/>
              </a:prstGeom>
            </xdr:spPr>
          </xdr:sp>
          <xdr:sp macro="" textlink="">
            <xdr:nvSpPr>
              <xdr:cNvPr id="4103" name="CommandButton1" hidden="1">
                <a:extLst>
                  <a:ext uri="{63B3BB69-23CF-44E3-9099-C40C66FF867C}">
                    <a14:compatExt spid="_x0000_s4103"/>
                  </a:ext>
                </a:extLst>
              </xdr:cNvPr>
              <xdr:cNvSpPr/>
            </xdr:nvSpPr>
            <xdr:spPr>
              <a:xfrm>
                <a:off x="259080" y="1104901"/>
                <a:ext cx="434340" cy="304800"/>
              </a:xfrm>
              <a:prstGeom prst="rect">
                <a:avLst/>
              </a:prstGeom>
            </xdr:spPr>
          </xdr:sp>
          <xdr:sp macro="" textlink="">
            <xdr:nvSpPr>
              <xdr:cNvPr id="4104" name="CommandButton2" hidden="1">
                <a:extLst>
                  <a:ext uri="{63B3BB69-23CF-44E3-9099-C40C66FF867C}">
                    <a14:compatExt spid="_x0000_s4104"/>
                  </a:ext>
                </a:extLst>
              </xdr:cNvPr>
              <xdr:cNvSpPr/>
            </xdr:nvSpPr>
            <xdr:spPr>
              <a:xfrm>
                <a:off x="777240" y="1104901"/>
                <a:ext cx="419100" cy="304800"/>
              </a:xfrm>
              <a:prstGeom prst="rect">
                <a:avLst/>
              </a:prstGeom>
            </xdr:spPr>
          </xdr:sp>
          <xdr:sp macro="" textlink="">
            <xdr:nvSpPr>
              <xdr:cNvPr id="4105" name="CommandButton3" hidden="1">
                <a:extLst>
                  <a:ext uri="{63B3BB69-23CF-44E3-9099-C40C66FF867C}">
                    <a14:compatExt spid="_x0000_s4105"/>
                  </a:ext>
                </a:extLst>
              </xdr:cNvPr>
              <xdr:cNvSpPr/>
            </xdr:nvSpPr>
            <xdr:spPr>
              <a:xfrm>
                <a:off x="1264920" y="1104043"/>
                <a:ext cx="449580" cy="306512"/>
              </a:xfrm>
              <a:prstGeom prst="rect">
                <a:avLst/>
              </a:prstGeom>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6</xdr:col>
          <xdr:colOff>0</xdr:colOff>
          <xdr:row>10</xdr:row>
          <xdr:rowOff>0</xdr:rowOff>
        </xdr:to>
        <xdr:grpSp>
          <xdr:nvGrpSpPr>
            <xdr:cNvPr id="7" name="Group 6"/>
            <xdr:cNvGrpSpPr/>
          </xdr:nvGrpSpPr>
          <xdr:grpSpPr>
            <a:xfrm>
              <a:off x="2377440" y="365760"/>
              <a:ext cx="1828800" cy="1463040"/>
              <a:chOff x="259080" y="231976"/>
              <a:chExt cx="1463040" cy="1178580"/>
            </a:xfrm>
          </xdr:grpSpPr>
          <xdr:sp macro="" textlink="">
            <xdr:nvSpPr>
              <xdr:cNvPr id="11269" name="ListBox1" hidden="1">
                <a:extLst>
                  <a:ext uri="{63B3BB69-23CF-44E3-9099-C40C66FF867C}">
                    <a14:compatExt spid="_x0000_s11269"/>
                  </a:ext>
                </a:extLst>
              </xdr:cNvPr>
              <xdr:cNvSpPr/>
            </xdr:nvSpPr>
            <xdr:spPr>
              <a:xfrm>
                <a:off x="259080" y="231976"/>
                <a:ext cx="1463040" cy="552459"/>
              </a:xfrm>
              <a:prstGeom prst="rect">
                <a:avLst/>
              </a:prstGeom>
            </xdr:spPr>
          </xdr:sp>
          <xdr:sp macro="" textlink="">
            <xdr:nvSpPr>
              <xdr:cNvPr id="11270" name="CommandButton1" hidden="1">
                <a:extLst>
                  <a:ext uri="{63B3BB69-23CF-44E3-9099-C40C66FF867C}">
                    <a14:compatExt spid="_x0000_s11270"/>
                  </a:ext>
                </a:extLst>
              </xdr:cNvPr>
              <xdr:cNvSpPr/>
            </xdr:nvSpPr>
            <xdr:spPr>
              <a:xfrm>
                <a:off x="259080" y="1104901"/>
                <a:ext cx="434340" cy="304800"/>
              </a:xfrm>
              <a:prstGeom prst="rect">
                <a:avLst/>
              </a:prstGeom>
            </xdr:spPr>
          </xdr:sp>
          <xdr:sp macro="" textlink="">
            <xdr:nvSpPr>
              <xdr:cNvPr id="11271" name="CommandButton2" hidden="1">
                <a:extLst>
                  <a:ext uri="{63B3BB69-23CF-44E3-9099-C40C66FF867C}">
                    <a14:compatExt spid="_x0000_s11271"/>
                  </a:ext>
                </a:extLst>
              </xdr:cNvPr>
              <xdr:cNvSpPr/>
            </xdr:nvSpPr>
            <xdr:spPr>
              <a:xfrm>
                <a:off x="777240" y="1104901"/>
                <a:ext cx="419100" cy="304800"/>
              </a:xfrm>
              <a:prstGeom prst="rect">
                <a:avLst/>
              </a:prstGeom>
            </xdr:spPr>
          </xdr:sp>
          <xdr:sp macro="" textlink="">
            <xdr:nvSpPr>
              <xdr:cNvPr id="11272" name="CommandButton3" hidden="1">
                <a:extLst>
                  <a:ext uri="{63B3BB69-23CF-44E3-9099-C40C66FF867C}">
                    <a14:compatExt spid="_x0000_s11272"/>
                  </a:ext>
                </a:extLst>
              </xdr:cNvPr>
              <xdr:cNvSpPr/>
            </xdr:nvSpPr>
            <xdr:spPr>
              <a:xfrm>
                <a:off x="1264920" y="1104044"/>
                <a:ext cx="449580" cy="306512"/>
              </a:xfrm>
              <a:prstGeom prst="rect">
                <a:avLst/>
              </a:prstGeom>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206630</xdr:colOff>
          <xdr:row>2</xdr:row>
          <xdr:rowOff>0</xdr:rowOff>
        </xdr:from>
        <xdr:to>
          <xdr:col>18</xdr:col>
          <xdr:colOff>373380</xdr:colOff>
          <xdr:row>22</xdr:row>
          <xdr:rowOff>173342</xdr:rowOff>
        </xdr:to>
        <xdr:pic>
          <xdr:nvPicPr>
            <xdr:cNvPr id="12" name="Picture 11"/>
            <xdr:cNvPicPr>
              <a:picLocks noChangeAspect="1" noChangeArrowheads="1"/>
              <a:extLst>
                <a:ext uri="{84589F7E-364E-4C9E-8A38-B11213B215E9}">
                  <a14:cameraTool cellRange="Sheet9!$A$1:$Z$92" spid="_x0000_s11288"/>
                </a:ext>
              </a:extLst>
            </xdr:cNvPicPr>
          </xdr:nvPicPr>
          <xdr:blipFill>
            <a:blip xmlns:r="http://schemas.openxmlformats.org/officeDocument/2006/relationships" r:embed="rId1"/>
            <a:srcRect/>
            <a:stretch>
              <a:fillRect/>
            </a:stretch>
          </xdr:blipFill>
          <xdr:spPr bwMode="auto">
            <a:xfrm>
              <a:off x="4473830" y="365760"/>
              <a:ext cx="6872350" cy="38309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t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9"/>
      <sheetName val="Sheet9 (2)"/>
      <sheetName val="TableOne"/>
      <sheetName val="DRT"/>
      <sheetName val="SP_JC_60_022_2018"/>
      <sheetName val="SP_JC_60_019_Kelvin_2018"/>
      <sheetName val="SP_JC_60_018_Houghton_2017"/>
      <sheetName val="SP_JC_75_047_2017-2018"/>
      <sheetName val="Sheet11"/>
      <sheetName val="SP_JC_50_021_2018_2019"/>
      <sheetName val="SP_JC_ActualCostDetail-20-701"/>
      <sheetName val="formulacion"/>
      <sheetName val="SP_JC_ActualCostDetail6-701"/>
      <sheetName val="SP_JC_ActualCostDetail"/>
      <sheetName val="SP_JC_ActualCostDetail-calavera"/>
      <sheetName val="PT-Invoices"/>
      <sheetName val="PT-SIE"/>
      <sheetName val="PT-SIE-SLICERS"/>
      <sheetName val="Listas"/>
      <sheetName val="timecarddetail_50_021"/>
      <sheetName val="PT-TimeCard"/>
      <sheetName val="PT-TimeCard (2)"/>
      <sheetName val="Sheet6"/>
      <sheetName val="Sheet7"/>
      <sheetName val="Sheet7 (2)"/>
      <sheetName val="drt00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Bravo, Juan Carlos" refreshedDate="43555.159881250001" createdVersion="4" refreshedVersion="4" minRefreshableVersion="3" recordCount="91">
  <cacheSource type="worksheet">
    <worksheetSource name="Table4"/>
  </cacheSource>
  <cacheFields count="26">
    <cacheField name="WEEKENDINGDATE" numFmtId="0">
      <sharedItems count="11">
        <s v="2018-10-04"/>
        <s v="2018-12-27"/>
        <s v="2018-10-18"/>
        <s v="2019-01-03"/>
        <s v="2019-01-10"/>
        <s v="2019-03-07"/>
        <s v="2019-01-24"/>
        <s v="2018-12-06"/>
        <s v="2019-01-31"/>
        <s v="2019-02-28"/>
        <s v="2019-03-14"/>
      </sharedItems>
    </cacheField>
    <cacheField name="LASTNAME" numFmtId="0">
      <sharedItems/>
    </cacheField>
    <cacheField name="EMPLOYEENAME" numFmtId="0">
      <sharedItems count="13">
        <s v="Matthew G Lowe"/>
        <s v="Fidel Olascoaga"/>
        <s v="Amando Fernandez"/>
        <s v="Michael S Whightsel"/>
        <s v="Belsar Taracena Rodas"/>
        <s v="Guillermo A Mata"/>
        <s v="Omar Patino Munguia"/>
        <s v="Ricardo Martinez Cejas"/>
        <s v="Jorge A Garza"/>
        <s v="Jose L Martinez"/>
        <s v="Sean P McCarthy"/>
        <s v="Omar A Mestre-Davila"/>
        <s v="Franco Thompson"/>
      </sharedItems>
    </cacheField>
    <cacheField name="EMPLOYEENUMBER" numFmtId="0">
      <sharedItems containsSemiMixedTypes="0" containsString="0" containsNumber="1" containsInteger="1" minValue="1659" maxValue="9254"/>
    </cacheField>
    <cacheField name="EMPDIV" numFmtId="0">
      <sharedItems containsSemiMixedTypes="0" containsString="0" containsNumber="1" containsInteger="1" minValue="1" maxValue="1"/>
    </cacheField>
    <cacheField name="CHECKNUMBER" numFmtId="0">
      <sharedItems containsSemiMixedTypes="0" containsString="0" containsNumber="1" containsInteger="1" minValue="228306" maxValue="241559"/>
    </cacheField>
    <cacheField name="DIVJOB" numFmtId="0">
      <sharedItems/>
    </cacheField>
    <cacheField name="JOBDESC" numFmtId="0">
      <sharedItems/>
    </cacheField>
    <cacheField name="JCDISTRIBUTION" numFmtId="0">
      <sharedItems/>
    </cacheField>
    <cacheField name="COSTTYPE" numFmtId="0">
      <sharedItems/>
    </cacheField>
    <cacheField name="WCCODE" numFmtId="0">
      <sharedItems containsSemiMixedTypes="0" containsString="0" containsNumber="1" containsInteger="1" minValue="5222" maxValue="5606"/>
    </cacheField>
    <cacheField name="UNIONENTERED" numFmtId="0">
      <sharedItems/>
    </cacheField>
    <cacheField name="EMPCLASS" numFmtId="0">
      <sharedItems containsSemiMixedTypes="0" containsString="0" containsNumber="1" containsInteger="1" minValue="100" maxValue="800"/>
    </cacheField>
    <cacheField name="HOURSTYPE" numFmtId="0">
      <sharedItems count="2">
        <s v="Regular"/>
        <s v="Overtime"/>
      </sharedItems>
    </cacheField>
    <cacheField name="OTHHRSTYPE" numFmtId="0">
      <sharedItems/>
    </cacheField>
    <cacheField name="PAYRATE" numFmtId="0">
      <sharedItems containsSemiMixedTypes="0" containsString="0" containsNumber="1" minValue="13" maxValue="40.341000000000001"/>
    </cacheField>
    <cacheField name="hours" numFmtId="0">
      <sharedItems containsSemiMixedTypes="0" containsString="0" containsNumber="1" minValue="0" maxValue="12"/>
    </cacheField>
    <cacheField name="workdate" numFmtId="0">
      <sharedItems containsSemiMixedTypes="0" containsString="0" containsNumber="1" containsInteger="1" minValue="43371" maxValue="43538"/>
    </cacheField>
    <cacheField name="cost" numFmtId="0">
      <sharedItems containsSemiMixedTypes="0" containsString="0" containsNumber="1" minValue="0" maxValue="330"/>
    </cacheField>
    <cacheField name="workday" numFmtId="0">
      <sharedItems containsSemiMixedTypes="0" containsString="0" containsNumber="1" containsInteger="1" minValue="1" maxValue="31" count="31">
        <n v="30"/>
        <n v="1"/>
        <n v="2"/>
        <n v="3"/>
        <n v="4"/>
        <n v="28"/>
        <n v="29"/>
        <n v="23"/>
        <n v="24"/>
        <n v="25"/>
        <n v="26"/>
        <n v="27"/>
        <n v="21"/>
        <n v="22"/>
        <n v="14"/>
        <n v="15"/>
        <n v="16"/>
        <n v="17"/>
        <n v="18"/>
        <n v="12"/>
        <n v="13"/>
        <n v="31"/>
        <n v="6"/>
        <n v="7"/>
        <n v="8"/>
        <n v="9"/>
        <n v="10"/>
        <n v="5"/>
        <n v="20"/>
        <n v="19"/>
        <n v="11"/>
      </sharedItems>
    </cacheField>
    <cacheField name="weekday" numFmtId="0">
      <sharedItems containsSemiMixedTypes="0" containsString="0" containsNumber="1" containsInteger="1" minValue="1" maxValue="7"/>
    </cacheField>
    <cacheField name="weeknumber" numFmtId="0">
      <sharedItems containsSemiMixedTypes="0" containsString="0" containsNumber="1" containsInteger="1" minValue="1" maxValue="53"/>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18" maxValue="2019" count="2">
        <n v="2018"/>
        <n v="2019"/>
      </sharedItems>
    </cacheField>
    <cacheField name="dayname" numFmtId="0">
      <sharedItems count="7">
        <s v="Monday"/>
        <s v="Tuesday"/>
        <s v="Wednesday"/>
        <s v="Thursday"/>
        <s v="Friday"/>
        <s v="Saturday"/>
        <s v="Sunday"/>
      </sharedItems>
    </cacheField>
    <cacheField name="monthname" numFmtId="0">
      <sharedItems count="7">
        <s v="September"/>
        <s v="October"/>
        <s v="December"/>
        <s v="January"/>
        <s v="March"/>
        <s v="November"/>
        <s v="February"/>
      </sharedItems>
    </cacheField>
  </cacheFields>
  <extLst>
    <ext xmlns:x14="http://schemas.microsoft.com/office/spreadsheetml/2009/9/main" uri="{725AE2AE-9491-48be-B2B4-4EB974FC3084}">
      <x14:pivotCacheDefinition pivotCacheId="1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75" applyNumberFormats="0" applyBorderFormats="0" applyFontFormats="0" applyPatternFormats="0" applyAlignmentFormats="0" applyWidthHeightFormats="1" dataCaption="Values" updatedVersion="4" minRefreshableVersion="3" showDrill="0" useAutoFormatting="1" itemPrintTitles="1" createdVersion="4" indent="0" showHeaders="0" outline="1" outlineData="1" multipleFieldFilters="0">
  <location ref="L1:R20" firstHeaderRow="0" firstDataRow="6" firstDataCol="1"/>
  <pivotFields count="26">
    <pivotField showAll="0">
      <items count="12">
        <item x="0"/>
        <item x="2"/>
        <item x="7"/>
        <item x="1"/>
        <item x="3"/>
        <item x="4"/>
        <item x="6"/>
        <item x="8"/>
        <item x="9"/>
        <item x="5"/>
        <item x="10"/>
        <item t="default"/>
      </items>
    </pivotField>
    <pivotField showAll="0"/>
    <pivotField axis="axisRow" showAll="0" sortType="ascending">
      <items count="14">
        <item x="2"/>
        <item x="4"/>
        <item x="1"/>
        <item x="12"/>
        <item x="5"/>
        <item x="8"/>
        <item x="9"/>
        <item x="0"/>
        <item x="3"/>
        <item x="11"/>
        <item x="6"/>
        <item x="7"/>
        <item x="10"/>
        <item t="default" sd="0"/>
      </items>
    </pivotField>
    <pivotField showAll="0"/>
    <pivotField showAll="0"/>
    <pivotField showAll="0"/>
    <pivotField showAll="0"/>
    <pivotField showAll="0"/>
    <pivotField showAll="0"/>
    <pivotField showAll="0"/>
    <pivotField showAll="0"/>
    <pivotField showAll="0"/>
    <pivotField showAll="0"/>
    <pivotField axis="axisCol" showAll="0">
      <items count="3">
        <item x="0"/>
        <item x="1"/>
        <item t="default"/>
      </items>
    </pivotField>
    <pivotField showAll="0"/>
    <pivotField showAll="0"/>
    <pivotField dataField="1" showAll="0" defaultSubtotal="0"/>
    <pivotField showAll="0" defaultSubtotal="0"/>
    <pivotField dataField="1" showAll="0" defaultSubtotal="0"/>
    <pivotField axis="axisCol" showAll="0" defaultSubtotal="0">
      <items count="31">
        <item x="1"/>
        <item x="2"/>
        <item x="3"/>
        <item x="4"/>
        <item x="27"/>
        <item x="22"/>
        <item x="23"/>
        <item x="24"/>
        <item x="25"/>
        <item x="26"/>
        <item x="30"/>
        <item x="19"/>
        <item x="20"/>
        <item x="14"/>
        <item x="15"/>
        <item x="16"/>
        <item x="17"/>
        <item x="18"/>
        <item x="29"/>
        <item x="28"/>
        <item x="12"/>
        <item x="13"/>
        <item x="7"/>
        <item x="8"/>
        <item x="9"/>
        <item x="10"/>
        <item x="11"/>
        <item x="5"/>
        <item x="6"/>
        <item x="0"/>
        <item x="21"/>
      </items>
    </pivotField>
    <pivotField showAll="0" defaultSubtotal="0"/>
    <pivotField showAll="0" defaultSubtotal="0"/>
    <pivotField showAll="0" sortType="ascending" defaultSubtotal="0"/>
    <pivotField axis="axisCol" showAll="0" defaultSubtotal="0">
      <items count="2">
        <item sd="0" x="0"/>
        <item sd="0" x="1"/>
      </items>
    </pivotField>
    <pivotField axis="axisCol" showAll="0" defaultSubtotal="0">
      <items count="7">
        <item x="6"/>
        <item x="0"/>
        <item x="1"/>
        <item x="2"/>
        <item x="3"/>
        <item x="4"/>
        <item x="5"/>
      </items>
    </pivotField>
    <pivotField axis="axisCol" showAll="0" defaultSubtotal="0">
      <items count="7">
        <item x="3"/>
        <item x="6"/>
        <item x="4"/>
        <item x="1"/>
        <item sd="0" x="5"/>
        <item sd="0" x="2"/>
        <item sd="0" x="0"/>
      </items>
    </pivotField>
  </pivotFields>
  <rowFields count="1">
    <field x="2"/>
  </rowFields>
  <rowItems count="14">
    <i>
      <x/>
    </i>
    <i>
      <x v="1"/>
    </i>
    <i>
      <x v="2"/>
    </i>
    <i>
      <x v="3"/>
    </i>
    <i>
      <x v="4"/>
    </i>
    <i>
      <x v="5"/>
    </i>
    <i>
      <x v="6"/>
    </i>
    <i>
      <x v="7"/>
    </i>
    <i>
      <x v="8"/>
    </i>
    <i>
      <x v="9"/>
    </i>
    <i>
      <x v="10"/>
    </i>
    <i>
      <x v="11"/>
    </i>
    <i>
      <x v="12"/>
    </i>
    <i t="grand">
      <x/>
    </i>
  </rowItems>
  <colFields count="6">
    <field x="23"/>
    <field x="25"/>
    <field x="19"/>
    <field x="24"/>
    <field x="13"/>
    <field x="-2"/>
  </colFields>
  <colItems count="6">
    <i>
      <x/>
      <x v="1048832"/>
      <x v="1048832"/>
      <x v="1048832"/>
      <x v="1048832"/>
      <x/>
    </i>
    <i r="5" i="1">
      <x v="1"/>
    </i>
    <i>
      <x v="1"/>
      <x v="1048832"/>
      <x v="1048832"/>
      <x v="1048832"/>
      <x v="1048832"/>
      <x/>
    </i>
    <i r="5" i="1">
      <x v="1"/>
    </i>
    <i t="grand">
      <x/>
    </i>
    <i t="grand" i="1">
      <x/>
    </i>
  </colItems>
  <dataFields count="2">
    <dataField name="Hrs" fld="16" baseField="2" baseItem="0"/>
    <dataField name="Cst" fld="18" baseField="2" baseItem="1" numFmtId="4"/>
  </dataFields>
  <formats count="32">
    <format dxfId="648">
      <pivotArea field="2" type="button" dataOnly="0" labelOnly="1" outline="0" axis="axisRow" fieldPosition="0"/>
    </format>
    <format dxfId="649">
      <pivotArea dataOnly="0" labelOnly="1" fieldPosition="0">
        <references count="1">
          <reference field="2" count="0"/>
        </references>
      </pivotArea>
    </format>
    <format dxfId="650">
      <pivotArea dataOnly="0" grandCol="1" outline="0" fieldPosition="0"/>
    </format>
    <format dxfId="651">
      <pivotArea dataOnly="0" grandCol="1" outline="0" fieldPosition="0"/>
    </format>
    <format dxfId="652">
      <pivotArea dataOnly="0" grandCol="1" outline="0" fieldPosition="0"/>
    </format>
    <format dxfId="653">
      <pivotArea dataOnly="0" grandCol="1" outline="0" fieldPosition="0"/>
    </format>
    <format dxfId="654">
      <pivotArea dataOnly="0" labelOnly="1" fieldPosition="0">
        <references count="1">
          <reference field="2" count="0"/>
        </references>
      </pivotArea>
    </format>
    <format dxfId="655">
      <pivotArea dataOnly="0" labelOnly="1" fieldPosition="0">
        <references count="1">
          <reference field="2" count="0"/>
        </references>
      </pivotArea>
    </format>
    <format dxfId="656">
      <pivotArea dataOnly="0" labelOnly="1" grandCol="1" outline="0" fieldPosition="0"/>
    </format>
    <format dxfId="657">
      <pivotArea dataOnly="0" grandCol="1" outline="0" fieldPosition="0"/>
    </format>
    <format dxfId="658">
      <pivotArea dataOnly="0" grandCol="1" outline="0" fieldPosition="0"/>
    </format>
    <format dxfId="659">
      <pivotArea dataOnly="0" labelOnly="1" grandCol="1" outline="0" offset="IV2:IV256" fieldPosition="0"/>
    </format>
    <format dxfId="660">
      <pivotArea dataOnly="0" labelOnly="1" grandCol="1" outline="0" offset="IV1" fieldPosition="0"/>
    </format>
    <format dxfId="661">
      <pivotArea type="origin" dataOnly="0" labelOnly="1" outline="0" fieldPosition="0"/>
    </format>
    <format dxfId="662">
      <pivotArea outline="0" fieldPosition="0">
        <references count="1">
          <reference field="4294967294" count="1">
            <x v="1"/>
          </reference>
        </references>
      </pivotArea>
    </format>
    <format dxfId="663">
      <pivotArea type="all" dataOnly="0" outline="0" fieldPosition="0"/>
    </format>
    <format dxfId="664">
      <pivotArea dataOnly="0" outline="0" fieldPosition="0">
        <references count="1">
          <reference field="23" count="1">
            <x v="0"/>
          </reference>
        </references>
      </pivotArea>
    </format>
    <format dxfId="665">
      <pivotArea dataOnly="0" outline="0" fieldPosition="0">
        <references count="2">
          <reference field="4294967294" count="0" defaultSubtotal="1" sumSubtotal="1" countASubtotal="1" avgSubtotal="1" maxSubtotal="1" minSubtotal="1" productSubtotal="1" countSubtotal="1" stdDevSubtotal="1" stdDevPSubtotal="1" varSubtotal="1" varPSubtotal="1"/>
          <reference field="19" count="11">
            <x v="0"/>
            <x v="1"/>
            <x v="2"/>
            <x v="3"/>
            <x v="11"/>
            <x v="12"/>
            <x v="13"/>
            <x v="14"/>
            <x v="15"/>
            <x v="16"/>
            <x v="17"/>
          </reference>
        </references>
      </pivotArea>
    </format>
    <format dxfId="666">
      <pivotArea field="23" dataOnly="0" labelOnly="1" grandCol="1" outline="0" axis="axisCol" fieldPosition="0">
        <references count="1">
          <reference field="4294967294" count="1" selected="0">
            <x v="0"/>
          </reference>
        </references>
      </pivotArea>
    </format>
    <format dxfId="667">
      <pivotArea field="23" dataOnly="0" labelOnly="1" grandCol="1" outline="0" axis="axisCol" fieldPosition="0">
        <references count="1">
          <reference field="4294967294" count="1" selected="0">
            <x v="1"/>
          </reference>
        </references>
      </pivotArea>
    </format>
    <format dxfId="668">
      <pivotArea field="23" dataOnly="0" labelOnly="1" grandCol="1" outline="0" axis="axisCol" fieldPosition="0">
        <references count="1">
          <reference field="4294967294" count="1" selected="0">
            <x v="0"/>
          </reference>
        </references>
      </pivotArea>
    </format>
    <format dxfId="669">
      <pivotArea field="23" dataOnly="0" labelOnly="1" grandCol="1" outline="0" axis="axisCol" fieldPosition="0">
        <references count="1">
          <reference field="4294967294" count="1" selected="0">
            <x v="1"/>
          </reference>
        </references>
      </pivotArea>
    </format>
    <format dxfId="670">
      <pivotArea dataOnly="0" labelOnly="1" fieldPosition="0">
        <references count="2">
          <reference field="19" count="1">
            <x v="1048832"/>
          </reference>
          <reference field="23" count="1" selected="0">
            <x v="0"/>
          </reference>
        </references>
      </pivotArea>
    </format>
    <format dxfId="671">
      <pivotArea field="23" dataOnly="0" labelOnly="1" grandCol="1" outline="0" axis="axisCol" fieldPosition="0">
        <references count="1">
          <reference field="4294967294" count="1" selected="0">
            <x v="0"/>
          </reference>
        </references>
      </pivotArea>
    </format>
    <format dxfId="672">
      <pivotArea field="23" dataOnly="0" labelOnly="1" grandCol="1" outline="0" axis="axisCol" fieldPosition="0">
        <references count="1">
          <reference field="4294967294" count="1" selected="0">
            <x v="1"/>
          </reference>
        </references>
      </pivotArea>
    </format>
    <format dxfId="673">
      <pivotArea dataOnly="0" outline="0" fieldPosition="0">
        <references count="1">
          <reference field="24" count="1">
            <x v="6"/>
          </reference>
        </references>
      </pivotArea>
    </format>
    <format dxfId="674">
      <pivotArea type="origin" dataOnly="0" labelOnly="1" outline="0" fieldPosition="0"/>
    </format>
    <format dxfId="675">
      <pivotArea dataOnly="0" labelOnly="1" fieldPosition="0">
        <references count="1">
          <reference field="2" count="0"/>
        </references>
      </pivotArea>
    </format>
    <format dxfId="676">
      <pivotArea dataOnly="0" outline="0" fieldPosition="0">
        <references count="1">
          <reference field="4294967294" count="1">
            <x v="0"/>
          </reference>
        </references>
      </pivotArea>
    </format>
    <format dxfId="677">
      <pivotArea dataOnly="0" outline="0" fieldPosition="0">
        <references count="1">
          <reference field="4294967294" count="1">
            <x v="1"/>
          </reference>
        </references>
      </pivotArea>
    </format>
    <format dxfId="647">
      <pivotArea dataOnly="0" outline="0" fieldPosition="0">
        <references count="1">
          <reference field="4294967294" count="1">
            <x v="1"/>
          </reference>
        </references>
      </pivotArea>
    </format>
    <format dxfId="0">
      <pivotArea dataOnly="0" outline="0" fieldPosition="0">
        <references count="1">
          <reference field="4294967294" count="1">
            <x v="0"/>
          </reference>
        </references>
      </pivotArea>
    </format>
  </formats>
  <conditionalFormats count="3">
    <conditionalFormat priority="3">
      <pivotAreas count="1">
        <pivotArea outline="0" fieldPosition="0">
          <references count="1">
            <reference field="19" count="1">
              <x v="0"/>
            </reference>
          </references>
        </pivotArea>
      </pivotAreas>
    </conditionalFormat>
    <conditionalFormat priority="2">
      <pivotAreas count="1">
        <pivotArea outline="0" fieldPosition="0">
          <references count="1">
            <reference field="25" count="1">
              <x v="3"/>
            </reference>
          </references>
        </pivotArea>
      </pivotAreas>
    </conditionalFormat>
    <conditionalFormat priority="1">
      <pivotAreas count="1">
        <pivotArea outline="0" fieldPosition="0">
          <references count="2">
            <reference field="4294967294" count="1">
              <x v="0"/>
            </reference>
            <reference field="13" count="1" selected="0">
              <x v="1048832"/>
            </reference>
          </references>
        </pivotArea>
      </pivotAreas>
    </conditionalFormat>
  </conditionalFormats>
  <pivotTableStyleInfo name="PivotStyleLight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MPLOYEENAME" sourceName="EMPLOYEENAME">
  <pivotTables>
    <pivotTable tabId="5" name="PivotTable1"/>
  </pivotTables>
  <data>
    <tabular pivotCacheId="131">
      <items count="13">
        <i x="2" s="1"/>
        <i x="4" s="1"/>
        <i x="1" s="1"/>
        <i x="12" s="1"/>
        <i x="5" s="1"/>
        <i x="8" s="1"/>
        <i x="9" s="1"/>
        <i x="0" s="1"/>
        <i x="3" s="1"/>
        <i x="11" s="1"/>
        <i x="6" s="1"/>
        <i x="7"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WEEKENDINGDATE" sourceName="WEEKENDINGDATE">
  <pivotTables>
    <pivotTable tabId="5" name="PivotTable1"/>
  </pivotTables>
  <data>
    <tabular pivotCacheId="131">
      <items count="11">
        <i x="0" s="1"/>
        <i x="2" s="1"/>
        <i x="7" s="1"/>
        <i x="1" s="1"/>
        <i x="3" s="1"/>
        <i x="4" s="1"/>
        <i x="6" s="1"/>
        <i x="8" s="1"/>
        <i x="9" s="1"/>
        <i x="5"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RSTYPE" sourceName="HOURSTYPE">
  <pivotTables>
    <pivotTable tabId="5" name="PivotTable1"/>
  </pivotTables>
  <data>
    <tabular pivotCacheId="131">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MPLOYEENAME" cache="Slicer_EMPLOYEENAME" caption="EMPLOYEENAME" style="SlicerStyleDark2" rowHeight="182880"/>
  <slicer name="WEEKENDINGDATE" cache="Slicer_WEEKENDINGDATE" caption="WEEKENDINGDATE" style="SlicerStyleDark6" rowHeight="234950"/>
  <slicer name="HOURSTYPE" cache="Slicer_HOURSTYPE" caption="HOURSTYPE" style="SlicerStyleDark4" rowHeight="234950"/>
</slicers>
</file>

<file path=xl/tables/table1.xml><?xml version="1.0" encoding="utf-8"?>
<table xmlns="http://schemas.openxmlformats.org/spreadsheetml/2006/main" id="5" name="Table5" displayName="Table5" ref="A1:Z92" totalsRowShown="0" headerRowDxfId="893">
  <autoFilter ref="A1:Z92"/>
  <tableColumns count="26">
    <tableColumn id="1" name="WEEKENDINGDATE"/>
    <tableColumn id="2" name="LASTNAME"/>
    <tableColumn id="3" name="EMPLOYEENAME"/>
    <tableColumn id="4" name="EMPLOYEENUMBER"/>
    <tableColumn id="5" name="EMPDIV"/>
    <tableColumn id="6" name="CHECKNUMBER"/>
    <tableColumn id="7" name="DIVJOB"/>
    <tableColumn id="8" name="JOBDESC"/>
    <tableColumn id="9" name="JCDISTRIBUTION"/>
    <tableColumn id="10" name="COSTTYPE"/>
    <tableColumn id="11" name="WCCODE"/>
    <tableColumn id="12" name="UNIONENTERED"/>
    <tableColumn id="13" name="EMPCLASS"/>
    <tableColumn id="14" name="HOURSTYPE"/>
    <tableColumn id="15" name="OTHHRSTYPE"/>
    <tableColumn id="16" name="PAYRATE"/>
    <tableColumn id="17" name="hours"/>
    <tableColumn id="18" name="workdate" dataDxfId="892"/>
    <tableColumn id="19" name="cost">
      <calculatedColumnFormula>P2*Q2</calculatedColumnFormula>
    </tableColumn>
    <tableColumn id="20" name="workday">
      <calculatedColumnFormula>DAY(R2)</calculatedColumnFormula>
    </tableColumn>
    <tableColumn id="21" name="weekday">
      <calculatedColumnFormula>WEEKDAY(R2)</calculatedColumnFormula>
    </tableColumn>
    <tableColumn id="22" name="weeknumber">
      <calculatedColumnFormula>WEEKNUM(R2)</calculatedColumnFormula>
    </tableColumn>
    <tableColumn id="23" name="month">
      <calculatedColumnFormula>MONTH(R2)</calculatedColumnFormula>
    </tableColumn>
    <tableColumn id="24" name="year">
      <calculatedColumnFormula>YEAR(R2)</calculatedColumnFormula>
    </tableColumn>
    <tableColumn id="25" name="dayname" dataDxfId="891">
      <calculatedColumnFormula>VLOOKUP(U2,dayname,2)</calculatedColumnFormula>
    </tableColumn>
    <tableColumn id="26" name="monthname" dataDxfId="890">
      <calculatedColumnFormula>VLOOKUP(W2,mesnome,2)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4" name="Table4" displayName="Table4" ref="A1:Z92" totalsRowShown="0" headerRowDxfId="889">
  <autoFilter ref="A1:Z92"/>
  <tableColumns count="26">
    <tableColumn id="1" name="WEEKENDINGDATE"/>
    <tableColumn id="2" name="LASTNAME"/>
    <tableColumn id="3" name="EMPLOYEENAME"/>
    <tableColumn id="4" name="EMPLOYEENUMBER"/>
    <tableColumn id="5" name="EMPDIV"/>
    <tableColumn id="6" name="CHECKNUMBER"/>
    <tableColumn id="7" name="DIVJOB"/>
    <tableColumn id="8" name="JOBDESC"/>
    <tableColumn id="9" name="JCDISTRIBUTION"/>
    <tableColumn id="10" name="COSTTYPE"/>
    <tableColumn id="11" name="WCCODE"/>
    <tableColumn id="12" name="UNIONENTERED"/>
    <tableColumn id="13" name="EMPCLASS"/>
    <tableColumn id="14" name="HOURSTYPE"/>
    <tableColumn id="15" name="OTHHRSTYPE"/>
    <tableColumn id="16" name="PAYRATE"/>
    <tableColumn id="17" name="hours"/>
    <tableColumn id="18" name="workdate"/>
    <tableColumn id="19" name="cost">
      <calculatedColumnFormula>P2*Q2</calculatedColumnFormula>
    </tableColumn>
    <tableColumn id="20" name="workday">
      <calculatedColumnFormula>DAY(R2)</calculatedColumnFormula>
    </tableColumn>
    <tableColumn id="21" name="weekday">
      <calculatedColumnFormula>WEEKDAY(R2)</calculatedColumnFormula>
    </tableColumn>
    <tableColumn id="22" name="weeknumber">
      <calculatedColumnFormula>WEEKNUM(R2)</calculatedColumnFormula>
    </tableColumn>
    <tableColumn id="23" name="month">
      <calculatedColumnFormula>MONTH(R2)</calculatedColumnFormula>
    </tableColumn>
    <tableColumn id="24" name="year">
      <calculatedColumnFormula>YEAR(R2)</calculatedColumnFormula>
    </tableColumn>
    <tableColumn id="25" name="dayname">
      <calculatedColumnFormula>VLOOKUP(U2,dayname,2)</calculatedColumnFormula>
    </tableColumn>
    <tableColumn id="26" name="monthname">
      <calculatedColumnFormula>VLOOKUP(W2,mesnome,2)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6" name="Table6" displayName="Table6" ref="A1:Z92" totalsRowShown="0" headerRowDxfId="888">
  <autoFilter ref="A1:Z92"/>
  <tableColumns count="26">
    <tableColumn id="1" name="WEEKENDINGDATE"/>
    <tableColumn id="2" name="LASTNAME"/>
    <tableColumn id="3" name="EMPLOYEENAME"/>
    <tableColumn id="4" name="EMPLOYEENUMBER"/>
    <tableColumn id="5" name="EMPDIV"/>
    <tableColumn id="6" name="CHECKNUMBER"/>
    <tableColumn id="7" name="DIVJOB"/>
    <tableColumn id="8" name="JOBDESC"/>
    <tableColumn id="9" name="JCDISTRIBUTION"/>
    <tableColumn id="10" name="COSTTYPE"/>
    <tableColumn id="11" name="WCCODE"/>
    <tableColumn id="12" name="UNIONENTERED"/>
    <tableColumn id="13" name="EMPCLASS"/>
    <tableColumn id="14" name="HOURSTYPE"/>
    <tableColumn id="15" name="OTHHRSTYPE"/>
    <tableColumn id="16" name="PAYRATE"/>
    <tableColumn id="17" name="hours"/>
    <tableColumn id="18" name="workdate"/>
    <tableColumn id="19" name="cost">
      <calculatedColumnFormula>P2*Q2</calculatedColumnFormula>
    </tableColumn>
    <tableColumn id="20" name="workday">
      <calculatedColumnFormula>DAY(R2)</calculatedColumnFormula>
    </tableColumn>
    <tableColumn id="21" name="weekday">
      <calculatedColumnFormula>WEEKDAY(R2)</calculatedColumnFormula>
    </tableColumn>
    <tableColumn id="22" name="weeknumber">
      <calculatedColumnFormula>WEEKNUM(R2)</calculatedColumnFormula>
    </tableColumn>
    <tableColumn id="23" name="month">
      <calculatedColumnFormula>MONTH(R2)</calculatedColumnFormula>
    </tableColumn>
    <tableColumn id="24" name="year">
      <calculatedColumnFormula>YEAR(R2)</calculatedColumnFormula>
    </tableColumn>
    <tableColumn id="25" name="dayname">
      <calculatedColumnFormula>VLOOKUP(U2,dayname,2)</calculatedColumnFormula>
    </tableColumn>
    <tableColumn id="26" name="monthname">
      <calculatedColumnFormula>VLOOKUP(W2,mesnome,2)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7" name="Rince_50_21" displayName="Rince_50_21" ref="A1:Z92" totalsRowShown="0" headerRowDxfId="887" dataDxfId="886">
  <autoFilter ref="A1:Z92"/>
  <tableColumns count="26">
    <tableColumn id="1" name="WEEKENDINGDATE" dataDxfId="885"/>
    <tableColumn id="2" name="LASTNAME" dataDxfId="884"/>
    <tableColumn id="3" name="EMPLOYEENAME" dataDxfId="883"/>
    <tableColumn id="4" name="EMPLOYEENUMBER" dataDxfId="882"/>
    <tableColumn id="5" name="EMPDIV" dataDxfId="881"/>
    <tableColumn id="6" name="CHECKNUMBER" dataDxfId="880"/>
    <tableColumn id="7" name="DIVJOB" dataDxfId="879"/>
    <tableColumn id="8" name="JOBDESC" dataDxfId="878"/>
    <tableColumn id="9" name="JCDISTRIBUTION" dataDxfId="877"/>
    <tableColumn id="10" name="COSTTYPE" dataDxfId="876"/>
    <tableColumn id="11" name="WCCODE" dataDxfId="875"/>
    <tableColumn id="12" name="UNIONENTERED" dataDxfId="874"/>
    <tableColumn id="13" name="EMPCLASS" dataDxfId="873"/>
    <tableColumn id="14" name="HOURSTYPE" dataDxfId="872"/>
    <tableColumn id="15" name="OTHHRSTYPE" dataDxfId="871"/>
    <tableColumn id="16" name="PAYRATE" dataDxfId="870"/>
    <tableColumn id="17" name="hours" dataDxfId="869"/>
    <tableColumn id="18" name="workdate" dataDxfId="868"/>
    <tableColumn id="19" name="cost" dataDxfId="867">
      <calculatedColumnFormula>P2*Q2</calculatedColumnFormula>
    </tableColumn>
    <tableColumn id="20" name="workday" dataDxfId="866">
      <calculatedColumnFormula>DAY(R2)</calculatedColumnFormula>
    </tableColumn>
    <tableColumn id="21" name="weekday" dataDxfId="865">
      <calculatedColumnFormula>WEEKDAY(R2)</calculatedColumnFormula>
    </tableColumn>
    <tableColumn id="22" name="weeknumber" dataDxfId="864">
      <calculatedColumnFormula>WEEKNUM(R2)</calculatedColumnFormula>
    </tableColumn>
    <tableColumn id="23" name="month" dataDxfId="863">
      <calculatedColumnFormula>MONTH(R2)</calculatedColumnFormula>
    </tableColumn>
    <tableColumn id="24" name="year" dataDxfId="862">
      <calculatedColumnFormula>YEAR(R2)</calculatedColumnFormula>
    </tableColumn>
    <tableColumn id="25" name="dayname" dataDxfId="861">
      <calculatedColumnFormula>VLOOKUP(U2,dayname,2)</calculatedColumnFormula>
    </tableColumn>
    <tableColumn id="26" name="monthname" dataDxfId="860">
      <calculatedColumnFormula>VLOOKUP(W2,mesnome,2)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6.emf"/><Relationship Id="rId5" Type="http://schemas.openxmlformats.org/officeDocument/2006/relationships/control" Target="../activeX/activeX6.xml"/><Relationship Id="rId10" Type="http://schemas.openxmlformats.org/officeDocument/2006/relationships/image" Target="../media/image8.emf"/><Relationship Id="rId4" Type="http://schemas.openxmlformats.org/officeDocument/2006/relationships/image" Target="../media/image5.emf"/><Relationship Id="rId9"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QH20"/>
  <sheetViews>
    <sheetView showGridLines="0" tabSelected="1" topLeftCell="I1" workbookViewId="0">
      <selection activeCell="O6" activeCellId="1" sqref="M6:M20 O6:O20 Q7:Q20"/>
      <pivotSelection pane="bottomRight" showHeader="1" extendable="1" axis="axisCol" dimension="5" start="2" min="2" max="4" activeRow="5" activeCol="14" previousRow="5" previousCol="14" click="1" r:id="rId1">
        <pivotArea dataOnly="0" outline="0" fieldPosition="0">
          <references count="1">
            <reference field="4294967294" count="1">
              <x v="0"/>
            </reference>
          </references>
        </pivotArea>
      </pivotSelection>
    </sheetView>
  </sheetViews>
  <sheetFormatPr defaultRowHeight="14.4" outlineLevelCol="2" x14ac:dyDescent="0.3"/>
  <cols>
    <col min="1" max="1" width="6" hidden="1" customWidth="1" outlineLevel="1"/>
    <col min="2" max="2" width="21.44140625" hidden="1" customWidth="1" outlineLevel="2"/>
    <col min="3" max="3" width="5.44140625" hidden="1" customWidth="1" outlineLevel="1" collapsed="1"/>
    <col min="4" max="4" width="21.44140625" hidden="1" customWidth="1" outlineLevel="2"/>
    <col min="5" max="5" width="6.5546875" hidden="1" customWidth="1" outlineLevel="1" collapsed="1"/>
    <col min="6" max="6" width="19.109375" hidden="1" customWidth="1" outlineLevel="2"/>
    <col min="7" max="7" width="5.88671875" hidden="1" customWidth="1" outlineLevel="1"/>
    <col min="8" max="8" width="4.88671875" hidden="1" customWidth="1" outlineLevel="1"/>
    <col min="9" max="9" width="4.6640625" customWidth="1" collapsed="1"/>
    <col min="10" max="10" width="3.5546875" customWidth="1"/>
    <col min="11" max="11" width="3" customWidth="1"/>
    <col min="12" max="12" width="19.88671875" bestFit="1" customWidth="1"/>
    <col min="13" max="13" width="5" bestFit="1" customWidth="1"/>
    <col min="14" max="14" width="8.109375" bestFit="1" customWidth="1"/>
    <col min="15" max="15" width="5" bestFit="1" customWidth="1"/>
    <col min="16" max="16" width="8.109375" bestFit="1" customWidth="1"/>
    <col min="17" max="17" width="12.77734375" bestFit="1" customWidth="1"/>
    <col min="18" max="18" width="12.6640625" bestFit="1" customWidth="1"/>
    <col min="19" max="19" width="7.33203125" bestFit="1" customWidth="1"/>
    <col min="20" max="20" width="4.5546875" bestFit="1" customWidth="1"/>
    <col min="21" max="21" width="8.77734375" bestFit="1" customWidth="1"/>
    <col min="22" max="22" width="6.5546875" bestFit="1" customWidth="1"/>
    <col min="23" max="23" width="8.77734375" bestFit="1" customWidth="1"/>
    <col min="24" max="24" width="6.5546875" bestFit="1" customWidth="1"/>
    <col min="25" max="25" width="8.77734375" bestFit="1" customWidth="1"/>
    <col min="26" max="26" width="4.5546875" bestFit="1" customWidth="1"/>
    <col min="27" max="27" width="8.77734375" bestFit="1" customWidth="1"/>
    <col min="28" max="28" width="4.5546875" bestFit="1" customWidth="1"/>
    <col min="29" max="29" width="10.88671875" bestFit="1" customWidth="1"/>
    <col min="30" max="30" width="4.5546875" bestFit="1" customWidth="1"/>
    <col min="31" max="31" width="8.77734375" bestFit="1" customWidth="1"/>
    <col min="32" max="32" width="4.5546875" bestFit="1" customWidth="1"/>
    <col min="33" max="33" width="8.77734375" bestFit="1" customWidth="1"/>
    <col min="34" max="34" width="4.5546875" bestFit="1" customWidth="1"/>
    <col min="35" max="35" width="8.5546875" bestFit="1" customWidth="1"/>
    <col min="36" max="36" width="4.5546875" bestFit="1" customWidth="1"/>
    <col min="37" max="37" width="7.33203125" bestFit="1" customWidth="1"/>
    <col min="38" max="38" width="4.5546875" bestFit="1" customWidth="1"/>
    <col min="39" max="39" width="8.109375" bestFit="1" customWidth="1"/>
    <col min="40" max="40" width="4.5546875" bestFit="1" customWidth="1"/>
    <col min="41" max="41" width="8" bestFit="1" customWidth="1"/>
    <col min="42" max="42" width="4.5546875" bestFit="1" customWidth="1"/>
    <col min="43" max="43" width="10.88671875" bestFit="1" customWidth="1"/>
    <col min="44" max="44" width="4.5546875" bestFit="1" customWidth="1"/>
    <col min="45" max="45" width="8.77734375" bestFit="1" customWidth="1"/>
    <col min="46" max="46" width="4.5546875" bestFit="1" customWidth="1"/>
    <col min="47" max="47" width="7.33203125" bestFit="1" customWidth="1"/>
    <col min="48" max="48" width="6.5546875" bestFit="1" customWidth="1"/>
    <col min="49" max="49" width="8.5546875" bestFit="1" customWidth="1"/>
    <col min="50" max="50" width="5.5546875" bestFit="1" customWidth="1"/>
    <col min="51" max="51" width="7.33203125" bestFit="1" customWidth="1"/>
    <col min="52" max="52" width="4.5546875" customWidth="1"/>
    <col min="53" max="53" width="8.109375" bestFit="1" customWidth="1"/>
    <col min="54" max="54" width="6.5546875" bestFit="1" customWidth="1"/>
    <col min="55" max="55" width="8" bestFit="1" customWidth="1"/>
    <col min="56" max="56" width="4.5546875" bestFit="1" customWidth="1"/>
    <col min="57" max="57" width="10.88671875" bestFit="1" customWidth="1"/>
    <col min="58" max="58" width="4.5546875" bestFit="1" customWidth="1"/>
    <col min="59" max="59" width="8.77734375" bestFit="1" customWidth="1"/>
    <col min="60" max="60" width="5.5546875" bestFit="1" customWidth="1"/>
    <col min="61" max="61" width="7.33203125" bestFit="1" customWidth="1"/>
    <col min="62" max="62" width="4.5546875" bestFit="1" customWidth="1"/>
    <col min="63" max="63" width="8.5546875" bestFit="1" customWidth="1"/>
    <col min="64" max="64" width="6.5546875" bestFit="1" customWidth="1"/>
    <col min="65" max="65" width="7.33203125" bestFit="1" customWidth="1"/>
    <col min="66" max="66" width="6.5546875" bestFit="1" customWidth="1"/>
    <col min="67" max="67" width="8.109375" bestFit="1" customWidth="1"/>
    <col min="68" max="68" width="6.5546875" bestFit="1" customWidth="1"/>
    <col min="69" max="69" width="8" bestFit="1" customWidth="1"/>
    <col min="70" max="70" width="4.5546875" bestFit="1" customWidth="1"/>
    <col min="71" max="71" width="10.88671875" bestFit="1" customWidth="1"/>
    <col min="72" max="72" width="4.5546875" customWidth="1"/>
    <col min="73" max="73" width="8.77734375" bestFit="1" customWidth="1"/>
    <col min="74" max="74" width="6.5546875" bestFit="1" customWidth="1"/>
    <col min="75" max="75" width="7.33203125" bestFit="1" customWidth="1"/>
    <col min="76" max="76" width="6.5546875" customWidth="1"/>
    <col min="77" max="77" width="8.5546875" bestFit="1" customWidth="1"/>
    <col min="78" max="78" width="5.5546875" bestFit="1" customWidth="1"/>
    <col min="79" max="79" width="7.33203125" bestFit="1" customWidth="1"/>
    <col min="80" max="80" width="4.5546875" customWidth="1"/>
    <col min="81" max="81" width="8.109375" bestFit="1" customWidth="1"/>
    <col min="82" max="82" width="4.5546875" customWidth="1"/>
    <col min="83" max="83" width="8" bestFit="1" customWidth="1"/>
    <col min="84" max="84" width="4.5546875" customWidth="1"/>
    <col min="85" max="85" width="10.88671875" bestFit="1" customWidth="1"/>
    <col min="86" max="86" width="4.5546875" customWidth="1"/>
    <col min="87" max="87" width="8.77734375" bestFit="1" customWidth="1"/>
    <col min="88" max="88" width="4.5546875" customWidth="1"/>
    <col min="89" max="89" width="7.33203125" bestFit="1" customWidth="1"/>
    <col min="90" max="90" width="4.5546875" bestFit="1" customWidth="1"/>
    <col min="91" max="91" width="8.5546875" bestFit="1" customWidth="1"/>
    <col min="92" max="92" width="4.5546875" customWidth="1"/>
    <col min="93" max="93" width="7.33203125" bestFit="1" customWidth="1"/>
    <col min="94" max="94" width="4.5546875" customWidth="1"/>
    <col min="95" max="95" width="8.109375" bestFit="1" customWidth="1"/>
    <col min="96" max="96" width="6.5546875" bestFit="1" customWidth="1"/>
    <col min="97" max="97" width="8" bestFit="1" customWidth="1"/>
    <col min="98" max="98" width="4.5546875" customWidth="1"/>
    <col min="99" max="99" width="10.88671875" bestFit="1" customWidth="1"/>
    <col min="100" max="100" width="4.5546875" bestFit="1" customWidth="1"/>
    <col min="101" max="101" width="8.77734375" bestFit="1" customWidth="1"/>
    <col min="102" max="102" width="5.5546875" bestFit="1" customWidth="1"/>
    <col min="103" max="103" width="7.33203125" bestFit="1" customWidth="1"/>
    <col min="104" max="104" width="4.5546875" bestFit="1" customWidth="1"/>
    <col min="105" max="105" width="8.33203125" bestFit="1" customWidth="1"/>
    <col min="106" max="106" width="8.21875" bestFit="1" customWidth="1"/>
    <col min="107" max="107" width="8.77734375" customWidth="1"/>
    <col min="108" max="108" width="3.5546875" customWidth="1"/>
    <col min="109" max="109" width="7.33203125" customWidth="1"/>
    <col min="110" max="110" width="3.5546875" customWidth="1"/>
    <col min="111" max="111" width="8.77734375" customWidth="1"/>
    <col min="112" max="112" width="3.5546875" customWidth="1"/>
    <col min="113" max="113" width="7.33203125" customWidth="1"/>
    <col min="114" max="114" width="3.5546875" customWidth="1"/>
    <col min="115" max="115" width="8.77734375" customWidth="1"/>
    <col min="116" max="116" width="3.5546875" customWidth="1"/>
    <col min="117" max="117" width="7.33203125" customWidth="1"/>
    <col min="118" max="118" width="3.5546875" customWidth="1"/>
    <col min="119" max="119" width="8.77734375" customWidth="1"/>
    <col min="120" max="120" width="3.5546875" customWidth="1"/>
    <col min="121" max="121" width="7.33203125" customWidth="1"/>
    <col min="122" max="122" width="3.5546875" customWidth="1"/>
    <col min="123" max="123" width="8.77734375" customWidth="1"/>
    <col min="124" max="124" width="3.5546875" customWidth="1"/>
    <col min="125" max="125" width="7.33203125" customWidth="1"/>
    <col min="126" max="126" width="3.5546875" customWidth="1"/>
    <col min="127" max="127" width="8.77734375" customWidth="1"/>
    <col min="128" max="128" width="3.5546875" customWidth="1"/>
    <col min="129" max="129" width="7.33203125" customWidth="1"/>
    <col min="130" max="130" width="3.5546875" customWidth="1"/>
    <col min="131" max="131" width="8.77734375" customWidth="1"/>
    <col min="132" max="132" width="3.5546875" customWidth="1"/>
    <col min="133" max="133" width="7.33203125" customWidth="1"/>
    <col min="134" max="134" width="3.5546875" customWidth="1"/>
    <col min="135" max="135" width="8.77734375" customWidth="1"/>
    <col min="136" max="136" width="3.5546875" customWidth="1"/>
    <col min="137" max="137" width="7.33203125" customWidth="1"/>
    <col min="138" max="138" width="3.5546875" customWidth="1"/>
    <col min="139" max="139" width="8.77734375" customWidth="1"/>
    <col min="140" max="140" width="3.5546875" customWidth="1"/>
    <col min="141" max="141" width="3.6640625" customWidth="1"/>
    <col min="142" max="142" width="3.5546875" customWidth="1"/>
    <col min="143" max="143" width="3.6640625" customWidth="1"/>
    <col min="144" max="144" width="3.5546875" customWidth="1"/>
    <col min="145" max="145" width="3.6640625" customWidth="1"/>
    <col min="146" max="146" width="3.5546875" customWidth="1"/>
    <col min="147" max="147" width="4" customWidth="1"/>
    <col min="148" max="148" width="8.109375" customWidth="1"/>
    <col min="149" max="149" width="5" customWidth="1"/>
    <col min="150" max="150" width="6.5546875" customWidth="1"/>
    <col min="151" max="151" width="3.6640625" customWidth="1"/>
    <col min="152" max="152" width="6.5546875" customWidth="1"/>
    <col min="153" max="153" width="3.6640625" customWidth="1"/>
    <col min="154" max="154" width="6.5546875" customWidth="1"/>
    <col min="155" max="155" width="3.6640625" customWidth="1"/>
    <col min="156" max="156" width="3.5546875" customWidth="1"/>
    <col min="157" max="157" width="7.33203125" customWidth="1"/>
    <col min="158" max="158" width="3.5546875" customWidth="1"/>
    <col min="159" max="159" width="8.77734375" customWidth="1"/>
    <col min="160" max="160" width="3.5546875" customWidth="1"/>
    <col min="161" max="161" width="7.33203125" customWidth="1"/>
    <col min="162" max="162" width="3.5546875" customWidth="1"/>
    <col min="163" max="163" width="8.77734375" customWidth="1"/>
    <col min="164" max="164" width="3.5546875" customWidth="1"/>
    <col min="165" max="165" width="7.33203125" customWidth="1"/>
    <col min="166" max="166" width="3.5546875" customWidth="1"/>
    <col min="167" max="167" width="8.77734375" customWidth="1"/>
    <col min="168" max="168" width="3.5546875" customWidth="1"/>
    <col min="169" max="169" width="7.33203125" customWidth="1"/>
    <col min="170" max="170" width="3.5546875" customWidth="1"/>
    <col min="171" max="171" width="8.77734375" customWidth="1"/>
    <col min="172" max="172" width="3.5546875" customWidth="1"/>
    <col min="173" max="173" width="7.33203125" customWidth="1"/>
    <col min="174" max="174" width="3.5546875" customWidth="1"/>
    <col min="175" max="175" width="8.77734375" customWidth="1"/>
    <col min="176" max="176" width="3.5546875" customWidth="1"/>
    <col min="177" max="177" width="7.33203125" customWidth="1"/>
    <col min="178" max="178" width="3.5546875" customWidth="1"/>
    <col min="179" max="179" width="8.77734375" customWidth="1"/>
    <col min="180" max="180" width="3.5546875" customWidth="1"/>
    <col min="181" max="181" width="7.33203125" customWidth="1"/>
    <col min="182" max="182" width="3.5546875" customWidth="1"/>
    <col min="183" max="183" width="8.77734375" customWidth="1"/>
    <col min="184" max="184" width="3.5546875" customWidth="1"/>
    <col min="185" max="185" width="7.33203125" customWidth="1"/>
    <col min="186" max="186" width="3.5546875" customWidth="1"/>
    <col min="187" max="187" width="8.77734375" customWidth="1"/>
    <col min="188" max="188" width="3.5546875" customWidth="1"/>
    <col min="189" max="189" width="7.33203125" customWidth="1"/>
    <col min="190" max="190" width="3.5546875" customWidth="1"/>
    <col min="191" max="191" width="8.77734375" customWidth="1"/>
    <col min="192" max="192" width="3.5546875" customWidth="1"/>
    <col min="193" max="193" width="7.33203125" customWidth="1"/>
    <col min="194" max="194" width="3.5546875" customWidth="1"/>
    <col min="195" max="195" width="8.77734375" customWidth="1"/>
    <col min="196" max="196" width="3.5546875" customWidth="1"/>
    <col min="197" max="197" width="7.33203125" customWidth="1"/>
    <col min="198" max="198" width="3.5546875" customWidth="1"/>
    <col min="199" max="199" width="8.77734375" customWidth="1"/>
    <col min="200" max="200" width="3.5546875" customWidth="1"/>
    <col min="201" max="201" width="7.33203125" customWidth="1"/>
    <col min="202" max="202" width="3.5546875" customWidth="1"/>
    <col min="203" max="203" width="8.77734375" customWidth="1"/>
    <col min="204" max="204" width="3.5546875" customWidth="1"/>
    <col min="205" max="205" width="7.33203125" customWidth="1"/>
    <col min="206" max="206" width="3.5546875" customWidth="1"/>
    <col min="207" max="207" width="8.77734375" customWidth="1"/>
    <col min="208" max="208" width="3.5546875" customWidth="1"/>
    <col min="209" max="209" width="7.33203125" customWidth="1"/>
    <col min="210" max="210" width="3.5546875" customWidth="1"/>
    <col min="211" max="211" width="8.77734375" customWidth="1"/>
    <col min="212" max="212" width="3.5546875" customWidth="1"/>
    <col min="213" max="213" width="7.33203125" customWidth="1"/>
    <col min="214" max="214" width="3.5546875" customWidth="1"/>
    <col min="215" max="215" width="8.77734375" customWidth="1"/>
    <col min="216" max="216" width="3.5546875" customWidth="1"/>
    <col min="217" max="217" width="7.33203125" customWidth="1"/>
    <col min="218" max="218" width="3.5546875" customWidth="1"/>
    <col min="219" max="219" width="8.77734375" customWidth="1"/>
    <col min="220" max="220" width="3.5546875" customWidth="1"/>
    <col min="221" max="221" width="7.33203125" customWidth="1"/>
    <col min="222" max="222" width="3.5546875" customWidth="1"/>
    <col min="223" max="223" width="8.77734375" customWidth="1"/>
    <col min="224" max="224" width="3.5546875" customWidth="1"/>
    <col min="225" max="225" width="7.33203125" customWidth="1"/>
    <col min="226" max="226" width="3.5546875" customWidth="1"/>
    <col min="227" max="227" width="8.77734375" customWidth="1"/>
    <col min="228" max="228" width="3.5546875" customWidth="1"/>
    <col min="229" max="229" width="7.33203125" customWidth="1"/>
    <col min="230" max="230" width="3.5546875" customWidth="1"/>
    <col min="231" max="231" width="8.77734375" customWidth="1"/>
    <col min="232" max="232" width="3.5546875" customWidth="1"/>
    <col min="233" max="233" width="7.33203125" customWidth="1"/>
    <col min="234" max="234" width="3.5546875" customWidth="1"/>
    <col min="235" max="235" width="8.77734375" customWidth="1"/>
    <col min="236" max="236" width="3.5546875" customWidth="1"/>
    <col min="237" max="237" width="7.33203125" customWidth="1"/>
    <col min="238" max="238" width="3.5546875" customWidth="1"/>
    <col min="239" max="239" width="8.77734375" customWidth="1"/>
    <col min="240" max="240" width="3.5546875" customWidth="1"/>
    <col min="241" max="241" width="7.33203125" customWidth="1"/>
    <col min="242" max="242" width="3.5546875" customWidth="1"/>
    <col min="243" max="243" width="8.77734375" customWidth="1"/>
    <col min="244" max="244" width="3.5546875" customWidth="1"/>
    <col min="245" max="245" width="7.33203125" customWidth="1"/>
    <col min="246" max="246" width="3.5546875" customWidth="1"/>
    <col min="247" max="247" width="8.77734375" customWidth="1"/>
    <col min="248" max="248" width="3.5546875" customWidth="1"/>
    <col min="249" max="249" width="7.33203125" customWidth="1"/>
    <col min="250" max="250" width="3.5546875" customWidth="1"/>
    <col min="251" max="251" width="8.77734375" customWidth="1"/>
    <col min="252" max="252" width="3.5546875" customWidth="1"/>
    <col min="253" max="253" width="7.33203125" customWidth="1"/>
    <col min="254" max="254" width="3.5546875" customWidth="1"/>
    <col min="255" max="255" width="8.77734375" customWidth="1"/>
    <col min="256" max="256" width="3.5546875" customWidth="1"/>
    <col min="257" max="257" width="7.33203125" customWidth="1"/>
    <col min="258" max="258" width="3.5546875" customWidth="1"/>
    <col min="259" max="259" width="8.77734375" customWidth="1"/>
    <col min="260" max="260" width="3.5546875" customWidth="1"/>
    <col min="261" max="261" width="7.33203125" customWidth="1"/>
    <col min="262" max="262" width="3.5546875" customWidth="1"/>
    <col min="263" max="263" width="8.77734375" customWidth="1"/>
    <col min="264" max="264" width="3.5546875" customWidth="1"/>
    <col min="265" max="265" width="7.33203125" customWidth="1"/>
    <col min="266" max="266" width="3.5546875" customWidth="1"/>
    <col min="267" max="267" width="8.77734375" customWidth="1"/>
    <col min="268" max="268" width="3.5546875" customWidth="1"/>
    <col min="269" max="269" width="7.33203125" customWidth="1"/>
    <col min="270" max="270" width="3.5546875" customWidth="1"/>
    <col min="271" max="271" width="8.77734375" customWidth="1"/>
    <col min="272" max="272" width="3.5546875" customWidth="1"/>
    <col min="273" max="273" width="7.33203125" customWidth="1"/>
    <col min="274" max="274" width="3.5546875" customWidth="1"/>
    <col min="275" max="275" width="8.77734375" customWidth="1"/>
    <col min="276" max="276" width="3.5546875" customWidth="1"/>
    <col min="277" max="277" width="3.6640625" customWidth="1"/>
    <col min="278" max="278" width="3.5546875" customWidth="1"/>
    <col min="279" max="279" width="3.6640625" customWidth="1"/>
    <col min="280" max="280" width="3.5546875" customWidth="1"/>
    <col min="281" max="281" width="3.6640625" customWidth="1"/>
    <col min="282" max="282" width="3.5546875" customWidth="1"/>
    <col min="283" max="283" width="8.33203125" customWidth="1"/>
    <col min="284" max="284" width="8.21875" customWidth="1"/>
    <col min="285" max="285" width="8.77734375" customWidth="1"/>
    <col min="286" max="286" width="3.5546875" customWidth="1"/>
    <col min="287" max="287" width="7.33203125" customWidth="1"/>
    <col min="288" max="288" width="3.5546875" customWidth="1"/>
    <col min="289" max="289" width="8.77734375" customWidth="1"/>
    <col min="290" max="290" width="3.5546875" customWidth="1"/>
    <col min="291" max="291" width="7.33203125" customWidth="1"/>
    <col min="292" max="292" width="3.5546875" customWidth="1"/>
    <col min="293" max="293" width="8.77734375" customWidth="1"/>
    <col min="294" max="294" width="3.5546875" customWidth="1"/>
    <col min="295" max="295" width="7.33203125" customWidth="1"/>
    <col min="296" max="296" width="3.5546875" customWidth="1"/>
    <col min="297" max="297" width="8.77734375" customWidth="1"/>
    <col min="298" max="298" width="3.5546875" customWidth="1"/>
    <col min="299" max="299" width="7.33203125" customWidth="1"/>
    <col min="300" max="300" width="3.5546875" customWidth="1"/>
    <col min="301" max="301" width="8.77734375" customWidth="1"/>
    <col min="302" max="302" width="3.5546875" customWidth="1"/>
    <col min="303" max="303" width="7.33203125" customWidth="1"/>
    <col min="304" max="304" width="3.5546875" customWidth="1"/>
    <col min="305" max="305" width="8.77734375" customWidth="1"/>
    <col min="306" max="306" width="3.5546875" customWidth="1"/>
    <col min="307" max="307" width="7.33203125" customWidth="1"/>
    <col min="308" max="308" width="3.5546875" customWidth="1"/>
    <col min="309" max="309" width="8.77734375" customWidth="1"/>
    <col min="310" max="310" width="3.5546875" customWidth="1"/>
    <col min="311" max="311" width="7.33203125" customWidth="1"/>
    <col min="312" max="312" width="3.5546875" customWidth="1"/>
    <col min="313" max="313" width="8.77734375" customWidth="1"/>
    <col min="314" max="314" width="3.5546875" customWidth="1"/>
    <col min="315" max="315" width="7.33203125" customWidth="1"/>
    <col min="316" max="316" width="3.5546875" customWidth="1"/>
    <col min="317" max="317" width="8.77734375" customWidth="1"/>
    <col min="318" max="318" width="3.5546875" customWidth="1"/>
    <col min="319" max="319" width="7.33203125" customWidth="1"/>
    <col min="320" max="320" width="3.5546875" customWidth="1"/>
    <col min="321" max="321" width="8.77734375" customWidth="1"/>
    <col min="322" max="322" width="3.5546875" customWidth="1"/>
    <col min="323" max="323" width="7.33203125" customWidth="1"/>
    <col min="324" max="324" width="3.5546875" customWidth="1"/>
    <col min="325" max="325" width="8.77734375" customWidth="1"/>
    <col min="326" max="326" width="3.5546875" customWidth="1"/>
    <col min="327" max="327" width="7.33203125" customWidth="1"/>
    <col min="328" max="328" width="3.5546875" customWidth="1"/>
    <col min="329" max="329" width="8.77734375" customWidth="1"/>
    <col min="330" max="330" width="3.5546875" customWidth="1"/>
    <col min="331" max="331" width="7.33203125" customWidth="1"/>
    <col min="332" max="332" width="3.5546875" customWidth="1"/>
    <col min="333" max="333" width="8.77734375" customWidth="1"/>
    <col min="334" max="334" width="3.5546875" customWidth="1"/>
    <col min="335" max="335" width="7.33203125" customWidth="1"/>
    <col min="336" max="336" width="3.5546875" customWidth="1"/>
    <col min="337" max="337" width="8.77734375" customWidth="1"/>
    <col min="338" max="338" width="3.5546875" customWidth="1"/>
    <col min="339" max="339" width="7.33203125" customWidth="1"/>
    <col min="340" max="340" width="3.5546875" customWidth="1"/>
    <col min="341" max="341" width="8.77734375" customWidth="1"/>
    <col min="342" max="342" width="3.5546875" customWidth="1"/>
    <col min="343" max="343" width="7.33203125" customWidth="1"/>
    <col min="344" max="344" width="3.5546875" customWidth="1"/>
    <col min="345" max="345" width="8.77734375" customWidth="1"/>
    <col min="346" max="346" width="3.5546875" customWidth="1"/>
    <col min="347" max="347" width="7.33203125" customWidth="1"/>
    <col min="348" max="348" width="3.5546875" customWidth="1"/>
    <col min="349" max="349" width="8.77734375" customWidth="1"/>
    <col min="350" max="350" width="3.5546875" customWidth="1"/>
    <col min="351" max="351" width="7.33203125" customWidth="1"/>
    <col min="352" max="352" width="3.5546875" customWidth="1"/>
    <col min="353" max="353" width="8.77734375" customWidth="1"/>
    <col min="354" max="354" width="3.5546875" customWidth="1"/>
    <col min="355" max="355" width="7.33203125" customWidth="1"/>
    <col min="356" max="356" width="3.5546875" customWidth="1"/>
    <col min="357" max="357" width="8.77734375" customWidth="1"/>
    <col min="358" max="358" width="3.5546875" customWidth="1"/>
    <col min="359" max="359" width="7.33203125" customWidth="1"/>
    <col min="360" max="360" width="3.5546875" customWidth="1"/>
    <col min="361" max="361" width="8.77734375" customWidth="1"/>
    <col min="362" max="362" width="3.5546875" customWidth="1"/>
    <col min="363" max="363" width="7.33203125" customWidth="1"/>
    <col min="364" max="364" width="3.5546875" customWidth="1"/>
    <col min="365" max="365" width="8.77734375" customWidth="1"/>
    <col min="366" max="366" width="3.5546875" customWidth="1"/>
    <col min="367" max="367" width="7.33203125" customWidth="1"/>
    <col min="368" max="368" width="3.5546875" customWidth="1"/>
    <col min="369" max="369" width="8.77734375" customWidth="1"/>
    <col min="370" max="370" width="3.5546875" customWidth="1"/>
    <col min="371" max="371" width="7.33203125" customWidth="1"/>
    <col min="372" max="372" width="3.5546875" customWidth="1"/>
    <col min="373" max="373" width="8.77734375" customWidth="1"/>
    <col min="374" max="374" width="3.5546875" customWidth="1"/>
    <col min="375" max="375" width="7.33203125" customWidth="1"/>
    <col min="376" max="376" width="3.5546875" customWidth="1"/>
    <col min="377" max="377" width="8.77734375" customWidth="1"/>
    <col min="378" max="378" width="3.5546875" customWidth="1"/>
    <col min="379" max="379" width="7.33203125" customWidth="1"/>
    <col min="380" max="380" width="3.5546875" customWidth="1"/>
    <col min="381" max="381" width="8.77734375" customWidth="1"/>
    <col min="382" max="382" width="3.5546875" customWidth="1"/>
    <col min="383" max="383" width="7.33203125" customWidth="1"/>
    <col min="384" max="384" width="3.5546875" customWidth="1"/>
    <col min="385" max="385" width="8.77734375" customWidth="1"/>
    <col min="386" max="386" width="3.5546875" customWidth="1"/>
    <col min="387" max="387" width="7.33203125" customWidth="1"/>
    <col min="388" max="388" width="3.5546875" customWidth="1"/>
    <col min="389" max="389" width="8.77734375" customWidth="1"/>
    <col min="390" max="390" width="3.5546875" customWidth="1"/>
    <col min="391" max="391" width="7.33203125" customWidth="1"/>
    <col min="392" max="392" width="3.5546875" customWidth="1"/>
    <col min="393" max="393" width="8.77734375" customWidth="1"/>
    <col min="394" max="394" width="3.5546875" customWidth="1"/>
    <col min="395" max="395" width="7.33203125" customWidth="1"/>
    <col min="396" max="396" width="3.5546875" customWidth="1"/>
    <col min="397" max="397" width="8.77734375" customWidth="1"/>
    <col min="398" max="398" width="3.5546875" customWidth="1"/>
    <col min="399" max="399" width="3.6640625" customWidth="1"/>
    <col min="400" max="400" width="3.5546875" customWidth="1"/>
    <col min="401" max="401" width="3.6640625" customWidth="1"/>
    <col min="402" max="402" width="3.5546875" customWidth="1"/>
    <col min="403" max="403" width="3.6640625" customWidth="1"/>
    <col min="404" max="404" width="3.5546875" customWidth="1"/>
    <col min="405" max="405" width="5" customWidth="1"/>
    <col min="406" max="406" width="8.109375" customWidth="1"/>
    <col min="407" max="407" width="8.33203125" customWidth="1"/>
    <col min="408" max="408" width="8.21875" customWidth="1"/>
    <col min="409" max="409" width="8.77734375" customWidth="1"/>
    <col min="410" max="410" width="3.5546875" customWidth="1"/>
    <col min="411" max="411" width="7.33203125" customWidth="1"/>
    <col min="412" max="412" width="3.5546875" customWidth="1"/>
    <col min="413" max="413" width="8.77734375" customWidth="1"/>
    <col min="414" max="414" width="3.5546875" customWidth="1"/>
    <col min="415" max="415" width="7.33203125" customWidth="1"/>
    <col min="416" max="416" width="3.5546875" customWidth="1"/>
    <col min="417" max="417" width="8.77734375" customWidth="1"/>
    <col min="418" max="418" width="3.5546875" customWidth="1"/>
    <col min="419" max="419" width="7.33203125" customWidth="1"/>
    <col min="420" max="420" width="3.5546875" customWidth="1"/>
    <col min="421" max="421" width="8.77734375" customWidth="1"/>
    <col min="422" max="422" width="3.5546875" customWidth="1"/>
    <col min="423" max="423" width="7.33203125" customWidth="1"/>
    <col min="424" max="424" width="3.5546875" customWidth="1"/>
    <col min="425" max="425" width="8.77734375" customWidth="1"/>
    <col min="426" max="426" width="3.5546875" customWidth="1"/>
    <col min="427" max="427" width="7.33203125" customWidth="1"/>
    <col min="428" max="428" width="3.5546875" customWidth="1"/>
    <col min="429" max="429" width="8.77734375" customWidth="1"/>
    <col min="430" max="430" width="3.5546875" customWidth="1"/>
    <col min="431" max="431" width="7.33203125" customWidth="1"/>
    <col min="432" max="432" width="3.5546875" customWidth="1"/>
    <col min="433" max="433" width="8.77734375" customWidth="1"/>
    <col min="434" max="434" width="3.5546875" customWidth="1"/>
    <col min="435" max="435" width="7.33203125" customWidth="1"/>
    <col min="436" max="436" width="3.5546875" customWidth="1"/>
    <col min="437" max="437" width="8.77734375" customWidth="1"/>
    <col min="438" max="438" width="3.5546875" customWidth="1"/>
    <col min="439" max="439" width="7.33203125" customWidth="1"/>
    <col min="440" max="440" width="3.5546875" customWidth="1"/>
    <col min="441" max="441" width="8.77734375" customWidth="1"/>
    <col min="442" max="442" width="3.5546875" customWidth="1"/>
    <col min="443" max="443" width="3.6640625" customWidth="1"/>
    <col min="444" max="444" width="3.5546875" customWidth="1"/>
    <col min="445" max="445" width="3.6640625" customWidth="1"/>
    <col min="446" max="446" width="3.5546875" customWidth="1"/>
    <col min="447" max="447" width="3.6640625" customWidth="1"/>
    <col min="448" max="448" width="3.5546875" customWidth="1"/>
    <col min="449" max="449" width="8.33203125" customWidth="1"/>
    <col min="450" max="450" width="8.21875" customWidth="1"/>
  </cols>
  <sheetData>
    <row r="1" spans="1:450" x14ac:dyDescent="0.3">
      <c r="A1" s="32" t="s">
        <v>200</v>
      </c>
      <c r="C1" s="35" t="s">
        <v>201</v>
      </c>
      <c r="E1" s="35" t="s">
        <v>202</v>
      </c>
      <c r="L1" s="40"/>
      <c r="M1" s="39">
        <v>2018</v>
      </c>
      <c r="N1" s="24"/>
      <c r="O1" s="11">
        <v>2019</v>
      </c>
      <c r="P1" s="11"/>
      <c r="Q1" s="31" t="s">
        <v>166</v>
      </c>
      <c r="R1" s="31" t="s">
        <v>168</v>
      </c>
    </row>
    <row r="2" spans="1:450" x14ac:dyDescent="0.3">
      <c r="A2" s="33"/>
      <c r="C2" s="36"/>
      <c r="E2" s="36"/>
      <c r="L2" s="40"/>
      <c r="M2" s="25"/>
      <c r="N2" s="26"/>
      <c r="O2" s="11"/>
      <c r="P2" s="11"/>
      <c r="Q2" s="30"/>
      <c r="R2" s="30"/>
    </row>
    <row r="3" spans="1:450" x14ac:dyDescent="0.3">
      <c r="A3" s="33"/>
      <c r="C3" s="36"/>
      <c r="E3" s="36"/>
      <c r="L3" s="40"/>
      <c r="M3" s="28"/>
      <c r="N3" s="29"/>
      <c r="O3" s="11"/>
      <c r="P3" s="11"/>
      <c r="Q3" s="30"/>
      <c r="R3" s="30"/>
    </row>
    <row r="4" spans="1:450" x14ac:dyDescent="0.3">
      <c r="A4" s="33"/>
      <c r="C4" s="36"/>
      <c r="E4" s="36"/>
      <c r="L4" s="40"/>
      <c r="M4" s="28"/>
      <c r="N4" s="29"/>
      <c r="O4" s="11"/>
      <c r="P4" s="11"/>
      <c r="Q4" s="30"/>
      <c r="R4" s="30"/>
    </row>
    <row r="5" spans="1:450" x14ac:dyDescent="0.3">
      <c r="A5" s="33"/>
      <c r="C5" s="36"/>
      <c r="E5" s="36"/>
      <c r="L5" s="40"/>
      <c r="M5" s="38"/>
      <c r="N5" s="27"/>
      <c r="O5" s="11"/>
      <c r="P5" s="11"/>
      <c r="Q5" s="30"/>
      <c r="R5" s="30"/>
    </row>
    <row r="6" spans="1:450" x14ac:dyDescent="0.3">
      <c r="A6" s="33"/>
      <c r="C6" s="36"/>
      <c r="E6" s="36"/>
      <c r="L6" s="11"/>
      <c r="M6" s="42" t="s">
        <v>167</v>
      </c>
      <c r="N6" s="48" t="s">
        <v>169</v>
      </c>
      <c r="O6" s="42" t="s">
        <v>167</v>
      </c>
      <c r="P6" s="48" t="s">
        <v>169</v>
      </c>
      <c r="Q6" s="30"/>
      <c r="R6" s="30"/>
    </row>
    <row r="7" spans="1:450" x14ac:dyDescent="0.3">
      <c r="A7" s="33"/>
      <c r="C7" s="36"/>
      <c r="E7" s="36"/>
      <c r="L7" s="41" t="s">
        <v>138</v>
      </c>
      <c r="M7" s="43">
        <v>23</v>
      </c>
      <c r="N7" s="49">
        <v>345</v>
      </c>
      <c r="O7" s="46"/>
      <c r="P7" s="50"/>
      <c r="Q7" s="47">
        <v>23</v>
      </c>
      <c r="R7" s="52">
        <v>345</v>
      </c>
    </row>
    <row r="8" spans="1:450" x14ac:dyDescent="0.3">
      <c r="A8" s="33"/>
      <c r="C8" s="36"/>
      <c r="E8" s="36"/>
      <c r="L8" s="41" t="s">
        <v>143</v>
      </c>
      <c r="M8" s="44"/>
      <c r="N8" s="50"/>
      <c r="O8" s="46">
        <v>13.5</v>
      </c>
      <c r="P8" s="50">
        <v>445.5</v>
      </c>
      <c r="Q8" s="47">
        <v>13.5</v>
      </c>
      <c r="R8" s="52">
        <v>445.5</v>
      </c>
    </row>
    <row r="9" spans="1:450" s="22" customFormat="1" x14ac:dyDescent="0.3">
      <c r="A9" s="33"/>
      <c r="C9" s="36"/>
      <c r="E9" s="36"/>
      <c r="L9" s="41" t="s">
        <v>135</v>
      </c>
      <c r="M9" s="44">
        <v>2</v>
      </c>
      <c r="N9" s="50">
        <v>31</v>
      </c>
      <c r="O9" s="46"/>
      <c r="P9" s="50"/>
      <c r="Q9" s="47">
        <v>2</v>
      </c>
      <c r="R9" s="52">
        <v>31</v>
      </c>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row>
    <row r="10" spans="1:450" x14ac:dyDescent="0.3">
      <c r="A10" s="33"/>
      <c r="C10" s="36"/>
      <c r="E10" s="36"/>
      <c r="L10" s="41" t="s">
        <v>162</v>
      </c>
      <c r="M10" s="44"/>
      <c r="N10" s="50"/>
      <c r="O10" s="46">
        <v>6</v>
      </c>
      <c r="P10" s="50">
        <v>87</v>
      </c>
      <c r="Q10" s="47">
        <v>6</v>
      </c>
      <c r="R10" s="52">
        <v>87</v>
      </c>
    </row>
    <row r="11" spans="1:450" x14ac:dyDescent="0.3">
      <c r="A11" s="33"/>
      <c r="C11" s="36"/>
      <c r="E11" s="36"/>
      <c r="L11" s="41" t="s">
        <v>146</v>
      </c>
      <c r="M11" s="44"/>
      <c r="N11" s="50"/>
      <c r="O11" s="46">
        <v>3</v>
      </c>
      <c r="P11" s="50">
        <v>57</v>
      </c>
      <c r="Q11" s="47">
        <v>3</v>
      </c>
      <c r="R11" s="52">
        <v>57</v>
      </c>
    </row>
    <row r="12" spans="1:450" x14ac:dyDescent="0.3">
      <c r="A12" s="33"/>
      <c r="C12" s="36"/>
      <c r="E12" s="36"/>
      <c r="L12" s="41" t="s">
        <v>154</v>
      </c>
      <c r="M12" s="44"/>
      <c r="N12" s="50"/>
      <c r="O12" s="46">
        <v>15.5</v>
      </c>
      <c r="P12" s="50">
        <v>294.5</v>
      </c>
      <c r="Q12" s="47">
        <v>15.5</v>
      </c>
      <c r="R12" s="52">
        <v>294.5</v>
      </c>
    </row>
    <row r="13" spans="1:450" x14ac:dyDescent="0.3">
      <c r="A13" s="33"/>
      <c r="C13" s="36"/>
      <c r="E13" s="36"/>
      <c r="L13" s="41" t="s">
        <v>156</v>
      </c>
      <c r="M13" s="44"/>
      <c r="N13" s="50"/>
      <c r="O13" s="46">
        <v>30</v>
      </c>
      <c r="P13" s="50">
        <v>592.5</v>
      </c>
      <c r="Q13" s="47">
        <v>30</v>
      </c>
      <c r="R13" s="52">
        <v>592.5</v>
      </c>
    </row>
    <row r="14" spans="1:450" x14ac:dyDescent="0.3">
      <c r="A14" s="33"/>
      <c r="C14" s="36"/>
      <c r="E14" s="36"/>
      <c r="L14" s="41" t="s">
        <v>130</v>
      </c>
      <c r="M14" s="44">
        <v>50</v>
      </c>
      <c r="N14" s="50">
        <v>1350</v>
      </c>
      <c r="O14" s="46"/>
      <c r="P14" s="50"/>
      <c r="Q14" s="47">
        <v>50</v>
      </c>
      <c r="R14" s="52">
        <v>1350</v>
      </c>
    </row>
    <row r="15" spans="1:450" x14ac:dyDescent="0.3">
      <c r="A15" s="33"/>
      <c r="C15" s="36"/>
      <c r="E15" s="36"/>
      <c r="L15" s="41" t="s">
        <v>141</v>
      </c>
      <c r="M15" s="44">
        <v>16</v>
      </c>
      <c r="N15" s="50">
        <v>645.45600000000002</v>
      </c>
      <c r="O15" s="46">
        <v>0</v>
      </c>
      <c r="P15" s="50">
        <v>0</v>
      </c>
      <c r="Q15" s="47">
        <v>16</v>
      </c>
      <c r="R15" s="52">
        <v>645.45600000000002</v>
      </c>
    </row>
    <row r="16" spans="1:450" x14ac:dyDescent="0.3">
      <c r="A16" s="33"/>
      <c r="C16" s="36"/>
      <c r="E16" s="36"/>
      <c r="L16" s="41" t="s">
        <v>159</v>
      </c>
      <c r="M16" s="44"/>
      <c r="N16" s="50"/>
      <c r="O16" s="46">
        <v>9</v>
      </c>
      <c r="P16" s="50">
        <v>117</v>
      </c>
      <c r="Q16" s="47">
        <v>9</v>
      </c>
      <c r="R16" s="52">
        <v>117</v>
      </c>
    </row>
    <row r="17" spans="1:18" x14ac:dyDescent="0.3">
      <c r="A17" s="33"/>
      <c r="C17" s="36"/>
      <c r="E17" s="36"/>
      <c r="L17" s="41" t="s">
        <v>148</v>
      </c>
      <c r="M17" s="44"/>
      <c r="N17" s="50"/>
      <c r="O17" s="46">
        <v>3</v>
      </c>
      <c r="P17" s="50">
        <v>112.5</v>
      </c>
      <c r="Q17" s="47">
        <v>3</v>
      </c>
      <c r="R17" s="52">
        <v>112.5</v>
      </c>
    </row>
    <row r="18" spans="1:18" x14ac:dyDescent="0.3">
      <c r="A18" s="33"/>
      <c r="C18" s="36"/>
      <c r="E18" s="36"/>
      <c r="L18" s="41" t="s">
        <v>151</v>
      </c>
      <c r="M18" s="44">
        <v>40</v>
      </c>
      <c r="N18" s="50">
        <v>1280</v>
      </c>
      <c r="O18" s="46"/>
      <c r="P18" s="50"/>
      <c r="Q18" s="47">
        <v>40</v>
      </c>
      <c r="R18" s="52">
        <v>1280</v>
      </c>
    </row>
    <row r="19" spans="1:18" x14ac:dyDescent="0.3">
      <c r="A19" s="33"/>
      <c r="C19" s="36"/>
      <c r="E19" s="36"/>
      <c r="L19" s="41" t="s">
        <v>58</v>
      </c>
      <c r="M19" s="44"/>
      <c r="N19" s="50"/>
      <c r="O19" s="46">
        <v>3</v>
      </c>
      <c r="P19" s="50">
        <v>94.5</v>
      </c>
      <c r="Q19" s="47">
        <v>3</v>
      </c>
      <c r="R19" s="52">
        <v>94.5</v>
      </c>
    </row>
    <row r="20" spans="1:18" x14ac:dyDescent="0.3">
      <c r="A20" s="34"/>
      <c r="C20" s="37"/>
      <c r="E20" s="37"/>
      <c r="L20" s="23" t="s">
        <v>128</v>
      </c>
      <c r="M20" s="45">
        <v>131</v>
      </c>
      <c r="N20" s="51">
        <v>3651.4560000000001</v>
      </c>
      <c r="O20" s="46">
        <v>83</v>
      </c>
      <c r="P20" s="50">
        <v>1800.5</v>
      </c>
      <c r="Q20" s="47">
        <v>214</v>
      </c>
      <c r="R20" s="52">
        <v>5451.9560000000001</v>
      </c>
    </row>
  </sheetData>
  <mergeCells count="3">
    <mergeCell ref="A1:A20"/>
    <mergeCell ref="C1:C20"/>
    <mergeCell ref="E1:E20"/>
  </mergeCells>
  <conditionalFormatting pivot="1">
    <cfRule type="cellIs" dxfId="197" priority="3" operator="greaterThan">
      <formula>12</formula>
    </cfRule>
  </conditionalFormatting>
  <conditionalFormatting pivot="1">
    <cfRule type="cellIs" dxfId="196" priority="2" operator="greaterThan">
      <formula>12</formula>
    </cfRule>
  </conditionalFormatting>
  <conditionalFormatting pivot="1" sqref="M7:M20 O7:O20">
    <cfRule type="cellIs" dxfId="193" priority="1" operator="greaterThan">
      <formula>12</formula>
    </cfRule>
  </conditionalFormatting>
  <pageMargins left="0.7" right="0.7" top="0.75" bottom="0.75" header="0.3" footer="0.3"/>
  <pageSetup orientation="portrait" r:id="rId2"/>
  <drawing r:id="rId3"/>
  <legacyDrawing r:id="rId4"/>
  <controls>
    <mc:AlternateContent xmlns:mc="http://schemas.openxmlformats.org/markup-compatibility/2006">
      <mc:Choice Requires="x14">
        <control shapeId="4102" r:id="rId5" name="ListBox1">
          <controlPr autoLine="0" r:id="rId6">
            <anchor moveWithCells="1" sizeWithCells="1">
              <from>
                <xdr:col>5</xdr:col>
                <xdr:colOff>0</xdr:colOff>
                <xdr:row>6</xdr:row>
                <xdr:rowOff>0</xdr:rowOff>
              </from>
              <to>
                <xdr:col>6</xdr:col>
                <xdr:colOff>0</xdr:colOff>
                <xdr:row>8</xdr:row>
                <xdr:rowOff>160020</xdr:rowOff>
              </to>
            </anchor>
          </controlPr>
        </control>
      </mc:Choice>
      <mc:Fallback>
        <control shapeId="4102" r:id="rId5" name="ListBox1"/>
      </mc:Fallback>
    </mc:AlternateContent>
    <mc:AlternateContent xmlns:mc="http://schemas.openxmlformats.org/markup-compatibility/2006">
      <mc:Choice Requires="x14">
        <control shapeId="4103" r:id="rId7" name="CommandButton1">
          <controlPr autoLine="0" autoPict="0" r:id="rId8">
            <anchor moveWithCells="1">
              <from>
                <xdr:col>0</xdr:col>
                <xdr:colOff>0</xdr:colOff>
                <xdr:row>9</xdr:row>
                <xdr:rowOff>129540</xdr:rowOff>
              </from>
              <to>
                <xdr:col>0</xdr:col>
                <xdr:colOff>0</xdr:colOff>
                <xdr:row>11</xdr:row>
                <xdr:rowOff>0</xdr:rowOff>
              </to>
            </anchor>
          </controlPr>
        </control>
      </mc:Choice>
      <mc:Fallback>
        <control shapeId="4103" r:id="rId7" name="CommandButton1"/>
      </mc:Fallback>
    </mc:AlternateContent>
    <mc:AlternateContent xmlns:mc="http://schemas.openxmlformats.org/markup-compatibility/2006">
      <mc:Choice Requires="x14">
        <control shapeId="4104" r:id="rId9" name="CommandButton2">
          <controlPr autoLine="0" autoPict="0" r:id="rId10">
            <anchor moveWithCells="1">
              <from>
                <xdr:col>0</xdr:col>
                <xdr:colOff>0</xdr:colOff>
                <xdr:row>9</xdr:row>
                <xdr:rowOff>129540</xdr:rowOff>
              </from>
              <to>
                <xdr:col>0</xdr:col>
                <xdr:colOff>0</xdr:colOff>
                <xdr:row>11</xdr:row>
                <xdr:rowOff>0</xdr:rowOff>
              </to>
            </anchor>
          </controlPr>
        </control>
      </mc:Choice>
      <mc:Fallback>
        <control shapeId="4104" r:id="rId9" name="CommandButton2"/>
      </mc:Fallback>
    </mc:AlternateContent>
    <mc:AlternateContent xmlns:mc="http://schemas.openxmlformats.org/markup-compatibility/2006">
      <mc:Choice Requires="x14">
        <control shapeId="4105" r:id="rId11" name="CommandButton3">
          <controlPr autoLine="0" autoPict="0" r:id="rId12">
            <anchor moveWithCells="1">
              <from>
                <xdr:col>0</xdr:col>
                <xdr:colOff>0</xdr:colOff>
                <xdr:row>9</xdr:row>
                <xdr:rowOff>129540</xdr:rowOff>
              </from>
              <to>
                <xdr:col>0</xdr:col>
                <xdr:colOff>0</xdr:colOff>
                <xdr:row>11</xdr:row>
                <xdr:rowOff>0</xdr:rowOff>
              </to>
            </anchor>
          </controlPr>
        </control>
      </mc:Choice>
      <mc:Fallback>
        <control shapeId="4105" r:id="rId11" name="CommandButton3"/>
      </mc:Fallback>
    </mc:AlternateContent>
  </controls>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911"/>
  <sheetViews>
    <sheetView showGridLines="0" showRowColHeaders="0" zoomScaleNormal="100" workbookViewId="0">
      <pane xSplit="3" ySplit="1" topLeftCell="D2" activePane="bottomRight" state="frozen"/>
      <selection pane="topRight" activeCell="D1" sqref="D1"/>
      <selection pane="bottomLeft" activeCell="A2" sqref="A2"/>
      <selection pane="bottomRight" activeCell="Z1" sqref="A1:Z1"/>
    </sheetView>
  </sheetViews>
  <sheetFormatPr defaultRowHeight="14.4" x14ac:dyDescent="0.3"/>
  <cols>
    <col min="1" max="1" width="18.88671875" style="12" customWidth="1"/>
    <col min="2" max="2" width="13.5546875" style="12" bestFit="1" customWidth="1"/>
    <col min="3" max="3" width="17.33203125" style="12" customWidth="1"/>
    <col min="4" max="4" width="19.6640625" style="12" customWidth="1"/>
    <col min="5" max="5" width="9.77734375" style="12" customWidth="1"/>
    <col min="6" max="6" width="16.109375" style="12" customWidth="1"/>
    <col min="7" max="7" width="9" style="12" customWidth="1"/>
    <col min="8" max="8" width="10.33203125" style="12" customWidth="1"/>
    <col min="9" max="9" width="16.77734375" style="12" customWidth="1"/>
    <col min="10" max="10" width="11.44140625" style="12" customWidth="1"/>
    <col min="11" max="11" width="10.44140625" style="12" customWidth="1"/>
    <col min="12" max="12" width="16.44140625" style="12" customWidth="1"/>
    <col min="13" max="13" width="12" style="12" customWidth="1"/>
    <col min="14" max="14" width="13" style="12" customWidth="1"/>
    <col min="15" max="15" width="13.88671875" style="12" customWidth="1"/>
    <col min="16" max="16" width="10.5546875" style="12" customWidth="1"/>
    <col min="17" max="17" width="10.77734375" style="12" customWidth="1"/>
    <col min="18" max="18" width="10.6640625" style="13" customWidth="1"/>
    <col min="19" max="19" width="9.77734375" style="12" customWidth="1"/>
    <col min="20" max="20" width="8.88671875" style="12"/>
    <col min="21" max="21" width="10.6640625" style="12" customWidth="1"/>
    <col min="22" max="22" width="11.5546875" style="13" bestFit="1" customWidth="1"/>
    <col min="23" max="24" width="9.5546875" style="13" customWidth="1"/>
    <col min="25" max="25" width="10.44140625" style="13" bestFit="1" customWidth="1"/>
    <col min="26" max="29" width="9.5546875" style="13" customWidth="1"/>
    <col min="30" max="30" width="9.5546875" style="13" bestFit="1" customWidth="1"/>
    <col min="31" max="16384" width="8.88671875" style="12"/>
  </cols>
  <sheetData>
    <row r="1" spans="1:30" s="21" customFormat="1" ht="25.2" customHeight="1"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c r="AA1" s="20"/>
      <c r="AB1" s="20"/>
      <c r="AC1" s="20"/>
      <c r="AD1" s="20"/>
    </row>
    <row r="2" spans="1:30" x14ac:dyDescent="0.3">
      <c r="A2" s="12" t="s">
        <v>36</v>
      </c>
      <c r="B2" s="12" t="s">
        <v>37</v>
      </c>
      <c r="C2" s="12" t="s">
        <v>38</v>
      </c>
      <c r="D2" s="12">
        <v>6390</v>
      </c>
      <c r="E2" s="12">
        <v>1</v>
      </c>
      <c r="F2" s="12">
        <v>225494</v>
      </c>
      <c r="G2" s="12" t="s">
        <v>19</v>
      </c>
      <c r="H2" s="12" t="s">
        <v>20</v>
      </c>
      <c r="I2" s="12" t="s">
        <v>31</v>
      </c>
      <c r="J2" s="12" t="s">
        <v>22</v>
      </c>
      <c r="K2" s="12">
        <v>5606</v>
      </c>
      <c r="L2" s="12" t="s">
        <v>23</v>
      </c>
      <c r="M2" s="12">
        <v>700</v>
      </c>
      <c r="N2" s="12" t="s">
        <v>24</v>
      </c>
      <c r="O2" s="12" t="s">
        <v>23</v>
      </c>
      <c r="P2" s="12">
        <v>39.311999999999998</v>
      </c>
      <c r="Q2" s="12">
        <v>10</v>
      </c>
      <c r="R2" s="13">
        <v>43336</v>
      </c>
      <c r="S2" s="14">
        <f t="shared" ref="S2:S33" si="0">P2*Q2</f>
        <v>393.12</v>
      </c>
      <c r="T2" s="14">
        <f t="shared" ref="T2:T33" si="1">DAY(R2)</f>
        <v>24</v>
      </c>
      <c r="U2" s="14">
        <f t="shared" ref="U2:U33" si="2">WEEKDAY(R2)</f>
        <v>6</v>
      </c>
      <c r="V2" s="12">
        <f t="shared" ref="V2:V33" si="3">WEEKNUM(R2)</f>
        <v>34</v>
      </c>
      <c r="W2" s="12">
        <f t="shared" ref="W2:W33" si="4">MONTH(R2)</f>
        <v>8</v>
      </c>
      <c r="X2" s="12">
        <f t="shared" ref="X2:X33" si="5">YEAR(R2)</f>
        <v>2018</v>
      </c>
      <c r="Y2" s="16">
        <f t="shared" ref="Y2:Y33" si="6">(R2)</f>
        <v>43336</v>
      </c>
      <c r="Z2" s="17">
        <f t="shared" ref="Z2:Z33" si="7">(R2)</f>
        <v>43336</v>
      </c>
      <c r="AA2" s="12"/>
      <c r="AB2" s="12"/>
      <c r="AC2" s="12"/>
      <c r="AD2" s="13">
        <f>+Sheet2!$R2-Sheet2!$U2+1+1</f>
        <v>43332</v>
      </c>
    </row>
    <row r="3" spans="1:30" x14ac:dyDescent="0.3">
      <c r="A3" s="12" t="s">
        <v>36</v>
      </c>
      <c r="B3" s="12" t="s">
        <v>37</v>
      </c>
      <c r="C3" s="12" t="s">
        <v>38</v>
      </c>
      <c r="D3" s="12">
        <v>6390</v>
      </c>
      <c r="E3" s="12">
        <v>1</v>
      </c>
      <c r="F3" s="12">
        <v>225494</v>
      </c>
      <c r="G3" s="12" t="s">
        <v>19</v>
      </c>
      <c r="H3" s="12" t="s">
        <v>20</v>
      </c>
      <c r="I3" s="12" t="s">
        <v>31</v>
      </c>
      <c r="J3" s="12" t="s">
        <v>22</v>
      </c>
      <c r="K3" s="12">
        <v>5606</v>
      </c>
      <c r="L3" s="12" t="s">
        <v>23</v>
      </c>
      <c r="M3" s="12">
        <v>700</v>
      </c>
      <c r="N3" s="12" t="s">
        <v>24</v>
      </c>
      <c r="O3" s="12" t="s">
        <v>23</v>
      </c>
      <c r="P3" s="12">
        <v>39.311999999999998</v>
      </c>
      <c r="Q3" s="12">
        <v>0</v>
      </c>
      <c r="R3" s="13">
        <v>43337</v>
      </c>
      <c r="S3" s="14">
        <f t="shared" si="0"/>
        <v>0</v>
      </c>
      <c r="T3" s="14">
        <f t="shared" si="1"/>
        <v>25</v>
      </c>
      <c r="U3" s="14">
        <f t="shared" si="2"/>
        <v>7</v>
      </c>
      <c r="V3" s="12">
        <f t="shared" si="3"/>
        <v>34</v>
      </c>
      <c r="W3" s="12">
        <f t="shared" si="4"/>
        <v>8</v>
      </c>
      <c r="X3" s="12">
        <f t="shared" si="5"/>
        <v>2018</v>
      </c>
      <c r="Y3" s="16">
        <f t="shared" si="6"/>
        <v>43337</v>
      </c>
      <c r="Z3" s="17">
        <f t="shared" si="7"/>
        <v>43337</v>
      </c>
      <c r="AA3" s="12"/>
      <c r="AD3" s="13">
        <f>+Sheet2!$R3-Sheet2!$U3+1+1</f>
        <v>43332</v>
      </c>
    </row>
    <row r="4" spans="1:30" x14ac:dyDescent="0.3">
      <c r="A4" s="12" t="s">
        <v>36</v>
      </c>
      <c r="B4" s="12" t="s">
        <v>37</v>
      </c>
      <c r="C4" s="12" t="s">
        <v>38</v>
      </c>
      <c r="D4" s="12">
        <v>6390</v>
      </c>
      <c r="E4" s="12">
        <v>1</v>
      </c>
      <c r="F4" s="12">
        <v>225494</v>
      </c>
      <c r="G4" s="12" t="s">
        <v>19</v>
      </c>
      <c r="H4" s="12" t="s">
        <v>20</v>
      </c>
      <c r="I4" s="12" t="s">
        <v>31</v>
      </c>
      <c r="J4" s="12" t="s">
        <v>22</v>
      </c>
      <c r="K4" s="12">
        <v>5606</v>
      </c>
      <c r="L4" s="12" t="s">
        <v>23</v>
      </c>
      <c r="M4" s="12">
        <v>700</v>
      </c>
      <c r="N4" s="12" t="s">
        <v>24</v>
      </c>
      <c r="O4" s="12" t="s">
        <v>23</v>
      </c>
      <c r="P4" s="12">
        <v>39.311999999999998</v>
      </c>
      <c r="Q4" s="12">
        <v>0</v>
      </c>
      <c r="R4" s="13">
        <v>43338</v>
      </c>
      <c r="S4" s="14">
        <f t="shared" si="0"/>
        <v>0</v>
      </c>
      <c r="T4" s="14">
        <f t="shared" si="1"/>
        <v>26</v>
      </c>
      <c r="U4" s="14">
        <f t="shared" si="2"/>
        <v>1</v>
      </c>
      <c r="V4" s="12">
        <f t="shared" si="3"/>
        <v>35</v>
      </c>
      <c r="W4" s="12">
        <f t="shared" si="4"/>
        <v>8</v>
      </c>
      <c r="X4" s="12">
        <f t="shared" si="5"/>
        <v>2018</v>
      </c>
      <c r="Y4" s="16">
        <f t="shared" si="6"/>
        <v>43338</v>
      </c>
      <c r="Z4" s="17">
        <f t="shared" si="7"/>
        <v>43338</v>
      </c>
      <c r="AA4" s="12"/>
      <c r="AD4" s="13">
        <f>+Sheet2!$R4-Sheet2!$U4+2+1</f>
        <v>43340</v>
      </c>
    </row>
    <row r="5" spans="1:30" x14ac:dyDescent="0.3">
      <c r="A5" s="12" t="s">
        <v>36</v>
      </c>
      <c r="B5" s="12" t="s">
        <v>37</v>
      </c>
      <c r="C5" s="12" t="s">
        <v>38</v>
      </c>
      <c r="D5" s="12">
        <v>6390</v>
      </c>
      <c r="E5" s="12">
        <v>1</v>
      </c>
      <c r="F5" s="12">
        <v>225494</v>
      </c>
      <c r="G5" s="12" t="s">
        <v>19</v>
      </c>
      <c r="H5" s="12" t="s">
        <v>20</v>
      </c>
      <c r="I5" s="12" t="s">
        <v>31</v>
      </c>
      <c r="J5" s="12" t="s">
        <v>22</v>
      </c>
      <c r="K5" s="12">
        <v>5606</v>
      </c>
      <c r="L5" s="12" t="s">
        <v>23</v>
      </c>
      <c r="M5" s="12">
        <v>700</v>
      </c>
      <c r="N5" s="12" t="s">
        <v>24</v>
      </c>
      <c r="O5" s="12" t="s">
        <v>23</v>
      </c>
      <c r="P5" s="12">
        <v>39.311999999999998</v>
      </c>
      <c r="Q5" s="12">
        <v>0</v>
      </c>
      <c r="R5" s="13">
        <v>43339</v>
      </c>
      <c r="S5" s="14">
        <f t="shared" si="0"/>
        <v>0</v>
      </c>
      <c r="T5" s="14">
        <f t="shared" si="1"/>
        <v>27</v>
      </c>
      <c r="U5" s="14">
        <f t="shared" si="2"/>
        <v>2</v>
      </c>
      <c r="V5" s="12">
        <f t="shared" si="3"/>
        <v>35</v>
      </c>
      <c r="W5" s="12">
        <f t="shared" si="4"/>
        <v>8</v>
      </c>
      <c r="X5" s="12">
        <f t="shared" si="5"/>
        <v>2018</v>
      </c>
      <c r="Y5" s="16">
        <f t="shared" si="6"/>
        <v>43339</v>
      </c>
      <c r="Z5" s="17">
        <f t="shared" si="7"/>
        <v>43339</v>
      </c>
      <c r="AA5" s="12"/>
      <c r="AD5" s="13">
        <f>+Sheet2!$R5-Sheet2!$U5+3+1</f>
        <v>43341</v>
      </c>
    </row>
    <row r="6" spans="1:30" x14ac:dyDescent="0.3">
      <c r="A6" s="12" t="s">
        <v>36</v>
      </c>
      <c r="B6" s="12" t="s">
        <v>37</v>
      </c>
      <c r="C6" s="12" t="s">
        <v>38</v>
      </c>
      <c r="D6" s="12">
        <v>6390</v>
      </c>
      <c r="E6" s="12">
        <v>1</v>
      </c>
      <c r="F6" s="12">
        <v>225494</v>
      </c>
      <c r="G6" s="12" t="s">
        <v>19</v>
      </c>
      <c r="H6" s="12" t="s">
        <v>20</v>
      </c>
      <c r="I6" s="12" t="s">
        <v>31</v>
      </c>
      <c r="J6" s="12" t="s">
        <v>22</v>
      </c>
      <c r="K6" s="12">
        <v>5606</v>
      </c>
      <c r="L6" s="12" t="s">
        <v>23</v>
      </c>
      <c r="M6" s="12">
        <v>700</v>
      </c>
      <c r="N6" s="12" t="s">
        <v>24</v>
      </c>
      <c r="O6" s="12" t="s">
        <v>23</v>
      </c>
      <c r="P6" s="12">
        <v>39.311999999999998</v>
      </c>
      <c r="Q6" s="12">
        <v>0</v>
      </c>
      <c r="R6" s="13">
        <v>43340</v>
      </c>
      <c r="S6" s="14">
        <f t="shared" si="0"/>
        <v>0</v>
      </c>
      <c r="T6" s="14">
        <f t="shared" si="1"/>
        <v>28</v>
      </c>
      <c r="U6" s="14">
        <f t="shared" si="2"/>
        <v>3</v>
      </c>
      <c r="V6" s="12">
        <f t="shared" si="3"/>
        <v>35</v>
      </c>
      <c r="W6" s="12">
        <f t="shared" si="4"/>
        <v>8</v>
      </c>
      <c r="X6" s="12">
        <f t="shared" si="5"/>
        <v>2018</v>
      </c>
      <c r="Y6" s="16">
        <f t="shared" si="6"/>
        <v>43340</v>
      </c>
      <c r="Z6" s="17">
        <f t="shared" si="7"/>
        <v>43340</v>
      </c>
      <c r="AA6" s="12"/>
      <c r="AD6" s="13">
        <f>+Sheet2!$R6-Sheet2!$U6+4+1</f>
        <v>43342</v>
      </c>
    </row>
    <row r="7" spans="1:30" x14ac:dyDescent="0.3">
      <c r="A7" s="12" t="s">
        <v>36</v>
      </c>
      <c r="B7" s="12" t="s">
        <v>37</v>
      </c>
      <c r="C7" s="12" t="s">
        <v>38</v>
      </c>
      <c r="D7" s="12">
        <v>6390</v>
      </c>
      <c r="E7" s="12">
        <v>1</v>
      </c>
      <c r="F7" s="12">
        <v>225494</v>
      </c>
      <c r="G7" s="12" t="s">
        <v>19</v>
      </c>
      <c r="H7" s="12" t="s">
        <v>20</v>
      </c>
      <c r="I7" s="12" t="s">
        <v>31</v>
      </c>
      <c r="J7" s="12" t="s">
        <v>22</v>
      </c>
      <c r="K7" s="12">
        <v>5606</v>
      </c>
      <c r="L7" s="12" t="s">
        <v>23</v>
      </c>
      <c r="M7" s="12">
        <v>700</v>
      </c>
      <c r="N7" s="12" t="s">
        <v>24</v>
      </c>
      <c r="O7" s="12" t="s">
        <v>23</v>
      </c>
      <c r="P7" s="12">
        <v>39.311999999999998</v>
      </c>
      <c r="Q7" s="12">
        <v>0</v>
      </c>
      <c r="R7" s="13">
        <v>43341</v>
      </c>
      <c r="S7" s="14">
        <f t="shared" si="0"/>
        <v>0</v>
      </c>
      <c r="T7" s="14">
        <f t="shared" si="1"/>
        <v>29</v>
      </c>
      <c r="U7" s="14">
        <f t="shared" si="2"/>
        <v>4</v>
      </c>
      <c r="V7" s="12">
        <f t="shared" si="3"/>
        <v>35</v>
      </c>
      <c r="W7" s="12">
        <f t="shared" si="4"/>
        <v>8</v>
      </c>
      <c r="X7" s="12">
        <f t="shared" si="5"/>
        <v>2018</v>
      </c>
      <c r="Y7" s="16">
        <f t="shared" si="6"/>
        <v>43341</v>
      </c>
      <c r="Z7" s="17">
        <f t="shared" si="7"/>
        <v>43341</v>
      </c>
      <c r="AA7" s="12"/>
    </row>
    <row r="8" spans="1:30" x14ac:dyDescent="0.3">
      <c r="A8" s="12" t="s">
        <v>36</v>
      </c>
      <c r="B8" s="12" t="s">
        <v>37</v>
      </c>
      <c r="C8" s="12" t="s">
        <v>38</v>
      </c>
      <c r="D8" s="12">
        <v>6390</v>
      </c>
      <c r="E8" s="12">
        <v>1</v>
      </c>
      <c r="F8" s="12">
        <v>225494</v>
      </c>
      <c r="G8" s="12" t="s">
        <v>19</v>
      </c>
      <c r="H8" s="12" t="s">
        <v>20</v>
      </c>
      <c r="I8" s="12" t="s">
        <v>31</v>
      </c>
      <c r="J8" s="12" t="s">
        <v>22</v>
      </c>
      <c r="K8" s="12">
        <v>5606</v>
      </c>
      <c r="L8" s="12" t="s">
        <v>23</v>
      </c>
      <c r="M8" s="12">
        <v>700</v>
      </c>
      <c r="N8" s="12" t="s">
        <v>24</v>
      </c>
      <c r="O8" s="12" t="s">
        <v>23</v>
      </c>
      <c r="P8" s="12">
        <v>39.311999999999998</v>
      </c>
      <c r="Q8" s="12">
        <v>0</v>
      </c>
      <c r="R8" s="13">
        <v>43342</v>
      </c>
      <c r="S8" s="14">
        <f t="shared" si="0"/>
        <v>0</v>
      </c>
      <c r="T8" s="14">
        <f t="shared" si="1"/>
        <v>30</v>
      </c>
      <c r="U8" s="14">
        <f t="shared" si="2"/>
        <v>5</v>
      </c>
      <c r="V8" s="12">
        <f t="shared" si="3"/>
        <v>35</v>
      </c>
      <c r="W8" s="12">
        <f t="shared" si="4"/>
        <v>8</v>
      </c>
      <c r="X8" s="12">
        <f t="shared" si="5"/>
        <v>2018</v>
      </c>
      <c r="Y8" s="16">
        <f t="shared" si="6"/>
        <v>43342</v>
      </c>
      <c r="Z8" s="17">
        <f t="shared" si="7"/>
        <v>43342</v>
      </c>
      <c r="AA8" s="12"/>
    </row>
    <row r="9" spans="1:30" x14ac:dyDescent="0.3">
      <c r="A9" s="12" t="s">
        <v>39</v>
      </c>
      <c r="B9" s="12" t="s">
        <v>37</v>
      </c>
      <c r="C9" s="12" t="s">
        <v>38</v>
      </c>
      <c r="D9" s="12">
        <v>6390</v>
      </c>
      <c r="E9" s="12">
        <v>1</v>
      </c>
      <c r="F9" s="12">
        <v>227678</v>
      </c>
      <c r="G9" s="12" t="s">
        <v>19</v>
      </c>
      <c r="H9" s="12" t="s">
        <v>20</v>
      </c>
      <c r="I9" s="12" t="s">
        <v>31</v>
      </c>
      <c r="J9" s="12" t="s">
        <v>22</v>
      </c>
      <c r="K9" s="12">
        <v>5606</v>
      </c>
      <c r="L9" s="12" t="s">
        <v>23</v>
      </c>
      <c r="M9" s="12">
        <v>700</v>
      </c>
      <c r="N9" s="12" t="s">
        <v>24</v>
      </c>
      <c r="O9" s="12" t="s">
        <v>33</v>
      </c>
      <c r="P9" s="12">
        <v>46.801000000000002</v>
      </c>
      <c r="Q9" s="12">
        <v>0</v>
      </c>
      <c r="R9" s="13">
        <v>43364</v>
      </c>
      <c r="S9" s="14">
        <f t="shared" si="0"/>
        <v>0</v>
      </c>
      <c r="T9" s="14">
        <f t="shared" si="1"/>
        <v>21</v>
      </c>
      <c r="U9" s="14">
        <f t="shared" si="2"/>
        <v>6</v>
      </c>
      <c r="V9" s="12">
        <f t="shared" si="3"/>
        <v>38</v>
      </c>
      <c r="W9" s="12">
        <f t="shared" si="4"/>
        <v>9</v>
      </c>
      <c r="X9" s="12">
        <f t="shared" si="5"/>
        <v>2018</v>
      </c>
      <c r="Y9" s="16">
        <f t="shared" si="6"/>
        <v>43364</v>
      </c>
      <c r="Z9" s="17">
        <f t="shared" si="7"/>
        <v>43364</v>
      </c>
      <c r="AA9" s="12"/>
    </row>
    <row r="10" spans="1:30" x14ac:dyDescent="0.3">
      <c r="A10" s="12" t="s">
        <v>39</v>
      </c>
      <c r="B10" s="12" t="s">
        <v>37</v>
      </c>
      <c r="C10" s="12" t="s">
        <v>38</v>
      </c>
      <c r="D10" s="12">
        <v>6390</v>
      </c>
      <c r="E10" s="12">
        <v>1</v>
      </c>
      <c r="F10" s="12">
        <v>227678</v>
      </c>
      <c r="G10" s="12" t="s">
        <v>19</v>
      </c>
      <c r="H10" s="12" t="s">
        <v>20</v>
      </c>
      <c r="I10" s="12" t="s">
        <v>31</v>
      </c>
      <c r="J10" s="12" t="s">
        <v>22</v>
      </c>
      <c r="K10" s="12">
        <v>5606</v>
      </c>
      <c r="L10" s="12" t="s">
        <v>23</v>
      </c>
      <c r="M10" s="12">
        <v>700</v>
      </c>
      <c r="N10" s="12" t="s">
        <v>24</v>
      </c>
      <c r="O10" s="12" t="s">
        <v>33</v>
      </c>
      <c r="P10" s="12">
        <v>46.801000000000002</v>
      </c>
      <c r="Q10" s="12">
        <v>0</v>
      </c>
      <c r="R10" s="13">
        <v>43365</v>
      </c>
      <c r="S10" s="14">
        <f t="shared" si="0"/>
        <v>0</v>
      </c>
      <c r="T10" s="14">
        <f t="shared" si="1"/>
        <v>22</v>
      </c>
      <c r="U10" s="14">
        <f t="shared" si="2"/>
        <v>7</v>
      </c>
      <c r="V10" s="12">
        <f t="shared" si="3"/>
        <v>38</v>
      </c>
      <c r="W10" s="12">
        <f t="shared" si="4"/>
        <v>9</v>
      </c>
      <c r="X10" s="12">
        <f t="shared" si="5"/>
        <v>2018</v>
      </c>
      <c r="Y10" s="16">
        <f t="shared" si="6"/>
        <v>43365</v>
      </c>
      <c r="Z10" s="17">
        <f t="shared" si="7"/>
        <v>43365</v>
      </c>
      <c r="AA10" s="12"/>
    </row>
    <row r="11" spans="1:30" x14ac:dyDescent="0.3">
      <c r="A11" s="12" t="s">
        <v>39</v>
      </c>
      <c r="B11" s="12" t="s">
        <v>37</v>
      </c>
      <c r="C11" s="12" t="s">
        <v>38</v>
      </c>
      <c r="D11" s="12">
        <v>6390</v>
      </c>
      <c r="E11" s="12">
        <v>1</v>
      </c>
      <c r="F11" s="12">
        <v>227678</v>
      </c>
      <c r="G11" s="12" t="s">
        <v>19</v>
      </c>
      <c r="H11" s="12" t="s">
        <v>20</v>
      </c>
      <c r="I11" s="12" t="s">
        <v>31</v>
      </c>
      <c r="J11" s="12" t="s">
        <v>22</v>
      </c>
      <c r="K11" s="12">
        <v>5606</v>
      </c>
      <c r="L11" s="12" t="s">
        <v>23</v>
      </c>
      <c r="M11" s="12">
        <v>700</v>
      </c>
      <c r="N11" s="12" t="s">
        <v>24</v>
      </c>
      <c r="O11" s="12" t="s">
        <v>33</v>
      </c>
      <c r="P11" s="12">
        <v>46.801000000000002</v>
      </c>
      <c r="Q11" s="12">
        <v>0</v>
      </c>
      <c r="R11" s="13">
        <v>43366</v>
      </c>
      <c r="S11" s="14">
        <f t="shared" si="0"/>
        <v>0</v>
      </c>
      <c r="T11" s="14">
        <f t="shared" si="1"/>
        <v>23</v>
      </c>
      <c r="U11" s="14">
        <f t="shared" si="2"/>
        <v>1</v>
      </c>
      <c r="V11" s="12">
        <f t="shared" si="3"/>
        <v>39</v>
      </c>
      <c r="W11" s="12">
        <f t="shared" si="4"/>
        <v>9</v>
      </c>
      <c r="X11" s="12">
        <f t="shared" si="5"/>
        <v>2018</v>
      </c>
      <c r="Y11" s="16">
        <f t="shared" si="6"/>
        <v>43366</v>
      </c>
      <c r="Z11" s="17">
        <f t="shared" si="7"/>
        <v>43366</v>
      </c>
      <c r="AA11" s="12"/>
    </row>
    <row r="12" spans="1:30" x14ac:dyDescent="0.3">
      <c r="A12" s="12" t="s">
        <v>39</v>
      </c>
      <c r="B12" s="12" t="s">
        <v>37</v>
      </c>
      <c r="C12" s="12" t="s">
        <v>38</v>
      </c>
      <c r="D12" s="12">
        <v>6390</v>
      </c>
      <c r="E12" s="12">
        <v>1</v>
      </c>
      <c r="F12" s="12">
        <v>227678</v>
      </c>
      <c r="G12" s="12" t="s">
        <v>19</v>
      </c>
      <c r="H12" s="12" t="s">
        <v>20</v>
      </c>
      <c r="I12" s="12" t="s">
        <v>31</v>
      </c>
      <c r="J12" s="12" t="s">
        <v>22</v>
      </c>
      <c r="K12" s="12">
        <v>5606</v>
      </c>
      <c r="L12" s="12" t="s">
        <v>23</v>
      </c>
      <c r="M12" s="12">
        <v>700</v>
      </c>
      <c r="N12" s="12" t="s">
        <v>24</v>
      </c>
      <c r="O12" s="12" t="s">
        <v>33</v>
      </c>
      <c r="P12" s="12">
        <v>46.801000000000002</v>
      </c>
      <c r="Q12" s="12">
        <v>0</v>
      </c>
      <c r="R12" s="13">
        <v>43367</v>
      </c>
      <c r="S12" s="14">
        <f t="shared" si="0"/>
        <v>0</v>
      </c>
      <c r="T12" s="14">
        <f t="shared" si="1"/>
        <v>24</v>
      </c>
      <c r="U12" s="14">
        <f t="shared" si="2"/>
        <v>2</v>
      </c>
      <c r="V12" s="12">
        <f t="shared" si="3"/>
        <v>39</v>
      </c>
      <c r="W12" s="12">
        <f t="shared" si="4"/>
        <v>9</v>
      </c>
      <c r="X12" s="12">
        <f t="shared" si="5"/>
        <v>2018</v>
      </c>
      <c r="Y12" s="16">
        <f t="shared" si="6"/>
        <v>43367</v>
      </c>
      <c r="Z12" s="17">
        <f t="shared" si="7"/>
        <v>43367</v>
      </c>
      <c r="AA12" s="12"/>
    </row>
    <row r="13" spans="1:30" x14ac:dyDescent="0.3">
      <c r="A13" s="12" t="s">
        <v>39</v>
      </c>
      <c r="B13" s="12" t="s">
        <v>37</v>
      </c>
      <c r="C13" s="12" t="s">
        <v>38</v>
      </c>
      <c r="D13" s="12">
        <v>6390</v>
      </c>
      <c r="E13" s="12">
        <v>1</v>
      </c>
      <c r="F13" s="12">
        <v>227678</v>
      </c>
      <c r="G13" s="12" t="s">
        <v>19</v>
      </c>
      <c r="H13" s="12" t="s">
        <v>20</v>
      </c>
      <c r="I13" s="12" t="s">
        <v>31</v>
      </c>
      <c r="J13" s="12" t="s">
        <v>22</v>
      </c>
      <c r="K13" s="12">
        <v>5606</v>
      </c>
      <c r="L13" s="12" t="s">
        <v>23</v>
      </c>
      <c r="M13" s="12">
        <v>700</v>
      </c>
      <c r="N13" s="12" t="s">
        <v>24</v>
      </c>
      <c r="O13" s="12" t="s">
        <v>33</v>
      </c>
      <c r="P13" s="12">
        <v>46.801000000000002</v>
      </c>
      <c r="Q13" s="12">
        <v>0</v>
      </c>
      <c r="R13" s="13">
        <v>43368</v>
      </c>
      <c r="S13" s="14">
        <f t="shared" si="0"/>
        <v>0</v>
      </c>
      <c r="T13" s="14">
        <f t="shared" si="1"/>
        <v>25</v>
      </c>
      <c r="U13" s="14">
        <f t="shared" si="2"/>
        <v>3</v>
      </c>
      <c r="V13" s="12">
        <f t="shared" si="3"/>
        <v>39</v>
      </c>
      <c r="W13" s="12">
        <f t="shared" si="4"/>
        <v>9</v>
      </c>
      <c r="X13" s="12">
        <f t="shared" si="5"/>
        <v>2018</v>
      </c>
      <c r="Y13" s="16">
        <f t="shared" si="6"/>
        <v>43368</v>
      </c>
      <c r="Z13" s="17">
        <f t="shared" si="7"/>
        <v>43368</v>
      </c>
      <c r="AA13" s="12"/>
    </row>
    <row r="14" spans="1:30" x14ac:dyDescent="0.3">
      <c r="A14" s="12" t="s">
        <v>39</v>
      </c>
      <c r="B14" s="12" t="s">
        <v>37</v>
      </c>
      <c r="C14" s="12" t="s">
        <v>38</v>
      </c>
      <c r="D14" s="12">
        <v>6390</v>
      </c>
      <c r="E14" s="12">
        <v>1</v>
      </c>
      <c r="F14" s="12">
        <v>227678</v>
      </c>
      <c r="G14" s="12" t="s">
        <v>19</v>
      </c>
      <c r="H14" s="12" t="s">
        <v>20</v>
      </c>
      <c r="I14" s="12" t="s">
        <v>31</v>
      </c>
      <c r="J14" s="12" t="s">
        <v>22</v>
      </c>
      <c r="K14" s="12">
        <v>5606</v>
      </c>
      <c r="L14" s="12" t="s">
        <v>23</v>
      </c>
      <c r="M14" s="12">
        <v>700</v>
      </c>
      <c r="N14" s="12" t="s">
        <v>24</v>
      </c>
      <c r="O14" s="12" t="s">
        <v>33</v>
      </c>
      <c r="P14" s="12">
        <v>46.801000000000002</v>
      </c>
      <c r="Q14" s="12">
        <v>0</v>
      </c>
      <c r="R14" s="13">
        <v>43369</v>
      </c>
      <c r="S14" s="14">
        <f t="shared" si="0"/>
        <v>0</v>
      </c>
      <c r="T14" s="14">
        <f t="shared" si="1"/>
        <v>26</v>
      </c>
      <c r="U14" s="14">
        <f t="shared" si="2"/>
        <v>4</v>
      </c>
      <c r="V14" s="12">
        <f t="shared" si="3"/>
        <v>39</v>
      </c>
      <c r="W14" s="12">
        <f t="shared" si="4"/>
        <v>9</v>
      </c>
      <c r="X14" s="12">
        <f t="shared" si="5"/>
        <v>2018</v>
      </c>
      <c r="Y14" s="16">
        <f t="shared" si="6"/>
        <v>43369</v>
      </c>
      <c r="Z14" s="17">
        <f t="shared" si="7"/>
        <v>43369</v>
      </c>
      <c r="AA14" s="12"/>
    </row>
    <row r="15" spans="1:30" x14ac:dyDescent="0.3">
      <c r="A15" s="12" t="s">
        <v>39</v>
      </c>
      <c r="B15" s="12" t="s">
        <v>37</v>
      </c>
      <c r="C15" s="12" t="s">
        <v>38</v>
      </c>
      <c r="D15" s="12">
        <v>6390</v>
      </c>
      <c r="E15" s="12">
        <v>1</v>
      </c>
      <c r="F15" s="12">
        <v>227678</v>
      </c>
      <c r="G15" s="12" t="s">
        <v>19</v>
      </c>
      <c r="H15" s="12" t="s">
        <v>20</v>
      </c>
      <c r="I15" s="12" t="s">
        <v>31</v>
      </c>
      <c r="J15" s="12" t="s">
        <v>22</v>
      </c>
      <c r="K15" s="12">
        <v>5606</v>
      </c>
      <c r="L15" s="12" t="s">
        <v>23</v>
      </c>
      <c r="M15" s="12">
        <v>700</v>
      </c>
      <c r="N15" s="12" t="s">
        <v>24</v>
      </c>
      <c r="O15" s="12" t="s">
        <v>33</v>
      </c>
      <c r="P15" s="12">
        <v>46.801000000000002</v>
      </c>
      <c r="Q15" s="12">
        <v>0</v>
      </c>
      <c r="R15" s="13">
        <v>43370</v>
      </c>
      <c r="S15" s="14">
        <f t="shared" si="0"/>
        <v>0</v>
      </c>
      <c r="T15" s="14">
        <f t="shared" si="1"/>
        <v>27</v>
      </c>
      <c r="U15" s="14">
        <f t="shared" si="2"/>
        <v>5</v>
      </c>
      <c r="V15" s="12">
        <f t="shared" si="3"/>
        <v>39</v>
      </c>
      <c r="W15" s="12">
        <f t="shared" si="4"/>
        <v>9</v>
      </c>
      <c r="X15" s="12">
        <f t="shared" si="5"/>
        <v>2018</v>
      </c>
      <c r="Y15" s="16">
        <f t="shared" si="6"/>
        <v>43370</v>
      </c>
      <c r="Z15" s="17">
        <f t="shared" si="7"/>
        <v>43370</v>
      </c>
      <c r="AA15" s="12"/>
    </row>
    <row r="16" spans="1:30" x14ac:dyDescent="0.3">
      <c r="A16" s="12" t="s">
        <v>40</v>
      </c>
      <c r="B16" s="12" t="s">
        <v>37</v>
      </c>
      <c r="C16" s="12" t="s">
        <v>38</v>
      </c>
      <c r="D16" s="12">
        <v>6390</v>
      </c>
      <c r="E16" s="12">
        <v>1</v>
      </c>
      <c r="F16" s="12">
        <v>229289</v>
      </c>
      <c r="G16" s="12" t="s">
        <v>19</v>
      </c>
      <c r="H16" s="12" t="s">
        <v>20</v>
      </c>
      <c r="I16" s="12" t="s">
        <v>31</v>
      </c>
      <c r="J16" s="12" t="s">
        <v>22</v>
      </c>
      <c r="K16" s="12">
        <v>5606</v>
      </c>
      <c r="L16" s="12" t="s">
        <v>23</v>
      </c>
      <c r="M16" s="12">
        <v>700</v>
      </c>
      <c r="N16" s="12" t="s">
        <v>24</v>
      </c>
      <c r="O16" s="12" t="s">
        <v>23</v>
      </c>
      <c r="P16" s="12">
        <v>39.311999999999998</v>
      </c>
      <c r="Q16" s="12">
        <v>0</v>
      </c>
      <c r="R16" s="13">
        <v>43385</v>
      </c>
      <c r="S16" s="14">
        <f t="shared" si="0"/>
        <v>0</v>
      </c>
      <c r="T16" s="14">
        <f t="shared" si="1"/>
        <v>12</v>
      </c>
      <c r="U16" s="14">
        <f t="shared" si="2"/>
        <v>6</v>
      </c>
      <c r="V16" s="12">
        <f t="shared" si="3"/>
        <v>41</v>
      </c>
      <c r="W16" s="12">
        <f t="shared" si="4"/>
        <v>10</v>
      </c>
      <c r="X16" s="12">
        <f t="shared" si="5"/>
        <v>2018</v>
      </c>
      <c r="Y16" s="16">
        <f t="shared" si="6"/>
        <v>43385</v>
      </c>
      <c r="Z16" s="17">
        <f t="shared" si="7"/>
        <v>43385</v>
      </c>
      <c r="AA16" s="12"/>
    </row>
    <row r="17" spans="1:27" x14ac:dyDescent="0.3">
      <c r="A17" s="12" t="s">
        <v>40</v>
      </c>
      <c r="B17" s="12" t="s">
        <v>37</v>
      </c>
      <c r="C17" s="12" t="s">
        <v>38</v>
      </c>
      <c r="D17" s="12">
        <v>6390</v>
      </c>
      <c r="E17" s="12">
        <v>1</v>
      </c>
      <c r="F17" s="12">
        <v>229289</v>
      </c>
      <c r="G17" s="12" t="s">
        <v>19</v>
      </c>
      <c r="H17" s="12" t="s">
        <v>20</v>
      </c>
      <c r="I17" s="12" t="s">
        <v>31</v>
      </c>
      <c r="J17" s="12" t="s">
        <v>22</v>
      </c>
      <c r="K17" s="12">
        <v>5606</v>
      </c>
      <c r="L17" s="12" t="s">
        <v>23</v>
      </c>
      <c r="M17" s="12">
        <v>700</v>
      </c>
      <c r="N17" s="12" t="s">
        <v>24</v>
      </c>
      <c r="O17" s="12" t="s">
        <v>23</v>
      </c>
      <c r="P17" s="12">
        <v>39.311999999999998</v>
      </c>
      <c r="Q17" s="12">
        <v>0</v>
      </c>
      <c r="R17" s="13">
        <v>43386</v>
      </c>
      <c r="S17" s="14">
        <f t="shared" si="0"/>
        <v>0</v>
      </c>
      <c r="T17" s="14">
        <f t="shared" si="1"/>
        <v>13</v>
      </c>
      <c r="U17" s="14">
        <f t="shared" si="2"/>
        <v>7</v>
      </c>
      <c r="V17" s="12">
        <f t="shared" si="3"/>
        <v>41</v>
      </c>
      <c r="W17" s="12">
        <f t="shared" si="4"/>
        <v>10</v>
      </c>
      <c r="X17" s="12">
        <f t="shared" si="5"/>
        <v>2018</v>
      </c>
      <c r="Y17" s="16">
        <f t="shared" si="6"/>
        <v>43386</v>
      </c>
      <c r="Z17" s="17">
        <f t="shared" si="7"/>
        <v>43386</v>
      </c>
      <c r="AA17" s="12"/>
    </row>
    <row r="18" spans="1:27" x14ac:dyDescent="0.3">
      <c r="A18" s="12" t="s">
        <v>40</v>
      </c>
      <c r="B18" s="12" t="s">
        <v>37</v>
      </c>
      <c r="C18" s="12" t="s">
        <v>38</v>
      </c>
      <c r="D18" s="12">
        <v>6390</v>
      </c>
      <c r="E18" s="12">
        <v>1</v>
      </c>
      <c r="F18" s="12">
        <v>229289</v>
      </c>
      <c r="G18" s="12" t="s">
        <v>19</v>
      </c>
      <c r="H18" s="12" t="s">
        <v>20</v>
      </c>
      <c r="I18" s="12" t="s">
        <v>31</v>
      </c>
      <c r="J18" s="12" t="s">
        <v>22</v>
      </c>
      <c r="K18" s="12">
        <v>5606</v>
      </c>
      <c r="L18" s="12" t="s">
        <v>23</v>
      </c>
      <c r="M18" s="12">
        <v>700</v>
      </c>
      <c r="N18" s="12" t="s">
        <v>24</v>
      </c>
      <c r="O18" s="12" t="s">
        <v>23</v>
      </c>
      <c r="P18" s="12">
        <v>39.311999999999998</v>
      </c>
      <c r="Q18" s="12">
        <v>0</v>
      </c>
      <c r="R18" s="13">
        <v>43387</v>
      </c>
      <c r="S18" s="14">
        <f t="shared" si="0"/>
        <v>0</v>
      </c>
      <c r="T18" s="14">
        <f t="shared" si="1"/>
        <v>14</v>
      </c>
      <c r="U18" s="14">
        <f t="shared" si="2"/>
        <v>1</v>
      </c>
      <c r="V18" s="12">
        <f t="shared" si="3"/>
        <v>42</v>
      </c>
      <c r="W18" s="12">
        <f t="shared" si="4"/>
        <v>10</v>
      </c>
      <c r="X18" s="12">
        <f t="shared" si="5"/>
        <v>2018</v>
      </c>
      <c r="Y18" s="16">
        <f t="shared" si="6"/>
        <v>43387</v>
      </c>
      <c r="Z18" s="17">
        <f t="shared" si="7"/>
        <v>43387</v>
      </c>
      <c r="AA18" s="12"/>
    </row>
    <row r="19" spans="1:27" x14ac:dyDescent="0.3">
      <c r="A19" s="12" t="s">
        <v>40</v>
      </c>
      <c r="B19" s="12" t="s">
        <v>37</v>
      </c>
      <c r="C19" s="12" t="s">
        <v>38</v>
      </c>
      <c r="D19" s="12">
        <v>6390</v>
      </c>
      <c r="E19" s="12">
        <v>1</v>
      </c>
      <c r="F19" s="12">
        <v>229289</v>
      </c>
      <c r="G19" s="12" t="s">
        <v>19</v>
      </c>
      <c r="H19" s="12" t="s">
        <v>20</v>
      </c>
      <c r="I19" s="12" t="s">
        <v>31</v>
      </c>
      <c r="J19" s="12" t="s">
        <v>22</v>
      </c>
      <c r="K19" s="12">
        <v>5606</v>
      </c>
      <c r="L19" s="12" t="s">
        <v>23</v>
      </c>
      <c r="M19" s="12">
        <v>700</v>
      </c>
      <c r="N19" s="12" t="s">
        <v>24</v>
      </c>
      <c r="O19" s="12" t="s">
        <v>23</v>
      </c>
      <c r="P19" s="12">
        <v>39.311999999999998</v>
      </c>
      <c r="Q19" s="12">
        <v>0</v>
      </c>
      <c r="R19" s="13">
        <v>43388</v>
      </c>
      <c r="S19" s="14">
        <f t="shared" si="0"/>
        <v>0</v>
      </c>
      <c r="T19" s="14">
        <f t="shared" si="1"/>
        <v>15</v>
      </c>
      <c r="U19" s="14">
        <f t="shared" si="2"/>
        <v>2</v>
      </c>
      <c r="V19" s="12">
        <f t="shared" si="3"/>
        <v>42</v>
      </c>
      <c r="W19" s="12">
        <f t="shared" si="4"/>
        <v>10</v>
      </c>
      <c r="X19" s="12">
        <f t="shared" si="5"/>
        <v>2018</v>
      </c>
      <c r="Y19" s="16">
        <f t="shared" si="6"/>
        <v>43388</v>
      </c>
      <c r="Z19" s="17">
        <f t="shared" si="7"/>
        <v>43388</v>
      </c>
      <c r="AA19" s="12"/>
    </row>
    <row r="20" spans="1:27" x14ac:dyDescent="0.3">
      <c r="A20" s="12" t="s">
        <v>40</v>
      </c>
      <c r="B20" s="12" t="s">
        <v>37</v>
      </c>
      <c r="C20" s="12" t="s">
        <v>38</v>
      </c>
      <c r="D20" s="12">
        <v>6390</v>
      </c>
      <c r="E20" s="12">
        <v>1</v>
      </c>
      <c r="F20" s="12">
        <v>229289</v>
      </c>
      <c r="G20" s="12" t="s">
        <v>19</v>
      </c>
      <c r="H20" s="12" t="s">
        <v>20</v>
      </c>
      <c r="I20" s="12" t="s">
        <v>31</v>
      </c>
      <c r="J20" s="12" t="s">
        <v>22</v>
      </c>
      <c r="K20" s="12">
        <v>5606</v>
      </c>
      <c r="L20" s="12" t="s">
        <v>23</v>
      </c>
      <c r="M20" s="12">
        <v>700</v>
      </c>
      <c r="N20" s="12" t="s">
        <v>24</v>
      </c>
      <c r="O20" s="12" t="s">
        <v>23</v>
      </c>
      <c r="P20" s="12">
        <v>39.311999999999998</v>
      </c>
      <c r="Q20" s="12">
        <v>0</v>
      </c>
      <c r="R20" s="13">
        <v>43389</v>
      </c>
      <c r="S20" s="14">
        <f t="shared" si="0"/>
        <v>0</v>
      </c>
      <c r="T20" s="14">
        <f t="shared" si="1"/>
        <v>16</v>
      </c>
      <c r="U20" s="14">
        <f t="shared" si="2"/>
        <v>3</v>
      </c>
      <c r="V20" s="12">
        <f t="shared" si="3"/>
        <v>42</v>
      </c>
      <c r="W20" s="12">
        <f t="shared" si="4"/>
        <v>10</v>
      </c>
      <c r="X20" s="12">
        <f t="shared" si="5"/>
        <v>2018</v>
      </c>
      <c r="Y20" s="16">
        <f t="shared" si="6"/>
        <v>43389</v>
      </c>
      <c r="Z20" s="17">
        <f t="shared" si="7"/>
        <v>43389</v>
      </c>
      <c r="AA20" s="12"/>
    </row>
    <row r="21" spans="1:27" x14ac:dyDescent="0.3">
      <c r="A21" s="12" t="s">
        <v>40</v>
      </c>
      <c r="B21" s="12" t="s">
        <v>37</v>
      </c>
      <c r="C21" s="12" t="s">
        <v>38</v>
      </c>
      <c r="D21" s="12">
        <v>6390</v>
      </c>
      <c r="E21" s="12">
        <v>1</v>
      </c>
      <c r="F21" s="12">
        <v>229289</v>
      </c>
      <c r="G21" s="12" t="s">
        <v>19</v>
      </c>
      <c r="H21" s="12" t="s">
        <v>20</v>
      </c>
      <c r="I21" s="12" t="s">
        <v>31</v>
      </c>
      <c r="J21" s="12" t="s">
        <v>22</v>
      </c>
      <c r="K21" s="12">
        <v>5606</v>
      </c>
      <c r="L21" s="12" t="s">
        <v>23</v>
      </c>
      <c r="M21" s="12">
        <v>700</v>
      </c>
      <c r="N21" s="12" t="s">
        <v>24</v>
      </c>
      <c r="O21" s="12" t="s">
        <v>23</v>
      </c>
      <c r="P21" s="12">
        <v>39.311999999999998</v>
      </c>
      <c r="Q21" s="12">
        <v>0</v>
      </c>
      <c r="R21" s="13">
        <v>43390</v>
      </c>
      <c r="S21" s="14">
        <f t="shared" si="0"/>
        <v>0</v>
      </c>
      <c r="T21" s="14">
        <f t="shared" si="1"/>
        <v>17</v>
      </c>
      <c r="U21" s="14">
        <f t="shared" si="2"/>
        <v>4</v>
      </c>
      <c r="V21" s="12">
        <f t="shared" si="3"/>
        <v>42</v>
      </c>
      <c r="W21" s="12">
        <f t="shared" si="4"/>
        <v>10</v>
      </c>
      <c r="X21" s="12">
        <f t="shared" si="5"/>
        <v>2018</v>
      </c>
      <c r="Y21" s="16">
        <f t="shared" si="6"/>
        <v>43390</v>
      </c>
      <c r="Z21" s="17">
        <f t="shared" si="7"/>
        <v>43390</v>
      </c>
      <c r="AA21" s="12"/>
    </row>
    <row r="22" spans="1:27" x14ac:dyDescent="0.3">
      <c r="A22" s="12" t="s">
        <v>40</v>
      </c>
      <c r="B22" s="12" t="s">
        <v>37</v>
      </c>
      <c r="C22" s="12" t="s">
        <v>38</v>
      </c>
      <c r="D22" s="12">
        <v>6390</v>
      </c>
      <c r="E22" s="12">
        <v>1</v>
      </c>
      <c r="F22" s="12">
        <v>229289</v>
      </c>
      <c r="G22" s="12" t="s">
        <v>19</v>
      </c>
      <c r="H22" s="12" t="s">
        <v>20</v>
      </c>
      <c r="I22" s="12" t="s">
        <v>31</v>
      </c>
      <c r="J22" s="12" t="s">
        <v>22</v>
      </c>
      <c r="K22" s="12">
        <v>5606</v>
      </c>
      <c r="L22" s="12" t="s">
        <v>23</v>
      </c>
      <c r="M22" s="12">
        <v>700</v>
      </c>
      <c r="N22" s="12" t="s">
        <v>24</v>
      </c>
      <c r="O22" s="12" t="s">
        <v>23</v>
      </c>
      <c r="P22" s="12">
        <v>39.311999999999998</v>
      </c>
      <c r="Q22" s="12">
        <v>10</v>
      </c>
      <c r="R22" s="13">
        <v>43391</v>
      </c>
      <c r="S22" s="14">
        <f t="shared" si="0"/>
        <v>393.12</v>
      </c>
      <c r="T22" s="14">
        <f t="shared" si="1"/>
        <v>18</v>
      </c>
      <c r="U22" s="14">
        <f t="shared" si="2"/>
        <v>5</v>
      </c>
      <c r="V22" s="12">
        <f t="shared" si="3"/>
        <v>42</v>
      </c>
      <c r="W22" s="12">
        <f t="shared" si="4"/>
        <v>10</v>
      </c>
      <c r="X22" s="12">
        <f t="shared" si="5"/>
        <v>2018</v>
      </c>
      <c r="Y22" s="16">
        <f t="shared" si="6"/>
        <v>43391</v>
      </c>
      <c r="Z22" s="17">
        <f t="shared" si="7"/>
        <v>43391</v>
      </c>
      <c r="AA22" s="12"/>
    </row>
    <row r="23" spans="1:27" x14ac:dyDescent="0.3">
      <c r="A23" s="12" t="s">
        <v>16</v>
      </c>
      <c r="B23" s="12" t="s">
        <v>17</v>
      </c>
      <c r="C23" s="12" t="s">
        <v>18</v>
      </c>
      <c r="D23" s="12">
        <v>4777</v>
      </c>
      <c r="E23" s="12">
        <v>1</v>
      </c>
      <c r="F23" s="12">
        <v>230296</v>
      </c>
      <c r="G23" s="12" t="s">
        <v>19</v>
      </c>
      <c r="H23" s="12" t="s">
        <v>20</v>
      </c>
      <c r="I23" s="12" t="s">
        <v>21</v>
      </c>
      <c r="J23" s="12" t="s">
        <v>22</v>
      </c>
      <c r="K23" s="12">
        <v>5507</v>
      </c>
      <c r="L23" s="12" t="s">
        <v>23</v>
      </c>
      <c r="M23" s="12">
        <v>400</v>
      </c>
      <c r="N23" s="12" t="s">
        <v>24</v>
      </c>
      <c r="O23" s="12" t="s">
        <v>23</v>
      </c>
      <c r="P23" s="12">
        <v>21</v>
      </c>
      <c r="Q23" s="12">
        <v>0</v>
      </c>
      <c r="R23" s="13">
        <v>43399</v>
      </c>
      <c r="S23" s="14">
        <f t="shared" si="0"/>
        <v>0</v>
      </c>
      <c r="T23" s="14">
        <f t="shared" si="1"/>
        <v>26</v>
      </c>
      <c r="U23" s="14">
        <f t="shared" si="2"/>
        <v>6</v>
      </c>
      <c r="V23" s="12">
        <f t="shared" si="3"/>
        <v>43</v>
      </c>
      <c r="W23" s="12">
        <f t="shared" si="4"/>
        <v>10</v>
      </c>
      <c r="X23" s="12">
        <f t="shared" si="5"/>
        <v>2018</v>
      </c>
      <c r="Y23" s="16">
        <f t="shared" si="6"/>
        <v>43399</v>
      </c>
      <c r="Z23" s="17">
        <f t="shared" si="7"/>
        <v>43399</v>
      </c>
      <c r="AA23" s="12"/>
    </row>
    <row r="24" spans="1:27" x14ac:dyDescent="0.3">
      <c r="A24" s="12" t="s">
        <v>16</v>
      </c>
      <c r="B24" s="12" t="s">
        <v>37</v>
      </c>
      <c r="C24" s="12" t="s">
        <v>38</v>
      </c>
      <c r="D24" s="12">
        <v>6390</v>
      </c>
      <c r="E24" s="12">
        <v>1</v>
      </c>
      <c r="F24" s="12">
        <v>230352</v>
      </c>
      <c r="G24" s="12" t="s">
        <v>19</v>
      </c>
      <c r="H24" s="12" t="s">
        <v>20</v>
      </c>
      <c r="I24" s="12" t="s">
        <v>31</v>
      </c>
      <c r="J24" s="12" t="s">
        <v>22</v>
      </c>
      <c r="K24" s="12">
        <v>5606</v>
      </c>
      <c r="L24" s="12" t="s">
        <v>23</v>
      </c>
      <c r="M24" s="12">
        <v>700</v>
      </c>
      <c r="N24" s="12" t="s">
        <v>24</v>
      </c>
      <c r="O24" s="12" t="s">
        <v>23</v>
      </c>
      <c r="P24" s="12">
        <v>39.311999999999998</v>
      </c>
      <c r="Q24" s="12">
        <v>0</v>
      </c>
      <c r="R24" s="13">
        <v>43399</v>
      </c>
      <c r="S24" s="14">
        <f t="shared" si="0"/>
        <v>0</v>
      </c>
      <c r="T24" s="14">
        <f t="shared" si="1"/>
        <v>26</v>
      </c>
      <c r="U24" s="14">
        <f t="shared" si="2"/>
        <v>6</v>
      </c>
      <c r="V24" s="12">
        <f t="shared" si="3"/>
        <v>43</v>
      </c>
      <c r="W24" s="12">
        <f t="shared" si="4"/>
        <v>10</v>
      </c>
      <c r="X24" s="12">
        <f t="shared" si="5"/>
        <v>2018</v>
      </c>
      <c r="Y24" s="16">
        <f t="shared" si="6"/>
        <v>43399</v>
      </c>
      <c r="Z24" s="17">
        <f t="shared" si="7"/>
        <v>43399</v>
      </c>
      <c r="AA24" s="12"/>
    </row>
    <row r="25" spans="1:27" x14ac:dyDescent="0.3">
      <c r="A25" s="12" t="s">
        <v>16</v>
      </c>
      <c r="B25" s="12" t="s">
        <v>17</v>
      </c>
      <c r="C25" s="12" t="s">
        <v>18</v>
      </c>
      <c r="D25" s="12">
        <v>4777</v>
      </c>
      <c r="E25" s="12">
        <v>1</v>
      </c>
      <c r="F25" s="12">
        <v>230296</v>
      </c>
      <c r="G25" s="12" t="s">
        <v>19</v>
      </c>
      <c r="H25" s="12" t="s">
        <v>20</v>
      </c>
      <c r="I25" s="12" t="s">
        <v>21</v>
      </c>
      <c r="J25" s="12" t="s">
        <v>22</v>
      </c>
      <c r="K25" s="12">
        <v>5507</v>
      </c>
      <c r="L25" s="12" t="s">
        <v>23</v>
      </c>
      <c r="M25" s="12">
        <v>400</v>
      </c>
      <c r="N25" s="12" t="s">
        <v>24</v>
      </c>
      <c r="O25" s="12" t="s">
        <v>23</v>
      </c>
      <c r="P25" s="12">
        <v>21</v>
      </c>
      <c r="Q25" s="12">
        <v>0</v>
      </c>
      <c r="R25" s="13">
        <v>43400</v>
      </c>
      <c r="S25" s="14">
        <f t="shared" si="0"/>
        <v>0</v>
      </c>
      <c r="T25" s="14">
        <f t="shared" si="1"/>
        <v>27</v>
      </c>
      <c r="U25" s="14">
        <f t="shared" si="2"/>
        <v>7</v>
      </c>
      <c r="V25" s="12">
        <f t="shared" si="3"/>
        <v>43</v>
      </c>
      <c r="W25" s="12">
        <f t="shared" si="4"/>
        <v>10</v>
      </c>
      <c r="X25" s="12">
        <f t="shared" si="5"/>
        <v>2018</v>
      </c>
      <c r="Y25" s="16">
        <f t="shared" si="6"/>
        <v>43400</v>
      </c>
      <c r="Z25" s="17">
        <f t="shared" si="7"/>
        <v>43400</v>
      </c>
      <c r="AA25" s="12"/>
    </row>
    <row r="26" spans="1:27" x14ac:dyDescent="0.3">
      <c r="A26" s="12" t="s">
        <v>16</v>
      </c>
      <c r="B26" s="12" t="s">
        <v>37</v>
      </c>
      <c r="C26" s="12" t="s">
        <v>38</v>
      </c>
      <c r="D26" s="12">
        <v>6390</v>
      </c>
      <c r="E26" s="12">
        <v>1</v>
      </c>
      <c r="F26" s="12">
        <v>230352</v>
      </c>
      <c r="G26" s="12" t="s">
        <v>19</v>
      </c>
      <c r="H26" s="12" t="s">
        <v>20</v>
      </c>
      <c r="I26" s="12" t="s">
        <v>31</v>
      </c>
      <c r="J26" s="12" t="s">
        <v>22</v>
      </c>
      <c r="K26" s="12">
        <v>5606</v>
      </c>
      <c r="L26" s="12" t="s">
        <v>23</v>
      </c>
      <c r="M26" s="12">
        <v>700</v>
      </c>
      <c r="N26" s="12" t="s">
        <v>24</v>
      </c>
      <c r="O26" s="12" t="s">
        <v>23</v>
      </c>
      <c r="P26" s="12">
        <v>39.311999999999998</v>
      </c>
      <c r="Q26" s="12">
        <v>0</v>
      </c>
      <c r="R26" s="13">
        <v>43400</v>
      </c>
      <c r="S26" s="14">
        <f t="shared" si="0"/>
        <v>0</v>
      </c>
      <c r="T26" s="14">
        <f t="shared" si="1"/>
        <v>27</v>
      </c>
      <c r="U26" s="14">
        <f t="shared" si="2"/>
        <v>7</v>
      </c>
      <c r="V26" s="12">
        <f t="shared" si="3"/>
        <v>43</v>
      </c>
      <c r="W26" s="12">
        <f t="shared" si="4"/>
        <v>10</v>
      </c>
      <c r="X26" s="12">
        <f t="shared" si="5"/>
        <v>2018</v>
      </c>
      <c r="Y26" s="16">
        <f t="shared" si="6"/>
        <v>43400</v>
      </c>
      <c r="Z26" s="17">
        <f t="shared" si="7"/>
        <v>43400</v>
      </c>
      <c r="AA26" s="12"/>
    </row>
    <row r="27" spans="1:27" x14ac:dyDescent="0.3">
      <c r="A27" s="12" t="s">
        <v>16</v>
      </c>
      <c r="B27" s="12" t="s">
        <v>17</v>
      </c>
      <c r="C27" s="12" t="s">
        <v>18</v>
      </c>
      <c r="D27" s="12">
        <v>4777</v>
      </c>
      <c r="E27" s="12">
        <v>1</v>
      </c>
      <c r="F27" s="12">
        <v>230296</v>
      </c>
      <c r="G27" s="12" t="s">
        <v>19</v>
      </c>
      <c r="H27" s="12" t="s">
        <v>20</v>
      </c>
      <c r="I27" s="12" t="s">
        <v>21</v>
      </c>
      <c r="J27" s="12" t="s">
        <v>22</v>
      </c>
      <c r="K27" s="12">
        <v>5507</v>
      </c>
      <c r="L27" s="12" t="s">
        <v>23</v>
      </c>
      <c r="M27" s="12">
        <v>400</v>
      </c>
      <c r="N27" s="12" t="s">
        <v>24</v>
      </c>
      <c r="O27" s="12" t="s">
        <v>23</v>
      </c>
      <c r="P27" s="12">
        <v>21</v>
      </c>
      <c r="Q27" s="12">
        <v>2.5</v>
      </c>
      <c r="R27" s="13">
        <v>43401</v>
      </c>
      <c r="S27" s="14">
        <f t="shared" si="0"/>
        <v>52.5</v>
      </c>
      <c r="T27" s="14">
        <f t="shared" si="1"/>
        <v>28</v>
      </c>
      <c r="U27" s="14">
        <f t="shared" si="2"/>
        <v>1</v>
      </c>
      <c r="V27" s="12">
        <f t="shared" si="3"/>
        <v>44</v>
      </c>
      <c r="W27" s="12">
        <f t="shared" si="4"/>
        <v>10</v>
      </c>
      <c r="X27" s="12">
        <f t="shared" si="5"/>
        <v>2018</v>
      </c>
      <c r="Y27" s="16">
        <f t="shared" si="6"/>
        <v>43401</v>
      </c>
      <c r="Z27" s="17">
        <f t="shared" si="7"/>
        <v>43401</v>
      </c>
      <c r="AA27" s="12"/>
    </row>
    <row r="28" spans="1:27" x14ac:dyDescent="0.3">
      <c r="A28" s="12" t="s">
        <v>16</v>
      </c>
      <c r="B28" s="12" t="s">
        <v>37</v>
      </c>
      <c r="C28" s="12" t="s">
        <v>38</v>
      </c>
      <c r="D28" s="12">
        <v>6390</v>
      </c>
      <c r="E28" s="12">
        <v>1</v>
      </c>
      <c r="F28" s="12">
        <v>230352</v>
      </c>
      <c r="G28" s="12" t="s">
        <v>19</v>
      </c>
      <c r="H28" s="12" t="s">
        <v>20</v>
      </c>
      <c r="I28" s="12" t="s">
        <v>31</v>
      </c>
      <c r="J28" s="12" t="s">
        <v>22</v>
      </c>
      <c r="K28" s="12">
        <v>5606</v>
      </c>
      <c r="L28" s="12" t="s">
        <v>23</v>
      </c>
      <c r="M28" s="12">
        <v>700</v>
      </c>
      <c r="N28" s="12" t="s">
        <v>24</v>
      </c>
      <c r="O28" s="12" t="s">
        <v>23</v>
      </c>
      <c r="P28" s="12">
        <v>39.311999999999998</v>
      </c>
      <c r="Q28" s="12">
        <v>0</v>
      </c>
      <c r="R28" s="13">
        <v>43401</v>
      </c>
      <c r="S28" s="14">
        <f t="shared" si="0"/>
        <v>0</v>
      </c>
      <c r="T28" s="14">
        <f t="shared" si="1"/>
        <v>28</v>
      </c>
      <c r="U28" s="14">
        <f t="shared" si="2"/>
        <v>1</v>
      </c>
      <c r="V28" s="12">
        <f t="shared" si="3"/>
        <v>44</v>
      </c>
      <c r="W28" s="12">
        <f t="shared" si="4"/>
        <v>10</v>
      </c>
      <c r="X28" s="12">
        <f t="shared" si="5"/>
        <v>2018</v>
      </c>
      <c r="Y28" s="16">
        <f t="shared" si="6"/>
        <v>43401</v>
      </c>
      <c r="Z28" s="17">
        <f t="shared" si="7"/>
        <v>43401</v>
      </c>
      <c r="AA28" s="12"/>
    </row>
    <row r="29" spans="1:27" x14ac:dyDescent="0.3">
      <c r="A29" s="12" t="s">
        <v>16</v>
      </c>
      <c r="B29" s="12" t="s">
        <v>17</v>
      </c>
      <c r="C29" s="12" t="s">
        <v>18</v>
      </c>
      <c r="D29" s="12">
        <v>4777</v>
      </c>
      <c r="E29" s="12">
        <v>1</v>
      </c>
      <c r="F29" s="12">
        <v>230296</v>
      </c>
      <c r="G29" s="12" t="s">
        <v>19</v>
      </c>
      <c r="H29" s="12" t="s">
        <v>20</v>
      </c>
      <c r="I29" s="12" t="s">
        <v>21</v>
      </c>
      <c r="J29" s="12" t="s">
        <v>22</v>
      </c>
      <c r="K29" s="12">
        <v>5507</v>
      </c>
      <c r="L29" s="12" t="s">
        <v>23</v>
      </c>
      <c r="M29" s="12">
        <v>400</v>
      </c>
      <c r="N29" s="12" t="s">
        <v>24</v>
      </c>
      <c r="O29" s="12" t="s">
        <v>23</v>
      </c>
      <c r="P29" s="12">
        <v>21</v>
      </c>
      <c r="Q29" s="12">
        <v>0</v>
      </c>
      <c r="R29" s="13">
        <v>43402</v>
      </c>
      <c r="S29" s="14">
        <f t="shared" si="0"/>
        <v>0</v>
      </c>
      <c r="T29" s="14">
        <f t="shared" si="1"/>
        <v>29</v>
      </c>
      <c r="U29" s="14">
        <f t="shared" si="2"/>
        <v>2</v>
      </c>
      <c r="V29" s="12">
        <f t="shared" si="3"/>
        <v>44</v>
      </c>
      <c r="W29" s="12">
        <f t="shared" si="4"/>
        <v>10</v>
      </c>
      <c r="X29" s="12">
        <f t="shared" si="5"/>
        <v>2018</v>
      </c>
      <c r="Y29" s="16">
        <f t="shared" si="6"/>
        <v>43402</v>
      </c>
      <c r="Z29" s="17">
        <f t="shared" si="7"/>
        <v>43402</v>
      </c>
      <c r="AA29" s="12"/>
    </row>
    <row r="30" spans="1:27" x14ac:dyDescent="0.3">
      <c r="A30" s="12" t="s">
        <v>16</v>
      </c>
      <c r="B30" s="12" t="s">
        <v>37</v>
      </c>
      <c r="C30" s="12" t="s">
        <v>38</v>
      </c>
      <c r="D30" s="12">
        <v>6390</v>
      </c>
      <c r="E30" s="12">
        <v>1</v>
      </c>
      <c r="F30" s="12">
        <v>230352</v>
      </c>
      <c r="G30" s="12" t="s">
        <v>19</v>
      </c>
      <c r="H30" s="12" t="s">
        <v>20</v>
      </c>
      <c r="I30" s="12" t="s">
        <v>31</v>
      </c>
      <c r="J30" s="12" t="s">
        <v>22</v>
      </c>
      <c r="K30" s="12">
        <v>5606</v>
      </c>
      <c r="L30" s="12" t="s">
        <v>23</v>
      </c>
      <c r="M30" s="12">
        <v>700</v>
      </c>
      <c r="N30" s="12" t="s">
        <v>24</v>
      </c>
      <c r="O30" s="12" t="s">
        <v>23</v>
      </c>
      <c r="P30" s="12">
        <v>39.311999999999998</v>
      </c>
      <c r="Q30" s="12">
        <v>0</v>
      </c>
      <c r="R30" s="13">
        <v>43402</v>
      </c>
      <c r="S30" s="14">
        <f t="shared" si="0"/>
        <v>0</v>
      </c>
      <c r="T30" s="14">
        <f t="shared" si="1"/>
        <v>29</v>
      </c>
      <c r="U30" s="14">
        <f t="shared" si="2"/>
        <v>2</v>
      </c>
      <c r="V30" s="12">
        <f t="shared" si="3"/>
        <v>44</v>
      </c>
      <c r="W30" s="12">
        <f t="shared" si="4"/>
        <v>10</v>
      </c>
      <c r="X30" s="12">
        <f t="shared" si="5"/>
        <v>2018</v>
      </c>
      <c r="Y30" s="16">
        <f t="shared" si="6"/>
        <v>43402</v>
      </c>
      <c r="Z30" s="17">
        <f t="shared" si="7"/>
        <v>43402</v>
      </c>
      <c r="AA30" s="12"/>
    </row>
    <row r="31" spans="1:27" x14ac:dyDescent="0.3">
      <c r="A31" s="12" t="s">
        <v>16</v>
      </c>
      <c r="B31" s="12" t="s">
        <v>17</v>
      </c>
      <c r="C31" s="12" t="s">
        <v>18</v>
      </c>
      <c r="D31" s="12">
        <v>4777</v>
      </c>
      <c r="E31" s="12">
        <v>1</v>
      </c>
      <c r="F31" s="12">
        <v>230296</v>
      </c>
      <c r="G31" s="12" t="s">
        <v>19</v>
      </c>
      <c r="H31" s="12" t="s">
        <v>20</v>
      </c>
      <c r="I31" s="12" t="s">
        <v>21</v>
      </c>
      <c r="J31" s="12" t="s">
        <v>22</v>
      </c>
      <c r="K31" s="12">
        <v>5507</v>
      </c>
      <c r="L31" s="12" t="s">
        <v>23</v>
      </c>
      <c r="M31" s="12">
        <v>400</v>
      </c>
      <c r="N31" s="12" t="s">
        <v>24</v>
      </c>
      <c r="O31" s="12" t="s">
        <v>23</v>
      </c>
      <c r="P31" s="12">
        <v>21</v>
      </c>
      <c r="Q31" s="12">
        <v>0</v>
      </c>
      <c r="R31" s="13">
        <v>43403</v>
      </c>
      <c r="S31" s="14">
        <f t="shared" si="0"/>
        <v>0</v>
      </c>
      <c r="T31" s="14">
        <f t="shared" si="1"/>
        <v>30</v>
      </c>
      <c r="U31" s="14">
        <f t="shared" si="2"/>
        <v>3</v>
      </c>
      <c r="V31" s="12">
        <f t="shared" si="3"/>
        <v>44</v>
      </c>
      <c r="W31" s="12">
        <f t="shared" si="4"/>
        <v>10</v>
      </c>
      <c r="X31" s="12">
        <f t="shared" si="5"/>
        <v>2018</v>
      </c>
      <c r="Y31" s="16">
        <f t="shared" si="6"/>
        <v>43403</v>
      </c>
      <c r="Z31" s="17">
        <f t="shared" si="7"/>
        <v>43403</v>
      </c>
      <c r="AA31" s="12"/>
    </row>
    <row r="32" spans="1:27" x14ac:dyDescent="0.3">
      <c r="A32" s="12" t="s">
        <v>16</v>
      </c>
      <c r="B32" s="12" t="s">
        <v>37</v>
      </c>
      <c r="C32" s="12" t="s">
        <v>38</v>
      </c>
      <c r="D32" s="12">
        <v>6390</v>
      </c>
      <c r="E32" s="12">
        <v>1</v>
      </c>
      <c r="F32" s="12">
        <v>230352</v>
      </c>
      <c r="G32" s="12" t="s">
        <v>19</v>
      </c>
      <c r="H32" s="12" t="s">
        <v>20</v>
      </c>
      <c r="I32" s="12" t="s">
        <v>31</v>
      </c>
      <c r="J32" s="12" t="s">
        <v>22</v>
      </c>
      <c r="K32" s="12">
        <v>5606</v>
      </c>
      <c r="L32" s="12" t="s">
        <v>23</v>
      </c>
      <c r="M32" s="12">
        <v>700</v>
      </c>
      <c r="N32" s="12" t="s">
        <v>24</v>
      </c>
      <c r="O32" s="12" t="s">
        <v>23</v>
      </c>
      <c r="P32" s="12">
        <v>39.311999999999998</v>
      </c>
      <c r="Q32" s="12">
        <v>0</v>
      </c>
      <c r="R32" s="13">
        <v>43403</v>
      </c>
      <c r="S32" s="14">
        <f t="shared" si="0"/>
        <v>0</v>
      </c>
      <c r="T32" s="14">
        <f t="shared" si="1"/>
        <v>30</v>
      </c>
      <c r="U32" s="14">
        <f t="shared" si="2"/>
        <v>3</v>
      </c>
      <c r="V32" s="12">
        <f t="shared" si="3"/>
        <v>44</v>
      </c>
      <c r="W32" s="12">
        <f t="shared" si="4"/>
        <v>10</v>
      </c>
      <c r="X32" s="12">
        <f t="shared" si="5"/>
        <v>2018</v>
      </c>
      <c r="Y32" s="16">
        <f t="shared" si="6"/>
        <v>43403</v>
      </c>
      <c r="Z32" s="17">
        <f t="shared" si="7"/>
        <v>43403</v>
      </c>
      <c r="AA32" s="12"/>
    </row>
    <row r="33" spans="1:27" x14ac:dyDescent="0.3">
      <c r="A33" s="12" t="s">
        <v>16</v>
      </c>
      <c r="B33" s="12" t="s">
        <v>17</v>
      </c>
      <c r="C33" s="12" t="s">
        <v>18</v>
      </c>
      <c r="D33" s="12">
        <v>4777</v>
      </c>
      <c r="E33" s="12">
        <v>1</v>
      </c>
      <c r="F33" s="12">
        <v>230296</v>
      </c>
      <c r="G33" s="12" t="s">
        <v>19</v>
      </c>
      <c r="H33" s="12" t="s">
        <v>20</v>
      </c>
      <c r="I33" s="12" t="s">
        <v>21</v>
      </c>
      <c r="J33" s="12" t="s">
        <v>22</v>
      </c>
      <c r="K33" s="12">
        <v>5507</v>
      </c>
      <c r="L33" s="12" t="s">
        <v>23</v>
      </c>
      <c r="M33" s="12">
        <v>400</v>
      </c>
      <c r="N33" s="12" t="s">
        <v>24</v>
      </c>
      <c r="O33" s="12" t="s">
        <v>23</v>
      </c>
      <c r="P33" s="12">
        <v>21</v>
      </c>
      <c r="Q33" s="12">
        <v>9.5</v>
      </c>
      <c r="R33" s="13">
        <v>43404</v>
      </c>
      <c r="S33" s="14">
        <f t="shared" si="0"/>
        <v>199.5</v>
      </c>
      <c r="T33" s="14">
        <f t="shared" si="1"/>
        <v>31</v>
      </c>
      <c r="U33" s="14">
        <f t="shared" si="2"/>
        <v>4</v>
      </c>
      <c r="V33" s="12">
        <f t="shared" si="3"/>
        <v>44</v>
      </c>
      <c r="W33" s="12">
        <f t="shared" si="4"/>
        <v>10</v>
      </c>
      <c r="X33" s="12">
        <f t="shared" si="5"/>
        <v>2018</v>
      </c>
      <c r="Y33" s="16">
        <f t="shared" si="6"/>
        <v>43404</v>
      </c>
      <c r="Z33" s="17">
        <f t="shared" si="7"/>
        <v>43404</v>
      </c>
      <c r="AA33" s="12"/>
    </row>
    <row r="34" spans="1:27" x14ac:dyDescent="0.3">
      <c r="A34" s="12" t="s">
        <v>16</v>
      </c>
      <c r="B34" s="12" t="s">
        <v>37</v>
      </c>
      <c r="C34" s="12" t="s">
        <v>38</v>
      </c>
      <c r="D34" s="12">
        <v>6390</v>
      </c>
      <c r="E34" s="12">
        <v>1</v>
      </c>
      <c r="F34" s="12">
        <v>230352</v>
      </c>
      <c r="G34" s="12" t="s">
        <v>19</v>
      </c>
      <c r="H34" s="12" t="s">
        <v>20</v>
      </c>
      <c r="I34" s="12" t="s">
        <v>31</v>
      </c>
      <c r="J34" s="12" t="s">
        <v>22</v>
      </c>
      <c r="K34" s="12">
        <v>5606</v>
      </c>
      <c r="L34" s="12" t="s">
        <v>23</v>
      </c>
      <c r="M34" s="12">
        <v>700</v>
      </c>
      <c r="N34" s="12" t="s">
        <v>24</v>
      </c>
      <c r="O34" s="12" t="s">
        <v>23</v>
      </c>
      <c r="P34" s="12">
        <v>39.311999999999998</v>
      </c>
      <c r="Q34" s="12">
        <v>0</v>
      </c>
      <c r="R34" s="13">
        <v>43404</v>
      </c>
      <c r="S34" s="14">
        <f t="shared" ref="S34:S65" si="8">P34*Q34</f>
        <v>0</v>
      </c>
      <c r="T34" s="14">
        <f t="shared" ref="T34:T65" si="9">DAY(R34)</f>
        <v>31</v>
      </c>
      <c r="U34" s="14">
        <f t="shared" ref="U34:U65" si="10">WEEKDAY(R34)</f>
        <v>4</v>
      </c>
      <c r="V34" s="12">
        <f t="shared" ref="V34:V65" si="11">WEEKNUM(R34)</f>
        <v>44</v>
      </c>
      <c r="W34" s="12">
        <f t="shared" ref="W34:W65" si="12">MONTH(R34)</f>
        <v>10</v>
      </c>
      <c r="X34" s="12">
        <f t="shared" ref="X34:X65" si="13">YEAR(R34)</f>
        <v>2018</v>
      </c>
      <c r="Y34" s="16">
        <f t="shared" ref="Y34:Y65" si="14">(R34)</f>
        <v>43404</v>
      </c>
      <c r="Z34" s="17">
        <f t="shared" ref="Z34:Z65" si="15">(R34)</f>
        <v>43404</v>
      </c>
      <c r="AA34" s="12"/>
    </row>
    <row r="35" spans="1:27" x14ac:dyDescent="0.3">
      <c r="A35" s="12" t="s">
        <v>16</v>
      </c>
      <c r="B35" s="12" t="s">
        <v>17</v>
      </c>
      <c r="C35" s="12" t="s">
        <v>18</v>
      </c>
      <c r="D35" s="12">
        <v>4777</v>
      </c>
      <c r="E35" s="12">
        <v>1</v>
      </c>
      <c r="F35" s="12">
        <v>230296</v>
      </c>
      <c r="G35" s="12" t="s">
        <v>19</v>
      </c>
      <c r="H35" s="12" t="s">
        <v>20</v>
      </c>
      <c r="I35" s="12" t="s">
        <v>21</v>
      </c>
      <c r="J35" s="12" t="s">
        <v>22</v>
      </c>
      <c r="K35" s="12">
        <v>5507</v>
      </c>
      <c r="L35" s="12" t="s">
        <v>23</v>
      </c>
      <c r="M35" s="12">
        <v>400</v>
      </c>
      <c r="N35" s="12" t="s">
        <v>24</v>
      </c>
      <c r="O35" s="12" t="s">
        <v>23</v>
      </c>
      <c r="P35" s="12">
        <v>21</v>
      </c>
      <c r="Q35" s="12">
        <v>0</v>
      </c>
      <c r="R35" s="13">
        <v>43405</v>
      </c>
      <c r="S35" s="14">
        <f t="shared" si="8"/>
        <v>0</v>
      </c>
      <c r="T35" s="14">
        <f t="shared" si="9"/>
        <v>1</v>
      </c>
      <c r="U35" s="14">
        <f t="shared" si="10"/>
        <v>5</v>
      </c>
      <c r="V35" s="12">
        <f t="shared" si="11"/>
        <v>44</v>
      </c>
      <c r="W35" s="12">
        <f t="shared" si="12"/>
        <v>11</v>
      </c>
      <c r="X35" s="12">
        <f t="shared" si="13"/>
        <v>2018</v>
      </c>
      <c r="Y35" s="16">
        <f t="shared" si="14"/>
        <v>43405</v>
      </c>
      <c r="Z35" s="17">
        <f t="shared" si="15"/>
        <v>43405</v>
      </c>
      <c r="AA35" s="12"/>
    </row>
    <row r="36" spans="1:27" x14ac:dyDescent="0.3">
      <c r="A36" s="12" t="s">
        <v>16</v>
      </c>
      <c r="B36" s="12" t="s">
        <v>37</v>
      </c>
      <c r="C36" s="12" t="s">
        <v>38</v>
      </c>
      <c r="D36" s="12">
        <v>6390</v>
      </c>
      <c r="E36" s="12">
        <v>1</v>
      </c>
      <c r="F36" s="12">
        <v>230352</v>
      </c>
      <c r="G36" s="12" t="s">
        <v>19</v>
      </c>
      <c r="H36" s="12" t="s">
        <v>20</v>
      </c>
      <c r="I36" s="12" t="s">
        <v>31</v>
      </c>
      <c r="J36" s="12" t="s">
        <v>22</v>
      </c>
      <c r="K36" s="12">
        <v>5606</v>
      </c>
      <c r="L36" s="12" t="s">
        <v>23</v>
      </c>
      <c r="M36" s="12">
        <v>700</v>
      </c>
      <c r="N36" s="12" t="s">
        <v>24</v>
      </c>
      <c r="O36" s="12" t="s">
        <v>23</v>
      </c>
      <c r="P36" s="12">
        <v>39.311999999999998</v>
      </c>
      <c r="Q36" s="12">
        <v>10</v>
      </c>
      <c r="R36" s="13">
        <v>43405</v>
      </c>
      <c r="S36" s="14">
        <f t="shared" si="8"/>
        <v>393.12</v>
      </c>
      <c r="T36" s="14">
        <f t="shared" si="9"/>
        <v>1</v>
      </c>
      <c r="U36" s="14">
        <f t="shared" si="10"/>
        <v>5</v>
      </c>
      <c r="V36" s="12">
        <f t="shared" si="11"/>
        <v>44</v>
      </c>
      <c r="W36" s="12">
        <f t="shared" si="12"/>
        <v>11</v>
      </c>
      <c r="X36" s="12">
        <f t="shared" si="13"/>
        <v>2018</v>
      </c>
      <c r="Y36" s="16">
        <f t="shared" si="14"/>
        <v>43405</v>
      </c>
      <c r="Z36" s="17">
        <f t="shared" si="15"/>
        <v>43405</v>
      </c>
      <c r="AA36" s="12"/>
    </row>
    <row r="37" spans="1:27" x14ac:dyDescent="0.3">
      <c r="A37" s="12" t="s">
        <v>41</v>
      </c>
      <c r="B37" s="12" t="s">
        <v>37</v>
      </c>
      <c r="C37" s="12" t="s">
        <v>38</v>
      </c>
      <c r="D37" s="12">
        <v>6390</v>
      </c>
      <c r="E37" s="12">
        <v>1</v>
      </c>
      <c r="F37" s="12">
        <v>230898</v>
      </c>
      <c r="G37" s="12" t="s">
        <v>19</v>
      </c>
      <c r="H37" s="12" t="s">
        <v>20</v>
      </c>
      <c r="I37" s="12" t="s">
        <v>31</v>
      </c>
      <c r="J37" s="12" t="s">
        <v>22</v>
      </c>
      <c r="K37" s="12">
        <v>5606</v>
      </c>
      <c r="L37" s="12" t="s">
        <v>23</v>
      </c>
      <c r="M37" s="12">
        <v>700</v>
      </c>
      <c r="N37" s="12" t="s">
        <v>24</v>
      </c>
      <c r="O37" s="12" t="s">
        <v>23</v>
      </c>
      <c r="P37" s="12">
        <v>39.311999999999998</v>
      </c>
      <c r="Q37" s="12">
        <v>10</v>
      </c>
      <c r="R37" s="13">
        <v>43406</v>
      </c>
      <c r="S37" s="14">
        <f t="shared" si="8"/>
        <v>393.12</v>
      </c>
      <c r="T37" s="14">
        <f t="shared" si="9"/>
        <v>2</v>
      </c>
      <c r="U37" s="14">
        <f t="shared" si="10"/>
        <v>6</v>
      </c>
      <c r="V37" s="12">
        <f t="shared" si="11"/>
        <v>44</v>
      </c>
      <c r="W37" s="12">
        <f t="shared" si="12"/>
        <v>11</v>
      </c>
      <c r="X37" s="12">
        <f t="shared" si="13"/>
        <v>2018</v>
      </c>
      <c r="Y37" s="16">
        <f t="shared" si="14"/>
        <v>43406</v>
      </c>
      <c r="Z37" s="17">
        <f t="shared" si="15"/>
        <v>43406</v>
      </c>
      <c r="AA37" s="12"/>
    </row>
    <row r="38" spans="1:27" x14ac:dyDescent="0.3">
      <c r="A38" s="12" t="s">
        <v>41</v>
      </c>
      <c r="B38" s="12" t="s">
        <v>37</v>
      </c>
      <c r="C38" s="12" t="s">
        <v>38</v>
      </c>
      <c r="D38" s="12">
        <v>6390</v>
      </c>
      <c r="E38" s="12">
        <v>1</v>
      </c>
      <c r="F38" s="12">
        <v>230898</v>
      </c>
      <c r="G38" s="12" t="s">
        <v>19</v>
      </c>
      <c r="H38" s="12" t="s">
        <v>20</v>
      </c>
      <c r="I38" s="12" t="s">
        <v>31</v>
      </c>
      <c r="J38" s="12" t="s">
        <v>22</v>
      </c>
      <c r="K38" s="12">
        <v>5606</v>
      </c>
      <c r="L38" s="12" t="s">
        <v>23</v>
      </c>
      <c r="M38" s="12">
        <v>700</v>
      </c>
      <c r="N38" s="12" t="s">
        <v>24</v>
      </c>
      <c r="O38" s="12" t="s">
        <v>23</v>
      </c>
      <c r="P38" s="12">
        <v>39.311999999999998</v>
      </c>
      <c r="Q38" s="12">
        <v>0</v>
      </c>
      <c r="R38" s="13">
        <v>43407</v>
      </c>
      <c r="S38" s="14">
        <f t="shared" si="8"/>
        <v>0</v>
      </c>
      <c r="T38" s="14">
        <f t="shared" si="9"/>
        <v>3</v>
      </c>
      <c r="U38" s="14">
        <f t="shared" si="10"/>
        <v>7</v>
      </c>
      <c r="V38" s="12">
        <f t="shared" si="11"/>
        <v>44</v>
      </c>
      <c r="W38" s="12">
        <f t="shared" si="12"/>
        <v>11</v>
      </c>
      <c r="X38" s="12">
        <f t="shared" si="13"/>
        <v>2018</v>
      </c>
      <c r="Y38" s="16">
        <f t="shared" si="14"/>
        <v>43407</v>
      </c>
      <c r="Z38" s="17">
        <f t="shared" si="15"/>
        <v>43407</v>
      </c>
      <c r="AA38" s="12"/>
    </row>
    <row r="39" spans="1:27" x14ac:dyDescent="0.3">
      <c r="A39" s="12" t="s">
        <v>41</v>
      </c>
      <c r="B39" s="12" t="s">
        <v>37</v>
      </c>
      <c r="C39" s="12" t="s">
        <v>38</v>
      </c>
      <c r="D39" s="12">
        <v>6390</v>
      </c>
      <c r="E39" s="12">
        <v>1</v>
      </c>
      <c r="F39" s="12">
        <v>230898</v>
      </c>
      <c r="G39" s="12" t="s">
        <v>19</v>
      </c>
      <c r="H39" s="12" t="s">
        <v>20</v>
      </c>
      <c r="I39" s="12" t="s">
        <v>31</v>
      </c>
      <c r="J39" s="12" t="s">
        <v>22</v>
      </c>
      <c r="K39" s="12">
        <v>5606</v>
      </c>
      <c r="L39" s="12" t="s">
        <v>23</v>
      </c>
      <c r="M39" s="12">
        <v>700</v>
      </c>
      <c r="N39" s="12" t="s">
        <v>24</v>
      </c>
      <c r="O39" s="12" t="s">
        <v>23</v>
      </c>
      <c r="P39" s="12">
        <v>39.311999999999998</v>
      </c>
      <c r="Q39" s="12">
        <v>0</v>
      </c>
      <c r="R39" s="13">
        <v>43408</v>
      </c>
      <c r="S39" s="14">
        <f t="shared" si="8"/>
        <v>0</v>
      </c>
      <c r="T39" s="14">
        <f t="shared" si="9"/>
        <v>4</v>
      </c>
      <c r="U39" s="14">
        <f t="shared" si="10"/>
        <v>1</v>
      </c>
      <c r="V39" s="12">
        <f t="shared" si="11"/>
        <v>45</v>
      </c>
      <c r="W39" s="12">
        <f t="shared" si="12"/>
        <v>11</v>
      </c>
      <c r="X39" s="12">
        <f t="shared" si="13"/>
        <v>2018</v>
      </c>
      <c r="Y39" s="16">
        <f t="shared" si="14"/>
        <v>43408</v>
      </c>
      <c r="Z39" s="17">
        <f t="shared" si="15"/>
        <v>43408</v>
      </c>
      <c r="AA39" s="12"/>
    </row>
    <row r="40" spans="1:27" x14ac:dyDescent="0.3">
      <c r="A40" s="12" t="s">
        <v>41</v>
      </c>
      <c r="B40" s="12" t="s">
        <v>37</v>
      </c>
      <c r="C40" s="12" t="s">
        <v>38</v>
      </c>
      <c r="D40" s="12">
        <v>6390</v>
      </c>
      <c r="E40" s="12">
        <v>1</v>
      </c>
      <c r="F40" s="12">
        <v>230898</v>
      </c>
      <c r="G40" s="12" t="s">
        <v>19</v>
      </c>
      <c r="H40" s="12" t="s">
        <v>20</v>
      </c>
      <c r="I40" s="12" t="s">
        <v>31</v>
      </c>
      <c r="J40" s="12" t="s">
        <v>22</v>
      </c>
      <c r="K40" s="12">
        <v>5606</v>
      </c>
      <c r="L40" s="12" t="s">
        <v>23</v>
      </c>
      <c r="M40" s="12">
        <v>700</v>
      </c>
      <c r="N40" s="12" t="s">
        <v>24</v>
      </c>
      <c r="O40" s="12" t="s">
        <v>23</v>
      </c>
      <c r="P40" s="12">
        <v>39.311999999999998</v>
      </c>
      <c r="Q40" s="12">
        <v>0</v>
      </c>
      <c r="R40" s="13">
        <v>43409</v>
      </c>
      <c r="S40" s="14">
        <f t="shared" si="8"/>
        <v>0</v>
      </c>
      <c r="T40" s="14">
        <f t="shared" si="9"/>
        <v>5</v>
      </c>
      <c r="U40" s="14">
        <f t="shared" si="10"/>
        <v>2</v>
      </c>
      <c r="V40" s="12">
        <f t="shared" si="11"/>
        <v>45</v>
      </c>
      <c r="W40" s="12">
        <f t="shared" si="12"/>
        <v>11</v>
      </c>
      <c r="X40" s="12">
        <f t="shared" si="13"/>
        <v>2018</v>
      </c>
      <c r="Y40" s="16">
        <f t="shared" si="14"/>
        <v>43409</v>
      </c>
      <c r="Z40" s="17">
        <f t="shared" si="15"/>
        <v>43409</v>
      </c>
      <c r="AA40" s="12"/>
    </row>
    <row r="41" spans="1:27" x14ac:dyDescent="0.3">
      <c r="A41" s="12" t="s">
        <v>41</v>
      </c>
      <c r="B41" s="12" t="s">
        <v>37</v>
      </c>
      <c r="C41" s="12" t="s">
        <v>38</v>
      </c>
      <c r="D41" s="12">
        <v>6390</v>
      </c>
      <c r="E41" s="12">
        <v>1</v>
      </c>
      <c r="F41" s="12">
        <v>230898</v>
      </c>
      <c r="G41" s="12" t="s">
        <v>19</v>
      </c>
      <c r="H41" s="12" t="s">
        <v>20</v>
      </c>
      <c r="I41" s="12" t="s">
        <v>31</v>
      </c>
      <c r="J41" s="12" t="s">
        <v>22</v>
      </c>
      <c r="K41" s="12">
        <v>5606</v>
      </c>
      <c r="L41" s="12" t="s">
        <v>23</v>
      </c>
      <c r="M41" s="12">
        <v>700</v>
      </c>
      <c r="N41" s="12" t="s">
        <v>24</v>
      </c>
      <c r="O41" s="12" t="s">
        <v>23</v>
      </c>
      <c r="P41" s="12">
        <v>39.311999999999998</v>
      </c>
      <c r="Q41" s="12">
        <v>0</v>
      </c>
      <c r="R41" s="13">
        <v>43410</v>
      </c>
      <c r="S41" s="14">
        <f t="shared" si="8"/>
        <v>0</v>
      </c>
      <c r="T41" s="14">
        <f t="shared" si="9"/>
        <v>6</v>
      </c>
      <c r="U41" s="14">
        <f t="shared" si="10"/>
        <v>3</v>
      </c>
      <c r="V41" s="12">
        <f t="shared" si="11"/>
        <v>45</v>
      </c>
      <c r="W41" s="12">
        <f t="shared" si="12"/>
        <v>11</v>
      </c>
      <c r="X41" s="12">
        <f t="shared" si="13"/>
        <v>2018</v>
      </c>
      <c r="Y41" s="16">
        <f t="shared" si="14"/>
        <v>43410</v>
      </c>
      <c r="Z41" s="17">
        <f t="shared" si="15"/>
        <v>43410</v>
      </c>
      <c r="AA41" s="12"/>
    </row>
    <row r="42" spans="1:27" x14ac:dyDescent="0.3">
      <c r="A42" s="12" t="s">
        <v>41</v>
      </c>
      <c r="B42" s="12" t="s">
        <v>37</v>
      </c>
      <c r="C42" s="12" t="s">
        <v>38</v>
      </c>
      <c r="D42" s="12">
        <v>6390</v>
      </c>
      <c r="E42" s="12">
        <v>1</v>
      </c>
      <c r="F42" s="12">
        <v>230898</v>
      </c>
      <c r="G42" s="12" t="s">
        <v>19</v>
      </c>
      <c r="H42" s="12" t="s">
        <v>20</v>
      </c>
      <c r="I42" s="12" t="s">
        <v>31</v>
      </c>
      <c r="J42" s="12" t="s">
        <v>22</v>
      </c>
      <c r="K42" s="12">
        <v>5606</v>
      </c>
      <c r="L42" s="12" t="s">
        <v>23</v>
      </c>
      <c r="M42" s="12">
        <v>700</v>
      </c>
      <c r="N42" s="12" t="s">
        <v>24</v>
      </c>
      <c r="O42" s="12" t="s">
        <v>23</v>
      </c>
      <c r="P42" s="12">
        <v>39.311999999999998</v>
      </c>
      <c r="Q42" s="12">
        <v>0</v>
      </c>
      <c r="R42" s="13">
        <v>43411</v>
      </c>
      <c r="S42" s="14">
        <f t="shared" si="8"/>
        <v>0</v>
      </c>
      <c r="T42" s="14">
        <f t="shared" si="9"/>
        <v>7</v>
      </c>
      <c r="U42" s="14">
        <f t="shared" si="10"/>
        <v>4</v>
      </c>
      <c r="V42" s="12">
        <f t="shared" si="11"/>
        <v>45</v>
      </c>
      <c r="W42" s="12">
        <f t="shared" si="12"/>
        <v>11</v>
      </c>
      <c r="X42" s="12">
        <f t="shared" si="13"/>
        <v>2018</v>
      </c>
      <c r="Y42" s="16">
        <f t="shared" si="14"/>
        <v>43411</v>
      </c>
      <c r="Z42" s="17">
        <f t="shared" si="15"/>
        <v>43411</v>
      </c>
      <c r="AA42" s="12"/>
    </row>
    <row r="43" spans="1:27" x14ac:dyDescent="0.3">
      <c r="A43" s="12" t="s">
        <v>41</v>
      </c>
      <c r="B43" s="12" t="s">
        <v>37</v>
      </c>
      <c r="C43" s="12" t="s">
        <v>38</v>
      </c>
      <c r="D43" s="12">
        <v>6390</v>
      </c>
      <c r="E43" s="12">
        <v>1</v>
      </c>
      <c r="F43" s="12">
        <v>230898</v>
      </c>
      <c r="G43" s="12" t="s">
        <v>19</v>
      </c>
      <c r="H43" s="12" t="s">
        <v>20</v>
      </c>
      <c r="I43" s="12" t="s">
        <v>31</v>
      </c>
      <c r="J43" s="12" t="s">
        <v>22</v>
      </c>
      <c r="K43" s="12">
        <v>5606</v>
      </c>
      <c r="L43" s="12" t="s">
        <v>23</v>
      </c>
      <c r="M43" s="12">
        <v>700</v>
      </c>
      <c r="N43" s="12" t="s">
        <v>24</v>
      </c>
      <c r="O43" s="12" t="s">
        <v>23</v>
      </c>
      <c r="P43" s="12">
        <v>39.311999999999998</v>
      </c>
      <c r="Q43" s="12">
        <v>0</v>
      </c>
      <c r="R43" s="13">
        <v>43412</v>
      </c>
      <c r="S43" s="14">
        <f t="shared" si="8"/>
        <v>0</v>
      </c>
      <c r="T43" s="14">
        <f t="shared" si="9"/>
        <v>8</v>
      </c>
      <c r="U43" s="14">
        <f t="shared" si="10"/>
        <v>5</v>
      </c>
      <c r="V43" s="12">
        <f t="shared" si="11"/>
        <v>45</v>
      </c>
      <c r="W43" s="12">
        <f t="shared" si="12"/>
        <v>11</v>
      </c>
      <c r="X43" s="12">
        <f t="shared" si="13"/>
        <v>2018</v>
      </c>
      <c r="Y43" s="16">
        <f t="shared" si="14"/>
        <v>43412</v>
      </c>
      <c r="Z43" s="17">
        <f t="shared" si="15"/>
        <v>43412</v>
      </c>
      <c r="AA43" s="12"/>
    </row>
    <row r="44" spans="1:27" x14ac:dyDescent="0.3">
      <c r="A44" s="12" t="s">
        <v>42</v>
      </c>
      <c r="B44" s="12" t="s">
        <v>37</v>
      </c>
      <c r="C44" s="12" t="s">
        <v>38</v>
      </c>
      <c r="D44" s="12">
        <v>6390</v>
      </c>
      <c r="E44" s="12">
        <v>1</v>
      </c>
      <c r="F44" s="12">
        <v>231446</v>
      </c>
      <c r="G44" s="12" t="s">
        <v>19</v>
      </c>
      <c r="H44" s="12" t="s">
        <v>20</v>
      </c>
      <c r="I44" s="12" t="s">
        <v>31</v>
      </c>
      <c r="J44" s="12" t="s">
        <v>22</v>
      </c>
      <c r="K44" s="12">
        <v>5606</v>
      </c>
      <c r="L44" s="12" t="s">
        <v>23</v>
      </c>
      <c r="M44" s="12">
        <v>700</v>
      </c>
      <c r="N44" s="12" t="s">
        <v>24</v>
      </c>
      <c r="O44" s="12" t="s">
        <v>23</v>
      </c>
      <c r="P44" s="12">
        <v>39.311999999999998</v>
      </c>
      <c r="Q44" s="12">
        <v>10</v>
      </c>
      <c r="R44" s="13">
        <v>43413</v>
      </c>
      <c r="S44" s="14">
        <f t="shared" si="8"/>
        <v>393.12</v>
      </c>
      <c r="T44" s="14">
        <f t="shared" si="9"/>
        <v>9</v>
      </c>
      <c r="U44" s="14">
        <f t="shared" si="10"/>
        <v>6</v>
      </c>
      <c r="V44" s="12">
        <f t="shared" si="11"/>
        <v>45</v>
      </c>
      <c r="W44" s="12">
        <f t="shared" si="12"/>
        <v>11</v>
      </c>
      <c r="X44" s="12">
        <f t="shared" si="13"/>
        <v>2018</v>
      </c>
      <c r="Y44" s="16">
        <f t="shared" si="14"/>
        <v>43413</v>
      </c>
      <c r="Z44" s="17">
        <f t="shared" si="15"/>
        <v>43413</v>
      </c>
      <c r="AA44" s="12"/>
    </row>
    <row r="45" spans="1:27" x14ac:dyDescent="0.3">
      <c r="A45" s="12" t="s">
        <v>42</v>
      </c>
      <c r="B45" s="12" t="s">
        <v>37</v>
      </c>
      <c r="C45" s="12" t="s">
        <v>38</v>
      </c>
      <c r="D45" s="12">
        <v>6390</v>
      </c>
      <c r="E45" s="12">
        <v>1</v>
      </c>
      <c r="F45" s="12">
        <v>231446</v>
      </c>
      <c r="G45" s="12" t="s">
        <v>19</v>
      </c>
      <c r="H45" s="12" t="s">
        <v>20</v>
      </c>
      <c r="I45" s="12" t="s">
        <v>31</v>
      </c>
      <c r="J45" s="12" t="s">
        <v>22</v>
      </c>
      <c r="K45" s="12">
        <v>5606</v>
      </c>
      <c r="L45" s="12" t="s">
        <v>23</v>
      </c>
      <c r="M45" s="12">
        <v>700</v>
      </c>
      <c r="N45" s="12" t="s">
        <v>24</v>
      </c>
      <c r="O45" s="12" t="s">
        <v>23</v>
      </c>
      <c r="P45" s="12">
        <v>39.311999999999998</v>
      </c>
      <c r="Q45" s="12">
        <v>0</v>
      </c>
      <c r="R45" s="13">
        <v>43414</v>
      </c>
      <c r="S45" s="14">
        <f t="shared" si="8"/>
        <v>0</v>
      </c>
      <c r="T45" s="14">
        <f t="shared" si="9"/>
        <v>10</v>
      </c>
      <c r="U45" s="14">
        <f t="shared" si="10"/>
        <v>7</v>
      </c>
      <c r="V45" s="12">
        <f t="shared" si="11"/>
        <v>45</v>
      </c>
      <c r="W45" s="12">
        <f t="shared" si="12"/>
        <v>11</v>
      </c>
      <c r="X45" s="12">
        <f t="shared" si="13"/>
        <v>2018</v>
      </c>
      <c r="Y45" s="16">
        <f t="shared" si="14"/>
        <v>43414</v>
      </c>
      <c r="Z45" s="17">
        <f t="shared" si="15"/>
        <v>43414</v>
      </c>
      <c r="AA45" s="12"/>
    </row>
    <row r="46" spans="1:27" x14ac:dyDescent="0.3">
      <c r="A46" s="12" t="s">
        <v>42</v>
      </c>
      <c r="B46" s="12" t="s">
        <v>37</v>
      </c>
      <c r="C46" s="12" t="s">
        <v>38</v>
      </c>
      <c r="D46" s="12">
        <v>6390</v>
      </c>
      <c r="E46" s="12">
        <v>1</v>
      </c>
      <c r="F46" s="12">
        <v>231446</v>
      </c>
      <c r="G46" s="12" t="s">
        <v>19</v>
      </c>
      <c r="H46" s="12" t="s">
        <v>20</v>
      </c>
      <c r="I46" s="12" t="s">
        <v>31</v>
      </c>
      <c r="J46" s="12" t="s">
        <v>22</v>
      </c>
      <c r="K46" s="12">
        <v>5606</v>
      </c>
      <c r="L46" s="12" t="s">
        <v>23</v>
      </c>
      <c r="M46" s="12">
        <v>700</v>
      </c>
      <c r="N46" s="12" t="s">
        <v>24</v>
      </c>
      <c r="O46" s="12" t="s">
        <v>23</v>
      </c>
      <c r="P46" s="12">
        <v>39.311999999999998</v>
      </c>
      <c r="Q46" s="12">
        <v>0</v>
      </c>
      <c r="R46" s="13">
        <v>43415</v>
      </c>
      <c r="S46" s="14">
        <f t="shared" si="8"/>
        <v>0</v>
      </c>
      <c r="T46" s="14">
        <f t="shared" si="9"/>
        <v>11</v>
      </c>
      <c r="U46" s="14">
        <f t="shared" si="10"/>
        <v>1</v>
      </c>
      <c r="V46" s="12">
        <f t="shared" si="11"/>
        <v>46</v>
      </c>
      <c r="W46" s="12">
        <f t="shared" si="12"/>
        <v>11</v>
      </c>
      <c r="X46" s="12">
        <f t="shared" si="13"/>
        <v>2018</v>
      </c>
      <c r="Y46" s="16">
        <f t="shared" si="14"/>
        <v>43415</v>
      </c>
      <c r="Z46" s="17">
        <f t="shared" si="15"/>
        <v>43415</v>
      </c>
      <c r="AA46" s="12"/>
    </row>
    <row r="47" spans="1:27" x14ac:dyDescent="0.3">
      <c r="A47" s="12" t="s">
        <v>42</v>
      </c>
      <c r="B47" s="12" t="s">
        <v>37</v>
      </c>
      <c r="C47" s="12" t="s">
        <v>38</v>
      </c>
      <c r="D47" s="12">
        <v>6390</v>
      </c>
      <c r="E47" s="12">
        <v>1</v>
      </c>
      <c r="F47" s="12">
        <v>231446</v>
      </c>
      <c r="G47" s="12" t="s">
        <v>19</v>
      </c>
      <c r="H47" s="12" t="s">
        <v>20</v>
      </c>
      <c r="I47" s="12" t="s">
        <v>31</v>
      </c>
      <c r="J47" s="12" t="s">
        <v>22</v>
      </c>
      <c r="K47" s="12">
        <v>5606</v>
      </c>
      <c r="L47" s="12" t="s">
        <v>23</v>
      </c>
      <c r="M47" s="12">
        <v>700</v>
      </c>
      <c r="N47" s="12" t="s">
        <v>24</v>
      </c>
      <c r="O47" s="12" t="s">
        <v>23</v>
      </c>
      <c r="P47" s="12">
        <v>39.311999999999998</v>
      </c>
      <c r="Q47" s="12">
        <v>0</v>
      </c>
      <c r="R47" s="13">
        <v>43416</v>
      </c>
      <c r="S47" s="14">
        <f t="shared" si="8"/>
        <v>0</v>
      </c>
      <c r="T47" s="14">
        <f t="shared" si="9"/>
        <v>12</v>
      </c>
      <c r="U47" s="14">
        <f t="shared" si="10"/>
        <v>2</v>
      </c>
      <c r="V47" s="12">
        <f t="shared" si="11"/>
        <v>46</v>
      </c>
      <c r="W47" s="12">
        <f t="shared" si="12"/>
        <v>11</v>
      </c>
      <c r="X47" s="12">
        <f t="shared" si="13"/>
        <v>2018</v>
      </c>
      <c r="Y47" s="16">
        <f t="shared" si="14"/>
        <v>43416</v>
      </c>
      <c r="Z47" s="17">
        <f t="shared" si="15"/>
        <v>43416</v>
      </c>
      <c r="AA47" s="12"/>
    </row>
    <row r="48" spans="1:27" x14ac:dyDescent="0.3">
      <c r="A48" s="12" t="s">
        <v>42</v>
      </c>
      <c r="B48" s="12" t="s">
        <v>37</v>
      </c>
      <c r="C48" s="12" t="s">
        <v>38</v>
      </c>
      <c r="D48" s="12">
        <v>6390</v>
      </c>
      <c r="E48" s="12">
        <v>1</v>
      </c>
      <c r="F48" s="12">
        <v>231446</v>
      </c>
      <c r="G48" s="12" t="s">
        <v>19</v>
      </c>
      <c r="H48" s="12" t="s">
        <v>20</v>
      </c>
      <c r="I48" s="12" t="s">
        <v>31</v>
      </c>
      <c r="J48" s="12" t="s">
        <v>22</v>
      </c>
      <c r="K48" s="12">
        <v>5606</v>
      </c>
      <c r="L48" s="12" t="s">
        <v>23</v>
      </c>
      <c r="M48" s="12">
        <v>700</v>
      </c>
      <c r="N48" s="12" t="s">
        <v>24</v>
      </c>
      <c r="O48" s="12" t="s">
        <v>23</v>
      </c>
      <c r="P48" s="12">
        <v>39.311999999999998</v>
      </c>
      <c r="Q48" s="12">
        <v>0</v>
      </c>
      <c r="R48" s="13">
        <v>43417</v>
      </c>
      <c r="S48" s="14">
        <f t="shared" si="8"/>
        <v>0</v>
      </c>
      <c r="T48" s="14">
        <f t="shared" si="9"/>
        <v>13</v>
      </c>
      <c r="U48" s="14">
        <f t="shared" si="10"/>
        <v>3</v>
      </c>
      <c r="V48" s="12">
        <f t="shared" si="11"/>
        <v>46</v>
      </c>
      <c r="W48" s="12">
        <f t="shared" si="12"/>
        <v>11</v>
      </c>
      <c r="X48" s="12">
        <f t="shared" si="13"/>
        <v>2018</v>
      </c>
      <c r="Y48" s="16">
        <f t="shared" si="14"/>
        <v>43417</v>
      </c>
      <c r="Z48" s="17">
        <f t="shared" si="15"/>
        <v>43417</v>
      </c>
      <c r="AA48" s="12"/>
    </row>
    <row r="49" spans="1:27" x14ac:dyDescent="0.3">
      <c r="A49" s="12" t="s">
        <v>42</v>
      </c>
      <c r="B49" s="12" t="s">
        <v>37</v>
      </c>
      <c r="C49" s="12" t="s">
        <v>38</v>
      </c>
      <c r="D49" s="12">
        <v>6390</v>
      </c>
      <c r="E49" s="12">
        <v>1</v>
      </c>
      <c r="F49" s="12">
        <v>231446</v>
      </c>
      <c r="G49" s="12" t="s">
        <v>19</v>
      </c>
      <c r="H49" s="12" t="s">
        <v>20</v>
      </c>
      <c r="I49" s="12" t="s">
        <v>31</v>
      </c>
      <c r="J49" s="12" t="s">
        <v>22</v>
      </c>
      <c r="K49" s="12">
        <v>5606</v>
      </c>
      <c r="L49" s="12" t="s">
        <v>23</v>
      </c>
      <c r="M49" s="12">
        <v>700</v>
      </c>
      <c r="N49" s="12" t="s">
        <v>24</v>
      </c>
      <c r="O49" s="12" t="s">
        <v>23</v>
      </c>
      <c r="P49" s="12">
        <v>39.311999999999998</v>
      </c>
      <c r="Q49" s="12">
        <v>0</v>
      </c>
      <c r="R49" s="13">
        <v>43418</v>
      </c>
      <c r="S49" s="14">
        <f t="shared" si="8"/>
        <v>0</v>
      </c>
      <c r="T49" s="14">
        <f t="shared" si="9"/>
        <v>14</v>
      </c>
      <c r="U49" s="14">
        <f t="shared" si="10"/>
        <v>4</v>
      </c>
      <c r="V49" s="12">
        <f t="shared" si="11"/>
        <v>46</v>
      </c>
      <c r="W49" s="12">
        <f t="shared" si="12"/>
        <v>11</v>
      </c>
      <c r="X49" s="12">
        <f t="shared" si="13"/>
        <v>2018</v>
      </c>
      <c r="Y49" s="16">
        <f t="shared" si="14"/>
        <v>43418</v>
      </c>
      <c r="Z49" s="17">
        <f t="shared" si="15"/>
        <v>43418</v>
      </c>
      <c r="AA49" s="12"/>
    </row>
    <row r="50" spans="1:27" x14ac:dyDescent="0.3">
      <c r="A50" s="12" t="s">
        <v>42</v>
      </c>
      <c r="B50" s="12" t="s">
        <v>37</v>
      </c>
      <c r="C50" s="12" t="s">
        <v>38</v>
      </c>
      <c r="D50" s="12">
        <v>6390</v>
      </c>
      <c r="E50" s="12">
        <v>1</v>
      </c>
      <c r="F50" s="12">
        <v>231446</v>
      </c>
      <c r="G50" s="12" t="s">
        <v>19</v>
      </c>
      <c r="H50" s="12" t="s">
        <v>20</v>
      </c>
      <c r="I50" s="12" t="s">
        <v>31</v>
      </c>
      <c r="J50" s="12" t="s">
        <v>22</v>
      </c>
      <c r="K50" s="12">
        <v>5606</v>
      </c>
      <c r="L50" s="12" t="s">
        <v>23</v>
      </c>
      <c r="M50" s="12">
        <v>700</v>
      </c>
      <c r="N50" s="12" t="s">
        <v>24</v>
      </c>
      <c r="O50" s="12" t="s">
        <v>23</v>
      </c>
      <c r="P50" s="12">
        <v>39.311999999999998</v>
      </c>
      <c r="Q50" s="12">
        <v>0</v>
      </c>
      <c r="R50" s="13">
        <v>43419</v>
      </c>
      <c r="S50" s="14">
        <f t="shared" si="8"/>
        <v>0</v>
      </c>
      <c r="T50" s="14">
        <f t="shared" si="9"/>
        <v>15</v>
      </c>
      <c r="U50" s="14">
        <f t="shared" si="10"/>
        <v>5</v>
      </c>
      <c r="V50" s="12">
        <f t="shared" si="11"/>
        <v>46</v>
      </c>
      <c r="W50" s="12">
        <f t="shared" si="12"/>
        <v>11</v>
      </c>
      <c r="X50" s="12">
        <f t="shared" si="13"/>
        <v>2018</v>
      </c>
      <c r="Y50" s="16">
        <f t="shared" si="14"/>
        <v>43419</v>
      </c>
      <c r="Z50" s="17">
        <f t="shared" si="15"/>
        <v>43419</v>
      </c>
      <c r="AA50" s="12"/>
    </row>
    <row r="51" spans="1:27" x14ac:dyDescent="0.3">
      <c r="A51" s="12" t="s">
        <v>43</v>
      </c>
      <c r="B51" s="12" t="s">
        <v>37</v>
      </c>
      <c r="C51" s="12" t="s">
        <v>38</v>
      </c>
      <c r="D51" s="12">
        <v>6390</v>
      </c>
      <c r="E51" s="12">
        <v>1</v>
      </c>
      <c r="F51" s="12">
        <v>231985</v>
      </c>
      <c r="G51" s="12" t="s">
        <v>19</v>
      </c>
      <c r="H51" s="12" t="s">
        <v>20</v>
      </c>
      <c r="I51" s="12" t="s">
        <v>31</v>
      </c>
      <c r="J51" s="12" t="s">
        <v>22</v>
      </c>
      <c r="K51" s="12">
        <v>5606</v>
      </c>
      <c r="L51" s="12" t="s">
        <v>23</v>
      </c>
      <c r="M51" s="12">
        <v>700</v>
      </c>
      <c r="N51" s="12" t="s">
        <v>24</v>
      </c>
      <c r="O51" s="12" t="s">
        <v>23</v>
      </c>
      <c r="P51" s="12">
        <v>40.950000000000003</v>
      </c>
      <c r="Q51" s="12">
        <v>0</v>
      </c>
      <c r="R51" s="13">
        <v>43420</v>
      </c>
      <c r="S51" s="14">
        <f t="shared" si="8"/>
        <v>0</v>
      </c>
      <c r="T51" s="14">
        <f t="shared" si="9"/>
        <v>16</v>
      </c>
      <c r="U51" s="14">
        <f t="shared" si="10"/>
        <v>6</v>
      </c>
      <c r="V51" s="12">
        <f t="shared" si="11"/>
        <v>46</v>
      </c>
      <c r="W51" s="12">
        <f t="shared" si="12"/>
        <v>11</v>
      </c>
      <c r="X51" s="12">
        <f t="shared" si="13"/>
        <v>2018</v>
      </c>
      <c r="Y51" s="16">
        <f t="shared" si="14"/>
        <v>43420</v>
      </c>
      <c r="Z51" s="17">
        <f t="shared" si="15"/>
        <v>43420</v>
      </c>
      <c r="AA51" s="12"/>
    </row>
    <row r="52" spans="1:27" x14ac:dyDescent="0.3">
      <c r="A52" s="12" t="s">
        <v>43</v>
      </c>
      <c r="B52" s="12" t="s">
        <v>37</v>
      </c>
      <c r="C52" s="12" t="s">
        <v>38</v>
      </c>
      <c r="D52" s="12">
        <v>6390</v>
      </c>
      <c r="E52" s="12">
        <v>1</v>
      </c>
      <c r="F52" s="12">
        <v>231985</v>
      </c>
      <c r="G52" s="12" t="s">
        <v>19</v>
      </c>
      <c r="H52" s="12" t="s">
        <v>20</v>
      </c>
      <c r="I52" s="12" t="s">
        <v>31</v>
      </c>
      <c r="J52" s="12" t="s">
        <v>22</v>
      </c>
      <c r="K52" s="12">
        <v>5606</v>
      </c>
      <c r="L52" s="12" t="s">
        <v>23</v>
      </c>
      <c r="M52" s="12">
        <v>700</v>
      </c>
      <c r="N52" s="12" t="s">
        <v>24</v>
      </c>
      <c r="O52" s="12" t="s">
        <v>23</v>
      </c>
      <c r="P52" s="12">
        <v>40.950000000000003</v>
      </c>
      <c r="Q52" s="12">
        <v>0</v>
      </c>
      <c r="R52" s="13">
        <v>43421</v>
      </c>
      <c r="S52" s="14">
        <f t="shared" si="8"/>
        <v>0</v>
      </c>
      <c r="T52" s="14">
        <f t="shared" si="9"/>
        <v>17</v>
      </c>
      <c r="U52" s="14">
        <f t="shared" si="10"/>
        <v>7</v>
      </c>
      <c r="V52" s="12">
        <f t="shared" si="11"/>
        <v>46</v>
      </c>
      <c r="W52" s="12">
        <f t="shared" si="12"/>
        <v>11</v>
      </c>
      <c r="X52" s="12">
        <f t="shared" si="13"/>
        <v>2018</v>
      </c>
      <c r="Y52" s="16">
        <f t="shared" si="14"/>
        <v>43421</v>
      </c>
      <c r="Z52" s="17">
        <f t="shared" si="15"/>
        <v>43421</v>
      </c>
      <c r="AA52" s="12"/>
    </row>
    <row r="53" spans="1:27" x14ac:dyDescent="0.3">
      <c r="A53" s="12" t="s">
        <v>43</v>
      </c>
      <c r="B53" s="12" t="s">
        <v>37</v>
      </c>
      <c r="C53" s="12" t="s">
        <v>38</v>
      </c>
      <c r="D53" s="12">
        <v>6390</v>
      </c>
      <c r="E53" s="12">
        <v>1</v>
      </c>
      <c r="F53" s="12">
        <v>231985</v>
      </c>
      <c r="G53" s="12" t="s">
        <v>19</v>
      </c>
      <c r="H53" s="12" t="s">
        <v>20</v>
      </c>
      <c r="I53" s="12" t="s">
        <v>31</v>
      </c>
      <c r="J53" s="12" t="s">
        <v>22</v>
      </c>
      <c r="K53" s="12">
        <v>5606</v>
      </c>
      <c r="L53" s="12" t="s">
        <v>23</v>
      </c>
      <c r="M53" s="12">
        <v>700</v>
      </c>
      <c r="N53" s="12" t="s">
        <v>24</v>
      </c>
      <c r="O53" s="12" t="s">
        <v>23</v>
      </c>
      <c r="P53" s="12">
        <v>40.950000000000003</v>
      </c>
      <c r="Q53" s="12">
        <v>0</v>
      </c>
      <c r="R53" s="13">
        <v>43422</v>
      </c>
      <c r="S53" s="14">
        <f t="shared" si="8"/>
        <v>0</v>
      </c>
      <c r="T53" s="14">
        <f t="shared" si="9"/>
        <v>18</v>
      </c>
      <c r="U53" s="14">
        <f t="shared" si="10"/>
        <v>1</v>
      </c>
      <c r="V53" s="12">
        <f t="shared" si="11"/>
        <v>47</v>
      </c>
      <c r="W53" s="12">
        <f t="shared" si="12"/>
        <v>11</v>
      </c>
      <c r="X53" s="12">
        <f t="shared" si="13"/>
        <v>2018</v>
      </c>
      <c r="Y53" s="16">
        <f t="shared" si="14"/>
        <v>43422</v>
      </c>
      <c r="Z53" s="17">
        <f t="shared" si="15"/>
        <v>43422</v>
      </c>
      <c r="AA53" s="12"/>
    </row>
    <row r="54" spans="1:27" x14ac:dyDescent="0.3">
      <c r="A54" s="12" t="s">
        <v>43</v>
      </c>
      <c r="B54" s="12" t="s">
        <v>37</v>
      </c>
      <c r="C54" s="12" t="s">
        <v>38</v>
      </c>
      <c r="D54" s="12">
        <v>6390</v>
      </c>
      <c r="E54" s="12">
        <v>1</v>
      </c>
      <c r="F54" s="12">
        <v>231985</v>
      </c>
      <c r="G54" s="12" t="s">
        <v>19</v>
      </c>
      <c r="H54" s="12" t="s">
        <v>20</v>
      </c>
      <c r="I54" s="12" t="s">
        <v>31</v>
      </c>
      <c r="J54" s="12" t="s">
        <v>22</v>
      </c>
      <c r="K54" s="12">
        <v>5606</v>
      </c>
      <c r="L54" s="12" t="s">
        <v>23</v>
      </c>
      <c r="M54" s="12">
        <v>700</v>
      </c>
      <c r="N54" s="12" t="s">
        <v>24</v>
      </c>
      <c r="O54" s="12" t="s">
        <v>23</v>
      </c>
      <c r="P54" s="12">
        <v>40.950000000000003</v>
      </c>
      <c r="Q54" s="12">
        <v>0</v>
      </c>
      <c r="R54" s="13">
        <v>43423</v>
      </c>
      <c r="S54" s="14">
        <f t="shared" si="8"/>
        <v>0</v>
      </c>
      <c r="T54" s="14">
        <f t="shared" si="9"/>
        <v>19</v>
      </c>
      <c r="U54" s="14">
        <f t="shared" si="10"/>
        <v>2</v>
      </c>
      <c r="V54" s="12">
        <f t="shared" si="11"/>
        <v>47</v>
      </c>
      <c r="W54" s="12">
        <f t="shared" si="12"/>
        <v>11</v>
      </c>
      <c r="X54" s="12">
        <f t="shared" si="13"/>
        <v>2018</v>
      </c>
      <c r="Y54" s="16">
        <f t="shared" si="14"/>
        <v>43423</v>
      </c>
      <c r="Z54" s="17">
        <f t="shared" si="15"/>
        <v>43423</v>
      </c>
      <c r="AA54" s="12"/>
    </row>
    <row r="55" spans="1:27" x14ac:dyDescent="0.3">
      <c r="A55" s="12" t="s">
        <v>43</v>
      </c>
      <c r="B55" s="12" t="s">
        <v>37</v>
      </c>
      <c r="C55" s="12" t="s">
        <v>38</v>
      </c>
      <c r="D55" s="12">
        <v>6390</v>
      </c>
      <c r="E55" s="12">
        <v>1</v>
      </c>
      <c r="F55" s="12">
        <v>231985</v>
      </c>
      <c r="G55" s="12" t="s">
        <v>19</v>
      </c>
      <c r="H55" s="12" t="s">
        <v>20</v>
      </c>
      <c r="I55" s="12" t="s">
        <v>31</v>
      </c>
      <c r="J55" s="12" t="s">
        <v>22</v>
      </c>
      <c r="K55" s="12">
        <v>5606</v>
      </c>
      <c r="L55" s="12" t="s">
        <v>23</v>
      </c>
      <c r="M55" s="12">
        <v>700</v>
      </c>
      <c r="N55" s="12" t="s">
        <v>24</v>
      </c>
      <c r="O55" s="12" t="s">
        <v>23</v>
      </c>
      <c r="P55" s="12">
        <v>40.950000000000003</v>
      </c>
      <c r="Q55" s="12">
        <v>0</v>
      </c>
      <c r="R55" s="13">
        <v>43424</v>
      </c>
      <c r="S55" s="14">
        <f t="shared" si="8"/>
        <v>0</v>
      </c>
      <c r="T55" s="14">
        <f t="shared" si="9"/>
        <v>20</v>
      </c>
      <c r="U55" s="14">
        <f t="shared" si="10"/>
        <v>3</v>
      </c>
      <c r="V55" s="12">
        <f t="shared" si="11"/>
        <v>47</v>
      </c>
      <c r="W55" s="12">
        <f t="shared" si="12"/>
        <v>11</v>
      </c>
      <c r="X55" s="12">
        <f t="shared" si="13"/>
        <v>2018</v>
      </c>
      <c r="Y55" s="16">
        <f t="shared" si="14"/>
        <v>43424</v>
      </c>
      <c r="Z55" s="17">
        <f t="shared" si="15"/>
        <v>43424</v>
      </c>
      <c r="AA55" s="12"/>
    </row>
    <row r="56" spans="1:27" x14ac:dyDescent="0.3">
      <c r="A56" s="12" t="s">
        <v>43</v>
      </c>
      <c r="B56" s="12" t="s">
        <v>37</v>
      </c>
      <c r="C56" s="12" t="s">
        <v>38</v>
      </c>
      <c r="D56" s="12">
        <v>6390</v>
      </c>
      <c r="E56" s="12">
        <v>1</v>
      </c>
      <c r="F56" s="12">
        <v>231985</v>
      </c>
      <c r="G56" s="12" t="s">
        <v>19</v>
      </c>
      <c r="H56" s="12" t="s">
        <v>20</v>
      </c>
      <c r="I56" s="12" t="s">
        <v>31</v>
      </c>
      <c r="J56" s="12" t="s">
        <v>22</v>
      </c>
      <c r="K56" s="12">
        <v>5606</v>
      </c>
      <c r="L56" s="12" t="s">
        <v>23</v>
      </c>
      <c r="M56" s="12">
        <v>700</v>
      </c>
      <c r="N56" s="12" t="s">
        <v>24</v>
      </c>
      <c r="O56" s="12" t="s">
        <v>23</v>
      </c>
      <c r="P56" s="12">
        <v>40.950000000000003</v>
      </c>
      <c r="Q56" s="12">
        <v>10</v>
      </c>
      <c r="R56" s="13">
        <v>43425</v>
      </c>
      <c r="S56" s="14">
        <f t="shared" si="8"/>
        <v>409.5</v>
      </c>
      <c r="T56" s="14">
        <f t="shared" si="9"/>
        <v>21</v>
      </c>
      <c r="U56" s="14">
        <f t="shared" si="10"/>
        <v>4</v>
      </c>
      <c r="V56" s="12">
        <f t="shared" si="11"/>
        <v>47</v>
      </c>
      <c r="W56" s="12">
        <f t="shared" si="12"/>
        <v>11</v>
      </c>
      <c r="X56" s="12">
        <f t="shared" si="13"/>
        <v>2018</v>
      </c>
      <c r="Y56" s="16">
        <f t="shared" si="14"/>
        <v>43425</v>
      </c>
      <c r="Z56" s="17">
        <f t="shared" si="15"/>
        <v>43425</v>
      </c>
      <c r="AA56" s="12"/>
    </row>
    <row r="57" spans="1:27" x14ac:dyDescent="0.3">
      <c r="A57" s="12" t="s">
        <v>43</v>
      </c>
      <c r="B57" s="12" t="s">
        <v>37</v>
      </c>
      <c r="C57" s="12" t="s">
        <v>38</v>
      </c>
      <c r="D57" s="12">
        <v>6390</v>
      </c>
      <c r="E57" s="12">
        <v>1</v>
      </c>
      <c r="F57" s="12">
        <v>231985</v>
      </c>
      <c r="G57" s="12" t="s">
        <v>19</v>
      </c>
      <c r="H57" s="12" t="s">
        <v>20</v>
      </c>
      <c r="I57" s="12" t="s">
        <v>31</v>
      </c>
      <c r="J57" s="12" t="s">
        <v>22</v>
      </c>
      <c r="K57" s="12">
        <v>5606</v>
      </c>
      <c r="L57" s="12" t="s">
        <v>23</v>
      </c>
      <c r="M57" s="12">
        <v>700</v>
      </c>
      <c r="N57" s="12" t="s">
        <v>24</v>
      </c>
      <c r="O57" s="12" t="s">
        <v>23</v>
      </c>
      <c r="P57" s="12">
        <v>40.950000000000003</v>
      </c>
      <c r="Q57" s="12">
        <v>0</v>
      </c>
      <c r="R57" s="13">
        <v>43426</v>
      </c>
      <c r="S57" s="14">
        <f t="shared" si="8"/>
        <v>0</v>
      </c>
      <c r="T57" s="14">
        <f t="shared" si="9"/>
        <v>22</v>
      </c>
      <c r="U57" s="14">
        <f t="shared" si="10"/>
        <v>5</v>
      </c>
      <c r="V57" s="12">
        <f t="shared" si="11"/>
        <v>47</v>
      </c>
      <c r="W57" s="12">
        <f t="shared" si="12"/>
        <v>11</v>
      </c>
      <c r="X57" s="12">
        <f t="shared" si="13"/>
        <v>2018</v>
      </c>
      <c r="Y57" s="16">
        <f t="shared" si="14"/>
        <v>43426</v>
      </c>
      <c r="Z57" s="17">
        <f t="shared" si="15"/>
        <v>43426</v>
      </c>
      <c r="AA57" s="12"/>
    </row>
    <row r="58" spans="1:27" x14ac:dyDescent="0.3">
      <c r="A58" s="12" t="s">
        <v>28</v>
      </c>
      <c r="B58" s="12" t="s">
        <v>29</v>
      </c>
      <c r="C58" s="12" t="s">
        <v>30</v>
      </c>
      <c r="D58" s="12">
        <v>5627</v>
      </c>
      <c r="E58" s="12">
        <v>1</v>
      </c>
      <c r="F58" s="12">
        <v>234209</v>
      </c>
      <c r="G58" s="12" t="s">
        <v>19</v>
      </c>
      <c r="H58" s="12" t="s">
        <v>20</v>
      </c>
      <c r="I58" s="12" t="s">
        <v>31</v>
      </c>
      <c r="J58" s="12" t="s">
        <v>22</v>
      </c>
      <c r="K58" s="12">
        <v>5606</v>
      </c>
      <c r="L58" s="12" t="s">
        <v>23</v>
      </c>
      <c r="M58" s="12">
        <v>800</v>
      </c>
      <c r="N58" s="12" t="s">
        <v>24</v>
      </c>
      <c r="O58" s="12" t="s">
        <v>23</v>
      </c>
      <c r="P58" s="12">
        <v>63.293999999999997</v>
      </c>
      <c r="Q58" s="12">
        <v>0</v>
      </c>
      <c r="R58" s="13">
        <v>43448</v>
      </c>
      <c r="S58" s="14">
        <f t="shared" si="8"/>
        <v>0</v>
      </c>
      <c r="T58" s="14">
        <f t="shared" si="9"/>
        <v>14</v>
      </c>
      <c r="U58" s="14">
        <f t="shared" si="10"/>
        <v>6</v>
      </c>
      <c r="V58" s="12">
        <f t="shared" si="11"/>
        <v>50</v>
      </c>
      <c r="W58" s="12">
        <f t="shared" si="12"/>
        <v>12</v>
      </c>
      <c r="X58" s="12">
        <f t="shared" si="13"/>
        <v>2018</v>
      </c>
      <c r="Y58" s="16">
        <f t="shared" si="14"/>
        <v>43448</v>
      </c>
      <c r="Z58" s="17">
        <f t="shared" si="15"/>
        <v>43448</v>
      </c>
      <c r="AA58" s="12"/>
    </row>
    <row r="59" spans="1:27" x14ac:dyDescent="0.3">
      <c r="A59" s="14" t="s">
        <v>28</v>
      </c>
      <c r="B59" s="14" t="s">
        <v>29</v>
      </c>
      <c r="C59" s="14" t="s">
        <v>30</v>
      </c>
      <c r="D59" s="14">
        <v>5627</v>
      </c>
      <c r="E59" s="14">
        <v>1</v>
      </c>
      <c r="F59" s="14">
        <v>234209</v>
      </c>
      <c r="G59" s="14" t="s">
        <v>19</v>
      </c>
      <c r="H59" s="14" t="s">
        <v>20</v>
      </c>
      <c r="I59" s="14" t="s">
        <v>31</v>
      </c>
      <c r="J59" s="14" t="s">
        <v>22</v>
      </c>
      <c r="K59" s="14">
        <v>5606</v>
      </c>
      <c r="L59" s="14" t="s">
        <v>23</v>
      </c>
      <c r="M59" s="14">
        <v>800</v>
      </c>
      <c r="N59" s="14" t="s">
        <v>24</v>
      </c>
      <c r="O59" s="14" t="s">
        <v>23</v>
      </c>
      <c r="P59" s="14">
        <v>63.293999999999997</v>
      </c>
      <c r="Q59" s="14">
        <v>0</v>
      </c>
      <c r="R59" s="15">
        <v>43449</v>
      </c>
      <c r="S59" s="14">
        <f t="shared" si="8"/>
        <v>0</v>
      </c>
      <c r="T59" s="14">
        <f t="shared" si="9"/>
        <v>15</v>
      </c>
      <c r="U59" s="14">
        <f t="shared" si="10"/>
        <v>7</v>
      </c>
      <c r="V59" s="12">
        <f t="shared" si="11"/>
        <v>50</v>
      </c>
      <c r="W59" s="12">
        <f t="shared" si="12"/>
        <v>12</v>
      </c>
      <c r="X59" s="12">
        <f t="shared" si="13"/>
        <v>2018</v>
      </c>
      <c r="Y59" s="16">
        <f t="shared" si="14"/>
        <v>43449</v>
      </c>
      <c r="Z59" s="17">
        <f t="shared" si="15"/>
        <v>43449</v>
      </c>
      <c r="AA59" s="12"/>
    </row>
    <row r="60" spans="1:27" x14ac:dyDescent="0.3">
      <c r="A60" s="12" t="s">
        <v>28</v>
      </c>
      <c r="B60" s="12" t="s">
        <v>29</v>
      </c>
      <c r="C60" s="12" t="s">
        <v>30</v>
      </c>
      <c r="D60" s="12">
        <v>5627</v>
      </c>
      <c r="E60" s="12">
        <v>1</v>
      </c>
      <c r="F60" s="12">
        <v>234209</v>
      </c>
      <c r="G60" s="12" t="s">
        <v>19</v>
      </c>
      <c r="H60" s="12" t="s">
        <v>20</v>
      </c>
      <c r="I60" s="12" t="s">
        <v>31</v>
      </c>
      <c r="J60" s="12" t="s">
        <v>22</v>
      </c>
      <c r="K60" s="12">
        <v>5606</v>
      </c>
      <c r="L60" s="12" t="s">
        <v>23</v>
      </c>
      <c r="M60" s="12">
        <v>800</v>
      </c>
      <c r="N60" s="12" t="s">
        <v>24</v>
      </c>
      <c r="O60" s="12" t="s">
        <v>23</v>
      </c>
      <c r="P60" s="12">
        <v>63.293999999999997</v>
      </c>
      <c r="Q60" s="12">
        <v>0</v>
      </c>
      <c r="R60" s="13">
        <v>43450</v>
      </c>
      <c r="S60" s="14">
        <f t="shared" si="8"/>
        <v>0</v>
      </c>
      <c r="T60" s="14">
        <f t="shared" si="9"/>
        <v>16</v>
      </c>
      <c r="U60" s="14">
        <f t="shared" si="10"/>
        <v>1</v>
      </c>
      <c r="V60" s="12">
        <f t="shared" si="11"/>
        <v>51</v>
      </c>
      <c r="W60" s="12">
        <f t="shared" si="12"/>
        <v>12</v>
      </c>
      <c r="X60" s="12">
        <f t="shared" si="13"/>
        <v>2018</v>
      </c>
      <c r="Y60" s="16">
        <f t="shared" si="14"/>
        <v>43450</v>
      </c>
      <c r="Z60" s="17">
        <f t="shared" si="15"/>
        <v>43450</v>
      </c>
      <c r="AA60" s="12"/>
    </row>
    <row r="61" spans="1:27" x14ac:dyDescent="0.3">
      <c r="A61" s="14" t="s">
        <v>28</v>
      </c>
      <c r="B61" s="14" t="s">
        <v>29</v>
      </c>
      <c r="C61" s="14" t="s">
        <v>30</v>
      </c>
      <c r="D61" s="14">
        <v>5627</v>
      </c>
      <c r="E61" s="14">
        <v>1</v>
      </c>
      <c r="F61" s="14">
        <v>234209</v>
      </c>
      <c r="G61" s="14" t="s">
        <v>19</v>
      </c>
      <c r="H61" s="14" t="s">
        <v>20</v>
      </c>
      <c r="I61" s="14" t="s">
        <v>31</v>
      </c>
      <c r="J61" s="14" t="s">
        <v>22</v>
      </c>
      <c r="K61" s="14">
        <v>5606</v>
      </c>
      <c r="L61" s="14" t="s">
        <v>23</v>
      </c>
      <c r="M61" s="14">
        <v>800</v>
      </c>
      <c r="N61" s="14" t="s">
        <v>24</v>
      </c>
      <c r="O61" s="14" t="s">
        <v>23</v>
      </c>
      <c r="P61" s="14">
        <v>63.293999999999997</v>
      </c>
      <c r="Q61" s="14">
        <v>0</v>
      </c>
      <c r="R61" s="15">
        <v>43451</v>
      </c>
      <c r="S61" s="14">
        <f t="shared" si="8"/>
        <v>0</v>
      </c>
      <c r="T61" s="14">
        <f t="shared" si="9"/>
        <v>17</v>
      </c>
      <c r="U61" s="14">
        <f t="shared" si="10"/>
        <v>2</v>
      </c>
      <c r="V61" s="12">
        <f t="shared" si="11"/>
        <v>51</v>
      </c>
      <c r="W61" s="12">
        <f t="shared" si="12"/>
        <v>12</v>
      </c>
      <c r="X61" s="12">
        <f t="shared" si="13"/>
        <v>2018</v>
      </c>
      <c r="Y61" s="16">
        <f t="shared" si="14"/>
        <v>43451</v>
      </c>
      <c r="Z61" s="17">
        <f t="shared" si="15"/>
        <v>43451</v>
      </c>
      <c r="AA61" s="12"/>
    </row>
    <row r="62" spans="1:27" x14ac:dyDescent="0.3">
      <c r="A62" s="12" t="s">
        <v>28</v>
      </c>
      <c r="B62" s="12" t="s">
        <v>29</v>
      </c>
      <c r="C62" s="12" t="s">
        <v>30</v>
      </c>
      <c r="D62" s="12">
        <v>5627</v>
      </c>
      <c r="E62" s="12">
        <v>1</v>
      </c>
      <c r="F62" s="12">
        <v>234209</v>
      </c>
      <c r="G62" s="12" t="s">
        <v>19</v>
      </c>
      <c r="H62" s="12" t="s">
        <v>20</v>
      </c>
      <c r="I62" s="12" t="s">
        <v>31</v>
      </c>
      <c r="J62" s="12" t="s">
        <v>22</v>
      </c>
      <c r="K62" s="12">
        <v>5606</v>
      </c>
      <c r="L62" s="12" t="s">
        <v>23</v>
      </c>
      <c r="M62" s="12">
        <v>800</v>
      </c>
      <c r="N62" s="12" t="s">
        <v>24</v>
      </c>
      <c r="O62" s="12" t="s">
        <v>23</v>
      </c>
      <c r="P62" s="12">
        <v>63.293999999999997</v>
      </c>
      <c r="Q62" s="12">
        <v>0</v>
      </c>
      <c r="R62" s="13">
        <v>43452</v>
      </c>
      <c r="S62" s="14">
        <f t="shared" si="8"/>
        <v>0</v>
      </c>
      <c r="T62" s="14">
        <f t="shared" si="9"/>
        <v>18</v>
      </c>
      <c r="U62" s="14">
        <f t="shared" si="10"/>
        <v>3</v>
      </c>
      <c r="V62" s="12">
        <f t="shared" si="11"/>
        <v>51</v>
      </c>
      <c r="W62" s="12">
        <f t="shared" si="12"/>
        <v>12</v>
      </c>
      <c r="X62" s="12">
        <f t="shared" si="13"/>
        <v>2018</v>
      </c>
      <c r="Y62" s="16">
        <f t="shared" si="14"/>
        <v>43452</v>
      </c>
      <c r="Z62" s="17">
        <f t="shared" si="15"/>
        <v>43452</v>
      </c>
      <c r="AA62" s="12"/>
    </row>
    <row r="63" spans="1:27" x14ac:dyDescent="0.3">
      <c r="A63" s="14" t="s">
        <v>28</v>
      </c>
      <c r="B63" s="14" t="s">
        <v>29</v>
      </c>
      <c r="C63" s="14" t="s">
        <v>30</v>
      </c>
      <c r="D63" s="14">
        <v>5627</v>
      </c>
      <c r="E63" s="14">
        <v>1</v>
      </c>
      <c r="F63" s="14">
        <v>234209</v>
      </c>
      <c r="G63" s="14" t="s">
        <v>19</v>
      </c>
      <c r="H63" s="14" t="s">
        <v>20</v>
      </c>
      <c r="I63" s="14" t="s">
        <v>31</v>
      </c>
      <c r="J63" s="14" t="s">
        <v>22</v>
      </c>
      <c r="K63" s="14">
        <v>5606</v>
      </c>
      <c r="L63" s="14" t="s">
        <v>23</v>
      </c>
      <c r="M63" s="14">
        <v>800</v>
      </c>
      <c r="N63" s="14" t="s">
        <v>24</v>
      </c>
      <c r="O63" s="14" t="s">
        <v>23</v>
      </c>
      <c r="P63" s="14">
        <v>63.293999999999997</v>
      </c>
      <c r="Q63" s="14">
        <v>3</v>
      </c>
      <c r="R63" s="15">
        <v>43453</v>
      </c>
      <c r="S63" s="14">
        <f t="shared" si="8"/>
        <v>189.88200000000001</v>
      </c>
      <c r="T63" s="14">
        <f t="shared" si="9"/>
        <v>19</v>
      </c>
      <c r="U63" s="14">
        <f t="shared" si="10"/>
        <v>4</v>
      </c>
      <c r="V63" s="12">
        <f t="shared" si="11"/>
        <v>51</v>
      </c>
      <c r="W63" s="12">
        <f t="shared" si="12"/>
        <v>12</v>
      </c>
      <c r="X63" s="12">
        <f t="shared" si="13"/>
        <v>2018</v>
      </c>
      <c r="Y63" s="16">
        <f t="shared" si="14"/>
        <v>43453</v>
      </c>
      <c r="Z63" s="17">
        <f t="shared" si="15"/>
        <v>43453</v>
      </c>
      <c r="AA63" s="12"/>
    </row>
    <row r="64" spans="1:27" x14ac:dyDescent="0.3">
      <c r="A64" s="14" t="s">
        <v>28</v>
      </c>
      <c r="B64" s="14" t="s">
        <v>29</v>
      </c>
      <c r="C64" s="14" t="s">
        <v>30</v>
      </c>
      <c r="D64" s="14">
        <v>5627</v>
      </c>
      <c r="E64" s="14">
        <v>1</v>
      </c>
      <c r="F64" s="14">
        <v>234209</v>
      </c>
      <c r="G64" s="14" t="s">
        <v>19</v>
      </c>
      <c r="H64" s="14" t="s">
        <v>20</v>
      </c>
      <c r="I64" s="14" t="s">
        <v>31</v>
      </c>
      <c r="J64" s="14" t="s">
        <v>22</v>
      </c>
      <c r="K64" s="14">
        <v>5606</v>
      </c>
      <c r="L64" s="14" t="s">
        <v>23</v>
      </c>
      <c r="M64" s="14">
        <v>800</v>
      </c>
      <c r="N64" s="14" t="s">
        <v>24</v>
      </c>
      <c r="O64" s="14" t="s">
        <v>23</v>
      </c>
      <c r="P64" s="14">
        <v>63.293999999999997</v>
      </c>
      <c r="Q64" s="14">
        <v>0</v>
      </c>
      <c r="R64" s="15">
        <v>43454</v>
      </c>
      <c r="S64" s="14">
        <f t="shared" si="8"/>
        <v>0</v>
      </c>
      <c r="T64" s="14">
        <f t="shared" si="9"/>
        <v>20</v>
      </c>
      <c r="U64" s="14">
        <f t="shared" si="10"/>
        <v>5</v>
      </c>
      <c r="V64" s="12">
        <f t="shared" si="11"/>
        <v>51</v>
      </c>
      <c r="W64" s="12">
        <f t="shared" si="12"/>
        <v>12</v>
      </c>
      <c r="X64" s="12">
        <f t="shared" si="13"/>
        <v>2018</v>
      </c>
      <c r="Y64" s="16">
        <f t="shared" si="14"/>
        <v>43454</v>
      </c>
      <c r="Z64" s="17">
        <f t="shared" si="15"/>
        <v>43454</v>
      </c>
      <c r="AA64" s="12"/>
    </row>
    <row r="65" spans="1:27" x14ac:dyDescent="0.3">
      <c r="A65" s="12" t="s">
        <v>32</v>
      </c>
      <c r="B65" s="12" t="s">
        <v>29</v>
      </c>
      <c r="C65" s="12" t="s">
        <v>30</v>
      </c>
      <c r="D65" s="12">
        <v>5627</v>
      </c>
      <c r="E65" s="12">
        <v>1</v>
      </c>
      <c r="F65" s="12">
        <v>234780</v>
      </c>
      <c r="G65" s="12" t="s">
        <v>19</v>
      </c>
      <c r="H65" s="12" t="s">
        <v>20</v>
      </c>
      <c r="I65" s="12" t="s">
        <v>31</v>
      </c>
      <c r="J65" s="12" t="s">
        <v>22</v>
      </c>
      <c r="K65" s="12">
        <v>5606</v>
      </c>
      <c r="L65" s="12" t="s">
        <v>23</v>
      </c>
      <c r="M65" s="12">
        <v>800</v>
      </c>
      <c r="N65" s="12" t="s">
        <v>24</v>
      </c>
      <c r="O65" s="12" t="s">
        <v>33</v>
      </c>
      <c r="P65" s="12">
        <v>89.355999999999995</v>
      </c>
      <c r="Q65" s="12">
        <v>0</v>
      </c>
      <c r="R65" s="13">
        <v>43455</v>
      </c>
      <c r="S65" s="14">
        <f t="shared" si="8"/>
        <v>0</v>
      </c>
      <c r="T65" s="14">
        <f t="shared" si="9"/>
        <v>21</v>
      </c>
      <c r="U65" s="14">
        <f t="shared" si="10"/>
        <v>6</v>
      </c>
      <c r="V65" s="12">
        <f t="shared" si="11"/>
        <v>51</v>
      </c>
      <c r="W65" s="12">
        <f t="shared" si="12"/>
        <v>12</v>
      </c>
      <c r="X65" s="12">
        <f t="shared" si="13"/>
        <v>2018</v>
      </c>
      <c r="Y65" s="16">
        <f t="shared" si="14"/>
        <v>43455</v>
      </c>
      <c r="Z65" s="17">
        <f t="shared" si="15"/>
        <v>43455</v>
      </c>
      <c r="AA65" s="12"/>
    </row>
    <row r="66" spans="1:27" x14ac:dyDescent="0.3">
      <c r="A66" s="12" t="s">
        <v>32</v>
      </c>
      <c r="B66" s="12" t="s">
        <v>29</v>
      </c>
      <c r="C66" s="12" t="s">
        <v>30</v>
      </c>
      <c r="D66" s="12">
        <v>5627</v>
      </c>
      <c r="E66" s="12">
        <v>1</v>
      </c>
      <c r="F66" s="12">
        <v>234780</v>
      </c>
      <c r="G66" s="12" t="s">
        <v>19</v>
      </c>
      <c r="H66" s="12" t="s">
        <v>20</v>
      </c>
      <c r="I66" s="12" t="s">
        <v>31</v>
      </c>
      <c r="J66" s="12" t="s">
        <v>22</v>
      </c>
      <c r="K66" s="12">
        <v>5606</v>
      </c>
      <c r="L66" s="12" t="s">
        <v>23</v>
      </c>
      <c r="M66" s="12">
        <v>800</v>
      </c>
      <c r="N66" s="12" t="s">
        <v>24</v>
      </c>
      <c r="O66" s="12" t="s">
        <v>33</v>
      </c>
      <c r="P66" s="12">
        <v>89.355999999999995</v>
      </c>
      <c r="Q66" s="12">
        <v>8</v>
      </c>
      <c r="R66" s="13">
        <v>43456</v>
      </c>
      <c r="S66" s="14">
        <f t="shared" ref="S66:S92" si="16">P66*Q66</f>
        <v>714.84799999999996</v>
      </c>
      <c r="T66" s="14">
        <f t="shared" ref="T66:T92" si="17">DAY(R66)</f>
        <v>22</v>
      </c>
      <c r="U66" s="14">
        <f t="shared" ref="U66:U92" si="18">WEEKDAY(R66)</f>
        <v>7</v>
      </c>
      <c r="V66" s="12">
        <f t="shared" ref="V66:V92" si="19">WEEKNUM(R66)</f>
        <v>51</v>
      </c>
      <c r="W66" s="12">
        <f t="shared" ref="W66:W92" si="20">MONTH(R66)</f>
        <v>12</v>
      </c>
      <c r="X66" s="12">
        <f t="shared" ref="X66:X92" si="21">YEAR(R66)</f>
        <v>2018</v>
      </c>
      <c r="Y66" s="16">
        <f t="shared" ref="Y66:Y92" si="22">(R66)</f>
        <v>43456</v>
      </c>
      <c r="Z66" s="17">
        <f t="shared" ref="Z66:Z92" si="23">(R66)</f>
        <v>43456</v>
      </c>
      <c r="AA66" s="12"/>
    </row>
    <row r="67" spans="1:27" x14ac:dyDescent="0.3">
      <c r="A67" s="12" t="s">
        <v>32</v>
      </c>
      <c r="B67" s="12" t="s">
        <v>29</v>
      </c>
      <c r="C67" s="12" t="s">
        <v>30</v>
      </c>
      <c r="D67" s="12">
        <v>5627</v>
      </c>
      <c r="E67" s="12">
        <v>1</v>
      </c>
      <c r="F67" s="12">
        <v>234780</v>
      </c>
      <c r="G67" s="12" t="s">
        <v>19</v>
      </c>
      <c r="H67" s="12" t="s">
        <v>20</v>
      </c>
      <c r="I67" s="12" t="s">
        <v>31</v>
      </c>
      <c r="J67" s="12" t="s">
        <v>22</v>
      </c>
      <c r="K67" s="12">
        <v>5606</v>
      </c>
      <c r="L67" s="12" t="s">
        <v>23</v>
      </c>
      <c r="M67" s="12">
        <v>800</v>
      </c>
      <c r="N67" s="12" t="s">
        <v>24</v>
      </c>
      <c r="O67" s="12" t="s">
        <v>33</v>
      </c>
      <c r="P67" s="12">
        <v>89.355999999999995</v>
      </c>
      <c r="Q67" s="12">
        <v>0</v>
      </c>
      <c r="R67" s="13">
        <v>43457</v>
      </c>
      <c r="S67" s="14">
        <f t="shared" si="16"/>
        <v>0</v>
      </c>
      <c r="T67" s="14">
        <f t="shared" si="17"/>
        <v>23</v>
      </c>
      <c r="U67" s="14">
        <f t="shared" si="18"/>
        <v>1</v>
      </c>
      <c r="V67" s="12">
        <f t="shared" si="19"/>
        <v>52</v>
      </c>
      <c r="W67" s="12">
        <f t="shared" si="20"/>
        <v>12</v>
      </c>
      <c r="X67" s="12">
        <f t="shared" si="21"/>
        <v>2018</v>
      </c>
      <c r="Y67" s="16">
        <f t="shared" si="22"/>
        <v>43457</v>
      </c>
      <c r="Z67" s="17">
        <f t="shared" si="23"/>
        <v>43457</v>
      </c>
      <c r="AA67" s="12"/>
    </row>
    <row r="68" spans="1:27" x14ac:dyDescent="0.3">
      <c r="A68" s="12" t="s">
        <v>32</v>
      </c>
      <c r="B68" s="12" t="s">
        <v>29</v>
      </c>
      <c r="C68" s="12" t="s">
        <v>30</v>
      </c>
      <c r="D68" s="12">
        <v>5627</v>
      </c>
      <c r="E68" s="12">
        <v>1</v>
      </c>
      <c r="F68" s="12">
        <v>234780</v>
      </c>
      <c r="G68" s="12" t="s">
        <v>19</v>
      </c>
      <c r="H68" s="12" t="s">
        <v>20</v>
      </c>
      <c r="I68" s="12" t="s">
        <v>31</v>
      </c>
      <c r="J68" s="12" t="s">
        <v>22</v>
      </c>
      <c r="K68" s="12">
        <v>5606</v>
      </c>
      <c r="L68" s="12" t="s">
        <v>23</v>
      </c>
      <c r="M68" s="12">
        <v>800</v>
      </c>
      <c r="N68" s="12" t="s">
        <v>24</v>
      </c>
      <c r="O68" s="12" t="s">
        <v>33</v>
      </c>
      <c r="P68" s="12">
        <v>89.355999999999995</v>
      </c>
      <c r="Q68" s="12">
        <v>0</v>
      </c>
      <c r="R68" s="13">
        <v>43458</v>
      </c>
      <c r="S68" s="14">
        <f t="shared" si="16"/>
        <v>0</v>
      </c>
      <c r="T68" s="14">
        <f t="shared" si="17"/>
        <v>24</v>
      </c>
      <c r="U68" s="14">
        <f t="shared" si="18"/>
        <v>2</v>
      </c>
      <c r="V68" s="12">
        <f t="shared" si="19"/>
        <v>52</v>
      </c>
      <c r="W68" s="12">
        <f t="shared" si="20"/>
        <v>12</v>
      </c>
      <c r="X68" s="12">
        <f t="shared" si="21"/>
        <v>2018</v>
      </c>
      <c r="Y68" s="16">
        <f t="shared" si="22"/>
        <v>43458</v>
      </c>
      <c r="Z68" s="17">
        <f t="shared" si="23"/>
        <v>43458</v>
      </c>
      <c r="AA68" s="12"/>
    </row>
    <row r="69" spans="1:27" x14ac:dyDescent="0.3">
      <c r="A69" s="12" t="s">
        <v>32</v>
      </c>
      <c r="B69" s="12" t="s">
        <v>29</v>
      </c>
      <c r="C69" s="12" t="s">
        <v>30</v>
      </c>
      <c r="D69" s="12">
        <v>5627</v>
      </c>
      <c r="E69" s="12">
        <v>1</v>
      </c>
      <c r="F69" s="12">
        <v>234780</v>
      </c>
      <c r="G69" s="12" t="s">
        <v>19</v>
      </c>
      <c r="H69" s="12" t="s">
        <v>20</v>
      </c>
      <c r="I69" s="12" t="s">
        <v>31</v>
      </c>
      <c r="J69" s="12" t="s">
        <v>22</v>
      </c>
      <c r="K69" s="12">
        <v>5606</v>
      </c>
      <c r="L69" s="12" t="s">
        <v>23</v>
      </c>
      <c r="M69" s="12">
        <v>800</v>
      </c>
      <c r="N69" s="12" t="s">
        <v>24</v>
      </c>
      <c r="O69" s="12" t="s">
        <v>33</v>
      </c>
      <c r="P69" s="12">
        <v>89.355999999999995</v>
      </c>
      <c r="Q69" s="12">
        <v>0</v>
      </c>
      <c r="R69" s="13">
        <v>43459</v>
      </c>
      <c r="S69" s="14">
        <f t="shared" si="16"/>
        <v>0</v>
      </c>
      <c r="T69" s="14">
        <f t="shared" si="17"/>
        <v>25</v>
      </c>
      <c r="U69" s="14">
        <f t="shared" si="18"/>
        <v>3</v>
      </c>
      <c r="V69" s="12">
        <f t="shared" si="19"/>
        <v>52</v>
      </c>
      <c r="W69" s="12">
        <f t="shared" si="20"/>
        <v>12</v>
      </c>
      <c r="X69" s="12">
        <f t="shared" si="21"/>
        <v>2018</v>
      </c>
      <c r="Y69" s="16">
        <f t="shared" si="22"/>
        <v>43459</v>
      </c>
      <c r="Z69" s="17">
        <f t="shared" si="23"/>
        <v>43459</v>
      </c>
      <c r="AA69" s="12"/>
    </row>
    <row r="70" spans="1:27" x14ac:dyDescent="0.3">
      <c r="A70" s="12" t="s">
        <v>32</v>
      </c>
      <c r="B70" s="12" t="s">
        <v>29</v>
      </c>
      <c r="C70" s="12" t="s">
        <v>30</v>
      </c>
      <c r="D70" s="12">
        <v>5627</v>
      </c>
      <c r="E70" s="12">
        <v>1</v>
      </c>
      <c r="F70" s="12">
        <v>234780</v>
      </c>
      <c r="G70" s="12" t="s">
        <v>19</v>
      </c>
      <c r="H70" s="12" t="s">
        <v>20</v>
      </c>
      <c r="I70" s="12" t="s">
        <v>31</v>
      </c>
      <c r="J70" s="12" t="s">
        <v>22</v>
      </c>
      <c r="K70" s="12">
        <v>5606</v>
      </c>
      <c r="L70" s="12" t="s">
        <v>23</v>
      </c>
      <c r="M70" s="12">
        <v>800</v>
      </c>
      <c r="N70" s="12" t="s">
        <v>24</v>
      </c>
      <c r="O70" s="12" t="s">
        <v>33</v>
      </c>
      <c r="P70" s="12">
        <v>89.355999999999995</v>
      </c>
      <c r="Q70" s="12">
        <v>0</v>
      </c>
      <c r="R70" s="13">
        <v>43460</v>
      </c>
      <c r="S70" s="14">
        <f t="shared" si="16"/>
        <v>0</v>
      </c>
      <c r="T70" s="14">
        <f t="shared" si="17"/>
        <v>26</v>
      </c>
      <c r="U70" s="14">
        <f t="shared" si="18"/>
        <v>4</v>
      </c>
      <c r="V70" s="12">
        <f t="shared" si="19"/>
        <v>52</v>
      </c>
      <c r="W70" s="12">
        <f t="shared" si="20"/>
        <v>12</v>
      </c>
      <c r="X70" s="12">
        <f t="shared" si="21"/>
        <v>2018</v>
      </c>
      <c r="Y70" s="16">
        <f t="shared" si="22"/>
        <v>43460</v>
      </c>
      <c r="Z70" s="17">
        <f t="shared" si="23"/>
        <v>43460</v>
      </c>
      <c r="AA70" s="12"/>
    </row>
    <row r="71" spans="1:27" x14ac:dyDescent="0.3">
      <c r="A71" s="12" t="s">
        <v>32</v>
      </c>
      <c r="B71" s="12" t="s">
        <v>29</v>
      </c>
      <c r="C71" s="12" t="s">
        <v>30</v>
      </c>
      <c r="D71" s="12">
        <v>5627</v>
      </c>
      <c r="E71" s="12">
        <v>1</v>
      </c>
      <c r="F71" s="12">
        <v>234780</v>
      </c>
      <c r="G71" s="12" t="s">
        <v>19</v>
      </c>
      <c r="H71" s="12" t="s">
        <v>20</v>
      </c>
      <c r="I71" s="12" t="s">
        <v>31</v>
      </c>
      <c r="J71" s="12" t="s">
        <v>22</v>
      </c>
      <c r="K71" s="12">
        <v>5606</v>
      </c>
      <c r="L71" s="12" t="s">
        <v>23</v>
      </c>
      <c r="M71" s="12">
        <v>800</v>
      </c>
      <c r="N71" s="12" t="s">
        <v>24</v>
      </c>
      <c r="O71" s="12" t="s">
        <v>33</v>
      </c>
      <c r="P71" s="12">
        <v>89.355999999999995</v>
      </c>
      <c r="Q71" s="12">
        <v>0</v>
      </c>
      <c r="R71" s="13">
        <v>43461</v>
      </c>
      <c r="S71" s="14">
        <f t="shared" si="16"/>
        <v>0</v>
      </c>
      <c r="T71" s="14">
        <f t="shared" si="17"/>
        <v>27</v>
      </c>
      <c r="U71" s="14">
        <f t="shared" si="18"/>
        <v>5</v>
      </c>
      <c r="V71" s="12">
        <f t="shared" si="19"/>
        <v>52</v>
      </c>
      <c r="W71" s="12">
        <f t="shared" si="20"/>
        <v>12</v>
      </c>
      <c r="X71" s="12">
        <f t="shared" si="21"/>
        <v>2018</v>
      </c>
      <c r="Y71" s="16">
        <f t="shared" si="22"/>
        <v>43461</v>
      </c>
      <c r="Z71" s="17">
        <f t="shared" si="23"/>
        <v>43461</v>
      </c>
      <c r="AA71" s="12"/>
    </row>
    <row r="72" spans="1:27" x14ac:dyDescent="0.3">
      <c r="A72" s="12" t="s">
        <v>34</v>
      </c>
      <c r="B72" s="12" t="s">
        <v>29</v>
      </c>
      <c r="C72" s="12" t="s">
        <v>30</v>
      </c>
      <c r="D72" s="12">
        <v>5627</v>
      </c>
      <c r="E72" s="12">
        <v>1</v>
      </c>
      <c r="F72" s="12">
        <v>235904</v>
      </c>
      <c r="G72" s="12" t="s">
        <v>19</v>
      </c>
      <c r="H72" s="12" t="s">
        <v>20</v>
      </c>
      <c r="I72" s="12" t="s">
        <v>31</v>
      </c>
      <c r="J72" s="12" t="s">
        <v>22</v>
      </c>
      <c r="K72" s="12">
        <v>5606</v>
      </c>
      <c r="L72" s="12" t="s">
        <v>23</v>
      </c>
      <c r="M72" s="12">
        <v>800</v>
      </c>
      <c r="N72" s="12" t="s">
        <v>24</v>
      </c>
      <c r="O72" s="12" t="s">
        <v>23</v>
      </c>
      <c r="P72" s="12">
        <v>63.293999999999997</v>
      </c>
      <c r="Q72" s="12">
        <v>0</v>
      </c>
      <c r="R72" s="13">
        <v>43469</v>
      </c>
      <c r="S72" s="14">
        <f t="shared" si="16"/>
        <v>0</v>
      </c>
      <c r="T72" s="14">
        <f t="shared" si="17"/>
        <v>4</v>
      </c>
      <c r="U72" s="14">
        <f t="shared" si="18"/>
        <v>6</v>
      </c>
      <c r="V72" s="12">
        <f t="shared" si="19"/>
        <v>1</v>
      </c>
      <c r="W72" s="12">
        <f t="shared" si="20"/>
        <v>1</v>
      </c>
      <c r="X72" s="12">
        <f t="shared" si="21"/>
        <v>2019</v>
      </c>
      <c r="Y72" s="16">
        <f t="shared" si="22"/>
        <v>43469</v>
      </c>
      <c r="Z72" s="17">
        <f t="shared" si="23"/>
        <v>43469</v>
      </c>
      <c r="AA72" s="12"/>
    </row>
    <row r="73" spans="1:27" x14ac:dyDescent="0.3">
      <c r="A73" s="12" t="s">
        <v>34</v>
      </c>
      <c r="B73" s="12" t="s">
        <v>29</v>
      </c>
      <c r="C73" s="12" t="s">
        <v>30</v>
      </c>
      <c r="D73" s="12">
        <v>5627</v>
      </c>
      <c r="E73" s="12">
        <v>1</v>
      </c>
      <c r="F73" s="12">
        <v>235904</v>
      </c>
      <c r="G73" s="12" t="s">
        <v>19</v>
      </c>
      <c r="H73" s="12" t="s">
        <v>20</v>
      </c>
      <c r="I73" s="12" t="s">
        <v>31</v>
      </c>
      <c r="J73" s="12" t="s">
        <v>22</v>
      </c>
      <c r="K73" s="12">
        <v>5606</v>
      </c>
      <c r="L73" s="12" t="s">
        <v>23</v>
      </c>
      <c r="M73" s="12">
        <v>800</v>
      </c>
      <c r="N73" s="12" t="s">
        <v>24</v>
      </c>
      <c r="O73" s="12" t="s">
        <v>23</v>
      </c>
      <c r="P73" s="12">
        <v>63.293999999999997</v>
      </c>
      <c r="Q73" s="12">
        <v>3.5</v>
      </c>
      <c r="R73" s="13">
        <v>43470</v>
      </c>
      <c r="S73" s="14">
        <f t="shared" si="16"/>
        <v>221.529</v>
      </c>
      <c r="T73" s="14">
        <f t="shared" si="17"/>
        <v>5</v>
      </c>
      <c r="U73" s="14">
        <f t="shared" si="18"/>
        <v>7</v>
      </c>
      <c r="V73" s="12">
        <f t="shared" si="19"/>
        <v>1</v>
      </c>
      <c r="W73" s="12">
        <f t="shared" si="20"/>
        <v>1</v>
      </c>
      <c r="X73" s="12">
        <f t="shared" si="21"/>
        <v>2019</v>
      </c>
      <c r="Y73" s="16">
        <f t="shared" si="22"/>
        <v>43470</v>
      </c>
      <c r="Z73" s="17">
        <f t="shared" si="23"/>
        <v>43470</v>
      </c>
      <c r="AA73" s="12"/>
    </row>
    <row r="74" spans="1:27" x14ac:dyDescent="0.3">
      <c r="A74" s="12" t="s">
        <v>34</v>
      </c>
      <c r="B74" s="12" t="s">
        <v>29</v>
      </c>
      <c r="C74" s="12" t="s">
        <v>30</v>
      </c>
      <c r="D74" s="12">
        <v>5627</v>
      </c>
      <c r="E74" s="12">
        <v>1</v>
      </c>
      <c r="F74" s="12">
        <v>235904</v>
      </c>
      <c r="G74" s="12" t="s">
        <v>19</v>
      </c>
      <c r="H74" s="12" t="s">
        <v>20</v>
      </c>
      <c r="I74" s="12" t="s">
        <v>31</v>
      </c>
      <c r="J74" s="12" t="s">
        <v>22</v>
      </c>
      <c r="K74" s="12">
        <v>5606</v>
      </c>
      <c r="L74" s="12" t="s">
        <v>23</v>
      </c>
      <c r="M74" s="12">
        <v>800</v>
      </c>
      <c r="N74" s="12" t="s">
        <v>24</v>
      </c>
      <c r="O74" s="12" t="s">
        <v>23</v>
      </c>
      <c r="P74" s="12">
        <v>63.293999999999997</v>
      </c>
      <c r="Q74" s="12">
        <v>0</v>
      </c>
      <c r="R74" s="13">
        <v>43471</v>
      </c>
      <c r="S74" s="14">
        <f t="shared" si="16"/>
        <v>0</v>
      </c>
      <c r="T74" s="14">
        <f t="shared" si="17"/>
        <v>6</v>
      </c>
      <c r="U74" s="14">
        <f t="shared" si="18"/>
        <v>1</v>
      </c>
      <c r="V74" s="12">
        <f t="shared" si="19"/>
        <v>2</v>
      </c>
      <c r="W74" s="12">
        <f t="shared" si="20"/>
        <v>1</v>
      </c>
      <c r="X74" s="12">
        <f t="shared" si="21"/>
        <v>2019</v>
      </c>
      <c r="Y74" s="16">
        <f t="shared" si="22"/>
        <v>43471</v>
      </c>
      <c r="Z74" s="17">
        <f t="shared" si="23"/>
        <v>43471</v>
      </c>
      <c r="AA74" s="12"/>
    </row>
    <row r="75" spans="1:27" x14ac:dyDescent="0.3">
      <c r="A75" s="12" t="s">
        <v>34</v>
      </c>
      <c r="B75" s="12" t="s">
        <v>29</v>
      </c>
      <c r="C75" s="12" t="s">
        <v>30</v>
      </c>
      <c r="D75" s="12">
        <v>5627</v>
      </c>
      <c r="E75" s="12">
        <v>1</v>
      </c>
      <c r="F75" s="12">
        <v>235904</v>
      </c>
      <c r="G75" s="12" t="s">
        <v>19</v>
      </c>
      <c r="H75" s="12" t="s">
        <v>20</v>
      </c>
      <c r="I75" s="12" t="s">
        <v>31</v>
      </c>
      <c r="J75" s="12" t="s">
        <v>22</v>
      </c>
      <c r="K75" s="12">
        <v>5606</v>
      </c>
      <c r="L75" s="12" t="s">
        <v>23</v>
      </c>
      <c r="M75" s="12">
        <v>800</v>
      </c>
      <c r="N75" s="12" t="s">
        <v>24</v>
      </c>
      <c r="O75" s="12" t="s">
        <v>23</v>
      </c>
      <c r="P75" s="12">
        <v>63.293999999999997</v>
      </c>
      <c r="Q75" s="12">
        <v>0</v>
      </c>
      <c r="R75" s="13">
        <v>43472</v>
      </c>
      <c r="S75" s="14">
        <f t="shared" si="16"/>
        <v>0</v>
      </c>
      <c r="T75" s="14">
        <f t="shared" si="17"/>
        <v>7</v>
      </c>
      <c r="U75" s="14">
        <f t="shared" si="18"/>
        <v>2</v>
      </c>
      <c r="V75" s="12">
        <f t="shared" si="19"/>
        <v>2</v>
      </c>
      <c r="W75" s="12">
        <f t="shared" si="20"/>
        <v>1</v>
      </c>
      <c r="X75" s="12">
        <f t="shared" si="21"/>
        <v>2019</v>
      </c>
      <c r="Y75" s="16">
        <f t="shared" si="22"/>
        <v>43472</v>
      </c>
      <c r="Z75" s="17">
        <f t="shared" si="23"/>
        <v>43472</v>
      </c>
      <c r="AA75" s="12"/>
    </row>
    <row r="76" spans="1:27" x14ac:dyDescent="0.3">
      <c r="A76" s="12" t="s">
        <v>34</v>
      </c>
      <c r="B76" s="12" t="s">
        <v>29</v>
      </c>
      <c r="C76" s="12" t="s">
        <v>30</v>
      </c>
      <c r="D76" s="12">
        <v>5627</v>
      </c>
      <c r="E76" s="12">
        <v>1</v>
      </c>
      <c r="F76" s="12">
        <v>235904</v>
      </c>
      <c r="G76" s="12" t="s">
        <v>19</v>
      </c>
      <c r="H76" s="12" t="s">
        <v>20</v>
      </c>
      <c r="I76" s="12" t="s">
        <v>31</v>
      </c>
      <c r="J76" s="12" t="s">
        <v>22</v>
      </c>
      <c r="K76" s="12">
        <v>5606</v>
      </c>
      <c r="L76" s="12" t="s">
        <v>23</v>
      </c>
      <c r="M76" s="12">
        <v>800</v>
      </c>
      <c r="N76" s="12" t="s">
        <v>24</v>
      </c>
      <c r="O76" s="12" t="s">
        <v>23</v>
      </c>
      <c r="P76" s="12">
        <v>63.293999999999997</v>
      </c>
      <c r="Q76" s="12">
        <v>0</v>
      </c>
      <c r="R76" s="13">
        <v>43473</v>
      </c>
      <c r="S76" s="14">
        <f t="shared" si="16"/>
        <v>0</v>
      </c>
      <c r="T76" s="14">
        <f t="shared" si="17"/>
        <v>8</v>
      </c>
      <c r="U76" s="14">
        <f t="shared" si="18"/>
        <v>3</v>
      </c>
      <c r="V76" s="12">
        <f t="shared" si="19"/>
        <v>2</v>
      </c>
      <c r="W76" s="12">
        <f t="shared" si="20"/>
        <v>1</v>
      </c>
      <c r="X76" s="12">
        <f t="shared" si="21"/>
        <v>2019</v>
      </c>
      <c r="Y76" s="16">
        <f t="shared" si="22"/>
        <v>43473</v>
      </c>
      <c r="Z76" s="17">
        <f t="shared" si="23"/>
        <v>43473</v>
      </c>
      <c r="AA76" s="12"/>
    </row>
    <row r="77" spans="1:27" x14ac:dyDescent="0.3">
      <c r="A77" s="12" t="s">
        <v>34</v>
      </c>
      <c r="B77" s="12" t="s">
        <v>29</v>
      </c>
      <c r="C77" s="12" t="s">
        <v>30</v>
      </c>
      <c r="D77" s="12">
        <v>5627</v>
      </c>
      <c r="E77" s="12">
        <v>1</v>
      </c>
      <c r="F77" s="12">
        <v>235904</v>
      </c>
      <c r="G77" s="12" t="s">
        <v>19</v>
      </c>
      <c r="H77" s="12" t="s">
        <v>20</v>
      </c>
      <c r="I77" s="12" t="s">
        <v>31</v>
      </c>
      <c r="J77" s="12" t="s">
        <v>22</v>
      </c>
      <c r="K77" s="12">
        <v>5606</v>
      </c>
      <c r="L77" s="12" t="s">
        <v>23</v>
      </c>
      <c r="M77" s="12">
        <v>800</v>
      </c>
      <c r="N77" s="12" t="s">
        <v>24</v>
      </c>
      <c r="O77" s="12" t="s">
        <v>23</v>
      </c>
      <c r="P77" s="12">
        <v>63.293999999999997</v>
      </c>
      <c r="Q77" s="12">
        <v>0</v>
      </c>
      <c r="R77" s="13">
        <v>43474</v>
      </c>
      <c r="S77" s="14">
        <f t="shared" si="16"/>
        <v>0</v>
      </c>
      <c r="T77" s="14">
        <f t="shared" si="17"/>
        <v>9</v>
      </c>
      <c r="U77" s="14">
        <f t="shared" si="18"/>
        <v>4</v>
      </c>
      <c r="V77" s="12">
        <f t="shared" si="19"/>
        <v>2</v>
      </c>
      <c r="W77" s="12">
        <f t="shared" si="20"/>
        <v>1</v>
      </c>
      <c r="X77" s="12">
        <f t="shared" si="21"/>
        <v>2019</v>
      </c>
      <c r="Y77" s="16">
        <f t="shared" si="22"/>
        <v>43474</v>
      </c>
      <c r="Z77" s="17">
        <f t="shared" si="23"/>
        <v>43474</v>
      </c>
      <c r="AA77" s="12"/>
    </row>
    <row r="78" spans="1:27" x14ac:dyDescent="0.3">
      <c r="A78" s="12" t="s">
        <v>34</v>
      </c>
      <c r="B78" s="12" t="s">
        <v>29</v>
      </c>
      <c r="C78" s="12" t="s">
        <v>30</v>
      </c>
      <c r="D78" s="12">
        <v>5627</v>
      </c>
      <c r="E78" s="12">
        <v>1</v>
      </c>
      <c r="F78" s="12">
        <v>235904</v>
      </c>
      <c r="G78" s="12" t="s">
        <v>19</v>
      </c>
      <c r="H78" s="12" t="s">
        <v>20</v>
      </c>
      <c r="I78" s="12" t="s">
        <v>31</v>
      </c>
      <c r="J78" s="12" t="s">
        <v>22</v>
      </c>
      <c r="K78" s="12">
        <v>5606</v>
      </c>
      <c r="L78" s="12" t="s">
        <v>23</v>
      </c>
      <c r="M78" s="12">
        <v>800</v>
      </c>
      <c r="N78" s="12" t="s">
        <v>24</v>
      </c>
      <c r="O78" s="12" t="s">
        <v>23</v>
      </c>
      <c r="P78" s="12">
        <v>63.293999999999997</v>
      </c>
      <c r="Q78" s="12">
        <v>0</v>
      </c>
      <c r="R78" s="13">
        <v>43475</v>
      </c>
      <c r="S78" s="14">
        <f t="shared" si="16"/>
        <v>0</v>
      </c>
      <c r="T78" s="14">
        <f t="shared" si="17"/>
        <v>10</v>
      </c>
      <c r="U78" s="14">
        <f t="shared" si="18"/>
        <v>5</v>
      </c>
      <c r="V78" s="12">
        <f t="shared" si="19"/>
        <v>2</v>
      </c>
      <c r="W78" s="12">
        <f t="shared" si="20"/>
        <v>1</v>
      </c>
      <c r="X78" s="12">
        <f t="shared" si="21"/>
        <v>2019</v>
      </c>
      <c r="Y78" s="16">
        <f t="shared" si="22"/>
        <v>43475</v>
      </c>
      <c r="Z78" s="17">
        <f t="shared" si="23"/>
        <v>43475</v>
      </c>
      <c r="AA78" s="12"/>
    </row>
    <row r="79" spans="1:27" x14ac:dyDescent="0.3">
      <c r="A79" s="12" t="s">
        <v>25</v>
      </c>
      <c r="B79" s="12" t="s">
        <v>17</v>
      </c>
      <c r="C79" s="12" t="s">
        <v>18</v>
      </c>
      <c r="D79" s="12">
        <v>4777</v>
      </c>
      <c r="E79" s="12">
        <v>1</v>
      </c>
      <c r="F79" s="12">
        <v>238199</v>
      </c>
      <c r="G79" s="12" t="s">
        <v>19</v>
      </c>
      <c r="H79" s="12" t="s">
        <v>20</v>
      </c>
      <c r="I79" s="12" t="s">
        <v>26</v>
      </c>
      <c r="J79" s="12" t="s">
        <v>27</v>
      </c>
      <c r="K79" s="12">
        <v>5507</v>
      </c>
      <c r="L79" s="12" t="s">
        <v>23</v>
      </c>
      <c r="M79" s="12">
        <v>400</v>
      </c>
      <c r="N79" s="12" t="s">
        <v>24</v>
      </c>
      <c r="O79" s="12" t="s">
        <v>23</v>
      </c>
      <c r="P79" s="12">
        <v>21</v>
      </c>
      <c r="Q79" s="12">
        <v>0</v>
      </c>
      <c r="R79" s="13">
        <v>43497</v>
      </c>
      <c r="S79" s="14">
        <f t="shared" si="16"/>
        <v>0</v>
      </c>
      <c r="T79" s="14">
        <f t="shared" si="17"/>
        <v>1</v>
      </c>
      <c r="U79" s="14">
        <f t="shared" si="18"/>
        <v>6</v>
      </c>
      <c r="V79" s="12">
        <f t="shared" si="19"/>
        <v>5</v>
      </c>
      <c r="W79" s="12">
        <f t="shared" si="20"/>
        <v>2</v>
      </c>
      <c r="X79" s="12">
        <f t="shared" si="21"/>
        <v>2019</v>
      </c>
      <c r="Y79" s="16">
        <f t="shared" si="22"/>
        <v>43497</v>
      </c>
      <c r="Z79" s="17">
        <f t="shared" si="23"/>
        <v>43497</v>
      </c>
      <c r="AA79" s="12"/>
    </row>
    <row r="80" spans="1:27" x14ac:dyDescent="0.3">
      <c r="A80" s="12" t="s">
        <v>25</v>
      </c>
      <c r="B80" s="12" t="s">
        <v>17</v>
      </c>
      <c r="C80" s="12" t="s">
        <v>18</v>
      </c>
      <c r="D80" s="12">
        <v>4777</v>
      </c>
      <c r="E80" s="12">
        <v>1</v>
      </c>
      <c r="F80" s="12">
        <v>238199</v>
      </c>
      <c r="G80" s="12" t="s">
        <v>19</v>
      </c>
      <c r="H80" s="12" t="s">
        <v>20</v>
      </c>
      <c r="I80" s="12" t="s">
        <v>26</v>
      </c>
      <c r="J80" s="12" t="s">
        <v>27</v>
      </c>
      <c r="K80" s="12">
        <v>5507</v>
      </c>
      <c r="L80" s="12" t="s">
        <v>23</v>
      </c>
      <c r="M80" s="12">
        <v>400</v>
      </c>
      <c r="N80" s="12" t="s">
        <v>24</v>
      </c>
      <c r="O80" s="12" t="s">
        <v>23</v>
      </c>
      <c r="P80" s="12">
        <v>21</v>
      </c>
      <c r="Q80" s="12">
        <v>0</v>
      </c>
      <c r="R80" s="13">
        <v>43498</v>
      </c>
      <c r="S80" s="14">
        <f t="shared" si="16"/>
        <v>0</v>
      </c>
      <c r="T80" s="14">
        <f t="shared" si="17"/>
        <v>2</v>
      </c>
      <c r="U80" s="14">
        <f t="shared" si="18"/>
        <v>7</v>
      </c>
      <c r="V80" s="12">
        <f t="shared" si="19"/>
        <v>5</v>
      </c>
      <c r="W80" s="12">
        <f t="shared" si="20"/>
        <v>2</v>
      </c>
      <c r="X80" s="12">
        <f t="shared" si="21"/>
        <v>2019</v>
      </c>
      <c r="Y80" s="16">
        <f t="shared" si="22"/>
        <v>43498</v>
      </c>
      <c r="Z80" s="17">
        <f t="shared" si="23"/>
        <v>43498</v>
      </c>
      <c r="AA80" s="12"/>
    </row>
    <row r="81" spans="1:27" x14ac:dyDescent="0.3">
      <c r="A81" s="12" t="s">
        <v>25</v>
      </c>
      <c r="B81" s="12" t="s">
        <v>17</v>
      </c>
      <c r="C81" s="12" t="s">
        <v>18</v>
      </c>
      <c r="D81" s="12">
        <v>4777</v>
      </c>
      <c r="E81" s="12">
        <v>1</v>
      </c>
      <c r="F81" s="12">
        <v>238199</v>
      </c>
      <c r="G81" s="12" t="s">
        <v>19</v>
      </c>
      <c r="H81" s="12" t="s">
        <v>20</v>
      </c>
      <c r="I81" s="12" t="s">
        <v>26</v>
      </c>
      <c r="J81" s="12" t="s">
        <v>27</v>
      </c>
      <c r="K81" s="12">
        <v>5507</v>
      </c>
      <c r="L81" s="12" t="s">
        <v>23</v>
      </c>
      <c r="M81" s="12">
        <v>400</v>
      </c>
      <c r="N81" s="12" t="s">
        <v>24</v>
      </c>
      <c r="O81" s="12" t="s">
        <v>23</v>
      </c>
      <c r="P81" s="12">
        <v>21</v>
      </c>
      <c r="Q81" s="12">
        <v>2</v>
      </c>
      <c r="R81" s="13">
        <v>43499</v>
      </c>
      <c r="S81" s="14">
        <f t="shared" si="16"/>
        <v>42</v>
      </c>
      <c r="T81" s="14">
        <f t="shared" si="17"/>
        <v>3</v>
      </c>
      <c r="U81" s="14">
        <f t="shared" si="18"/>
        <v>1</v>
      </c>
      <c r="V81" s="12">
        <f t="shared" si="19"/>
        <v>6</v>
      </c>
      <c r="W81" s="12">
        <f t="shared" si="20"/>
        <v>2</v>
      </c>
      <c r="X81" s="12">
        <f t="shared" si="21"/>
        <v>2019</v>
      </c>
      <c r="Y81" s="16">
        <f t="shared" si="22"/>
        <v>43499</v>
      </c>
      <c r="Z81" s="17">
        <f t="shared" si="23"/>
        <v>43499</v>
      </c>
      <c r="AA81" s="12"/>
    </row>
    <row r="82" spans="1:27" x14ac:dyDescent="0.3">
      <c r="A82" s="12" t="s">
        <v>25</v>
      </c>
      <c r="B82" s="12" t="s">
        <v>17</v>
      </c>
      <c r="C82" s="12" t="s">
        <v>18</v>
      </c>
      <c r="D82" s="12">
        <v>4777</v>
      </c>
      <c r="E82" s="12">
        <v>1</v>
      </c>
      <c r="F82" s="12">
        <v>238199</v>
      </c>
      <c r="G82" s="12" t="s">
        <v>19</v>
      </c>
      <c r="H82" s="12" t="s">
        <v>20</v>
      </c>
      <c r="I82" s="12" t="s">
        <v>26</v>
      </c>
      <c r="J82" s="12" t="s">
        <v>27</v>
      </c>
      <c r="K82" s="12">
        <v>5507</v>
      </c>
      <c r="L82" s="12" t="s">
        <v>23</v>
      </c>
      <c r="M82" s="12">
        <v>400</v>
      </c>
      <c r="N82" s="12" t="s">
        <v>24</v>
      </c>
      <c r="O82" s="12" t="s">
        <v>23</v>
      </c>
      <c r="P82" s="12">
        <v>21</v>
      </c>
      <c r="Q82" s="12">
        <v>0</v>
      </c>
      <c r="R82" s="13">
        <v>43500</v>
      </c>
      <c r="S82" s="14">
        <f t="shared" si="16"/>
        <v>0</v>
      </c>
      <c r="T82" s="14">
        <f t="shared" si="17"/>
        <v>4</v>
      </c>
      <c r="U82" s="14">
        <f t="shared" si="18"/>
        <v>2</v>
      </c>
      <c r="V82" s="12">
        <f t="shared" si="19"/>
        <v>6</v>
      </c>
      <c r="W82" s="12">
        <f t="shared" si="20"/>
        <v>2</v>
      </c>
      <c r="X82" s="12">
        <f t="shared" si="21"/>
        <v>2019</v>
      </c>
      <c r="Y82" s="16">
        <f t="shared" si="22"/>
        <v>43500</v>
      </c>
      <c r="Z82" s="17">
        <f t="shared" si="23"/>
        <v>43500</v>
      </c>
      <c r="AA82" s="12"/>
    </row>
    <row r="83" spans="1:27" x14ac:dyDescent="0.3">
      <c r="A83" s="12" t="s">
        <v>25</v>
      </c>
      <c r="B83" s="12" t="s">
        <v>17</v>
      </c>
      <c r="C83" s="12" t="s">
        <v>18</v>
      </c>
      <c r="D83" s="12">
        <v>4777</v>
      </c>
      <c r="E83" s="12">
        <v>1</v>
      </c>
      <c r="F83" s="12">
        <v>238199</v>
      </c>
      <c r="G83" s="12" t="s">
        <v>19</v>
      </c>
      <c r="H83" s="12" t="s">
        <v>20</v>
      </c>
      <c r="I83" s="12" t="s">
        <v>26</v>
      </c>
      <c r="J83" s="12" t="s">
        <v>27</v>
      </c>
      <c r="K83" s="12">
        <v>5507</v>
      </c>
      <c r="L83" s="12" t="s">
        <v>23</v>
      </c>
      <c r="M83" s="12">
        <v>400</v>
      </c>
      <c r="N83" s="12" t="s">
        <v>24</v>
      </c>
      <c r="O83" s="12" t="s">
        <v>23</v>
      </c>
      <c r="P83" s="12">
        <v>21</v>
      </c>
      <c r="Q83" s="12">
        <v>0</v>
      </c>
      <c r="R83" s="13">
        <v>43501</v>
      </c>
      <c r="S83" s="14">
        <f t="shared" si="16"/>
        <v>0</v>
      </c>
      <c r="T83" s="14">
        <f t="shared" si="17"/>
        <v>5</v>
      </c>
      <c r="U83" s="14">
        <f t="shared" si="18"/>
        <v>3</v>
      </c>
      <c r="V83" s="12">
        <f t="shared" si="19"/>
        <v>6</v>
      </c>
      <c r="W83" s="12">
        <f t="shared" si="20"/>
        <v>2</v>
      </c>
      <c r="X83" s="12">
        <f t="shared" si="21"/>
        <v>2019</v>
      </c>
      <c r="Y83" s="16">
        <f t="shared" si="22"/>
        <v>43501</v>
      </c>
      <c r="Z83" s="17">
        <f t="shared" si="23"/>
        <v>43501</v>
      </c>
      <c r="AA83" s="12"/>
    </row>
    <row r="84" spans="1:27" x14ac:dyDescent="0.3">
      <c r="A84" s="12" t="s">
        <v>25</v>
      </c>
      <c r="B84" s="12" t="s">
        <v>17</v>
      </c>
      <c r="C84" s="12" t="s">
        <v>18</v>
      </c>
      <c r="D84" s="12">
        <v>4777</v>
      </c>
      <c r="E84" s="12">
        <v>1</v>
      </c>
      <c r="F84" s="12">
        <v>238199</v>
      </c>
      <c r="G84" s="12" t="s">
        <v>19</v>
      </c>
      <c r="H84" s="12" t="s">
        <v>20</v>
      </c>
      <c r="I84" s="12" t="s">
        <v>26</v>
      </c>
      <c r="J84" s="12" t="s">
        <v>27</v>
      </c>
      <c r="K84" s="12">
        <v>5507</v>
      </c>
      <c r="L84" s="12" t="s">
        <v>23</v>
      </c>
      <c r="M84" s="12">
        <v>400</v>
      </c>
      <c r="N84" s="12" t="s">
        <v>24</v>
      </c>
      <c r="O84" s="12" t="s">
        <v>23</v>
      </c>
      <c r="P84" s="12">
        <v>21</v>
      </c>
      <c r="Q84" s="12">
        <v>4.5</v>
      </c>
      <c r="R84" s="13">
        <v>43502</v>
      </c>
      <c r="S84" s="14">
        <f t="shared" si="16"/>
        <v>94.5</v>
      </c>
      <c r="T84" s="14">
        <f t="shared" si="17"/>
        <v>6</v>
      </c>
      <c r="U84" s="14">
        <f t="shared" si="18"/>
        <v>4</v>
      </c>
      <c r="V84" s="12">
        <f t="shared" si="19"/>
        <v>6</v>
      </c>
      <c r="W84" s="12">
        <f t="shared" si="20"/>
        <v>2</v>
      </c>
      <c r="X84" s="12">
        <f t="shared" si="21"/>
        <v>2019</v>
      </c>
      <c r="Y84" s="16">
        <f t="shared" si="22"/>
        <v>43502</v>
      </c>
      <c r="Z84" s="17">
        <f t="shared" si="23"/>
        <v>43502</v>
      </c>
      <c r="AA84" s="12"/>
    </row>
    <row r="85" spans="1:27" x14ac:dyDescent="0.3">
      <c r="A85" s="12" t="s">
        <v>25</v>
      </c>
      <c r="B85" s="12" t="s">
        <v>17</v>
      </c>
      <c r="C85" s="12" t="s">
        <v>18</v>
      </c>
      <c r="D85" s="12">
        <v>4777</v>
      </c>
      <c r="E85" s="12">
        <v>1</v>
      </c>
      <c r="F85" s="12">
        <v>238199</v>
      </c>
      <c r="G85" s="12" t="s">
        <v>19</v>
      </c>
      <c r="H85" s="12" t="s">
        <v>20</v>
      </c>
      <c r="I85" s="12" t="s">
        <v>26</v>
      </c>
      <c r="J85" s="12" t="s">
        <v>27</v>
      </c>
      <c r="K85" s="12">
        <v>5507</v>
      </c>
      <c r="L85" s="12" t="s">
        <v>23</v>
      </c>
      <c r="M85" s="12">
        <v>400</v>
      </c>
      <c r="N85" s="12" t="s">
        <v>24</v>
      </c>
      <c r="O85" s="12" t="s">
        <v>23</v>
      </c>
      <c r="P85" s="12">
        <v>21</v>
      </c>
      <c r="Q85" s="12">
        <v>0</v>
      </c>
      <c r="R85" s="13">
        <v>43503</v>
      </c>
      <c r="S85" s="14">
        <f t="shared" si="16"/>
        <v>0</v>
      </c>
      <c r="T85" s="14">
        <f t="shared" si="17"/>
        <v>7</v>
      </c>
      <c r="U85" s="14">
        <f t="shared" si="18"/>
        <v>5</v>
      </c>
      <c r="V85" s="12">
        <f t="shared" si="19"/>
        <v>6</v>
      </c>
      <c r="W85" s="12">
        <f t="shared" si="20"/>
        <v>2</v>
      </c>
      <c r="X85" s="12">
        <f t="shared" si="21"/>
        <v>2019</v>
      </c>
      <c r="Y85" s="16">
        <f t="shared" si="22"/>
        <v>43503</v>
      </c>
      <c r="Z85" s="17">
        <f t="shared" si="23"/>
        <v>43503</v>
      </c>
      <c r="AA85" s="12"/>
    </row>
    <row r="86" spans="1:27" x14ac:dyDescent="0.3">
      <c r="A86" s="12" t="s">
        <v>35</v>
      </c>
      <c r="B86" s="12" t="s">
        <v>29</v>
      </c>
      <c r="C86" s="12" t="s">
        <v>30</v>
      </c>
      <c r="D86" s="12">
        <v>5627</v>
      </c>
      <c r="E86" s="12">
        <v>1</v>
      </c>
      <c r="F86" s="12">
        <v>240497</v>
      </c>
      <c r="G86" s="12" t="s">
        <v>19</v>
      </c>
      <c r="H86" s="12" t="s">
        <v>20</v>
      </c>
      <c r="I86" s="12" t="s">
        <v>31</v>
      </c>
      <c r="J86" s="12" t="s">
        <v>22</v>
      </c>
      <c r="K86" s="12">
        <v>5606</v>
      </c>
      <c r="L86" s="12" t="s">
        <v>23</v>
      </c>
      <c r="M86" s="12">
        <v>800</v>
      </c>
      <c r="N86" s="12" t="s">
        <v>24</v>
      </c>
      <c r="O86" s="12" t="s">
        <v>23</v>
      </c>
      <c r="P86" s="12">
        <v>63.293999999999997</v>
      </c>
      <c r="Q86" s="12">
        <v>0</v>
      </c>
      <c r="R86" s="13">
        <v>43525</v>
      </c>
      <c r="S86" s="14">
        <f t="shared" si="16"/>
        <v>0</v>
      </c>
      <c r="T86" s="14">
        <f t="shared" si="17"/>
        <v>1</v>
      </c>
      <c r="U86" s="14">
        <f t="shared" si="18"/>
        <v>6</v>
      </c>
      <c r="V86" s="12">
        <f t="shared" si="19"/>
        <v>9</v>
      </c>
      <c r="W86" s="12">
        <f t="shared" si="20"/>
        <v>3</v>
      </c>
      <c r="X86" s="12">
        <f t="shared" si="21"/>
        <v>2019</v>
      </c>
      <c r="Y86" s="16">
        <f t="shared" si="22"/>
        <v>43525</v>
      </c>
      <c r="Z86" s="17">
        <f t="shared" si="23"/>
        <v>43525</v>
      </c>
      <c r="AA86" s="12"/>
    </row>
    <row r="87" spans="1:27" x14ac:dyDescent="0.3">
      <c r="A87" s="12" t="s">
        <v>35</v>
      </c>
      <c r="B87" s="12" t="s">
        <v>29</v>
      </c>
      <c r="C87" s="12" t="s">
        <v>30</v>
      </c>
      <c r="D87" s="12">
        <v>5627</v>
      </c>
      <c r="E87" s="12">
        <v>1</v>
      </c>
      <c r="F87" s="12">
        <v>240497</v>
      </c>
      <c r="G87" s="12" t="s">
        <v>19</v>
      </c>
      <c r="H87" s="12" t="s">
        <v>20</v>
      </c>
      <c r="I87" s="12" t="s">
        <v>31</v>
      </c>
      <c r="J87" s="12" t="s">
        <v>22</v>
      </c>
      <c r="K87" s="12">
        <v>5606</v>
      </c>
      <c r="L87" s="12" t="s">
        <v>23</v>
      </c>
      <c r="M87" s="12">
        <v>800</v>
      </c>
      <c r="N87" s="12" t="s">
        <v>24</v>
      </c>
      <c r="O87" s="12" t="s">
        <v>23</v>
      </c>
      <c r="P87" s="12">
        <v>63.293999999999997</v>
      </c>
      <c r="Q87" s="12">
        <v>0</v>
      </c>
      <c r="R87" s="13">
        <v>43526</v>
      </c>
      <c r="S87" s="14">
        <f t="shared" si="16"/>
        <v>0</v>
      </c>
      <c r="T87" s="14">
        <f t="shared" si="17"/>
        <v>2</v>
      </c>
      <c r="U87" s="14">
        <f t="shared" si="18"/>
        <v>7</v>
      </c>
      <c r="V87" s="12">
        <f t="shared" si="19"/>
        <v>9</v>
      </c>
      <c r="W87" s="12">
        <f t="shared" si="20"/>
        <v>3</v>
      </c>
      <c r="X87" s="12">
        <f t="shared" si="21"/>
        <v>2019</v>
      </c>
      <c r="Y87" s="16">
        <f t="shared" si="22"/>
        <v>43526</v>
      </c>
      <c r="Z87" s="17">
        <f t="shared" si="23"/>
        <v>43526</v>
      </c>
      <c r="AA87" s="12"/>
    </row>
    <row r="88" spans="1:27" x14ac:dyDescent="0.3">
      <c r="A88" s="12" t="s">
        <v>35</v>
      </c>
      <c r="B88" s="12" t="s">
        <v>29</v>
      </c>
      <c r="C88" s="12" t="s">
        <v>30</v>
      </c>
      <c r="D88" s="12">
        <v>5627</v>
      </c>
      <c r="E88" s="12">
        <v>1</v>
      </c>
      <c r="F88" s="12">
        <v>240497</v>
      </c>
      <c r="G88" s="12" t="s">
        <v>19</v>
      </c>
      <c r="H88" s="12" t="s">
        <v>20</v>
      </c>
      <c r="I88" s="12" t="s">
        <v>31</v>
      </c>
      <c r="J88" s="12" t="s">
        <v>22</v>
      </c>
      <c r="K88" s="12">
        <v>5606</v>
      </c>
      <c r="L88" s="12" t="s">
        <v>23</v>
      </c>
      <c r="M88" s="12">
        <v>800</v>
      </c>
      <c r="N88" s="12" t="s">
        <v>24</v>
      </c>
      <c r="O88" s="12" t="s">
        <v>23</v>
      </c>
      <c r="P88" s="12">
        <v>63.293999999999997</v>
      </c>
      <c r="Q88" s="12">
        <v>0</v>
      </c>
      <c r="R88" s="13">
        <v>43527</v>
      </c>
      <c r="S88" s="14">
        <f t="shared" si="16"/>
        <v>0</v>
      </c>
      <c r="T88" s="14">
        <f t="shared" si="17"/>
        <v>3</v>
      </c>
      <c r="U88" s="14">
        <f t="shared" si="18"/>
        <v>1</v>
      </c>
      <c r="V88" s="12">
        <f t="shared" si="19"/>
        <v>10</v>
      </c>
      <c r="W88" s="12">
        <f t="shared" si="20"/>
        <v>3</v>
      </c>
      <c r="X88" s="12">
        <f t="shared" si="21"/>
        <v>2019</v>
      </c>
      <c r="Y88" s="16">
        <f t="shared" si="22"/>
        <v>43527</v>
      </c>
      <c r="Z88" s="17">
        <f t="shared" si="23"/>
        <v>43527</v>
      </c>
      <c r="AA88" s="12"/>
    </row>
    <row r="89" spans="1:27" x14ac:dyDescent="0.3">
      <c r="A89" s="12" t="s">
        <v>35</v>
      </c>
      <c r="B89" s="12" t="s">
        <v>29</v>
      </c>
      <c r="C89" s="12" t="s">
        <v>30</v>
      </c>
      <c r="D89" s="12">
        <v>5627</v>
      </c>
      <c r="E89" s="12">
        <v>1</v>
      </c>
      <c r="F89" s="12">
        <v>240497</v>
      </c>
      <c r="G89" s="12" t="s">
        <v>19</v>
      </c>
      <c r="H89" s="12" t="s">
        <v>20</v>
      </c>
      <c r="I89" s="12" t="s">
        <v>31</v>
      </c>
      <c r="J89" s="12" t="s">
        <v>22</v>
      </c>
      <c r="K89" s="12">
        <v>5606</v>
      </c>
      <c r="L89" s="12" t="s">
        <v>23</v>
      </c>
      <c r="M89" s="12">
        <v>800</v>
      </c>
      <c r="N89" s="12" t="s">
        <v>24</v>
      </c>
      <c r="O89" s="12" t="s">
        <v>23</v>
      </c>
      <c r="P89" s="12">
        <v>63.293999999999997</v>
      </c>
      <c r="Q89" s="12">
        <v>0</v>
      </c>
      <c r="R89" s="13">
        <v>43528</v>
      </c>
      <c r="S89" s="14">
        <f t="shared" si="16"/>
        <v>0</v>
      </c>
      <c r="T89" s="14">
        <f t="shared" si="17"/>
        <v>4</v>
      </c>
      <c r="U89" s="14">
        <f t="shared" si="18"/>
        <v>2</v>
      </c>
      <c r="V89" s="12">
        <f t="shared" si="19"/>
        <v>10</v>
      </c>
      <c r="W89" s="12">
        <f t="shared" si="20"/>
        <v>3</v>
      </c>
      <c r="X89" s="12">
        <f t="shared" si="21"/>
        <v>2019</v>
      </c>
      <c r="Y89" s="16">
        <f t="shared" si="22"/>
        <v>43528</v>
      </c>
      <c r="Z89" s="17">
        <f t="shared" si="23"/>
        <v>43528</v>
      </c>
      <c r="AA89" s="12"/>
    </row>
    <row r="90" spans="1:27" x14ac:dyDescent="0.3">
      <c r="A90" s="12" t="s">
        <v>35</v>
      </c>
      <c r="B90" s="12" t="s">
        <v>29</v>
      </c>
      <c r="C90" s="12" t="s">
        <v>30</v>
      </c>
      <c r="D90" s="12">
        <v>5627</v>
      </c>
      <c r="E90" s="12">
        <v>1</v>
      </c>
      <c r="F90" s="12">
        <v>240497</v>
      </c>
      <c r="G90" s="12" t="s">
        <v>19</v>
      </c>
      <c r="H90" s="12" t="s">
        <v>20</v>
      </c>
      <c r="I90" s="12" t="s">
        <v>31</v>
      </c>
      <c r="J90" s="12" t="s">
        <v>22</v>
      </c>
      <c r="K90" s="12">
        <v>5606</v>
      </c>
      <c r="L90" s="12" t="s">
        <v>23</v>
      </c>
      <c r="M90" s="12">
        <v>800</v>
      </c>
      <c r="N90" s="12" t="s">
        <v>24</v>
      </c>
      <c r="O90" s="12" t="s">
        <v>23</v>
      </c>
      <c r="P90" s="12">
        <v>63.293999999999997</v>
      </c>
      <c r="Q90" s="12">
        <v>0</v>
      </c>
      <c r="R90" s="13">
        <v>43529</v>
      </c>
      <c r="S90" s="14">
        <f t="shared" si="16"/>
        <v>0</v>
      </c>
      <c r="T90" s="14">
        <f t="shared" si="17"/>
        <v>5</v>
      </c>
      <c r="U90" s="14">
        <f t="shared" si="18"/>
        <v>3</v>
      </c>
      <c r="V90" s="12">
        <f t="shared" si="19"/>
        <v>10</v>
      </c>
      <c r="W90" s="12">
        <f t="shared" si="20"/>
        <v>3</v>
      </c>
      <c r="X90" s="12">
        <f t="shared" si="21"/>
        <v>2019</v>
      </c>
      <c r="Y90" s="16">
        <f t="shared" si="22"/>
        <v>43529</v>
      </c>
      <c r="Z90" s="17">
        <f t="shared" si="23"/>
        <v>43529</v>
      </c>
      <c r="AA90" s="12"/>
    </row>
    <row r="91" spans="1:27" x14ac:dyDescent="0.3">
      <c r="A91" s="12" t="s">
        <v>35</v>
      </c>
      <c r="B91" s="12" t="s">
        <v>29</v>
      </c>
      <c r="C91" s="12" t="s">
        <v>30</v>
      </c>
      <c r="D91" s="12">
        <v>5627</v>
      </c>
      <c r="E91" s="12">
        <v>1</v>
      </c>
      <c r="F91" s="12">
        <v>240497</v>
      </c>
      <c r="G91" s="12" t="s">
        <v>19</v>
      </c>
      <c r="H91" s="12" t="s">
        <v>20</v>
      </c>
      <c r="I91" s="12" t="s">
        <v>31</v>
      </c>
      <c r="J91" s="12" t="s">
        <v>22</v>
      </c>
      <c r="K91" s="12">
        <v>5606</v>
      </c>
      <c r="L91" s="12" t="s">
        <v>23</v>
      </c>
      <c r="M91" s="12">
        <v>800</v>
      </c>
      <c r="N91" s="12" t="s">
        <v>24</v>
      </c>
      <c r="O91" s="12" t="s">
        <v>23</v>
      </c>
      <c r="P91" s="12">
        <v>63.293999999999997</v>
      </c>
      <c r="Q91" s="12">
        <v>2</v>
      </c>
      <c r="R91" s="13">
        <v>43530</v>
      </c>
      <c r="S91" s="14">
        <f t="shared" si="16"/>
        <v>126.58799999999999</v>
      </c>
      <c r="T91" s="14">
        <f t="shared" si="17"/>
        <v>6</v>
      </c>
      <c r="U91" s="14">
        <f t="shared" si="18"/>
        <v>4</v>
      </c>
      <c r="V91" s="12">
        <f t="shared" si="19"/>
        <v>10</v>
      </c>
      <c r="W91" s="12">
        <f t="shared" si="20"/>
        <v>3</v>
      </c>
      <c r="X91" s="12">
        <f t="shared" si="21"/>
        <v>2019</v>
      </c>
      <c r="Y91" s="16">
        <f t="shared" si="22"/>
        <v>43530</v>
      </c>
      <c r="Z91" s="17">
        <f t="shared" si="23"/>
        <v>43530</v>
      </c>
      <c r="AA91" s="12"/>
    </row>
    <row r="92" spans="1:27" x14ac:dyDescent="0.3">
      <c r="A92" s="12" t="s">
        <v>35</v>
      </c>
      <c r="B92" s="12" t="s">
        <v>29</v>
      </c>
      <c r="C92" s="12" t="s">
        <v>30</v>
      </c>
      <c r="D92" s="12">
        <v>5627</v>
      </c>
      <c r="E92" s="12">
        <v>1</v>
      </c>
      <c r="F92" s="12">
        <v>240497</v>
      </c>
      <c r="G92" s="12" t="s">
        <v>19</v>
      </c>
      <c r="H92" s="12" t="s">
        <v>20</v>
      </c>
      <c r="I92" s="12" t="s">
        <v>31</v>
      </c>
      <c r="J92" s="12" t="s">
        <v>22</v>
      </c>
      <c r="K92" s="12">
        <v>5606</v>
      </c>
      <c r="L92" s="12" t="s">
        <v>23</v>
      </c>
      <c r="M92" s="12">
        <v>800</v>
      </c>
      <c r="N92" s="12" t="s">
        <v>24</v>
      </c>
      <c r="O92" s="12" t="s">
        <v>23</v>
      </c>
      <c r="P92" s="12">
        <v>63.293999999999997</v>
      </c>
      <c r="Q92" s="12">
        <v>0</v>
      </c>
      <c r="R92" s="13">
        <v>43531</v>
      </c>
      <c r="S92" s="14">
        <f t="shared" si="16"/>
        <v>0</v>
      </c>
      <c r="T92" s="14">
        <f t="shared" si="17"/>
        <v>7</v>
      </c>
      <c r="U92" s="14">
        <f t="shared" si="18"/>
        <v>5</v>
      </c>
      <c r="V92" s="12">
        <f t="shared" si="19"/>
        <v>10</v>
      </c>
      <c r="W92" s="12">
        <f t="shared" si="20"/>
        <v>3</v>
      </c>
      <c r="X92" s="12">
        <f t="shared" si="21"/>
        <v>2019</v>
      </c>
      <c r="Y92" s="16">
        <f t="shared" si="22"/>
        <v>43531</v>
      </c>
      <c r="Z92" s="17">
        <f t="shared" si="23"/>
        <v>43531</v>
      </c>
      <c r="AA92" s="12"/>
    </row>
    <row r="93" spans="1:27" x14ac:dyDescent="0.3">
      <c r="S93" s="14"/>
      <c r="T93" s="14"/>
      <c r="U93" s="14"/>
      <c r="V93" s="12"/>
      <c r="W93" s="12"/>
      <c r="X93" s="12"/>
      <c r="Y93" s="16"/>
      <c r="Z93" s="17"/>
    </row>
    <row r="94" spans="1:27" x14ac:dyDescent="0.3">
      <c r="S94" s="14"/>
      <c r="T94" s="14"/>
      <c r="U94" s="14"/>
      <c r="V94" s="12"/>
      <c r="W94" s="12"/>
      <c r="X94" s="12"/>
      <c r="Y94" s="16"/>
      <c r="Z94" s="17"/>
    </row>
    <row r="95" spans="1:27" x14ac:dyDescent="0.3">
      <c r="S95" s="14"/>
      <c r="T95" s="14"/>
      <c r="U95" s="14"/>
      <c r="V95" s="12"/>
      <c r="W95" s="12"/>
      <c r="X95" s="12"/>
      <c r="Y95" s="16"/>
      <c r="Z95" s="17"/>
    </row>
    <row r="96" spans="1:27" x14ac:dyDescent="0.3">
      <c r="S96" s="14"/>
      <c r="T96" s="14"/>
      <c r="U96" s="14"/>
      <c r="V96" s="12"/>
      <c r="W96" s="12"/>
      <c r="X96" s="12"/>
      <c r="Y96" s="16"/>
      <c r="Z96" s="17"/>
    </row>
    <row r="97" spans="19:26" x14ac:dyDescent="0.3">
      <c r="S97" s="14"/>
      <c r="T97" s="14"/>
      <c r="U97" s="14"/>
      <c r="V97" s="12"/>
      <c r="W97" s="12"/>
      <c r="X97" s="12"/>
      <c r="Y97" s="16"/>
      <c r="Z97" s="17"/>
    </row>
    <row r="98" spans="19:26" x14ac:dyDescent="0.3">
      <c r="S98" s="14"/>
      <c r="T98" s="14"/>
      <c r="U98" s="14"/>
      <c r="V98" s="12"/>
      <c r="W98" s="12"/>
      <c r="X98" s="12"/>
      <c r="Y98" s="16"/>
      <c r="Z98" s="17"/>
    </row>
    <row r="99" spans="19:26" x14ac:dyDescent="0.3">
      <c r="S99" s="14"/>
      <c r="T99" s="14"/>
      <c r="U99" s="14"/>
      <c r="V99" s="12"/>
      <c r="W99" s="12"/>
      <c r="X99" s="12"/>
      <c r="Y99" s="16"/>
      <c r="Z99" s="17"/>
    </row>
    <row r="100" spans="19:26" x14ac:dyDescent="0.3">
      <c r="S100" s="14"/>
      <c r="T100" s="14"/>
      <c r="U100" s="14"/>
      <c r="V100" s="12"/>
      <c r="W100" s="12"/>
      <c r="X100" s="12"/>
      <c r="Y100" s="16"/>
      <c r="Z100" s="17"/>
    </row>
    <row r="101" spans="19:26" x14ac:dyDescent="0.3">
      <c r="S101" s="14"/>
      <c r="T101" s="14"/>
      <c r="U101" s="14"/>
      <c r="V101" s="12"/>
      <c r="W101" s="12"/>
      <c r="X101" s="12"/>
      <c r="Y101" s="16"/>
      <c r="Z101" s="17"/>
    </row>
    <row r="102" spans="19:26" x14ac:dyDescent="0.3">
      <c r="S102" s="14"/>
      <c r="T102" s="14"/>
      <c r="U102" s="14"/>
      <c r="V102" s="12"/>
      <c r="W102" s="12"/>
      <c r="X102" s="12"/>
      <c r="Y102" s="16"/>
      <c r="Z102" s="17"/>
    </row>
    <row r="103" spans="19:26" x14ac:dyDescent="0.3">
      <c r="S103" s="14"/>
      <c r="T103" s="14"/>
      <c r="U103" s="14"/>
      <c r="V103" s="12"/>
      <c r="W103" s="12"/>
      <c r="X103" s="12"/>
      <c r="Y103" s="16"/>
      <c r="Z103" s="17"/>
    </row>
    <row r="104" spans="19:26" x14ac:dyDescent="0.3">
      <c r="S104" s="14"/>
      <c r="T104" s="14"/>
      <c r="U104" s="14"/>
      <c r="V104" s="12"/>
      <c r="W104" s="12"/>
      <c r="X104" s="12"/>
      <c r="Y104" s="16"/>
      <c r="Z104" s="17"/>
    </row>
    <row r="105" spans="19:26" x14ac:dyDescent="0.3">
      <c r="S105" s="14"/>
      <c r="T105" s="14"/>
      <c r="U105" s="14"/>
      <c r="V105" s="12"/>
      <c r="W105" s="12"/>
      <c r="X105" s="12"/>
      <c r="Y105" s="16"/>
      <c r="Z105" s="17"/>
    </row>
    <row r="106" spans="19:26" x14ac:dyDescent="0.3">
      <c r="S106" s="14"/>
      <c r="T106" s="14"/>
      <c r="U106" s="14"/>
      <c r="V106" s="12"/>
      <c r="W106" s="12"/>
      <c r="X106" s="12"/>
      <c r="Y106" s="16"/>
      <c r="Z106" s="17"/>
    </row>
    <row r="107" spans="19:26" x14ac:dyDescent="0.3">
      <c r="S107" s="14"/>
      <c r="T107" s="14"/>
      <c r="U107" s="14"/>
      <c r="V107" s="12"/>
      <c r="W107" s="12"/>
      <c r="X107" s="12"/>
      <c r="Y107" s="16"/>
      <c r="Z107" s="17"/>
    </row>
    <row r="108" spans="19:26" x14ac:dyDescent="0.3">
      <c r="S108" s="14"/>
      <c r="T108" s="14"/>
      <c r="U108" s="14"/>
      <c r="V108" s="12"/>
      <c r="W108" s="12"/>
      <c r="X108" s="12"/>
      <c r="Y108" s="16"/>
      <c r="Z108" s="17"/>
    </row>
    <row r="109" spans="19:26" x14ac:dyDescent="0.3">
      <c r="S109" s="14"/>
      <c r="T109" s="14"/>
      <c r="U109" s="14"/>
      <c r="V109" s="12"/>
      <c r="W109" s="12"/>
      <c r="X109" s="12"/>
      <c r="Y109" s="16"/>
      <c r="Z109" s="17"/>
    </row>
    <row r="110" spans="19:26" x14ac:dyDescent="0.3">
      <c r="S110" s="14"/>
      <c r="T110" s="14"/>
      <c r="U110" s="14"/>
      <c r="V110" s="12"/>
      <c r="W110" s="12"/>
      <c r="X110" s="12"/>
      <c r="Y110" s="16"/>
      <c r="Z110" s="17"/>
    </row>
    <row r="111" spans="19:26" x14ac:dyDescent="0.3">
      <c r="S111" s="14"/>
      <c r="T111" s="14"/>
      <c r="U111" s="14"/>
      <c r="V111" s="12"/>
      <c r="W111" s="12"/>
      <c r="X111" s="12"/>
      <c r="Y111" s="16"/>
      <c r="Z111" s="17"/>
    </row>
    <row r="112" spans="19:26" x14ac:dyDescent="0.3">
      <c r="S112" s="14"/>
      <c r="T112" s="14"/>
      <c r="U112" s="14"/>
      <c r="V112" s="12"/>
      <c r="W112" s="12"/>
      <c r="X112" s="12"/>
      <c r="Y112" s="16"/>
      <c r="Z112" s="17"/>
    </row>
    <row r="113" spans="19:26" x14ac:dyDescent="0.3">
      <c r="S113" s="14"/>
      <c r="T113" s="14"/>
      <c r="U113" s="14"/>
      <c r="V113" s="12"/>
      <c r="W113" s="12"/>
      <c r="X113" s="12"/>
      <c r="Y113" s="16"/>
      <c r="Z113" s="17"/>
    </row>
    <row r="114" spans="19:26" x14ac:dyDescent="0.3">
      <c r="S114" s="14"/>
      <c r="T114" s="14"/>
      <c r="U114" s="14"/>
      <c r="V114" s="12"/>
      <c r="W114" s="12"/>
      <c r="X114" s="12"/>
      <c r="Y114" s="16"/>
      <c r="Z114" s="17"/>
    </row>
    <row r="115" spans="19:26" x14ac:dyDescent="0.3">
      <c r="S115" s="14"/>
      <c r="T115" s="14"/>
      <c r="U115" s="14"/>
      <c r="V115" s="12"/>
      <c r="W115" s="12"/>
      <c r="X115" s="12"/>
      <c r="Y115" s="16"/>
      <c r="Z115" s="17"/>
    </row>
    <row r="116" spans="19:26" x14ac:dyDescent="0.3">
      <c r="S116" s="14"/>
      <c r="T116" s="14"/>
      <c r="U116" s="14"/>
      <c r="V116" s="12"/>
      <c r="W116" s="12"/>
      <c r="X116" s="12"/>
      <c r="Y116" s="16"/>
      <c r="Z116" s="17"/>
    </row>
    <row r="117" spans="19:26" x14ac:dyDescent="0.3">
      <c r="S117" s="14"/>
      <c r="T117" s="14"/>
      <c r="U117" s="14"/>
      <c r="V117" s="12"/>
      <c r="W117" s="12"/>
      <c r="X117" s="12"/>
      <c r="Y117" s="16"/>
      <c r="Z117" s="17"/>
    </row>
    <row r="118" spans="19:26" x14ac:dyDescent="0.3">
      <c r="S118" s="14"/>
      <c r="T118" s="14"/>
      <c r="U118" s="14"/>
      <c r="V118" s="12"/>
      <c r="W118" s="12"/>
      <c r="X118" s="12"/>
      <c r="Y118" s="16"/>
      <c r="Z118" s="17"/>
    </row>
    <row r="119" spans="19:26" x14ac:dyDescent="0.3">
      <c r="S119" s="14"/>
      <c r="T119" s="14"/>
      <c r="U119" s="14"/>
      <c r="V119" s="12"/>
      <c r="W119" s="12"/>
      <c r="X119" s="12"/>
      <c r="Y119" s="16"/>
      <c r="Z119" s="17"/>
    </row>
    <row r="120" spans="19:26" x14ac:dyDescent="0.3">
      <c r="S120" s="14"/>
      <c r="T120" s="14"/>
      <c r="U120" s="14"/>
      <c r="V120" s="12"/>
      <c r="W120" s="12"/>
      <c r="X120" s="12"/>
      <c r="Y120" s="16"/>
      <c r="Z120" s="17"/>
    </row>
    <row r="121" spans="19:26" x14ac:dyDescent="0.3">
      <c r="S121" s="14"/>
      <c r="T121" s="14"/>
      <c r="U121" s="14"/>
      <c r="V121" s="12"/>
      <c r="W121" s="12"/>
      <c r="X121" s="12"/>
      <c r="Y121" s="16"/>
      <c r="Z121" s="17"/>
    </row>
    <row r="122" spans="19:26" x14ac:dyDescent="0.3">
      <c r="S122" s="14"/>
      <c r="T122" s="14"/>
      <c r="U122" s="14"/>
      <c r="V122" s="12"/>
      <c r="W122" s="12"/>
      <c r="X122" s="12"/>
      <c r="Y122" s="16"/>
      <c r="Z122" s="17"/>
    </row>
    <row r="123" spans="19:26" x14ac:dyDescent="0.3">
      <c r="S123" s="14"/>
      <c r="T123" s="14"/>
      <c r="U123" s="14"/>
      <c r="V123" s="12"/>
      <c r="W123" s="12"/>
      <c r="X123" s="12"/>
      <c r="Y123" s="16"/>
      <c r="Z123" s="17"/>
    </row>
    <row r="124" spans="19:26" x14ac:dyDescent="0.3">
      <c r="S124" s="14"/>
      <c r="T124" s="14"/>
      <c r="U124" s="14"/>
      <c r="V124" s="12"/>
      <c r="W124" s="12"/>
      <c r="X124" s="12"/>
      <c r="Y124" s="16"/>
      <c r="Z124" s="17"/>
    </row>
    <row r="125" spans="19:26" x14ac:dyDescent="0.3">
      <c r="S125" s="14"/>
      <c r="T125" s="14"/>
      <c r="U125" s="14"/>
      <c r="V125" s="12"/>
      <c r="W125" s="12"/>
      <c r="X125" s="12"/>
      <c r="Y125" s="16"/>
      <c r="Z125" s="17"/>
    </row>
    <row r="126" spans="19:26" x14ac:dyDescent="0.3">
      <c r="S126" s="14"/>
      <c r="T126" s="14"/>
      <c r="U126" s="14"/>
      <c r="V126" s="12"/>
      <c r="W126" s="12"/>
      <c r="X126" s="12"/>
      <c r="Y126" s="16"/>
      <c r="Z126" s="17"/>
    </row>
    <row r="127" spans="19:26" x14ac:dyDescent="0.3">
      <c r="S127" s="14"/>
      <c r="T127" s="14"/>
      <c r="U127" s="14"/>
      <c r="V127" s="12"/>
      <c r="W127" s="12"/>
      <c r="X127" s="12"/>
      <c r="Y127" s="16"/>
      <c r="Z127" s="17"/>
    </row>
    <row r="128" spans="19:26" x14ac:dyDescent="0.3">
      <c r="S128" s="14"/>
      <c r="T128" s="14"/>
      <c r="U128" s="14"/>
      <c r="V128" s="12"/>
      <c r="W128" s="12"/>
      <c r="X128" s="12"/>
      <c r="Y128" s="16"/>
      <c r="Z128" s="17"/>
    </row>
    <row r="129" spans="19:26" x14ac:dyDescent="0.3">
      <c r="S129" s="14"/>
      <c r="T129" s="14"/>
      <c r="U129" s="14"/>
      <c r="V129" s="12"/>
      <c r="W129" s="12"/>
      <c r="X129" s="12"/>
      <c r="Y129" s="16"/>
      <c r="Z129" s="17"/>
    </row>
    <row r="130" spans="19:26" x14ac:dyDescent="0.3">
      <c r="S130" s="14"/>
      <c r="T130" s="14"/>
      <c r="U130" s="14"/>
      <c r="V130" s="12"/>
      <c r="W130" s="12"/>
      <c r="X130" s="12"/>
      <c r="Y130" s="16"/>
      <c r="Z130" s="17"/>
    </row>
    <row r="131" spans="19:26" x14ac:dyDescent="0.3">
      <c r="S131" s="14"/>
      <c r="T131" s="14"/>
      <c r="U131" s="14"/>
      <c r="V131" s="12"/>
      <c r="W131" s="12"/>
      <c r="X131" s="12"/>
      <c r="Y131" s="16"/>
      <c r="Z131" s="17"/>
    </row>
    <row r="132" spans="19:26" x14ac:dyDescent="0.3">
      <c r="S132" s="14"/>
      <c r="T132" s="14"/>
      <c r="U132" s="14"/>
      <c r="V132" s="12"/>
      <c r="W132" s="12"/>
      <c r="X132" s="12"/>
      <c r="Y132" s="16"/>
      <c r="Z132" s="17"/>
    </row>
    <row r="133" spans="19:26" x14ac:dyDescent="0.3">
      <c r="S133" s="14"/>
      <c r="T133" s="14"/>
      <c r="U133" s="14"/>
      <c r="V133" s="12"/>
      <c r="W133" s="12"/>
      <c r="X133" s="12"/>
      <c r="Y133" s="16"/>
      <c r="Z133" s="17"/>
    </row>
    <row r="134" spans="19:26" x14ac:dyDescent="0.3">
      <c r="S134" s="14"/>
      <c r="T134" s="14"/>
      <c r="U134" s="14"/>
      <c r="V134" s="12"/>
      <c r="W134" s="12"/>
      <c r="X134" s="12"/>
      <c r="Y134" s="16"/>
      <c r="Z134" s="17"/>
    </row>
    <row r="135" spans="19:26" x14ac:dyDescent="0.3">
      <c r="S135" s="14"/>
      <c r="T135" s="14"/>
      <c r="U135" s="14"/>
      <c r="V135" s="12"/>
      <c r="W135" s="12"/>
      <c r="X135" s="12"/>
      <c r="Y135" s="16"/>
      <c r="Z135" s="17"/>
    </row>
    <row r="136" spans="19:26" x14ac:dyDescent="0.3">
      <c r="S136" s="14"/>
      <c r="T136" s="14"/>
      <c r="U136" s="14"/>
      <c r="V136" s="12"/>
      <c r="W136" s="12"/>
      <c r="X136" s="12"/>
      <c r="Y136" s="16"/>
      <c r="Z136" s="17"/>
    </row>
    <row r="137" spans="19:26" x14ac:dyDescent="0.3">
      <c r="S137" s="14"/>
      <c r="T137" s="14"/>
      <c r="U137" s="14"/>
      <c r="V137" s="12"/>
      <c r="W137" s="12"/>
      <c r="X137" s="12"/>
      <c r="Y137" s="16"/>
      <c r="Z137" s="17"/>
    </row>
    <row r="138" spans="19:26" x14ac:dyDescent="0.3">
      <c r="S138" s="14"/>
      <c r="T138" s="14"/>
      <c r="U138" s="14"/>
      <c r="V138" s="12"/>
      <c r="W138" s="12"/>
      <c r="X138" s="12"/>
      <c r="Y138" s="16"/>
      <c r="Z138" s="17"/>
    </row>
    <row r="139" spans="19:26" x14ac:dyDescent="0.3">
      <c r="S139" s="14"/>
      <c r="T139" s="14"/>
      <c r="U139" s="14"/>
      <c r="V139" s="12"/>
      <c r="W139" s="12"/>
      <c r="X139" s="12"/>
      <c r="Y139" s="16"/>
      <c r="Z139" s="17"/>
    </row>
    <row r="140" spans="19:26" x14ac:dyDescent="0.3">
      <c r="S140" s="14"/>
      <c r="T140" s="14"/>
      <c r="U140" s="14"/>
      <c r="V140" s="12"/>
      <c r="W140" s="12"/>
      <c r="X140" s="12"/>
      <c r="Y140" s="16"/>
      <c r="Z140" s="17"/>
    </row>
    <row r="141" spans="19:26" x14ac:dyDescent="0.3">
      <c r="S141" s="14"/>
      <c r="T141" s="14"/>
      <c r="U141" s="14"/>
      <c r="V141" s="12"/>
      <c r="W141" s="12"/>
      <c r="X141" s="12"/>
      <c r="Y141" s="16"/>
      <c r="Z141" s="17"/>
    </row>
    <row r="142" spans="19:26" x14ac:dyDescent="0.3">
      <c r="S142" s="14"/>
      <c r="T142" s="14"/>
      <c r="U142" s="14"/>
      <c r="V142" s="12"/>
      <c r="W142" s="12"/>
      <c r="X142" s="12"/>
      <c r="Y142" s="16"/>
      <c r="Z142" s="17"/>
    </row>
    <row r="143" spans="19:26" x14ac:dyDescent="0.3">
      <c r="S143" s="14"/>
      <c r="T143" s="14"/>
      <c r="U143" s="14"/>
      <c r="V143" s="12"/>
      <c r="W143" s="12"/>
      <c r="X143" s="12"/>
      <c r="Y143" s="16"/>
      <c r="Z143" s="17"/>
    </row>
    <row r="144" spans="19:26" x14ac:dyDescent="0.3">
      <c r="S144" s="14"/>
      <c r="T144" s="14"/>
      <c r="U144" s="14"/>
      <c r="V144" s="12"/>
      <c r="W144" s="12"/>
      <c r="X144" s="12"/>
      <c r="Y144" s="16"/>
      <c r="Z144" s="17"/>
    </row>
    <row r="145" spans="19:26" x14ac:dyDescent="0.3">
      <c r="S145" s="14"/>
      <c r="T145" s="14"/>
      <c r="U145" s="14"/>
      <c r="V145" s="12"/>
      <c r="W145" s="12"/>
      <c r="X145" s="12"/>
      <c r="Y145" s="16"/>
      <c r="Z145" s="17"/>
    </row>
    <row r="146" spans="19:26" x14ac:dyDescent="0.3">
      <c r="S146" s="14"/>
      <c r="T146" s="14"/>
      <c r="U146" s="14"/>
      <c r="V146" s="12"/>
      <c r="W146" s="12"/>
      <c r="X146" s="12"/>
      <c r="Y146" s="16"/>
      <c r="Z146" s="17"/>
    </row>
    <row r="147" spans="19:26" x14ac:dyDescent="0.3">
      <c r="S147" s="14"/>
      <c r="T147" s="14"/>
      <c r="U147" s="14"/>
      <c r="V147" s="12"/>
      <c r="W147" s="12"/>
      <c r="X147" s="12"/>
      <c r="Y147" s="16"/>
      <c r="Z147" s="17"/>
    </row>
    <row r="148" spans="19:26" x14ac:dyDescent="0.3">
      <c r="S148" s="14"/>
      <c r="T148" s="14"/>
      <c r="U148" s="14"/>
      <c r="V148" s="12"/>
      <c r="W148" s="12"/>
      <c r="X148" s="12"/>
      <c r="Y148" s="16"/>
      <c r="Z148" s="17"/>
    </row>
    <row r="149" spans="19:26" x14ac:dyDescent="0.3">
      <c r="S149" s="14"/>
      <c r="T149" s="14"/>
      <c r="U149" s="14"/>
      <c r="V149" s="12"/>
      <c r="W149" s="12"/>
      <c r="X149" s="12"/>
      <c r="Y149" s="16"/>
      <c r="Z149" s="17"/>
    </row>
    <row r="150" spans="19:26" x14ac:dyDescent="0.3">
      <c r="S150" s="14"/>
      <c r="T150" s="14"/>
      <c r="U150" s="14"/>
      <c r="V150" s="12"/>
      <c r="W150" s="12"/>
      <c r="X150" s="12"/>
      <c r="Y150" s="16"/>
      <c r="Z150" s="17"/>
    </row>
    <row r="151" spans="19:26" x14ac:dyDescent="0.3">
      <c r="S151" s="14"/>
      <c r="T151" s="14"/>
      <c r="U151" s="14"/>
      <c r="V151" s="12"/>
      <c r="W151" s="12"/>
      <c r="X151" s="12"/>
      <c r="Y151" s="16"/>
      <c r="Z151" s="17"/>
    </row>
    <row r="152" spans="19:26" x14ac:dyDescent="0.3">
      <c r="S152" s="14"/>
      <c r="T152" s="14"/>
      <c r="U152" s="14"/>
      <c r="V152" s="12"/>
      <c r="W152" s="12"/>
      <c r="X152" s="12"/>
      <c r="Y152" s="16"/>
      <c r="Z152" s="17"/>
    </row>
    <row r="153" spans="19:26" x14ac:dyDescent="0.3">
      <c r="S153" s="14"/>
      <c r="T153" s="14"/>
      <c r="U153" s="14"/>
      <c r="V153" s="12"/>
      <c r="W153" s="12"/>
      <c r="X153" s="12"/>
      <c r="Y153" s="16"/>
      <c r="Z153" s="17"/>
    </row>
    <row r="154" spans="19:26" x14ac:dyDescent="0.3">
      <c r="S154" s="14"/>
      <c r="T154" s="14"/>
      <c r="U154" s="14"/>
      <c r="V154" s="12"/>
      <c r="W154" s="12"/>
      <c r="X154" s="12"/>
      <c r="Y154" s="16"/>
      <c r="Z154" s="17"/>
    </row>
    <row r="155" spans="19:26" x14ac:dyDescent="0.3">
      <c r="S155" s="14"/>
      <c r="T155" s="14"/>
      <c r="U155" s="14"/>
      <c r="V155" s="12"/>
      <c r="W155" s="12"/>
      <c r="X155" s="12"/>
      <c r="Y155" s="16"/>
      <c r="Z155" s="17"/>
    </row>
    <row r="156" spans="19:26" x14ac:dyDescent="0.3">
      <c r="S156" s="14"/>
      <c r="T156" s="14"/>
      <c r="U156" s="14"/>
      <c r="V156" s="12"/>
      <c r="W156" s="12"/>
      <c r="X156" s="12"/>
      <c r="Y156" s="16"/>
      <c r="Z156" s="17"/>
    </row>
    <row r="157" spans="19:26" x14ac:dyDescent="0.3">
      <c r="S157" s="14"/>
      <c r="T157" s="14"/>
      <c r="U157" s="14"/>
      <c r="V157" s="12"/>
      <c r="W157" s="12"/>
      <c r="X157" s="12"/>
      <c r="Y157" s="16"/>
      <c r="Z157" s="17"/>
    </row>
    <row r="158" spans="19:26" x14ac:dyDescent="0.3">
      <c r="S158" s="14"/>
      <c r="T158" s="14"/>
      <c r="U158" s="14"/>
      <c r="V158" s="12"/>
      <c r="W158" s="12"/>
      <c r="X158" s="12"/>
      <c r="Y158" s="16"/>
      <c r="Z158" s="17"/>
    </row>
    <row r="159" spans="19:26" x14ac:dyDescent="0.3">
      <c r="S159" s="14"/>
      <c r="T159" s="14"/>
      <c r="U159" s="14"/>
      <c r="V159" s="12"/>
      <c r="W159" s="12"/>
      <c r="X159" s="12"/>
      <c r="Y159" s="16"/>
      <c r="Z159" s="17"/>
    </row>
    <row r="160" spans="19:26" x14ac:dyDescent="0.3">
      <c r="S160" s="14"/>
      <c r="T160" s="14"/>
      <c r="U160" s="14"/>
      <c r="V160" s="12"/>
      <c r="W160" s="12"/>
      <c r="X160" s="12"/>
      <c r="Y160" s="16"/>
      <c r="Z160" s="17"/>
    </row>
    <row r="161" spans="19:26" x14ac:dyDescent="0.3">
      <c r="S161" s="14"/>
      <c r="T161" s="14"/>
      <c r="U161" s="14"/>
      <c r="V161" s="12"/>
      <c r="W161" s="12"/>
      <c r="X161" s="12"/>
      <c r="Y161" s="16"/>
      <c r="Z161" s="17"/>
    </row>
    <row r="162" spans="19:26" x14ac:dyDescent="0.3">
      <c r="S162" s="14"/>
      <c r="T162" s="14"/>
      <c r="U162" s="14"/>
      <c r="V162" s="12"/>
      <c r="W162" s="12"/>
      <c r="X162" s="12"/>
      <c r="Y162" s="16"/>
      <c r="Z162" s="17"/>
    </row>
    <row r="163" spans="19:26" x14ac:dyDescent="0.3">
      <c r="S163" s="14"/>
      <c r="T163" s="14"/>
      <c r="U163" s="14"/>
      <c r="V163" s="12"/>
      <c r="W163" s="12"/>
      <c r="X163" s="12"/>
      <c r="Y163" s="16"/>
      <c r="Z163" s="17"/>
    </row>
    <row r="164" spans="19:26" x14ac:dyDescent="0.3">
      <c r="S164" s="14"/>
      <c r="T164" s="14"/>
      <c r="U164" s="14"/>
      <c r="V164" s="12"/>
      <c r="W164" s="12"/>
      <c r="X164" s="12"/>
      <c r="Y164" s="16"/>
      <c r="Z164" s="17"/>
    </row>
    <row r="165" spans="19:26" x14ac:dyDescent="0.3">
      <c r="S165" s="14"/>
      <c r="T165" s="14"/>
      <c r="U165" s="14"/>
      <c r="V165" s="12"/>
      <c r="W165" s="12"/>
      <c r="X165" s="12"/>
      <c r="Y165" s="16"/>
      <c r="Z165" s="17"/>
    </row>
    <row r="166" spans="19:26" x14ac:dyDescent="0.3">
      <c r="S166" s="14"/>
      <c r="T166" s="14"/>
      <c r="U166" s="14"/>
      <c r="V166" s="12"/>
      <c r="W166" s="12"/>
      <c r="X166" s="12"/>
      <c r="Y166" s="16"/>
      <c r="Z166" s="17"/>
    </row>
    <row r="167" spans="19:26" x14ac:dyDescent="0.3">
      <c r="S167" s="14"/>
      <c r="T167" s="14"/>
      <c r="U167" s="14"/>
      <c r="V167" s="12"/>
      <c r="W167" s="12"/>
      <c r="X167" s="12"/>
      <c r="Y167" s="16"/>
      <c r="Z167" s="17"/>
    </row>
    <row r="168" spans="19:26" x14ac:dyDescent="0.3">
      <c r="S168" s="14"/>
      <c r="T168" s="14"/>
      <c r="U168" s="14"/>
      <c r="V168" s="12"/>
      <c r="W168" s="12"/>
      <c r="X168" s="12"/>
      <c r="Y168" s="16"/>
      <c r="Z168" s="17"/>
    </row>
    <row r="169" spans="19:26" x14ac:dyDescent="0.3">
      <c r="S169" s="14"/>
      <c r="T169" s="14"/>
      <c r="U169" s="14"/>
      <c r="V169" s="12"/>
      <c r="W169" s="12"/>
      <c r="X169" s="12"/>
      <c r="Y169" s="16"/>
      <c r="Z169" s="17"/>
    </row>
    <row r="170" spans="19:26" x14ac:dyDescent="0.3">
      <c r="S170" s="14"/>
      <c r="T170" s="14"/>
      <c r="U170" s="14"/>
      <c r="V170" s="12"/>
      <c r="W170" s="12"/>
      <c r="X170" s="12"/>
      <c r="Y170" s="16"/>
      <c r="Z170" s="17"/>
    </row>
    <row r="171" spans="19:26" x14ac:dyDescent="0.3">
      <c r="S171" s="14"/>
      <c r="T171" s="14"/>
      <c r="U171" s="14"/>
      <c r="V171" s="12"/>
      <c r="W171" s="12"/>
      <c r="X171" s="12"/>
      <c r="Y171" s="16"/>
      <c r="Z171" s="17"/>
    </row>
    <row r="172" spans="19:26" x14ac:dyDescent="0.3">
      <c r="S172" s="14"/>
      <c r="T172" s="14"/>
      <c r="U172" s="14"/>
      <c r="V172" s="12"/>
      <c r="W172" s="12"/>
      <c r="X172" s="12"/>
      <c r="Y172" s="16"/>
      <c r="Z172" s="17"/>
    </row>
    <row r="173" spans="19:26" x14ac:dyDescent="0.3">
      <c r="S173" s="14"/>
      <c r="T173" s="14"/>
      <c r="U173" s="14"/>
      <c r="V173" s="12"/>
      <c r="W173" s="12"/>
      <c r="X173" s="12"/>
      <c r="Y173" s="16"/>
      <c r="Z173" s="17"/>
    </row>
    <row r="174" spans="19:26" x14ac:dyDescent="0.3">
      <c r="S174" s="14"/>
      <c r="T174" s="14"/>
      <c r="U174" s="14"/>
      <c r="V174" s="12"/>
      <c r="W174" s="12"/>
      <c r="X174" s="12"/>
      <c r="Y174" s="16"/>
      <c r="Z174" s="17"/>
    </row>
    <row r="175" spans="19:26" x14ac:dyDescent="0.3">
      <c r="S175" s="14"/>
      <c r="T175" s="14"/>
      <c r="U175" s="14"/>
      <c r="V175" s="12"/>
      <c r="W175" s="12"/>
      <c r="X175" s="12"/>
      <c r="Y175" s="16"/>
      <c r="Z175" s="17"/>
    </row>
    <row r="176" spans="19:26" x14ac:dyDescent="0.3">
      <c r="S176" s="14"/>
      <c r="T176" s="14"/>
      <c r="U176" s="14"/>
      <c r="V176" s="12"/>
      <c r="W176" s="12"/>
      <c r="X176" s="12"/>
      <c r="Y176" s="16"/>
      <c r="Z176" s="17"/>
    </row>
    <row r="177" spans="19:26" x14ac:dyDescent="0.3">
      <c r="S177" s="14"/>
      <c r="T177" s="14"/>
      <c r="U177" s="14"/>
      <c r="V177" s="12"/>
      <c r="W177" s="12"/>
      <c r="X177" s="12"/>
      <c r="Y177" s="16"/>
      <c r="Z177" s="17"/>
    </row>
    <row r="178" spans="19:26" x14ac:dyDescent="0.3">
      <c r="S178" s="14"/>
      <c r="T178" s="14"/>
      <c r="U178" s="14"/>
      <c r="V178" s="12"/>
      <c r="W178" s="12"/>
      <c r="X178" s="12"/>
      <c r="Y178" s="16"/>
      <c r="Z178" s="17"/>
    </row>
    <row r="179" spans="19:26" x14ac:dyDescent="0.3">
      <c r="S179" s="14"/>
      <c r="T179" s="14"/>
      <c r="U179" s="14"/>
      <c r="V179" s="12"/>
      <c r="W179" s="12"/>
      <c r="X179" s="12"/>
      <c r="Y179" s="16"/>
      <c r="Z179" s="17"/>
    </row>
    <row r="180" spans="19:26" x14ac:dyDescent="0.3">
      <c r="S180" s="14"/>
      <c r="T180" s="14"/>
      <c r="U180" s="14"/>
      <c r="V180" s="12"/>
      <c r="W180" s="12"/>
      <c r="X180" s="12"/>
      <c r="Y180" s="16"/>
      <c r="Z180" s="17"/>
    </row>
    <row r="181" spans="19:26" x14ac:dyDescent="0.3">
      <c r="S181" s="14"/>
      <c r="T181" s="14"/>
      <c r="U181" s="14"/>
      <c r="V181" s="12"/>
      <c r="W181" s="12"/>
      <c r="X181" s="12"/>
      <c r="Y181" s="16"/>
      <c r="Z181" s="17"/>
    </row>
    <row r="182" spans="19:26" x14ac:dyDescent="0.3">
      <c r="S182" s="14"/>
      <c r="T182" s="14"/>
      <c r="U182" s="14"/>
      <c r="V182" s="12"/>
      <c r="W182" s="12"/>
      <c r="X182" s="12"/>
      <c r="Y182" s="16"/>
      <c r="Z182" s="17"/>
    </row>
    <row r="183" spans="19:26" x14ac:dyDescent="0.3">
      <c r="S183" s="14"/>
      <c r="T183" s="14"/>
      <c r="U183" s="14"/>
      <c r="V183" s="12"/>
      <c r="W183" s="12"/>
      <c r="X183" s="12"/>
      <c r="Y183" s="16"/>
      <c r="Z183" s="17"/>
    </row>
    <row r="184" spans="19:26" x14ac:dyDescent="0.3">
      <c r="S184" s="14"/>
      <c r="T184" s="14"/>
      <c r="U184" s="14"/>
      <c r="V184" s="12"/>
      <c r="W184" s="12"/>
      <c r="X184" s="12"/>
      <c r="Y184" s="16"/>
      <c r="Z184" s="17"/>
    </row>
    <row r="185" spans="19:26" x14ac:dyDescent="0.3">
      <c r="S185" s="14"/>
      <c r="T185" s="14"/>
      <c r="U185" s="14"/>
      <c r="V185" s="12"/>
      <c r="W185" s="12"/>
      <c r="X185" s="12"/>
      <c r="Y185" s="16"/>
      <c r="Z185" s="17"/>
    </row>
    <row r="186" spans="19:26" x14ac:dyDescent="0.3">
      <c r="S186" s="14"/>
      <c r="T186" s="14"/>
      <c r="U186" s="14"/>
      <c r="V186" s="12"/>
      <c r="W186" s="12"/>
      <c r="X186" s="12"/>
      <c r="Y186" s="16"/>
      <c r="Z186" s="17"/>
    </row>
    <row r="187" spans="19:26" x14ac:dyDescent="0.3">
      <c r="S187" s="14"/>
      <c r="T187" s="14"/>
      <c r="U187" s="14"/>
      <c r="V187" s="12"/>
      <c r="W187" s="12"/>
      <c r="X187" s="12"/>
      <c r="Y187" s="16"/>
      <c r="Z187" s="17"/>
    </row>
    <row r="188" spans="19:26" x14ac:dyDescent="0.3">
      <c r="S188" s="14"/>
      <c r="T188" s="14"/>
      <c r="U188" s="14"/>
      <c r="V188" s="12"/>
      <c r="W188" s="12"/>
      <c r="X188" s="12"/>
      <c r="Y188" s="16"/>
      <c r="Z188" s="17"/>
    </row>
    <row r="189" spans="19:26" x14ac:dyDescent="0.3">
      <c r="S189" s="14"/>
      <c r="T189" s="14"/>
      <c r="U189" s="14"/>
      <c r="V189" s="12"/>
      <c r="W189" s="12"/>
      <c r="X189" s="12"/>
      <c r="Y189" s="16"/>
      <c r="Z189" s="17"/>
    </row>
    <row r="190" spans="19:26" x14ac:dyDescent="0.3">
      <c r="S190" s="14"/>
      <c r="T190" s="14"/>
      <c r="U190" s="14"/>
      <c r="V190" s="12"/>
      <c r="W190" s="12"/>
      <c r="X190" s="12"/>
      <c r="Y190" s="16"/>
      <c r="Z190" s="17"/>
    </row>
    <row r="191" spans="19:26" x14ac:dyDescent="0.3">
      <c r="S191" s="14"/>
      <c r="T191" s="14"/>
      <c r="U191" s="14"/>
      <c r="V191" s="12"/>
      <c r="W191" s="12"/>
      <c r="X191" s="12"/>
      <c r="Y191" s="16"/>
      <c r="Z191" s="17"/>
    </row>
    <row r="192" spans="19:26" x14ac:dyDescent="0.3">
      <c r="S192" s="14"/>
      <c r="T192" s="14"/>
      <c r="U192" s="14"/>
      <c r="V192" s="12"/>
      <c r="W192" s="12"/>
      <c r="X192" s="12"/>
      <c r="Y192" s="16"/>
      <c r="Z192" s="17"/>
    </row>
    <row r="193" spans="19:26" x14ac:dyDescent="0.3">
      <c r="S193" s="14"/>
      <c r="T193" s="14"/>
      <c r="U193" s="14"/>
      <c r="V193" s="12"/>
      <c r="W193" s="12"/>
      <c r="X193" s="12"/>
      <c r="Y193" s="16"/>
      <c r="Z193" s="17"/>
    </row>
    <row r="194" spans="19:26" x14ac:dyDescent="0.3">
      <c r="S194" s="14"/>
      <c r="T194" s="14"/>
      <c r="U194" s="14"/>
      <c r="V194" s="12"/>
      <c r="W194" s="12"/>
      <c r="X194" s="12"/>
      <c r="Y194" s="16"/>
      <c r="Z194" s="17"/>
    </row>
    <row r="195" spans="19:26" x14ac:dyDescent="0.3">
      <c r="S195" s="14"/>
      <c r="T195" s="14"/>
      <c r="U195" s="14"/>
      <c r="V195" s="12"/>
      <c r="W195" s="12"/>
      <c r="X195" s="12"/>
      <c r="Y195" s="16"/>
      <c r="Z195" s="17"/>
    </row>
    <row r="196" spans="19:26" x14ac:dyDescent="0.3">
      <c r="S196" s="14"/>
      <c r="T196" s="14"/>
      <c r="U196" s="14"/>
      <c r="V196" s="12"/>
      <c r="W196" s="12"/>
      <c r="X196" s="12"/>
      <c r="Y196" s="16"/>
      <c r="Z196" s="17"/>
    </row>
    <row r="197" spans="19:26" x14ac:dyDescent="0.3">
      <c r="S197" s="14"/>
      <c r="T197" s="14"/>
      <c r="U197" s="14"/>
      <c r="V197" s="12"/>
      <c r="W197" s="12"/>
      <c r="X197" s="12"/>
      <c r="Y197" s="16"/>
      <c r="Z197" s="17"/>
    </row>
    <row r="198" spans="19:26" x14ac:dyDescent="0.3">
      <c r="S198" s="14"/>
      <c r="T198" s="14"/>
      <c r="U198" s="14"/>
      <c r="V198" s="12"/>
      <c r="W198" s="12"/>
      <c r="X198" s="12"/>
      <c r="Y198" s="16"/>
      <c r="Z198" s="17"/>
    </row>
    <row r="199" spans="19:26" x14ac:dyDescent="0.3">
      <c r="S199" s="14"/>
      <c r="T199" s="14"/>
      <c r="U199" s="14"/>
      <c r="V199" s="12"/>
      <c r="W199" s="12"/>
      <c r="X199" s="12"/>
      <c r="Y199" s="16"/>
      <c r="Z199" s="17"/>
    </row>
    <row r="200" spans="19:26" x14ac:dyDescent="0.3">
      <c r="S200" s="14"/>
      <c r="T200" s="14"/>
      <c r="U200" s="14"/>
      <c r="V200" s="12"/>
      <c r="W200" s="12"/>
      <c r="X200" s="12"/>
      <c r="Y200" s="16"/>
      <c r="Z200" s="17"/>
    </row>
    <row r="201" spans="19:26" x14ac:dyDescent="0.3">
      <c r="S201" s="14"/>
      <c r="T201" s="14"/>
      <c r="U201" s="14"/>
      <c r="V201" s="12"/>
      <c r="W201" s="12"/>
      <c r="X201" s="12"/>
      <c r="Y201" s="16"/>
      <c r="Z201" s="17"/>
    </row>
    <row r="202" spans="19:26" x14ac:dyDescent="0.3">
      <c r="S202" s="14"/>
      <c r="T202" s="14"/>
      <c r="U202" s="14"/>
      <c r="V202" s="12"/>
      <c r="W202" s="12"/>
      <c r="X202" s="12"/>
      <c r="Y202" s="16"/>
      <c r="Z202" s="17"/>
    </row>
    <row r="203" spans="19:26" x14ac:dyDescent="0.3">
      <c r="S203" s="14"/>
      <c r="T203" s="14"/>
      <c r="U203" s="14"/>
      <c r="V203" s="12"/>
      <c r="W203" s="12"/>
      <c r="X203" s="12"/>
      <c r="Y203" s="16"/>
      <c r="Z203" s="17"/>
    </row>
    <row r="204" spans="19:26" x14ac:dyDescent="0.3">
      <c r="S204" s="14"/>
      <c r="T204" s="14"/>
      <c r="U204" s="14"/>
      <c r="V204" s="12"/>
      <c r="W204" s="12"/>
      <c r="X204" s="12"/>
      <c r="Y204" s="16"/>
      <c r="Z204" s="17"/>
    </row>
    <row r="205" spans="19:26" x14ac:dyDescent="0.3">
      <c r="S205" s="14"/>
      <c r="T205" s="14"/>
      <c r="U205" s="14"/>
      <c r="V205" s="12"/>
      <c r="W205" s="12"/>
      <c r="X205" s="12"/>
      <c r="Y205" s="16"/>
      <c r="Z205" s="17"/>
    </row>
    <row r="206" spans="19:26" x14ac:dyDescent="0.3">
      <c r="S206" s="14"/>
      <c r="T206" s="14"/>
      <c r="U206" s="14"/>
      <c r="V206" s="12"/>
      <c r="W206" s="12"/>
      <c r="X206" s="12"/>
      <c r="Y206" s="16"/>
      <c r="Z206" s="17"/>
    </row>
    <row r="207" spans="19:26" x14ac:dyDescent="0.3">
      <c r="S207" s="14"/>
      <c r="T207" s="14"/>
      <c r="U207" s="14"/>
      <c r="V207" s="12"/>
      <c r="W207" s="12"/>
      <c r="X207" s="12"/>
      <c r="Y207" s="16"/>
      <c r="Z207" s="17"/>
    </row>
    <row r="208" spans="19:26" x14ac:dyDescent="0.3">
      <c r="S208" s="14"/>
      <c r="T208" s="14"/>
      <c r="U208" s="14"/>
      <c r="V208" s="12"/>
      <c r="W208" s="12"/>
      <c r="X208" s="12"/>
      <c r="Y208" s="16"/>
      <c r="Z208" s="17"/>
    </row>
    <row r="209" spans="19:26" x14ac:dyDescent="0.3">
      <c r="S209" s="14"/>
      <c r="T209" s="14"/>
      <c r="U209" s="14"/>
      <c r="V209" s="12"/>
      <c r="W209" s="12"/>
      <c r="X209" s="12"/>
      <c r="Y209" s="16"/>
      <c r="Z209" s="17"/>
    </row>
    <row r="210" spans="19:26" x14ac:dyDescent="0.3">
      <c r="S210" s="14"/>
      <c r="T210" s="14"/>
      <c r="U210" s="14"/>
      <c r="V210" s="12"/>
      <c r="W210" s="12"/>
      <c r="X210" s="12"/>
      <c r="Y210" s="16"/>
      <c r="Z210" s="17"/>
    </row>
    <row r="211" spans="19:26" x14ac:dyDescent="0.3">
      <c r="S211" s="14"/>
      <c r="T211" s="14"/>
      <c r="U211" s="14"/>
      <c r="V211" s="12"/>
      <c r="W211" s="12"/>
      <c r="X211" s="12"/>
      <c r="Y211" s="16"/>
      <c r="Z211" s="17"/>
    </row>
    <row r="212" spans="19:26" x14ac:dyDescent="0.3">
      <c r="S212" s="14"/>
      <c r="T212" s="14"/>
      <c r="U212" s="14"/>
      <c r="V212" s="12"/>
      <c r="W212" s="12"/>
      <c r="X212" s="12"/>
      <c r="Y212" s="16"/>
      <c r="Z212" s="17"/>
    </row>
    <row r="213" spans="19:26" x14ac:dyDescent="0.3">
      <c r="S213" s="14"/>
      <c r="T213" s="14"/>
      <c r="U213" s="14"/>
      <c r="V213" s="12"/>
      <c r="W213" s="12"/>
      <c r="X213" s="12"/>
      <c r="Y213" s="16"/>
      <c r="Z213" s="17"/>
    </row>
    <row r="214" spans="19:26" x14ac:dyDescent="0.3">
      <c r="S214" s="14"/>
      <c r="T214" s="14"/>
      <c r="U214" s="14"/>
      <c r="V214" s="12"/>
      <c r="W214" s="12"/>
      <c r="X214" s="12"/>
      <c r="Y214" s="16"/>
      <c r="Z214" s="17"/>
    </row>
    <row r="215" spans="19:26" x14ac:dyDescent="0.3">
      <c r="S215" s="14"/>
      <c r="T215" s="14"/>
      <c r="U215" s="14"/>
      <c r="V215" s="12"/>
      <c r="W215" s="12"/>
      <c r="X215" s="12"/>
      <c r="Y215" s="16"/>
      <c r="Z215" s="17"/>
    </row>
    <row r="216" spans="19:26" x14ac:dyDescent="0.3">
      <c r="S216" s="14"/>
      <c r="T216" s="14"/>
      <c r="U216" s="14"/>
      <c r="V216" s="12"/>
      <c r="W216" s="12"/>
      <c r="X216" s="12"/>
      <c r="Y216" s="16"/>
      <c r="Z216" s="17"/>
    </row>
    <row r="217" spans="19:26" x14ac:dyDescent="0.3">
      <c r="S217" s="14"/>
      <c r="T217" s="14"/>
      <c r="U217" s="14"/>
      <c r="V217" s="12"/>
      <c r="W217" s="12"/>
      <c r="X217" s="12"/>
      <c r="Y217" s="16"/>
      <c r="Z217" s="17"/>
    </row>
    <row r="218" spans="19:26" x14ac:dyDescent="0.3">
      <c r="S218" s="14"/>
      <c r="T218" s="14"/>
      <c r="U218" s="14"/>
      <c r="V218" s="12"/>
      <c r="W218" s="12"/>
      <c r="X218" s="12"/>
      <c r="Y218" s="16"/>
      <c r="Z218" s="17"/>
    </row>
    <row r="219" spans="19:26" x14ac:dyDescent="0.3">
      <c r="S219" s="14"/>
      <c r="T219" s="14"/>
      <c r="U219" s="14"/>
      <c r="V219" s="12"/>
      <c r="W219" s="12"/>
      <c r="X219" s="12"/>
      <c r="Y219" s="16"/>
      <c r="Z219" s="17"/>
    </row>
    <row r="220" spans="19:26" x14ac:dyDescent="0.3">
      <c r="S220" s="14"/>
      <c r="T220" s="14"/>
      <c r="U220" s="14"/>
      <c r="V220" s="12"/>
      <c r="W220" s="12"/>
      <c r="X220" s="12"/>
      <c r="Y220" s="16"/>
      <c r="Z220" s="17"/>
    </row>
    <row r="221" spans="19:26" x14ac:dyDescent="0.3">
      <c r="S221" s="14"/>
      <c r="T221" s="14"/>
      <c r="U221" s="14"/>
      <c r="V221" s="12"/>
      <c r="W221" s="12"/>
      <c r="X221" s="12"/>
      <c r="Y221" s="16"/>
      <c r="Z221" s="17"/>
    </row>
    <row r="222" spans="19:26" x14ac:dyDescent="0.3">
      <c r="S222" s="14"/>
      <c r="T222" s="14"/>
      <c r="U222" s="14"/>
      <c r="V222" s="12"/>
      <c r="W222" s="12"/>
      <c r="X222" s="12"/>
      <c r="Y222" s="16"/>
      <c r="Z222" s="17"/>
    </row>
    <row r="223" spans="19:26" x14ac:dyDescent="0.3">
      <c r="S223" s="14"/>
      <c r="T223" s="14"/>
      <c r="U223" s="14"/>
      <c r="V223" s="12"/>
      <c r="W223" s="12"/>
      <c r="X223" s="12"/>
      <c r="Y223" s="16"/>
      <c r="Z223" s="17"/>
    </row>
    <row r="224" spans="19:26" x14ac:dyDescent="0.3">
      <c r="S224" s="14"/>
      <c r="T224" s="14"/>
      <c r="U224" s="14"/>
      <c r="V224" s="12"/>
      <c r="W224" s="12"/>
      <c r="X224" s="12"/>
      <c r="Y224" s="16"/>
      <c r="Z224" s="17"/>
    </row>
    <row r="225" spans="19:26" x14ac:dyDescent="0.3">
      <c r="S225" s="14"/>
      <c r="T225" s="14"/>
      <c r="U225" s="14"/>
      <c r="V225" s="12"/>
      <c r="W225" s="12"/>
      <c r="X225" s="12"/>
      <c r="Y225" s="16"/>
      <c r="Z225" s="17"/>
    </row>
    <row r="226" spans="19:26" x14ac:dyDescent="0.3">
      <c r="S226" s="14"/>
      <c r="T226" s="14"/>
      <c r="U226" s="14"/>
      <c r="V226" s="12"/>
      <c r="W226" s="12"/>
      <c r="X226" s="12"/>
      <c r="Y226" s="16"/>
      <c r="Z226" s="17"/>
    </row>
    <row r="227" spans="19:26" x14ac:dyDescent="0.3">
      <c r="S227" s="14"/>
      <c r="T227" s="14"/>
      <c r="U227" s="14"/>
      <c r="V227" s="12"/>
      <c r="W227" s="12"/>
      <c r="X227" s="12"/>
      <c r="Y227" s="16"/>
      <c r="Z227" s="17"/>
    </row>
    <row r="228" spans="19:26" x14ac:dyDescent="0.3">
      <c r="S228" s="14"/>
      <c r="T228" s="14"/>
      <c r="U228" s="14"/>
      <c r="V228" s="12"/>
      <c r="W228" s="12"/>
      <c r="X228" s="12"/>
      <c r="Y228" s="16"/>
      <c r="Z228" s="17"/>
    </row>
    <row r="229" spans="19:26" x14ac:dyDescent="0.3">
      <c r="S229" s="14"/>
      <c r="T229" s="14"/>
      <c r="U229" s="14"/>
      <c r="V229" s="12"/>
      <c r="W229" s="12"/>
      <c r="X229" s="12"/>
      <c r="Y229" s="16"/>
      <c r="Z229" s="17"/>
    </row>
    <row r="230" spans="19:26" x14ac:dyDescent="0.3">
      <c r="S230" s="14"/>
      <c r="T230" s="14"/>
      <c r="U230" s="14"/>
      <c r="V230" s="12"/>
      <c r="W230" s="12"/>
      <c r="X230" s="12"/>
      <c r="Y230" s="16"/>
      <c r="Z230" s="17"/>
    </row>
    <row r="231" spans="19:26" x14ac:dyDescent="0.3">
      <c r="S231" s="14"/>
      <c r="T231" s="14"/>
      <c r="U231" s="14"/>
      <c r="V231" s="12"/>
      <c r="W231" s="12"/>
      <c r="X231" s="12"/>
      <c r="Y231" s="16"/>
      <c r="Z231" s="17"/>
    </row>
    <row r="232" spans="19:26" x14ac:dyDescent="0.3">
      <c r="S232" s="14"/>
      <c r="T232" s="14"/>
      <c r="U232" s="14"/>
      <c r="V232" s="12"/>
      <c r="W232" s="12"/>
      <c r="X232" s="12"/>
      <c r="Y232" s="16"/>
      <c r="Z232" s="17"/>
    </row>
    <row r="233" spans="19:26" x14ac:dyDescent="0.3">
      <c r="S233" s="14"/>
      <c r="T233" s="14"/>
      <c r="U233" s="14"/>
      <c r="V233" s="12"/>
      <c r="W233" s="12"/>
      <c r="X233" s="12"/>
      <c r="Y233" s="16"/>
      <c r="Z233" s="17"/>
    </row>
    <row r="234" spans="19:26" x14ac:dyDescent="0.3">
      <c r="S234" s="14"/>
      <c r="T234" s="14"/>
      <c r="U234" s="14"/>
      <c r="V234" s="12"/>
      <c r="W234" s="12"/>
      <c r="X234" s="12"/>
      <c r="Y234" s="16"/>
      <c r="Z234" s="17"/>
    </row>
    <row r="235" spans="19:26" x14ac:dyDescent="0.3">
      <c r="S235" s="14"/>
      <c r="T235" s="14"/>
      <c r="U235" s="14"/>
      <c r="V235" s="12"/>
      <c r="W235" s="12"/>
      <c r="X235" s="12"/>
      <c r="Y235" s="16"/>
      <c r="Z235" s="17"/>
    </row>
    <row r="236" spans="19:26" x14ac:dyDescent="0.3">
      <c r="S236" s="14"/>
      <c r="T236" s="14"/>
      <c r="U236" s="14"/>
      <c r="V236" s="12"/>
      <c r="W236" s="12"/>
      <c r="X236" s="12"/>
      <c r="Y236" s="16"/>
      <c r="Z236" s="17"/>
    </row>
    <row r="237" spans="19:26" x14ac:dyDescent="0.3">
      <c r="S237" s="14"/>
      <c r="T237" s="14"/>
      <c r="U237" s="14"/>
      <c r="V237" s="12"/>
      <c r="W237" s="12"/>
      <c r="X237" s="12"/>
      <c r="Y237" s="16"/>
      <c r="Z237" s="17"/>
    </row>
    <row r="238" spans="19:26" x14ac:dyDescent="0.3">
      <c r="S238" s="14"/>
      <c r="T238" s="14"/>
      <c r="U238" s="14"/>
      <c r="V238" s="12"/>
      <c r="W238" s="12"/>
      <c r="X238" s="12"/>
      <c r="Y238" s="16"/>
      <c r="Z238" s="17"/>
    </row>
    <row r="239" spans="19:26" x14ac:dyDescent="0.3">
      <c r="S239" s="14"/>
      <c r="T239" s="14"/>
      <c r="U239" s="14"/>
      <c r="V239" s="12"/>
      <c r="W239" s="12"/>
      <c r="X239" s="12"/>
      <c r="Y239" s="16"/>
      <c r="Z239" s="17"/>
    </row>
    <row r="240" spans="19:26" x14ac:dyDescent="0.3">
      <c r="S240" s="14"/>
      <c r="T240" s="14"/>
      <c r="U240" s="14"/>
      <c r="V240" s="12"/>
      <c r="W240" s="12"/>
      <c r="X240" s="12"/>
      <c r="Y240" s="16"/>
      <c r="Z240" s="17"/>
    </row>
    <row r="241" spans="19:26" x14ac:dyDescent="0.3">
      <c r="S241" s="14"/>
      <c r="T241" s="14"/>
      <c r="U241" s="14"/>
      <c r="V241" s="12"/>
      <c r="W241" s="12"/>
      <c r="X241" s="12"/>
      <c r="Y241" s="16"/>
      <c r="Z241" s="17"/>
    </row>
    <row r="242" spans="19:26" x14ac:dyDescent="0.3">
      <c r="S242" s="14"/>
      <c r="T242" s="14"/>
      <c r="U242" s="14"/>
      <c r="V242" s="12"/>
      <c r="W242" s="12"/>
      <c r="X242" s="12"/>
      <c r="Y242" s="16"/>
      <c r="Z242" s="17"/>
    </row>
    <row r="243" spans="19:26" x14ac:dyDescent="0.3">
      <c r="S243" s="14"/>
      <c r="T243" s="14"/>
      <c r="U243" s="14"/>
      <c r="V243" s="12"/>
      <c r="W243" s="12"/>
      <c r="X243" s="12"/>
      <c r="Y243" s="16"/>
      <c r="Z243" s="17"/>
    </row>
    <row r="244" spans="19:26" x14ac:dyDescent="0.3">
      <c r="S244" s="14"/>
      <c r="T244" s="14"/>
      <c r="U244" s="14"/>
      <c r="V244" s="12"/>
      <c r="W244" s="12"/>
      <c r="X244" s="12"/>
      <c r="Y244" s="16"/>
      <c r="Z244" s="17"/>
    </row>
    <row r="245" spans="19:26" x14ac:dyDescent="0.3">
      <c r="S245" s="14"/>
      <c r="T245" s="14"/>
      <c r="U245" s="14"/>
      <c r="V245" s="12"/>
      <c r="W245" s="12"/>
      <c r="X245" s="12"/>
      <c r="Y245" s="16"/>
      <c r="Z245" s="17"/>
    </row>
    <row r="246" spans="19:26" x14ac:dyDescent="0.3">
      <c r="S246" s="14"/>
      <c r="T246" s="14"/>
      <c r="U246" s="14"/>
      <c r="V246" s="12"/>
      <c r="W246" s="12"/>
      <c r="X246" s="12"/>
      <c r="Y246" s="16"/>
      <c r="Z246" s="17"/>
    </row>
    <row r="247" spans="19:26" x14ac:dyDescent="0.3">
      <c r="S247" s="14"/>
      <c r="T247" s="14"/>
      <c r="U247" s="14"/>
      <c r="V247" s="12"/>
      <c r="W247" s="12"/>
      <c r="X247" s="12"/>
      <c r="Y247" s="16"/>
      <c r="Z247" s="17"/>
    </row>
    <row r="248" spans="19:26" x14ac:dyDescent="0.3">
      <c r="S248" s="14"/>
      <c r="T248" s="14"/>
      <c r="U248" s="14"/>
      <c r="V248" s="12"/>
      <c r="W248" s="12"/>
      <c r="X248" s="12"/>
      <c r="Y248" s="16"/>
      <c r="Z248" s="17"/>
    </row>
    <row r="249" spans="19:26" x14ac:dyDescent="0.3">
      <c r="S249" s="14"/>
      <c r="T249" s="14"/>
      <c r="U249" s="14"/>
      <c r="V249" s="12"/>
      <c r="W249" s="12"/>
      <c r="X249" s="12"/>
      <c r="Y249" s="16"/>
      <c r="Z249" s="17"/>
    </row>
    <row r="250" spans="19:26" x14ac:dyDescent="0.3">
      <c r="S250" s="14"/>
      <c r="T250" s="14"/>
      <c r="U250" s="14"/>
      <c r="V250" s="12"/>
      <c r="W250" s="12"/>
      <c r="X250" s="12"/>
      <c r="Y250" s="16"/>
      <c r="Z250" s="17"/>
    </row>
    <row r="251" spans="19:26" x14ac:dyDescent="0.3">
      <c r="S251" s="14"/>
      <c r="T251" s="14"/>
      <c r="U251" s="14"/>
      <c r="V251" s="12"/>
      <c r="W251" s="12"/>
      <c r="X251" s="12"/>
      <c r="Y251" s="16"/>
      <c r="Z251" s="17"/>
    </row>
    <row r="252" spans="19:26" x14ac:dyDescent="0.3">
      <c r="S252" s="14"/>
      <c r="T252" s="14"/>
      <c r="U252" s="14"/>
      <c r="V252" s="12"/>
      <c r="W252" s="12"/>
      <c r="X252" s="12"/>
      <c r="Y252" s="16"/>
      <c r="Z252" s="17"/>
    </row>
    <row r="253" spans="19:26" x14ac:dyDescent="0.3">
      <c r="S253" s="14"/>
      <c r="T253" s="14"/>
      <c r="U253" s="14"/>
      <c r="V253" s="12"/>
      <c r="W253" s="12"/>
      <c r="X253" s="12"/>
      <c r="Y253" s="16"/>
      <c r="Z253" s="17"/>
    </row>
    <row r="254" spans="19:26" x14ac:dyDescent="0.3">
      <c r="S254" s="14"/>
      <c r="T254" s="14"/>
      <c r="U254" s="14"/>
      <c r="V254" s="12"/>
      <c r="W254" s="12"/>
      <c r="X254" s="12"/>
      <c r="Y254" s="16"/>
      <c r="Z254" s="17"/>
    </row>
    <row r="255" spans="19:26" x14ac:dyDescent="0.3">
      <c r="S255" s="14"/>
      <c r="T255" s="14"/>
      <c r="U255" s="14"/>
      <c r="V255" s="12"/>
      <c r="W255" s="12"/>
      <c r="X255" s="12"/>
      <c r="Y255" s="16"/>
      <c r="Z255" s="17"/>
    </row>
    <row r="256" spans="19:26" x14ac:dyDescent="0.3">
      <c r="S256" s="14"/>
      <c r="T256" s="14"/>
      <c r="U256" s="14"/>
      <c r="V256" s="12"/>
      <c r="W256" s="12"/>
      <c r="X256" s="12"/>
      <c r="Y256" s="16"/>
      <c r="Z256" s="17"/>
    </row>
    <row r="257" spans="19:26" x14ac:dyDescent="0.3">
      <c r="S257" s="14"/>
      <c r="T257" s="14"/>
      <c r="U257" s="14"/>
      <c r="V257" s="12"/>
      <c r="W257" s="12"/>
      <c r="X257" s="12"/>
      <c r="Y257" s="16"/>
      <c r="Z257" s="17"/>
    </row>
    <row r="258" spans="19:26" x14ac:dyDescent="0.3">
      <c r="S258" s="14"/>
      <c r="T258" s="14"/>
      <c r="U258" s="14"/>
      <c r="V258" s="12"/>
      <c r="W258" s="12"/>
      <c r="X258" s="12"/>
      <c r="Y258" s="16"/>
      <c r="Z258" s="17"/>
    </row>
    <row r="259" spans="19:26" x14ac:dyDescent="0.3">
      <c r="S259" s="14"/>
      <c r="T259" s="14"/>
      <c r="U259" s="14"/>
      <c r="V259" s="12"/>
      <c r="W259" s="12"/>
      <c r="X259" s="12"/>
      <c r="Y259" s="16"/>
      <c r="Z259" s="17"/>
    </row>
    <row r="260" spans="19:26" x14ac:dyDescent="0.3">
      <c r="S260" s="14"/>
      <c r="T260" s="14"/>
      <c r="U260" s="14"/>
      <c r="V260" s="12"/>
      <c r="W260" s="12"/>
      <c r="X260" s="12"/>
      <c r="Y260" s="16"/>
      <c r="Z260" s="17"/>
    </row>
    <row r="261" spans="19:26" x14ac:dyDescent="0.3">
      <c r="S261" s="14"/>
      <c r="T261" s="14"/>
      <c r="U261" s="14"/>
      <c r="V261" s="12"/>
      <c r="W261" s="12"/>
      <c r="X261" s="12"/>
      <c r="Y261" s="16"/>
      <c r="Z261" s="17"/>
    </row>
    <row r="262" spans="19:26" x14ac:dyDescent="0.3">
      <c r="S262" s="14"/>
      <c r="T262" s="14"/>
      <c r="U262" s="14"/>
      <c r="V262" s="12"/>
      <c r="W262" s="12"/>
      <c r="X262" s="12"/>
      <c r="Y262" s="16"/>
      <c r="Z262" s="17"/>
    </row>
    <row r="263" spans="19:26" x14ac:dyDescent="0.3">
      <c r="S263" s="14"/>
      <c r="T263" s="14"/>
      <c r="U263" s="14"/>
      <c r="V263" s="12"/>
      <c r="W263" s="12"/>
      <c r="X263" s="12"/>
      <c r="Y263" s="16"/>
      <c r="Z263" s="17"/>
    </row>
    <row r="264" spans="19:26" x14ac:dyDescent="0.3">
      <c r="S264" s="14"/>
      <c r="T264" s="14"/>
      <c r="U264" s="14"/>
      <c r="V264" s="12"/>
      <c r="W264" s="12"/>
      <c r="X264" s="12"/>
      <c r="Y264" s="16"/>
      <c r="Z264" s="17"/>
    </row>
    <row r="265" spans="19:26" x14ac:dyDescent="0.3">
      <c r="S265" s="14"/>
      <c r="T265" s="14"/>
      <c r="U265" s="14"/>
      <c r="V265" s="12"/>
      <c r="W265" s="12"/>
      <c r="X265" s="12"/>
      <c r="Y265" s="16"/>
      <c r="Z265" s="17"/>
    </row>
    <row r="266" spans="19:26" x14ac:dyDescent="0.3">
      <c r="S266" s="14"/>
      <c r="T266" s="14"/>
      <c r="U266" s="14"/>
      <c r="V266" s="12"/>
      <c r="W266" s="12"/>
      <c r="X266" s="12"/>
      <c r="Y266" s="16"/>
      <c r="Z266" s="17"/>
    </row>
    <row r="267" spans="19:26" x14ac:dyDescent="0.3">
      <c r="S267" s="14"/>
      <c r="T267" s="14"/>
      <c r="U267" s="14"/>
      <c r="V267" s="12"/>
      <c r="W267" s="12"/>
      <c r="X267" s="12"/>
      <c r="Y267" s="16"/>
      <c r="Z267" s="17"/>
    </row>
    <row r="268" spans="19:26" x14ac:dyDescent="0.3">
      <c r="S268" s="14"/>
      <c r="T268" s="14"/>
      <c r="U268" s="14"/>
      <c r="V268" s="12"/>
      <c r="W268" s="12"/>
      <c r="X268" s="12"/>
      <c r="Y268" s="16"/>
      <c r="Z268" s="17"/>
    </row>
    <row r="269" spans="19:26" x14ac:dyDescent="0.3">
      <c r="S269" s="14"/>
      <c r="T269" s="14"/>
      <c r="U269" s="14"/>
      <c r="V269" s="12"/>
      <c r="W269" s="12"/>
      <c r="X269" s="12"/>
      <c r="Y269" s="16"/>
      <c r="Z269" s="17"/>
    </row>
    <row r="270" spans="19:26" x14ac:dyDescent="0.3">
      <c r="S270" s="14"/>
      <c r="T270" s="14"/>
      <c r="U270" s="14"/>
      <c r="V270" s="12"/>
      <c r="W270" s="12"/>
      <c r="X270" s="12"/>
      <c r="Y270" s="16"/>
      <c r="Z270" s="17"/>
    </row>
    <row r="271" spans="19:26" x14ac:dyDescent="0.3">
      <c r="S271" s="14"/>
      <c r="T271" s="14"/>
      <c r="U271" s="14"/>
      <c r="V271" s="12"/>
      <c r="W271" s="12"/>
      <c r="X271" s="12"/>
      <c r="Y271" s="16"/>
      <c r="Z271" s="17"/>
    </row>
    <row r="272" spans="19:26" x14ac:dyDescent="0.3">
      <c r="S272" s="14"/>
      <c r="T272" s="14"/>
      <c r="U272" s="14"/>
      <c r="V272" s="12"/>
      <c r="W272" s="12"/>
      <c r="X272" s="12"/>
      <c r="Y272" s="16"/>
      <c r="Z272" s="17"/>
    </row>
    <row r="273" spans="19:26" x14ac:dyDescent="0.3">
      <c r="S273" s="14"/>
      <c r="T273" s="14"/>
      <c r="U273" s="14"/>
      <c r="V273" s="12"/>
      <c r="W273" s="12"/>
      <c r="X273" s="12"/>
      <c r="Y273" s="16"/>
      <c r="Z273" s="17"/>
    </row>
    <row r="274" spans="19:26" x14ac:dyDescent="0.3">
      <c r="S274" s="14"/>
      <c r="T274" s="14"/>
      <c r="U274" s="14"/>
      <c r="V274" s="12"/>
      <c r="W274" s="12"/>
      <c r="X274" s="12"/>
      <c r="Y274" s="16"/>
      <c r="Z274" s="17"/>
    </row>
    <row r="275" spans="19:26" x14ac:dyDescent="0.3">
      <c r="S275" s="14"/>
      <c r="T275" s="14"/>
      <c r="U275" s="14"/>
      <c r="V275" s="12"/>
      <c r="W275" s="12"/>
      <c r="X275" s="12"/>
      <c r="Y275" s="16"/>
      <c r="Z275" s="17"/>
    </row>
    <row r="276" spans="19:26" x14ac:dyDescent="0.3">
      <c r="S276" s="14"/>
      <c r="T276" s="14"/>
      <c r="U276" s="14"/>
      <c r="V276" s="12"/>
      <c r="W276" s="12"/>
      <c r="X276" s="12"/>
      <c r="Y276" s="16"/>
      <c r="Z276" s="17"/>
    </row>
    <row r="277" spans="19:26" x14ac:dyDescent="0.3">
      <c r="S277" s="14"/>
      <c r="T277" s="14"/>
      <c r="U277" s="14"/>
      <c r="V277" s="12"/>
      <c r="W277" s="12"/>
      <c r="X277" s="12"/>
      <c r="Y277" s="16"/>
      <c r="Z277" s="17"/>
    </row>
    <row r="278" spans="19:26" x14ac:dyDescent="0.3">
      <c r="S278" s="14"/>
      <c r="T278" s="14"/>
      <c r="U278" s="14"/>
      <c r="V278" s="12"/>
      <c r="W278" s="12"/>
      <c r="X278" s="12"/>
      <c r="Y278" s="16"/>
      <c r="Z278" s="17"/>
    </row>
    <row r="279" spans="19:26" x14ac:dyDescent="0.3">
      <c r="S279" s="14"/>
      <c r="T279" s="14"/>
      <c r="U279" s="14"/>
      <c r="V279" s="12"/>
      <c r="W279" s="12"/>
      <c r="X279" s="12"/>
      <c r="Y279" s="16"/>
      <c r="Z279" s="17"/>
    </row>
    <row r="280" spans="19:26" x14ac:dyDescent="0.3">
      <c r="S280" s="14"/>
      <c r="T280" s="14"/>
      <c r="U280" s="14"/>
      <c r="V280" s="12"/>
      <c r="W280" s="12"/>
      <c r="X280" s="12"/>
      <c r="Y280" s="16"/>
      <c r="Z280" s="17"/>
    </row>
    <row r="281" spans="19:26" x14ac:dyDescent="0.3">
      <c r="S281" s="14"/>
      <c r="T281" s="14"/>
      <c r="U281" s="14"/>
      <c r="V281" s="12"/>
      <c r="W281" s="12"/>
      <c r="X281" s="12"/>
      <c r="Y281" s="16"/>
      <c r="Z281" s="17"/>
    </row>
    <row r="282" spans="19:26" x14ac:dyDescent="0.3">
      <c r="S282" s="14"/>
      <c r="T282" s="14"/>
      <c r="U282" s="14"/>
      <c r="V282" s="12"/>
      <c r="W282" s="12"/>
      <c r="X282" s="12"/>
      <c r="Y282" s="16"/>
      <c r="Z282" s="17"/>
    </row>
    <row r="283" spans="19:26" x14ac:dyDescent="0.3">
      <c r="S283" s="14"/>
      <c r="T283" s="14"/>
      <c r="U283" s="14"/>
      <c r="V283" s="12"/>
      <c r="W283" s="12"/>
      <c r="X283" s="12"/>
      <c r="Y283" s="16"/>
      <c r="Z283" s="17"/>
    </row>
    <row r="284" spans="19:26" x14ac:dyDescent="0.3">
      <c r="S284" s="14"/>
      <c r="T284" s="14"/>
      <c r="U284" s="14"/>
      <c r="V284" s="12"/>
      <c r="W284" s="12"/>
      <c r="X284" s="12"/>
      <c r="Y284" s="16"/>
      <c r="Z284" s="17"/>
    </row>
    <row r="285" spans="19:26" x14ac:dyDescent="0.3">
      <c r="S285" s="14"/>
      <c r="T285" s="14"/>
      <c r="U285" s="14"/>
      <c r="V285" s="12"/>
      <c r="W285" s="12"/>
      <c r="X285" s="12"/>
      <c r="Y285" s="16"/>
      <c r="Z285" s="17"/>
    </row>
    <row r="286" spans="19:26" x14ac:dyDescent="0.3">
      <c r="S286" s="14"/>
      <c r="T286" s="14"/>
      <c r="U286" s="14"/>
      <c r="V286" s="12"/>
      <c r="W286" s="12"/>
      <c r="X286" s="12"/>
      <c r="Y286" s="16"/>
      <c r="Z286" s="17"/>
    </row>
    <row r="287" spans="19:26" x14ac:dyDescent="0.3">
      <c r="S287" s="14"/>
      <c r="T287" s="14"/>
      <c r="U287" s="14"/>
      <c r="V287" s="12"/>
      <c r="W287" s="12"/>
      <c r="X287" s="12"/>
      <c r="Y287" s="16"/>
      <c r="Z287" s="17"/>
    </row>
    <row r="288" spans="19:26" x14ac:dyDescent="0.3">
      <c r="S288" s="14"/>
      <c r="T288" s="14"/>
      <c r="U288" s="14"/>
      <c r="V288" s="12"/>
      <c r="W288" s="12"/>
      <c r="X288" s="12"/>
      <c r="Y288" s="16"/>
      <c r="Z288" s="17"/>
    </row>
    <row r="289" spans="1:26" x14ac:dyDescent="0.3">
      <c r="S289" s="14"/>
      <c r="T289" s="14"/>
      <c r="U289" s="14"/>
      <c r="V289" s="12"/>
      <c r="W289" s="12"/>
      <c r="X289" s="12"/>
      <c r="Y289" s="16"/>
      <c r="Z289" s="17"/>
    </row>
    <row r="290" spans="1:26" x14ac:dyDescent="0.3">
      <c r="S290" s="14"/>
      <c r="T290" s="14"/>
      <c r="U290" s="14"/>
      <c r="V290" s="12"/>
      <c r="W290" s="12"/>
      <c r="X290" s="12"/>
      <c r="Y290" s="16"/>
      <c r="Z290" s="17"/>
    </row>
    <row r="291" spans="1:26" x14ac:dyDescent="0.3">
      <c r="S291" s="14"/>
      <c r="T291" s="14"/>
      <c r="U291" s="14"/>
      <c r="V291" s="12"/>
      <c r="W291" s="12"/>
      <c r="X291" s="12"/>
      <c r="Y291" s="16"/>
      <c r="Z291" s="17"/>
    </row>
    <row r="292" spans="1:26" x14ac:dyDescent="0.3">
      <c r="S292" s="14"/>
      <c r="T292" s="14"/>
      <c r="U292" s="14"/>
      <c r="V292" s="12"/>
      <c r="W292" s="12"/>
      <c r="X292" s="12"/>
      <c r="Y292" s="16"/>
      <c r="Z292" s="17"/>
    </row>
    <row r="293" spans="1:26" x14ac:dyDescent="0.3">
      <c r="S293" s="14"/>
      <c r="T293" s="14"/>
      <c r="U293" s="14"/>
      <c r="V293" s="12"/>
      <c r="W293" s="12"/>
      <c r="X293" s="12"/>
      <c r="Y293" s="16"/>
      <c r="Z293" s="17"/>
    </row>
    <row r="294" spans="1:26" x14ac:dyDescent="0.3">
      <c r="S294" s="14"/>
      <c r="T294" s="14"/>
      <c r="U294" s="14"/>
      <c r="V294" s="12"/>
      <c r="W294" s="12"/>
      <c r="X294" s="12"/>
      <c r="Y294" s="16"/>
      <c r="Z294" s="17"/>
    </row>
    <row r="295" spans="1:26" x14ac:dyDescent="0.3">
      <c r="S295" s="14"/>
      <c r="T295" s="14"/>
      <c r="U295" s="14"/>
      <c r="V295" s="12"/>
      <c r="W295" s="12"/>
      <c r="X295" s="12"/>
      <c r="Y295" s="16"/>
      <c r="Z295" s="17"/>
    </row>
    <row r="296" spans="1:26" x14ac:dyDescent="0.3">
      <c r="A296" s="14"/>
      <c r="B296" s="14"/>
      <c r="C296" s="14"/>
      <c r="D296" s="14"/>
      <c r="E296" s="14"/>
      <c r="F296" s="14"/>
      <c r="G296" s="14"/>
      <c r="H296" s="14"/>
      <c r="I296" s="14"/>
      <c r="J296" s="14"/>
      <c r="K296" s="14"/>
      <c r="L296" s="14"/>
      <c r="M296" s="14"/>
      <c r="N296" s="14"/>
      <c r="O296" s="14"/>
      <c r="P296" s="14"/>
      <c r="Q296" s="14"/>
      <c r="R296" s="15"/>
      <c r="S296" s="14"/>
      <c r="T296" s="14"/>
      <c r="U296" s="14"/>
      <c r="V296" s="12"/>
      <c r="W296" s="12"/>
      <c r="X296" s="12"/>
      <c r="Y296" s="16"/>
      <c r="Z296" s="17"/>
    </row>
    <row r="297" spans="1:26" x14ac:dyDescent="0.3">
      <c r="S297" s="14"/>
      <c r="T297" s="14"/>
      <c r="U297" s="14"/>
      <c r="V297" s="12"/>
      <c r="W297" s="12"/>
      <c r="X297" s="12"/>
      <c r="Y297" s="16"/>
      <c r="Z297" s="17"/>
    </row>
    <row r="298" spans="1:26" x14ac:dyDescent="0.3">
      <c r="S298" s="14"/>
      <c r="T298" s="14"/>
      <c r="U298" s="14"/>
      <c r="V298" s="12"/>
      <c r="W298" s="12"/>
      <c r="X298" s="12"/>
      <c r="Y298" s="16"/>
      <c r="Z298" s="17"/>
    </row>
    <row r="299" spans="1:26" x14ac:dyDescent="0.3">
      <c r="S299" s="14"/>
      <c r="T299" s="14"/>
      <c r="U299" s="14"/>
      <c r="V299" s="12"/>
      <c r="W299" s="12"/>
      <c r="X299" s="12"/>
      <c r="Y299" s="16"/>
      <c r="Z299" s="17"/>
    </row>
    <row r="300" spans="1:26" x14ac:dyDescent="0.3">
      <c r="S300" s="14"/>
      <c r="T300" s="14"/>
      <c r="U300" s="14"/>
      <c r="V300" s="12"/>
      <c r="W300" s="12"/>
      <c r="X300" s="12"/>
      <c r="Y300" s="16"/>
      <c r="Z300" s="17"/>
    </row>
    <row r="301" spans="1:26" x14ac:dyDescent="0.3">
      <c r="S301" s="14"/>
      <c r="T301" s="14"/>
      <c r="U301" s="14"/>
      <c r="V301" s="12"/>
      <c r="W301" s="12"/>
      <c r="X301" s="12"/>
      <c r="Y301" s="16"/>
      <c r="Z301" s="17"/>
    </row>
    <row r="302" spans="1:26" x14ac:dyDescent="0.3">
      <c r="S302" s="14"/>
      <c r="T302" s="14"/>
      <c r="U302" s="14"/>
      <c r="V302" s="12"/>
      <c r="W302" s="12"/>
      <c r="X302" s="12"/>
      <c r="Y302" s="16"/>
      <c r="Z302" s="17"/>
    </row>
    <row r="303" spans="1:26" x14ac:dyDescent="0.3">
      <c r="S303" s="14"/>
      <c r="T303" s="14"/>
      <c r="U303" s="14"/>
      <c r="V303" s="12"/>
      <c r="W303" s="12"/>
      <c r="X303" s="12"/>
      <c r="Y303" s="16"/>
      <c r="Z303" s="17"/>
    </row>
    <row r="304" spans="1:26" x14ac:dyDescent="0.3">
      <c r="S304" s="14"/>
      <c r="T304" s="14"/>
      <c r="U304" s="14"/>
      <c r="V304" s="12"/>
      <c r="W304" s="12"/>
      <c r="X304" s="12"/>
      <c r="Y304" s="16"/>
      <c r="Z304" s="17"/>
    </row>
    <row r="305" spans="1:26" x14ac:dyDescent="0.3">
      <c r="S305" s="14"/>
      <c r="T305" s="14"/>
      <c r="U305" s="14"/>
      <c r="V305" s="12"/>
      <c r="W305" s="12"/>
      <c r="X305" s="12"/>
      <c r="Y305" s="16"/>
      <c r="Z305" s="17"/>
    </row>
    <row r="306" spans="1:26" x14ac:dyDescent="0.3">
      <c r="A306" s="14"/>
      <c r="B306" s="14"/>
      <c r="C306" s="14"/>
      <c r="D306" s="14"/>
      <c r="E306" s="14"/>
      <c r="F306" s="14"/>
      <c r="G306" s="14"/>
      <c r="H306" s="14"/>
      <c r="I306" s="14"/>
      <c r="J306" s="14"/>
      <c r="K306" s="14"/>
      <c r="L306" s="14"/>
      <c r="M306" s="14"/>
      <c r="N306" s="14"/>
      <c r="O306" s="14"/>
      <c r="P306" s="14"/>
      <c r="Q306" s="14"/>
      <c r="R306" s="15"/>
      <c r="S306" s="14"/>
      <c r="T306" s="14"/>
      <c r="U306" s="14"/>
      <c r="V306" s="12"/>
      <c r="W306" s="12"/>
      <c r="X306" s="12"/>
      <c r="Y306" s="16"/>
      <c r="Z306" s="17"/>
    </row>
    <row r="307" spans="1:26" x14ac:dyDescent="0.3">
      <c r="S307" s="14"/>
      <c r="T307" s="14"/>
      <c r="U307" s="14"/>
      <c r="V307" s="12"/>
      <c r="W307" s="12"/>
      <c r="X307" s="12"/>
      <c r="Y307" s="16"/>
      <c r="Z307" s="17"/>
    </row>
    <row r="308" spans="1:26" x14ac:dyDescent="0.3">
      <c r="S308" s="14"/>
      <c r="T308" s="14"/>
      <c r="U308" s="14"/>
      <c r="V308" s="12"/>
      <c r="W308" s="12"/>
      <c r="X308" s="12"/>
      <c r="Y308" s="16"/>
      <c r="Z308" s="17"/>
    </row>
    <row r="309" spans="1:26" x14ac:dyDescent="0.3">
      <c r="S309" s="14"/>
      <c r="T309" s="14"/>
      <c r="U309" s="14"/>
      <c r="V309" s="12"/>
      <c r="W309" s="12"/>
      <c r="X309" s="12"/>
      <c r="Y309" s="16"/>
      <c r="Z309" s="17"/>
    </row>
    <row r="310" spans="1:26" x14ac:dyDescent="0.3">
      <c r="S310" s="14"/>
      <c r="T310" s="14"/>
      <c r="U310" s="14"/>
      <c r="V310" s="12"/>
      <c r="W310" s="12"/>
      <c r="X310" s="12"/>
      <c r="Y310" s="16"/>
      <c r="Z310" s="17"/>
    </row>
    <row r="311" spans="1:26" x14ac:dyDescent="0.3">
      <c r="A311" s="14"/>
      <c r="B311" s="14"/>
      <c r="C311" s="14"/>
      <c r="D311" s="14"/>
      <c r="E311" s="14"/>
      <c r="F311" s="14"/>
      <c r="G311" s="14"/>
      <c r="H311" s="14"/>
      <c r="I311" s="14"/>
      <c r="J311" s="14"/>
      <c r="K311" s="14"/>
      <c r="L311" s="14"/>
      <c r="M311" s="14"/>
      <c r="N311" s="14"/>
      <c r="O311" s="14"/>
      <c r="P311" s="14"/>
      <c r="Q311" s="14"/>
      <c r="R311" s="15"/>
      <c r="S311" s="14"/>
      <c r="T311" s="14"/>
      <c r="U311" s="14"/>
      <c r="V311" s="12"/>
      <c r="W311" s="12"/>
      <c r="X311" s="12"/>
      <c r="Y311" s="16"/>
      <c r="Z311" s="17"/>
    </row>
    <row r="312" spans="1:26" x14ac:dyDescent="0.3">
      <c r="S312" s="14"/>
      <c r="T312" s="14"/>
      <c r="U312" s="14"/>
      <c r="V312" s="12"/>
      <c r="W312" s="12"/>
      <c r="X312" s="12"/>
      <c r="Y312" s="16"/>
      <c r="Z312" s="17"/>
    </row>
    <row r="313" spans="1:26" x14ac:dyDescent="0.3">
      <c r="S313" s="14"/>
      <c r="T313" s="14"/>
      <c r="U313" s="14"/>
      <c r="V313" s="12"/>
      <c r="W313" s="12"/>
      <c r="X313" s="12"/>
      <c r="Y313" s="16"/>
      <c r="Z313" s="17"/>
    </row>
    <row r="314" spans="1:26" x14ac:dyDescent="0.3">
      <c r="S314" s="14"/>
      <c r="T314" s="14"/>
      <c r="U314" s="14"/>
      <c r="V314" s="12"/>
      <c r="W314" s="12"/>
      <c r="X314" s="12"/>
      <c r="Y314" s="16"/>
      <c r="Z314" s="17"/>
    </row>
    <row r="315" spans="1:26" x14ac:dyDescent="0.3">
      <c r="S315" s="14"/>
      <c r="T315" s="14"/>
      <c r="U315" s="14"/>
      <c r="V315" s="12"/>
      <c r="W315" s="12"/>
      <c r="X315" s="12"/>
      <c r="Y315" s="16"/>
      <c r="Z315" s="17"/>
    </row>
    <row r="316" spans="1:26" x14ac:dyDescent="0.3">
      <c r="S316" s="14"/>
      <c r="T316" s="14"/>
      <c r="U316" s="14"/>
      <c r="V316" s="12"/>
      <c r="W316" s="12"/>
      <c r="X316" s="12"/>
      <c r="Y316" s="16"/>
      <c r="Z316" s="17"/>
    </row>
    <row r="317" spans="1:26" x14ac:dyDescent="0.3">
      <c r="S317" s="14"/>
      <c r="T317" s="14"/>
      <c r="U317" s="14"/>
      <c r="V317" s="12"/>
      <c r="W317" s="12"/>
      <c r="X317" s="12"/>
      <c r="Y317" s="16"/>
      <c r="Z317" s="17"/>
    </row>
    <row r="318" spans="1:26" x14ac:dyDescent="0.3">
      <c r="S318" s="14"/>
      <c r="T318" s="14"/>
      <c r="U318" s="14"/>
      <c r="V318" s="12"/>
      <c r="W318" s="12"/>
      <c r="X318" s="12"/>
      <c r="Y318" s="16"/>
      <c r="Z318" s="17"/>
    </row>
    <row r="319" spans="1:26" x14ac:dyDescent="0.3">
      <c r="S319" s="14"/>
      <c r="T319" s="14"/>
      <c r="U319" s="14"/>
      <c r="V319" s="12"/>
      <c r="W319" s="12"/>
      <c r="X319" s="12"/>
      <c r="Y319" s="16"/>
      <c r="Z319" s="17"/>
    </row>
    <row r="320" spans="1:26" x14ac:dyDescent="0.3">
      <c r="S320" s="14"/>
      <c r="T320" s="14"/>
      <c r="U320" s="14"/>
      <c r="V320" s="12"/>
      <c r="W320" s="12"/>
      <c r="X320" s="12"/>
      <c r="Y320" s="16"/>
      <c r="Z320" s="17"/>
    </row>
    <row r="321" spans="1:26" x14ac:dyDescent="0.3">
      <c r="A321" s="14"/>
      <c r="B321" s="14"/>
      <c r="C321" s="14"/>
      <c r="D321" s="14"/>
      <c r="E321" s="14"/>
      <c r="F321" s="14"/>
      <c r="G321" s="14"/>
      <c r="H321" s="14"/>
      <c r="I321" s="14"/>
      <c r="J321" s="14"/>
      <c r="K321" s="14"/>
      <c r="L321" s="14"/>
      <c r="M321" s="14"/>
      <c r="N321" s="14"/>
      <c r="O321" s="14"/>
      <c r="P321" s="14"/>
      <c r="Q321" s="14"/>
      <c r="R321" s="15"/>
      <c r="S321" s="14"/>
      <c r="T321" s="14"/>
      <c r="U321" s="14"/>
      <c r="V321" s="12"/>
      <c r="W321" s="12"/>
      <c r="X321" s="12"/>
      <c r="Y321" s="16"/>
      <c r="Z321" s="17"/>
    </row>
    <row r="322" spans="1:26" x14ac:dyDescent="0.3">
      <c r="S322" s="14"/>
      <c r="T322" s="14"/>
      <c r="U322" s="14"/>
      <c r="V322" s="12"/>
      <c r="W322" s="12"/>
      <c r="X322" s="12"/>
      <c r="Y322" s="16"/>
      <c r="Z322" s="17"/>
    </row>
    <row r="323" spans="1:26" x14ac:dyDescent="0.3">
      <c r="S323" s="14"/>
      <c r="T323" s="14"/>
      <c r="U323" s="14"/>
      <c r="V323" s="12"/>
      <c r="W323" s="12"/>
      <c r="X323" s="12"/>
      <c r="Y323" s="16"/>
      <c r="Z323" s="17"/>
    </row>
    <row r="324" spans="1:26" x14ac:dyDescent="0.3">
      <c r="S324" s="14"/>
      <c r="T324" s="14"/>
      <c r="U324" s="14"/>
      <c r="V324" s="12"/>
      <c r="W324" s="12"/>
      <c r="X324" s="12"/>
      <c r="Y324" s="16"/>
      <c r="Z324" s="17"/>
    </row>
    <row r="325" spans="1:26" x14ac:dyDescent="0.3">
      <c r="S325" s="14"/>
      <c r="T325" s="14"/>
      <c r="U325" s="14"/>
      <c r="V325" s="12"/>
      <c r="W325" s="12"/>
      <c r="X325" s="12"/>
      <c r="Y325" s="16"/>
      <c r="Z325" s="17"/>
    </row>
    <row r="326" spans="1:26" x14ac:dyDescent="0.3">
      <c r="S326" s="14"/>
      <c r="T326" s="14"/>
      <c r="U326" s="14"/>
      <c r="V326" s="12"/>
      <c r="W326" s="12"/>
      <c r="X326" s="12"/>
      <c r="Y326" s="16"/>
      <c r="Z326" s="17"/>
    </row>
    <row r="327" spans="1:26" x14ac:dyDescent="0.3">
      <c r="A327" s="14"/>
      <c r="B327" s="14"/>
      <c r="C327" s="14"/>
      <c r="D327" s="14"/>
      <c r="E327" s="14"/>
      <c r="F327" s="14"/>
      <c r="G327" s="14"/>
      <c r="H327" s="14"/>
      <c r="I327" s="14"/>
      <c r="J327" s="14"/>
      <c r="K327" s="14"/>
      <c r="L327" s="14"/>
      <c r="M327" s="14"/>
      <c r="N327" s="14"/>
      <c r="O327" s="14"/>
      <c r="P327" s="14"/>
      <c r="Q327" s="14"/>
      <c r="R327" s="15"/>
      <c r="S327" s="14"/>
      <c r="T327" s="14"/>
      <c r="U327" s="14"/>
      <c r="V327" s="12"/>
      <c r="W327" s="12"/>
      <c r="X327" s="12"/>
      <c r="Y327" s="16"/>
      <c r="Z327" s="17"/>
    </row>
    <row r="328" spans="1:26" x14ac:dyDescent="0.3">
      <c r="S328" s="14"/>
      <c r="T328" s="14"/>
      <c r="U328" s="14"/>
      <c r="V328" s="12"/>
      <c r="W328" s="12"/>
      <c r="X328" s="12"/>
      <c r="Y328" s="16"/>
      <c r="Z328" s="17"/>
    </row>
    <row r="329" spans="1:26" x14ac:dyDescent="0.3">
      <c r="S329" s="14"/>
      <c r="T329" s="14"/>
      <c r="U329" s="14"/>
      <c r="V329" s="12"/>
      <c r="W329" s="12"/>
      <c r="X329" s="12"/>
      <c r="Y329" s="16"/>
      <c r="Z329" s="17"/>
    </row>
    <row r="330" spans="1:26" x14ac:dyDescent="0.3">
      <c r="S330" s="14"/>
      <c r="T330" s="14"/>
      <c r="U330" s="14"/>
      <c r="V330" s="12"/>
      <c r="W330" s="12"/>
      <c r="X330" s="12"/>
      <c r="Y330" s="16"/>
      <c r="Z330" s="17"/>
    </row>
    <row r="331" spans="1:26" x14ac:dyDescent="0.3">
      <c r="S331" s="14"/>
      <c r="T331" s="14"/>
      <c r="U331" s="14"/>
      <c r="V331" s="12"/>
      <c r="W331" s="12"/>
      <c r="X331" s="12"/>
      <c r="Y331" s="16"/>
      <c r="Z331" s="17"/>
    </row>
    <row r="332" spans="1:26" x14ac:dyDescent="0.3">
      <c r="S332" s="14"/>
      <c r="T332" s="14"/>
      <c r="U332" s="14"/>
      <c r="V332" s="12"/>
      <c r="W332" s="12"/>
      <c r="X332" s="12"/>
      <c r="Y332" s="16"/>
      <c r="Z332" s="17"/>
    </row>
    <row r="333" spans="1:26" x14ac:dyDescent="0.3">
      <c r="S333" s="14"/>
      <c r="T333" s="14"/>
      <c r="U333" s="14"/>
      <c r="V333" s="12"/>
      <c r="W333" s="12"/>
      <c r="X333" s="12"/>
      <c r="Y333" s="16"/>
      <c r="Z333" s="17"/>
    </row>
    <row r="334" spans="1:26" x14ac:dyDescent="0.3">
      <c r="S334" s="14"/>
      <c r="T334" s="14"/>
      <c r="U334" s="14"/>
      <c r="V334" s="12"/>
      <c r="W334" s="12"/>
      <c r="X334" s="12"/>
      <c r="Y334" s="16"/>
      <c r="Z334" s="17"/>
    </row>
    <row r="335" spans="1:26" x14ac:dyDescent="0.3">
      <c r="S335" s="14"/>
      <c r="T335" s="14"/>
      <c r="U335" s="14"/>
      <c r="V335" s="12"/>
      <c r="W335" s="12"/>
      <c r="X335" s="12"/>
      <c r="Y335" s="16"/>
      <c r="Z335" s="17"/>
    </row>
    <row r="336" spans="1:26" x14ac:dyDescent="0.3">
      <c r="S336" s="14"/>
      <c r="T336" s="14"/>
      <c r="U336" s="14"/>
      <c r="V336" s="12"/>
      <c r="W336" s="12"/>
      <c r="X336" s="12"/>
      <c r="Y336" s="16"/>
      <c r="Z336" s="17"/>
    </row>
    <row r="337" spans="1:26" x14ac:dyDescent="0.3">
      <c r="S337" s="14"/>
      <c r="T337" s="14"/>
      <c r="U337" s="14"/>
      <c r="V337" s="12"/>
      <c r="W337" s="12"/>
      <c r="X337" s="12"/>
      <c r="Y337" s="16"/>
      <c r="Z337" s="17"/>
    </row>
    <row r="338" spans="1:26" x14ac:dyDescent="0.3">
      <c r="S338" s="14"/>
      <c r="T338" s="14"/>
      <c r="U338" s="14"/>
      <c r="V338" s="12"/>
      <c r="W338" s="12"/>
      <c r="X338" s="12"/>
      <c r="Y338" s="16"/>
      <c r="Z338" s="17"/>
    </row>
    <row r="339" spans="1:26" x14ac:dyDescent="0.3">
      <c r="A339" s="14"/>
      <c r="B339" s="14"/>
      <c r="C339" s="14"/>
      <c r="D339" s="14"/>
      <c r="E339" s="14"/>
      <c r="F339" s="14"/>
      <c r="G339" s="14"/>
      <c r="H339" s="14"/>
      <c r="I339" s="14"/>
      <c r="J339" s="14"/>
      <c r="K339" s="14"/>
      <c r="L339" s="14"/>
      <c r="M339" s="14"/>
      <c r="N339" s="14"/>
      <c r="O339" s="14"/>
      <c r="P339" s="14"/>
      <c r="Q339" s="14"/>
      <c r="R339" s="15"/>
      <c r="S339" s="14"/>
      <c r="T339" s="14"/>
      <c r="U339" s="14"/>
      <c r="V339" s="12"/>
      <c r="W339" s="12"/>
      <c r="X339" s="12"/>
      <c r="Y339" s="16"/>
      <c r="Z339" s="17"/>
    </row>
    <row r="340" spans="1:26" x14ac:dyDescent="0.3">
      <c r="S340" s="14"/>
      <c r="T340" s="14"/>
      <c r="U340" s="14"/>
      <c r="V340" s="12"/>
      <c r="W340" s="12"/>
      <c r="X340" s="12"/>
      <c r="Y340" s="16"/>
      <c r="Z340" s="17"/>
    </row>
    <row r="341" spans="1:26" x14ac:dyDescent="0.3">
      <c r="S341" s="14"/>
      <c r="T341" s="14"/>
      <c r="U341" s="14"/>
      <c r="V341" s="12"/>
      <c r="W341" s="12"/>
      <c r="X341" s="12"/>
      <c r="Y341" s="16"/>
      <c r="Z341" s="17"/>
    </row>
    <row r="342" spans="1:26" x14ac:dyDescent="0.3">
      <c r="S342" s="14"/>
      <c r="T342" s="14"/>
      <c r="U342" s="14"/>
      <c r="V342" s="12"/>
      <c r="W342" s="12"/>
      <c r="X342" s="12"/>
      <c r="Y342" s="16"/>
      <c r="Z342" s="17"/>
    </row>
    <row r="343" spans="1:26" x14ac:dyDescent="0.3">
      <c r="S343" s="14"/>
      <c r="T343" s="14"/>
      <c r="U343" s="14"/>
      <c r="V343" s="12"/>
      <c r="W343" s="12"/>
      <c r="X343" s="12"/>
      <c r="Y343" s="16"/>
      <c r="Z343" s="17"/>
    </row>
    <row r="344" spans="1:26" x14ac:dyDescent="0.3">
      <c r="S344" s="14"/>
      <c r="T344" s="14"/>
      <c r="U344" s="14"/>
      <c r="V344" s="12"/>
      <c r="W344" s="12"/>
      <c r="X344" s="12"/>
      <c r="Y344" s="16"/>
      <c r="Z344" s="17"/>
    </row>
    <row r="345" spans="1:26" x14ac:dyDescent="0.3">
      <c r="S345" s="14"/>
      <c r="T345" s="14"/>
      <c r="U345" s="14"/>
      <c r="V345" s="12"/>
      <c r="W345" s="12"/>
      <c r="X345" s="12"/>
      <c r="Y345" s="16"/>
      <c r="Z345" s="17"/>
    </row>
    <row r="346" spans="1:26" x14ac:dyDescent="0.3">
      <c r="S346" s="14"/>
      <c r="T346" s="14"/>
      <c r="U346" s="14"/>
      <c r="V346" s="12"/>
      <c r="W346" s="12"/>
      <c r="X346" s="12"/>
      <c r="Y346" s="16"/>
      <c r="Z346" s="17"/>
    </row>
    <row r="347" spans="1:26" x14ac:dyDescent="0.3">
      <c r="S347" s="14"/>
      <c r="T347" s="14"/>
      <c r="U347" s="14"/>
      <c r="V347" s="12"/>
      <c r="W347" s="12"/>
      <c r="X347" s="12"/>
      <c r="Y347" s="16"/>
      <c r="Z347" s="17"/>
    </row>
    <row r="348" spans="1:26" x14ac:dyDescent="0.3">
      <c r="S348" s="14"/>
      <c r="T348" s="14"/>
      <c r="U348" s="14"/>
      <c r="V348" s="12"/>
      <c r="W348" s="12"/>
      <c r="X348" s="12"/>
      <c r="Y348" s="16"/>
      <c r="Z348" s="17"/>
    </row>
    <row r="349" spans="1:26" x14ac:dyDescent="0.3">
      <c r="S349" s="14"/>
      <c r="T349" s="14"/>
      <c r="U349" s="14"/>
      <c r="V349" s="12"/>
      <c r="W349" s="12"/>
      <c r="X349" s="12"/>
      <c r="Y349" s="16"/>
      <c r="Z349" s="17"/>
    </row>
    <row r="350" spans="1:26" x14ac:dyDescent="0.3">
      <c r="S350" s="14"/>
      <c r="T350" s="14"/>
      <c r="U350" s="14"/>
      <c r="V350" s="12"/>
      <c r="W350" s="12"/>
      <c r="X350" s="12"/>
      <c r="Y350" s="16"/>
      <c r="Z350" s="17"/>
    </row>
    <row r="351" spans="1:26" x14ac:dyDescent="0.3">
      <c r="S351" s="14"/>
      <c r="T351" s="14"/>
      <c r="U351" s="14"/>
      <c r="V351" s="12"/>
      <c r="W351" s="12"/>
      <c r="X351" s="12"/>
      <c r="Y351" s="16"/>
      <c r="Z351" s="17"/>
    </row>
    <row r="352" spans="1:26" x14ac:dyDescent="0.3">
      <c r="S352" s="14"/>
      <c r="T352" s="14"/>
      <c r="U352" s="14"/>
      <c r="V352" s="12"/>
      <c r="W352" s="12"/>
      <c r="X352" s="12"/>
      <c r="Y352" s="16"/>
      <c r="Z352" s="17"/>
    </row>
    <row r="353" spans="1:26" x14ac:dyDescent="0.3">
      <c r="S353" s="14"/>
      <c r="T353" s="14"/>
      <c r="U353" s="14"/>
      <c r="V353" s="12"/>
      <c r="W353" s="12"/>
      <c r="X353" s="12"/>
      <c r="Y353" s="16"/>
      <c r="Z353" s="17"/>
    </row>
    <row r="354" spans="1:26" x14ac:dyDescent="0.3">
      <c r="S354" s="14"/>
      <c r="T354" s="14"/>
      <c r="U354" s="14"/>
      <c r="V354" s="12"/>
      <c r="W354" s="12"/>
      <c r="X354" s="12"/>
      <c r="Y354" s="16"/>
      <c r="Z354" s="17"/>
    </row>
    <row r="355" spans="1:26" x14ac:dyDescent="0.3">
      <c r="S355" s="14"/>
      <c r="T355" s="14"/>
      <c r="U355" s="14"/>
      <c r="V355" s="12"/>
      <c r="W355" s="12"/>
      <c r="X355" s="12"/>
      <c r="Y355" s="16"/>
      <c r="Z355" s="17"/>
    </row>
    <row r="356" spans="1:26" x14ac:dyDescent="0.3">
      <c r="S356" s="14"/>
      <c r="T356" s="14"/>
      <c r="U356" s="14"/>
      <c r="V356" s="12"/>
      <c r="W356" s="12"/>
      <c r="X356" s="12"/>
      <c r="Y356" s="16"/>
      <c r="Z356" s="17"/>
    </row>
    <row r="357" spans="1:26" x14ac:dyDescent="0.3">
      <c r="A357" s="14"/>
      <c r="B357" s="14"/>
      <c r="C357" s="14"/>
      <c r="D357" s="14"/>
      <c r="E357" s="14"/>
      <c r="F357" s="14"/>
      <c r="G357" s="14"/>
      <c r="H357" s="14"/>
      <c r="I357" s="14"/>
      <c r="J357" s="14"/>
      <c r="K357" s="14"/>
      <c r="L357" s="14"/>
      <c r="M357" s="14"/>
      <c r="N357" s="14"/>
      <c r="O357" s="14"/>
      <c r="P357" s="14"/>
      <c r="Q357" s="14"/>
      <c r="R357" s="15"/>
      <c r="S357" s="14"/>
      <c r="T357" s="14"/>
      <c r="U357" s="14"/>
      <c r="V357" s="12"/>
      <c r="W357" s="12"/>
      <c r="X357" s="12"/>
      <c r="Y357" s="16"/>
      <c r="Z357" s="17"/>
    </row>
    <row r="358" spans="1:26" x14ac:dyDescent="0.3">
      <c r="S358" s="14"/>
      <c r="T358" s="14"/>
      <c r="U358" s="14"/>
      <c r="V358" s="12"/>
      <c r="W358" s="12"/>
      <c r="X358" s="12"/>
      <c r="Y358" s="16"/>
      <c r="Z358" s="17"/>
    </row>
    <row r="359" spans="1:26" x14ac:dyDescent="0.3">
      <c r="S359" s="14"/>
      <c r="T359" s="14"/>
      <c r="U359" s="14"/>
      <c r="V359" s="12"/>
      <c r="W359" s="12"/>
      <c r="X359" s="12"/>
      <c r="Y359" s="16"/>
      <c r="Z359" s="17"/>
    </row>
    <row r="360" spans="1:26" x14ac:dyDescent="0.3">
      <c r="S360" s="14"/>
      <c r="T360" s="14"/>
      <c r="U360" s="14"/>
      <c r="V360" s="12"/>
      <c r="W360" s="12"/>
      <c r="X360" s="12"/>
      <c r="Y360" s="16"/>
      <c r="Z360" s="17"/>
    </row>
    <row r="361" spans="1:26" x14ac:dyDescent="0.3">
      <c r="S361" s="14"/>
      <c r="T361" s="14"/>
      <c r="U361" s="14"/>
      <c r="V361" s="12"/>
      <c r="W361" s="12"/>
      <c r="X361" s="12"/>
      <c r="Y361" s="16"/>
      <c r="Z361" s="17"/>
    </row>
    <row r="362" spans="1:26" x14ac:dyDescent="0.3">
      <c r="S362" s="14"/>
      <c r="T362" s="14"/>
      <c r="U362" s="14"/>
      <c r="V362" s="12"/>
      <c r="W362" s="12"/>
      <c r="X362" s="12"/>
      <c r="Y362" s="16"/>
      <c r="Z362" s="17"/>
    </row>
    <row r="363" spans="1:26" x14ac:dyDescent="0.3">
      <c r="S363" s="14"/>
      <c r="T363" s="14"/>
      <c r="U363" s="14"/>
      <c r="V363" s="12"/>
      <c r="W363" s="12"/>
      <c r="X363" s="12"/>
      <c r="Y363" s="16"/>
      <c r="Z363" s="17"/>
    </row>
    <row r="364" spans="1:26" x14ac:dyDescent="0.3">
      <c r="S364" s="14"/>
      <c r="T364" s="14"/>
      <c r="U364" s="14"/>
      <c r="V364" s="12"/>
      <c r="W364" s="12"/>
      <c r="X364" s="12"/>
      <c r="Y364" s="16"/>
      <c r="Z364" s="17"/>
    </row>
    <row r="365" spans="1:26" x14ac:dyDescent="0.3">
      <c r="S365" s="14"/>
      <c r="T365" s="14"/>
      <c r="U365" s="14"/>
      <c r="V365" s="12"/>
      <c r="W365" s="12"/>
      <c r="X365" s="12"/>
      <c r="Y365" s="16"/>
      <c r="Z365" s="17"/>
    </row>
    <row r="366" spans="1:26" x14ac:dyDescent="0.3">
      <c r="A366" s="14"/>
      <c r="B366" s="14"/>
      <c r="C366" s="14"/>
      <c r="D366" s="14"/>
      <c r="E366" s="14"/>
      <c r="F366" s="14"/>
      <c r="G366" s="14"/>
      <c r="H366" s="14"/>
      <c r="I366" s="14"/>
      <c r="J366" s="14"/>
      <c r="K366" s="14"/>
      <c r="L366" s="14"/>
      <c r="M366" s="14"/>
      <c r="N366" s="14"/>
      <c r="O366" s="14"/>
      <c r="P366" s="14"/>
      <c r="Q366" s="14"/>
      <c r="R366" s="15"/>
      <c r="S366" s="14"/>
      <c r="T366" s="14"/>
      <c r="U366" s="14"/>
      <c r="V366" s="12"/>
      <c r="W366" s="12"/>
      <c r="X366" s="12"/>
      <c r="Y366" s="16"/>
      <c r="Z366" s="17"/>
    </row>
    <row r="367" spans="1:26" x14ac:dyDescent="0.3">
      <c r="S367" s="14"/>
      <c r="T367" s="14"/>
      <c r="U367" s="14"/>
      <c r="V367" s="12"/>
      <c r="W367" s="12"/>
      <c r="X367" s="12"/>
      <c r="Y367" s="16"/>
      <c r="Z367" s="17"/>
    </row>
    <row r="368" spans="1:26" x14ac:dyDescent="0.3">
      <c r="S368" s="14"/>
      <c r="T368" s="14"/>
      <c r="U368" s="14"/>
      <c r="V368" s="12"/>
      <c r="W368" s="12"/>
      <c r="X368" s="12"/>
      <c r="Y368" s="16"/>
      <c r="Z368" s="17"/>
    </row>
    <row r="369" spans="1:26" x14ac:dyDescent="0.3">
      <c r="S369" s="14"/>
      <c r="T369" s="14"/>
      <c r="U369" s="14"/>
      <c r="V369" s="12"/>
      <c r="W369" s="12"/>
      <c r="X369" s="12"/>
      <c r="Y369" s="16"/>
      <c r="Z369" s="17"/>
    </row>
    <row r="370" spans="1:26" x14ac:dyDescent="0.3">
      <c r="S370" s="14"/>
      <c r="T370" s="14"/>
      <c r="U370" s="14"/>
      <c r="V370" s="12"/>
      <c r="W370" s="12"/>
      <c r="X370" s="12"/>
      <c r="Y370" s="16"/>
      <c r="Z370" s="17"/>
    </row>
    <row r="371" spans="1:26" x14ac:dyDescent="0.3">
      <c r="S371" s="14"/>
      <c r="T371" s="14"/>
      <c r="U371" s="14"/>
      <c r="V371" s="12"/>
      <c r="W371" s="12"/>
      <c r="X371" s="12"/>
      <c r="Y371" s="16"/>
      <c r="Z371" s="17"/>
    </row>
    <row r="372" spans="1:26" x14ac:dyDescent="0.3">
      <c r="S372" s="14"/>
      <c r="T372" s="14"/>
      <c r="U372" s="14"/>
      <c r="V372" s="12"/>
      <c r="W372" s="12"/>
      <c r="X372" s="12"/>
      <c r="Y372" s="16"/>
      <c r="Z372" s="17"/>
    </row>
    <row r="373" spans="1:26" x14ac:dyDescent="0.3">
      <c r="S373" s="14"/>
      <c r="T373" s="14"/>
      <c r="U373" s="14"/>
      <c r="V373" s="12"/>
      <c r="W373" s="12"/>
      <c r="X373" s="12"/>
      <c r="Y373" s="16"/>
      <c r="Z373" s="17"/>
    </row>
    <row r="374" spans="1:26" x14ac:dyDescent="0.3">
      <c r="S374" s="14"/>
      <c r="T374" s="14"/>
      <c r="U374" s="14"/>
      <c r="V374" s="12"/>
      <c r="W374" s="12"/>
      <c r="X374" s="12"/>
      <c r="Y374" s="16"/>
      <c r="Z374" s="17"/>
    </row>
    <row r="375" spans="1:26" x14ac:dyDescent="0.3">
      <c r="S375" s="14"/>
      <c r="T375" s="14"/>
      <c r="U375" s="14"/>
      <c r="V375" s="12"/>
      <c r="W375" s="12"/>
      <c r="X375" s="12"/>
      <c r="Y375" s="16"/>
      <c r="Z375" s="17"/>
    </row>
    <row r="376" spans="1:26" x14ac:dyDescent="0.3">
      <c r="S376" s="14"/>
      <c r="T376" s="14"/>
      <c r="U376" s="14"/>
      <c r="V376" s="12"/>
      <c r="W376" s="12"/>
      <c r="X376" s="12"/>
      <c r="Y376" s="16"/>
      <c r="Z376" s="17"/>
    </row>
    <row r="377" spans="1:26" x14ac:dyDescent="0.3">
      <c r="S377" s="14"/>
      <c r="T377" s="14"/>
      <c r="U377" s="14"/>
      <c r="V377" s="12"/>
      <c r="W377" s="12"/>
      <c r="X377" s="12"/>
      <c r="Y377" s="16"/>
      <c r="Z377" s="17"/>
    </row>
    <row r="378" spans="1:26" x14ac:dyDescent="0.3">
      <c r="S378" s="14"/>
      <c r="T378" s="14"/>
      <c r="U378" s="14"/>
      <c r="V378" s="12"/>
      <c r="W378" s="12"/>
      <c r="X378" s="12"/>
      <c r="Y378" s="16"/>
      <c r="Z378" s="17"/>
    </row>
    <row r="379" spans="1:26" x14ac:dyDescent="0.3">
      <c r="S379" s="14"/>
      <c r="T379" s="14"/>
      <c r="U379" s="14"/>
      <c r="V379" s="12"/>
      <c r="W379" s="12"/>
      <c r="X379" s="12"/>
      <c r="Y379" s="16"/>
      <c r="Z379" s="17"/>
    </row>
    <row r="380" spans="1:26" x14ac:dyDescent="0.3">
      <c r="S380" s="14"/>
      <c r="T380" s="14"/>
      <c r="U380" s="14"/>
      <c r="V380" s="12"/>
      <c r="W380" s="12"/>
      <c r="X380" s="12"/>
      <c r="Y380" s="16"/>
      <c r="Z380" s="17"/>
    </row>
    <row r="381" spans="1:26" x14ac:dyDescent="0.3">
      <c r="S381" s="14"/>
      <c r="T381" s="14"/>
      <c r="U381" s="14"/>
      <c r="V381" s="12"/>
      <c r="W381" s="12"/>
      <c r="X381" s="12"/>
      <c r="Y381" s="16"/>
      <c r="Z381" s="17"/>
    </row>
    <row r="382" spans="1:26" x14ac:dyDescent="0.3">
      <c r="S382" s="14"/>
      <c r="T382" s="14"/>
      <c r="U382" s="14"/>
      <c r="V382" s="12"/>
      <c r="W382" s="12"/>
      <c r="X382" s="12"/>
      <c r="Y382" s="16"/>
      <c r="Z382" s="17"/>
    </row>
    <row r="383" spans="1:26" x14ac:dyDescent="0.3">
      <c r="S383" s="14"/>
      <c r="T383" s="14"/>
      <c r="U383" s="14"/>
      <c r="V383" s="12"/>
      <c r="W383" s="12"/>
      <c r="X383" s="12"/>
      <c r="Y383" s="16"/>
      <c r="Z383" s="17"/>
    </row>
    <row r="384" spans="1:26" x14ac:dyDescent="0.3">
      <c r="A384" s="14"/>
      <c r="B384" s="14"/>
      <c r="C384" s="14"/>
      <c r="D384" s="14"/>
      <c r="E384" s="14"/>
      <c r="F384" s="14"/>
      <c r="G384" s="14"/>
      <c r="H384" s="14"/>
      <c r="I384" s="14"/>
      <c r="J384" s="14"/>
      <c r="K384" s="14"/>
      <c r="L384" s="14"/>
      <c r="M384" s="14"/>
      <c r="N384" s="14"/>
      <c r="O384" s="14"/>
      <c r="P384" s="14"/>
      <c r="Q384" s="14"/>
      <c r="R384" s="15"/>
      <c r="S384" s="14"/>
      <c r="T384" s="14"/>
      <c r="U384" s="14"/>
      <c r="V384" s="12"/>
      <c r="W384" s="12"/>
      <c r="X384" s="12"/>
      <c r="Y384" s="16"/>
      <c r="Z384" s="17"/>
    </row>
    <row r="385" spans="19:26" x14ac:dyDescent="0.3">
      <c r="S385" s="14"/>
      <c r="T385" s="14"/>
      <c r="U385" s="14"/>
      <c r="V385" s="12"/>
      <c r="W385" s="12"/>
      <c r="X385" s="12"/>
      <c r="Y385" s="16"/>
      <c r="Z385" s="17"/>
    </row>
    <row r="386" spans="19:26" x14ac:dyDescent="0.3">
      <c r="S386" s="14"/>
      <c r="T386" s="14"/>
      <c r="U386" s="14"/>
      <c r="V386" s="12"/>
      <c r="W386" s="12"/>
      <c r="X386" s="12"/>
      <c r="Y386" s="16"/>
      <c r="Z386" s="17"/>
    </row>
    <row r="387" spans="19:26" x14ac:dyDescent="0.3">
      <c r="S387" s="14"/>
      <c r="T387" s="14"/>
      <c r="U387" s="14"/>
      <c r="V387" s="12"/>
      <c r="W387" s="12"/>
      <c r="X387" s="12"/>
      <c r="Y387" s="16"/>
      <c r="Z387" s="17"/>
    </row>
    <row r="388" spans="19:26" x14ac:dyDescent="0.3">
      <c r="S388" s="14"/>
      <c r="T388" s="14"/>
      <c r="U388" s="14"/>
      <c r="V388" s="12"/>
      <c r="W388" s="12"/>
      <c r="X388" s="12"/>
      <c r="Y388" s="16"/>
      <c r="Z388" s="17"/>
    </row>
    <row r="389" spans="19:26" x14ac:dyDescent="0.3">
      <c r="S389" s="14"/>
      <c r="T389" s="14"/>
      <c r="U389" s="14"/>
      <c r="V389" s="12"/>
      <c r="W389" s="12"/>
      <c r="X389" s="12"/>
      <c r="Y389" s="16"/>
      <c r="Z389" s="17"/>
    </row>
    <row r="390" spans="19:26" x14ac:dyDescent="0.3">
      <c r="S390" s="14"/>
      <c r="T390" s="14"/>
      <c r="U390" s="14"/>
      <c r="V390" s="12"/>
      <c r="W390" s="12"/>
      <c r="X390" s="12"/>
      <c r="Y390" s="16"/>
      <c r="Z390" s="17"/>
    </row>
    <row r="391" spans="19:26" x14ac:dyDescent="0.3">
      <c r="S391" s="14"/>
      <c r="T391" s="14"/>
      <c r="U391" s="14"/>
      <c r="V391" s="12"/>
      <c r="W391" s="12"/>
      <c r="X391" s="12"/>
      <c r="Y391" s="16"/>
      <c r="Z391" s="17"/>
    </row>
    <row r="392" spans="19:26" x14ac:dyDescent="0.3">
      <c r="S392" s="14"/>
      <c r="T392" s="14"/>
      <c r="U392" s="14"/>
      <c r="V392" s="12"/>
      <c r="W392" s="12"/>
      <c r="X392" s="12"/>
      <c r="Y392" s="16"/>
      <c r="Z392" s="17"/>
    </row>
    <row r="393" spans="19:26" x14ac:dyDescent="0.3">
      <c r="S393" s="14"/>
      <c r="T393" s="14"/>
      <c r="U393" s="14"/>
      <c r="V393" s="12"/>
      <c r="W393" s="12"/>
      <c r="X393" s="12"/>
      <c r="Y393" s="16"/>
      <c r="Z393" s="17"/>
    </row>
    <row r="394" spans="19:26" x14ac:dyDescent="0.3">
      <c r="S394" s="14"/>
      <c r="T394" s="14"/>
      <c r="U394" s="14"/>
      <c r="V394" s="12"/>
      <c r="W394" s="12"/>
      <c r="X394" s="12"/>
      <c r="Y394" s="16"/>
      <c r="Z394" s="17"/>
    </row>
    <row r="395" spans="19:26" x14ac:dyDescent="0.3">
      <c r="S395" s="14"/>
      <c r="T395" s="14"/>
      <c r="U395" s="14"/>
      <c r="V395" s="12"/>
      <c r="W395" s="12"/>
      <c r="X395" s="12"/>
      <c r="Y395" s="16"/>
      <c r="Z395" s="17"/>
    </row>
    <row r="396" spans="19:26" x14ac:dyDescent="0.3">
      <c r="S396" s="14"/>
      <c r="T396" s="14"/>
      <c r="U396" s="14"/>
      <c r="V396" s="12"/>
      <c r="W396" s="12"/>
      <c r="X396" s="12"/>
      <c r="Y396" s="16"/>
      <c r="Z396" s="17"/>
    </row>
    <row r="397" spans="19:26" x14ac:dyDescent="0.3">
      <c r="S397" s="14"/>
      <c r="T397" s="14"/>
      <c r="U397" s="14"/>
      <c r="V397" s="12"/>
      <c r="W397" s="12"/>
      <c r="X397" s="12"/>
      <c r="Y397" s="16"/>
      <c r="Z397" s="17"/>
    </row>
    <row r="398" spans="19:26" x14ac:dyDescent="0.3">
      <c r="S398" s="14"/>
      <c r="T398" s="14"/>
      <c r="U398" s="14"/>
      <c r="V398" s="12"/>
      <c r="W398" s="12"/>
      <c r="X398" s="12"/>
      <c r="Y398" s="16"/>
      <c r="Z398" s="17"/>
    </row>
    <row r="399" spans="19:26" x14ac:dyDescent="0.3">
      <c r="S399" s="14"/>
      <c r="T399" s="14"/>
      <c r="U399" s="14"/>
      <c r="V399" s="12"/>
      <c r="W399" s="12"/>
      <c r="X399" s="12"/>
      <c r="Y399" s="16"/>
      <c r="Z399" s="17"/>
    </row>
    <row r="400" spans="19:26" x14ac:dyDescent="0.3">
      <c r="S400" s="14"/>
      <c r="T400" s="14"/>
      <c r="U400" s="14"/>
      <c r="V400" s="12"/>
      <c r="W400" s="12"/>
      <c r="X400" s="12"/>
      <c r="Y400" s="16"/>
      <c r="Z400" s="17"/>
    </row>
    <row r="401" spans="1:26" x14ac:dyDescent="0.3">
      <c r="S401" s="14"/>
      <c r="T401" s="14"/>
      <c r="U401" s="14"/>
      <c r="V401" s="12"/>
      <c r="W401" s="12"/>
      <c r="X401" s="12"/>
      <c r="Y401" s="16"/>
      <c r="Z401" s="17"/>
    </row>
    <row r="402" spans="1:26" x14ac:dyDescent="0.3">
      <c r="S402" s="14"/>
      <c r="T402" s="14"/>
      <c r="U402" s="14"/>
      <c r="V402" s="12"/>
      <c r="W402" s="12"/>
      <c r="X402" s="12"/>
      <c r="Y402" s="16"/>
      <c r="Z402" s="17"/>
    </row>
    <row r="403" spans="1:26" x14ac:dyDescent="0.3">
      <c r="S403" s="14"/>
      <c r="T403" s="14"/>
      <c r="U403" s="14"/>
      <c r="V403" s="12"/>
      <c r="W403" s="12"/>
      <c r="X403" s="12"/>
      <c r="Y403" s="16"/>
      <c r="Z403" s="17"/>
    </row>
    <row r="404" spans="1:26" x14ac:dyDescent="0.3">
      <c r="S404" s="14"/>
      <c r="T404" s="14"/>
      <c r="U404" s="14"/>
      <c r="V404" s="12"/>
      <c r="W404" s="12"/>
      <c r="X404" s="12"/>
      <c r="Y404" s="16"/>
      <c r="Z404" s="17"/>
    </row>
    <row r="405" spans="1:26" x14ac:dyDescent="0.3">
      <c r="S405" s="14"/>
      <c r="T405" s="14"/>
      <c r="U405" s="14"/>
      <c r="V405" s="12"/>
      <c r="W405" s="12"/>
      <c r="X405" s="12"/>
      <c r="Y405" s="16"/>
      <c r="Z405" s="17"/>
    </row>
    <row r="406" spans="1:26" x14ac:dyDescent="0.3">
      <c r="S406" s="14"/>
      <c r="T406" s="14"/>
      <c r="U406" s="14"/>
      <c r="V406" s="12"/>
      <c r="W406" s="12"/>
      <c r="X406" s="12"/>
      <c r="Y406" s="16"/>
      <c r="Z406" s="17"/>
    </row>
    <row r="407" spans="1:26" x14ac:dyDescent="0.3">
      <c r="S407" s="14"/>
      <c r="T407" s="14"/>
      <c r="U407" s="14"/>
      <c r="V407" s="12"/>
      <c r="W407" s="12"/>
      <c r="X407" s="12"/>
      <c r="Y407" s="16"/>
      <c r="Z407" s="17"/>
    </row>
    <row r="408" spans="1:26" x14ac:dyDescent="0.3">
      <c r="S408" s="14"/>
      <c r="T408" s="14"/>
      <c r="U408" s="14"/>
      <c r="V408" s="12"/>
      <c r="W408" s="12"/>
      <c r="X408" s="12"/>
      <c r="Y408" s="16"/>
      <c r="Z408" s="17"/>
    </row>
    <row r="409" spans="1:26" x14ac:dyDescent="0.3">
      <c r="S409" s="14"/>
      <c r="T409" s="14"/>
      <c r="U409" s="14"/>
      <c r="V409" s="12"/>
      <c r="W409" s="12"/>
      <c r="X409" s="12"/>
      <c r="Y409" s="16"/>
      <c r="Z409" s="17"/>
    </row>
    <row r="410" spans="1:26" x14ac:dyDescent="0.3">
      <c r="S410" s="14"/>
      <c r="T410" s="14"/>
      <c r="U410" s="14"/>
      <c r="V410" s="12"/>
      <c r="W410" s="12"/>
      <c r="X410" s="12"/>
      <c r="Y410" s="16"/>
      <c r="Z410" s="17"/>
    </row>
    <row r="411" spans="1:26" x14ac:dyDescent="0.3">
      <c r="A411" s="14"/>
      <c r="B411" s="14"/>
      <c r="C411" s="14"/>
      <c r="D411" s="14"/>
      <c r="E411" s="14"/>
      <c r="F411" s="14"/>
      <c r="G411" s="14"/>
      <c r="H411" s="14"/>
      <c r="I411" s="14"/>
      <c r="J411" s="14"/>
      <c r="K411" s="14"/>
      <c r="L411" s="14"/>
      <c r="M411" s="14"/>
      <c r="N411" s="14"/>
      <c r="O411" s="14"/>
      <c r="P411" s="14"/>
      <c r="Q411" s="14"/>
      <c r="R411" s="15"/>
      <c r="S411" s="14"/>
      <c r="T411" s="14"/>
      <c r="U411" s="14"/>
      <c r="V411" s="12"/>
      <c r="W411" s="12"/>
      <c r="X411" s="12"/>
      <c r="Y411" s="16"/>
      <c r="Z411" s="17"/>
    </row>
    <row r="412" spans="1:26" x14ac:dyDescent="0.3">
      <c r="S412" s="14"/>
      <c r="T412" s="14"/>
      <c r="U412" s="14"/>
      <c r="V412" s="12"/>
      <c r="W412" s="12"/>
      <c r="X412" s="12"/>
      <c r="Y412" s="16"/>
      <c r="Z412" s="17"/>
    </row>
    <row r="413" spans="1:26" x14ac:dyDescent="0.3">
      <c r="S413" s="14"/>
      <c r="T413" s="14"/>
      <c r="U413" s="14"/>
      <c r="V413" s="12"/>
      <c r="W413" s="12"/>
      <c r="X413" s="12"/>
      <c r="Y413" s="16"/>
      <c r="Z413" s="17"/>
    </row>
    <row r="414" spans="1:26" x14ac:dyDescent="0.3">
      <c r="S414" s="14"/>
      <c r="T414" s="14"/>
      <c r="U414" s="14"/>
      <c r="V414" s="12"/>
      <c r="W414" s="12"/>
      <c r="X414" s="12"/>
      <c r="Y414" s="16"/>
      <c r="Z414" s="17"/>
    </row>
    <row r="415" spans="1:26" x14ac:dyDescent="0.3">
      <c r="S415" s="14"/>
      <c r="T415" s="14"/>
      <c r="U415" s="14"/>
      <c r="V415" s="12"/>
      <c r="W415" s="12"/>
      <c r="X415" s="12"/>
      <c r="Y415" s="16"/>
      <c r="Z415" s="17"/>
    </row>
    <row r="416" spans="1:26" x14ac:dyDescent="0.3">
      <c r="S416" s="14"/>
      <c r="T416" s="14"/>
      <c r="U416" s="14"/>
      <c r="V416" s="12"/>
      <c r="W416" s="12"/>
      <c r="X416" s="12"/>
      <c r="Y416" s="16"/>
      <c r="Z416" s="17"/>
    </row>
    <row r="417" spans="19:26" x14ac:dyDescent="0.3">
      <c r="S417" s="14"/>
      <c r="T417" s="14"/>
      <c r="U417" s="14"/>
      <c r="V417" s="12"/>
      <c r="W417" s="12"/>
      <c r="X417" s="12"/>
      <c r="Y417" s="16"/>
      <c r="Z417" s="17"/>
    </row>
    <row r="418" spans="19:26" x14ac:dyDescent="0.3">
      <c r="S418" s="14"/>
      <c r="T418" s="14"/>
      <c r="U418" s="14"/>
      <c r="V418" s="12"/>
      <c r="W418" s="12"/>
      <c r="X418" s="12"/>
      <c r="Y418" s="16"/>
      <c r="Z418" s="17"/>
    </row>
    <row r="419" spans="19:26" x14ac:dyDescent="0.3">
      <c r="S419" s="14"/>
      <c r="T419" s="14"/>
      <c r="U419" s="14"/>
      <c r="V419" s="12"/>
      <c r="W419" s="12"/>
      <c r="X419" s="12"/>
      <c r="Y419" s="16"/>
      <c r="Z419" s="17"/>
    </row>
    <row r="420" spans="19:26" x14ac:dyDescent="0.3">
      <c r="S420" s="14"/>
      <c r="T420" s="14"/>
      <c r="U420" s="14"/>
      <c r="V420" s="12"/>
      <c r="W420" s="12"/>
      <c r="X420" s="12"/>
      <c r="Y420" s="16"/>
      <c r="Z420" s="17"/>
    </row>
    <row r="421" spans="19:26" x14ac:dyDescent="0.3">
      <c r="S421" s="14"/>
      <c r="T421" s="14"/>
      <c r="U421" s="14"/>
      <c r="V421" s="12"/>
      <c r="W421" s="12"/>
      <c r="X421" s="12"/>
      <c r="Y421" s="16"/>
      <c r="Z421" s="17"/>
    </row>
    <row r="422" spans="19:26" x14ac:dyDescent="0.3">
      <c r="S422" s="14"/>
      <c r="T422" s="14"/>
      <c r="U422" s="14"/>
      <c r="V422" s="12"/>
      <c r="W422" s="12"/>
      <c r="X422" s="12"/>
      <c r="Y422" s="16"/>
      <c r="Z422" s="17"/>
    </row>
    <row r="423" spans="19:26" x14ac:dyDescent="0.3">
      <c r="S423" s="14"/>
      <c r="T423" s="14"/>
      <c r="U423" s="14"/>
      <c r="V423" s="12"/>
      <c r="W423" s="12"/>
      <c r="X423" s="12"/>
      <c r="Y423" s="16"/>
      <c r="Z423" s="17"/>
    </row>
    <row r="424" spans="19:26" x14ac:dyDescent="0.3">
      <c r="S424" s="14"/>
      <c r="T424" s="14"/>
      <c r="U424" s="14"/>
      <c r="V424" s="12"/>
      <c r="W424" s="12"/>
      <c r="X424" s="12"/>
      <c r="Y424" s="16"/>
      <c r="Z424" s="17"/>
    </row>
    <row r="425" spans="19:26" x14ac:dyDescent="0.3">
      <c r="S425" s="14"/>
      <c r="T425" s="14"/>
      <c r="U425" s="14"/>
      <c r="V425" s="12"/>
      <c r="W425" s="12"/>
      <c r="X425" s="12"/>
      <c r="Y425" s="16"/>
      <c r="Z425" s="17"/>
    </row>
    <row r="426" spans="19:26" x14ac:dyDescent="0.3">
      <c r="S426" s="14"/>
      <c r="T426" s="14"/>
      <c r="U426" s="14"/>
      <c r="V426" s="12"/>
      <c r="W426" s="12"/>
      <c r="X426" s="12"/>
      <c r="Y426" s="16"/>
      <c r="Z426" s="17"/>
    </row>
    <row r="427" spans="19:26" x14ac:dyDescent="0.3">
      <c r="S427" s="14"/>
      <c r="T427" s="14"/>
      <c r="U427" s="14"/>
      <c r="V427" s="12"/>
      <c r="W427" s="12"/>
      <c r="X427" s="12"/>
      <c r="Y427" s="16"/>
      <c r="Z427" s="17"/>
    </row>
    <row r="428" spans="19:26" x14ac:dyDescent="0.3">
      <c r="S428" s="14"/>
      <c r="T428" s="14"/>
      <c r="U428" s="14"/>
      <c r="V428" s="12"/>
      <c r="W428" s="12"/>
      <c r="X428" s="12"/>
      <c r="Y428" s="16"/>
      <c r="Z428" s="17"/>
    </row>
    <row r="429" spans="19:26" x14ac:dyDescent="0.3">
      <c r="S429" s="14"/>
      <c r="T429" s="14"/>
      <c r="U429" s="14"/>
      <c r="V429" s="12"/>
      <c r="W429" s="12"/>
      <c r="X429" s="12"/>
      <c r="Y429" s="16"/>
      <c r="Z429" s="17"/>
    </row>
    <row r="430" spans="19:26" x14ac:dyDescent="0.3">
      <c r="S430" s="14"/>
      <c r="T430" s="14"/>
      <c r="U430" s="14"/>
      <c r="V430" s="12"/>
      <c r="W430" s="12"/>
      <c r="X430" s="12"/>
      <c r="Y430" s="16"/>
      <c r="Z430" s="17"/>
    </row>
    <row r="431" spans="19:26" x14ac:dyDescent="0.3">
      <c r="S431" s="14"/>
      <c r="T431" s="14"/>
      <c r="U431" s="14"/>
      <c r="V431" s="12"/>
      <c r="W431" s="12"/>
      <c r="X431" s="12"/>
      <c r="Y431" s="16"/>
      <c r="Z431" s="17"/>
    </row>
    <row r="432" spans="19:26" x14ac:dyDescent="0.3">
      <c r="S432" s="14"/>
      <c r="T432" s="14"/>
      <c r="U432" s="14"/>
      <c r="V432" s="12"/>
      <c r="W432" s="12"/>
      <c r="X432" s="12"/>
      <c r="Y432" s="16"/>
      <c r="Z432" s="17"/>
    </row>
    <row r="433" spans="19:26" x14ac:dyDescent="0.3">
      <c r="S433" s="14"/>
      <c r="T433" s="14"/>
      <c r="U433" s="14"/>
      <c r="V433" s="12"/>
      <c r="W433" s="12"/>
      <c r="X433" s="12"/>
      <c r="Y433" s="16"/>
      <c r="Z433" s="17"/>
    </row>
    <row r="434" spans="19:26" x14ac:dyDescent="0.3">
      <c r="S434" s="14"/>
      <c r="T434" s="14"/>
      <c r="U434" s="14"/>
      <c r="V434" s="12"/>
      <c r="W434" s="12"/>
      <c r="X434" s="12"/>
      <c r="Y434" s="16"/>
      <c r="Z434" s="17"/>
    </row>
    <row r="435" spans="19:26" x14ac:dyDescent="0.3">
      <c r="S435" s="14"/>
      <c r="T435" s="14"/>
      <c r="U435" s="14"/>
      <c r="V435" s="12"/>
      <c r="W435" s="12"/>
      <c r="X435" s="12"/>
      <c r="Y435" s="16"/>
      <c r="Z435" s="17"/>
    </row>
    <row r="436" spans="19:26" x14ac:dyDescent="0.3">
      <c r="S436" s="14"/>
      <c r="T436" s="14"/>
      <c r="U436" s="14"/>
      <c r="V436" s="12"/>
      <c r="W436" s="12"/>
      <c r="X436" s="12"/>
      <c r="Y436" s="16"/>
      <c r="Z436" s="17"/>
    </row>
    <row r="437" spans="19:26" x14ac:dyDescent="0.3">
      <c r="S437" s="14"/>
      <c r="T437" s="14"/>
      <c r="U437" s="14"/>
      <c r="V437" s="12"/>
      <c r="W437" s="12"/>
      <c r="X437" s="12"/>
      <c r="Y437" s="16"/>
      <c r="Z437" s="17"/>
    </row>
    <row r="438" spans="19:26" x14ac:dyDescent="0.3">
      <c r="S438" s="14"/>
      <c r="T438" s="14"/>
      <c r="U438" s="14"/>
      <c r="V438" s="12"/>
      <c r="W438" s="12"/>
      <c r="X438" s="12"/>
      <c r="Y438" s="16"/>
      <c r="Z438" s="17"/>
    </row>
    <row r="439" spans="19:26" x14ac:dyDescent="0.3">
      <c r="S439" s="14"/>
      <c r="T439" s="14"/>
      <c r="U439" s="14"/>
      <c r="V439" s="12"/>
      <c r="W439" s="12"/>
      <c r="X439" s="12"/>
      <c r="Y439" s="16"/>
      <c r="Z439" s="17"/>
    </row>
    <row r="440" spans="19:26" x14ac:dyDescent="0.3">
      <c r="S440" s="14"/>
      <c r="T440" s="14"/>
      <c r="U440" s="14"/>
      <c r="V440" s="12"/>
      <c r="W440" s="12"/>
      <c r="X440" s="12"/>
      <c r="Y440" s="16"/>
      <c r="Z440" s="17"/>
    </row>
    <row r="441" spans="19:26" x14ac:dyDescent="0.3">
      <c r="S441" s="14"/>
      <c r="T441" s="14"/>
      <c r="U441" s="14"/>
      <c r="V441" s="12"/>
      <c r="W441" s="12"/>
      <c r="X441" s="12"/>
      <c r="Y441" s="16"/>
      <c r="Z441" s="17"/>
    </row>
    <row r="442" spans="19:26" x14ac:dyDescent="0.3">
      <c r="S442" s="14"/>
      <c r="T442" s="14"/>
      <c r="U442" s="14"/>
      <c r="V442" s="12"/>
      <c r="W442" s="12"/>
      <c r="X442" s="12"/>
      <c r="Y442" s="16"/>
      <c r="Z442" s="17"/>
    </row>
    <row r="443" spans="19:26" x14ac:dyDescent="0.3">
      <c r="S443" s="14"/>
      <c r="T443" s="14"/>
      <c r="U443" s="14"/>
      <c r="V443" s="12"/>
      <c r="W443" s="12"/>
      <c r="X443" s="12"/>
      <c r="Y443" s="16"/>
      <c r="Z443" s="17"/>
    </row>
    <row r="444" spans="19:26" x14ac:dyDescent="0.3">
      <c r="S444" s="14"/>
      <c r="T444" s="14"/>
      <c r="U444" s="14"/>
      <c r="V444" s="12"/>
      <c r="W444" s="12"/>
      <c r="X444" s="12"/>
      <c r="Y444" s="16"/>
      <c r="Z444" s="17"/>
    </row>
    <row r="445" spans="19:26" x14ac:dyDescent="0.3">
      <c r="S445" s="14"/>
      <c r="T445" s="14"/>
      <c r="U445" s="14"/>
      <c r="V445" s="12"/>
      <c r="W445" s="12"/>
      <c r="X445" s="12"/>
      <c r="Y445" s="16"/>
      <c r="Z445" s="17"/>
    </row>
    <row r="446" spans="19:26" x14ac:dyDescent="0.3">
      <c r="S446" s="14"/>
      <c r="T446" s="14"/>
      <c r="U446" s="14"/>
      <c r="V446" s="12"/>
      <c r="W446" s="12"/>
      <c r="X446" s="12"/>
      <c r="Y446" s="16"/>
      <c r="Z446" s="17"/>
    </row>
    <row r="447" spans="19:26" x14ac:dyDescent="0.3">
      <c r="S447" s="14"/>
      <c r="T447" s="14"/>
      <c r="U447" s="14"/>
      <c r="V447" s="12"/>
      <c r="W447" s="12"/>
      <c r="X447" s="12"/>
      <c r="Y447" s="16"/>
      <c r="Z447" s="17"/>
    </row>
    <row r="448" spans="19:26" x14ac:dyDescent="0.3">
      <c r="S448" s="14"/>
      <c r="T448" s="14"/>
      <c r="U448" s="14"/>
      <c r="V448" s="12"/>
      <c r="W448" s="12"/>
      <c r="X448" s="12"/>
      <c r="Y448" s="16"/>
      <c r="Z448" s="17"/>
    </row>
    <row r="449" spans="19:26" x14ac:dyDescent="0.3">
      <c r="S449" s="14"/>
      <c r="T449" s="14"/>
      <c r="U449" s="14"/>
      <c r="V449" s="12"/>
      <c r="W449" s="12"/>
      <c r="X449" s="12"/>
      <c r="Y449" s="16"/>
      <c r="Z449" s="17"/>
    </row>
    <row r="450" spans="19:26" x14ac:dyDescent="0.3">
      <c r="S450" s="14"/>
      <c r="T450" s="14"/>
      <c r="U450" s="14"/>
      <c r="V450" s="12"/>
      <c r="W450" s="12"/>
      <c r="X450" s="12"/>
      <c r="Y450" s="16"/>
      <c r="Z450" s="17"/>
    </row>
    <row r="451" spans="19:26" x14ac:dyDescent="0.3">
      <c r="S451" s="14"/>
      <c r="T451" s="14"/>
      <c r="U451" s="14"/>
      <c r="V451" s="12"/>
      <c r="W451" s="12"/>
      <c r="X451" s="12"/>
      <c r="Y451" s="16"/>
      <c r="Z451" s="17"/>
    </row>
    <row r="452" spans="19:26" x14ac:dyDescent="0.3">
      <c r="S452" s="14"/>
      <c r="T452" s="14"/>
      <c r="U452" s="14"/>
      <c r="V452" s="12"/>
      <c r="W452" s="12"/>
      <c r="X452" s="12"/>
      <c r="Y452" s="16"/>
      <c r="Z452" s="17"/>
    </row>
    <row r="453" spans="19:26" x14ac:dyDescent="0.3">
      <c r="S453" s="14"/>
      <c r="T453" s="14"/>
      <c r="U453" s="14"/>
      <c r="V453" s="12"/>
      <c r="W453" s="12"/>
      <c r="X453" s="12"/>
      <c r="Y453" s="16"/>
      <c r="Z453" s="17"/>
    </row>
    <row r="454" spans="19:26" x14ac:dyDescent="0.3">
      <c r="S454" s="14"/>
      <c r="T454" s="14"/>
      <c r="U454" s="14"/>
      <c r="V454" s="12"/>
      <c r="W454" s="12"/>
      <c r="X454" s="12"/>
      <c r="Y454" s="16"/>
      <c r="Z454" s="17"/>
    </row>
    <row r="455" spans="19:26" x14ac:dyDescent="0.3">
      <c r="S455" s="14"/>
      <c r="T455" s="14"/>
      <c r="U455" s="14"/>
      <c r="V455" s="12"/>
      <c r="W455" s="12"/>
      <c r="X455" s="12"/>
      <c r="Y455" s="16"/>
      <c r="Z455" s="17"/>
    </row>
    <row r="456" spans="19:26" x14ac:dyDescent="0.3">
      <c r="S456" s="14"/>
      <c r="T456" s="14"/>
      <c r="U456" s="14"/>
      <c r="V456" s="12"/>
      <c r="W456" s="12"/>
      <c r="X456" s="12"/>
      <c r="Y456" s="16"/>
      <c r="Z456" s="17"/>
    </row>
    <row r="457" spans="19:26" x14ac:dyDescent="0.3">
      <c r="S457" s="14"/>
      <c r="T457" s="14"/>
      <c r="U457" s="14"/>
      <c r="V457" s="12"/>
      <c r="W457" s="12"/>
      <c r="X457" s="12"/>
      <c r="Y457" s="16"/>
      <c r="Z457" s="17"/>
    </row>
    <row r="458" spans="19:26" x14ac:dyDescent="0.3">
      <c r="S458" s="14"/>
      <c r="T458" s="14"/>
      <c r="U458" s="14"/>
      <c r="V458" s="12"/>
      <c r="W458" s="12"/>
      <c r="X458" s="12"/>
      <c r="Y458" s="16"/>
      <c r="Z458" s="17"/>
    </row>
    <row r="459" spans="19:26" x14ac:dyDescent="0.3">
      <c r="S459" s="14"/>
      <c r="T459" s="14"/>
      <c r="U459" s="14"/>
      <c r="V459" s="12"/>
      <c r="W459" s="12"/>
      <c r="X459" s="12"/>
      <c r="Y459" s="16"/>
      <c r="Z459" s="17"/>
    </row>
    <row r="460" spans="19:26" x14ac:dyDescent="0.3">
      <c r="S460" s="14"/>
      <c r="T460" s="14"/>
      <c r="U460" s="14"/>
      <c r="V460" s="12"/>
      <c r="W460" s="12"/>
      <c r="X460" s="12"/>
      <c r="Y460" s="16"/>
      <c r="Z460" s="17"/>
    </row>
    <row r="461" spans="19:26" x14ac:dyDescent="0.3">
      <c r="S461" s="14"/>
      <c r="T461" s="14"/>
      <c r="U461" s="14"/>
      <c r="V461" s="12"/>
      <c r="W461" s="12"/>
      <c r="X461" s="12"/>
      <c r="Y461" s="16"/>
      <c r="Z461" s="17"/>
    </row>
    <row r="462" spans="19:26" x14ac:dyDescent="0.3">
      <c r="S462" s="14"/>
      <c r="T462" s="14"/>
      <c r="U462" s="14"/>
      <c r="V462" s="12"/>
      <c r="W462" s="12"/>
      <c r="X462" s="12"/>
      <c r="Y462" s="16"/>
      <c r="Z462" s="17"/>
    </row>
    <row r="463" spans="19:26" x14ac:dyDescent="0.3">
      <c r="S463" s="14"/>
      <c r="T463" s="14"/>
      <c r="U463" s="14"/>
      <c r="V463" s="12"/>
      <c r="W463" s="12"/>
      <c r="X463" s="12"/>
      <c r="Y463" s="16"/>
      <c r="Z463" s="17"/>
    </row>
    <row r="464" spans="19:26" x14ac:dyDescent="0.3">
      <c r="S464" s="14"/>
      <c r="T464" s="14"/>
      <c r="U464" s="14"/>
      <c r="V464" s="12"/>
      <c r="W464" s="12"/>
      <c r="X464" s="12"/>
      <c r="Y464" s="16"/>
      <c r="Z464" s="17"/>
    </row>
    <row r="465" spans="19:26" x14ac:dyDescent="0.3">
      <c r="S465" s="14"/>
      <c r="T465" s="14"/>
      <c r="U465" s="14"/>
      <c r="V465" s="12"/>
      <c r="W465" s="12"/>
      <c r="X465" s="12"/>
      <c r="Y465" s="16"/>
      <c r="Z465" s="17"/>
    </row>
    <row r="466" spans="19:26" x14ac:dyDescent="0.3">
      <c r="S466" s="14"/>
      <c r="T466" s="14"/>
      <c r="U466" s="14"/>
      <c r="V466" s="12"/>
      <c r="W466" s="12"/>
      <c r="X466" s="12"/>
      <c r="Y466" s="16"/>
      <c r="Z466" s="17"/>
    </row>
    <row r="467" spans="19:26" x14ac:dyDescent="0.3">
      <c r="S467" s="14"/>
      <c r="T467" s="14"/>
      <c r="U467" s="14"/>
      <c r="V467" s="12"/>
      <c r="W467" s="12"/>
      <c r="X467" s="12"/>
      <c r="Y467" s="16"/>
      <c r="Z467" s="17"/>
    </row>
    <row r="468" spans="19:26" x14ac:dyDescent="0.3">
      <c r="S468" s="14"/>
      <c r="T468" s="14"/>
      <c r="U468" s="14"/>
      <c r="V468" s="12"/>
      <c r="W468" s="12"/>
      <c r="X468" s="12"/>
      <c r="Y468" s="16"/>
      <c r="Z468" s="17"/>
    </row>
    <row r="469" spans="19:26" x14ac:dyDescent="0.3">
      <c r="S469" s="14"/>
      <c r="T469" s="14"/>
      <c r="U469" s="14"/>
      <c r="V469" s="12"/>
      <c r="W469" s="12"/>
      <c r="X469" s="12"/>
      <c r="Y469" s="16"/>
      <c r="Z469" s="17"/>
    </row>
    <row r="470" spans="19:26" x14ac:dyDescent="0.3">
      <c r="S470" s="14"/>
      <c r="T470" s="14"/>
      <c r="U470" s="14"/>
      <c r="V470" s="12"/>
      <c r="W470" s="12"/>
      <c r="X470" s="12"/>
      <c r="Y470" s="16"/>
      <c r="Z470" s="17"/>
    </row>
    <row r="471" spans="19:26" x14ac:dyDescent="0.3">
      <c r="S471" s="14"/>
      <c r="T471" s="14"/>
      <c r="U471" s="14"/>
      <c r="V471" s="12"/>
      <c r="W471" s="12"/>
      <c r="X471" s="12"/>
      <c r="Y471" s="16"/>
      <c r="Z471" s="17"/>
    </row>
    <row r="472" spans="19:26" x14ac:dyDescent="0.3">
      <c r="S472" s="14"/>
      <c r="T472" s="14"/>
      <c r="U472" s="14"/>
      <c r="V472" s="12"/>
      <c r="W472" s="12"/>
      <c r="X472" s="12"/>
      <c r="Y472" s="16"/>
      <c r="Z472" s="17"/>
    </row>
    <row r="473" spans="19:26" x14ac:dyDescent="0.3">
      <c r="S473" s="14"/>
      <c r="T473" s="14"/>
      <c r="U473" s="14"/>
      <c r="V473" s="12"/>
      <c r="W473" s="12"/>
      <c r="X473" s="12"/>
      <c r="Y473" s="16"/>
      <c r="Z473" s="17"/>
    </row>
    <row r="474" spans="19:26" x14ac:dyDescent="0.3">
      <c r="S474" s="14"/>
      <c r="T474" s="14"/>
      <c r="U474" s="14"/>
      <c r="V474" s="12"/>
      <c r="W474" s="12"/>
      <c r="X474" s="12"/>
      <c r="Y474" s="16"/>
      <c r="Z474" s="17"/>
    </row>
    <row r="475" spans="19:26" x14ac:dyDescent="0.3">
      <c r="S475" s="14"/>
      <c r="T475" s="14"/>
      <c r="U475" s="14"/>
      <c r="V475" s="12"/>
      <c r="W475" s="12"/>
      <c r="X475" s="12"/>
      <c r="Y475" s="16"/>
      <c r="Z475" s="17"/>
    </row>
    <row r="476" spans="19:26" x14ac:dyDescent="0.3">
      <c r="S476" s="14"/>
      <c r="T476" s="14"/>
      <c r="U476" s="14"/>
      <c r="V476" s="12"/>
      <c r="W476" s="12"/>
      <c r="X476" s="12"/>
      <c r="Y476" s="16"/>
      <c r="Z476" s="17"/>
    </row>
    <row r="477" spans="19:26" x14ac:dyDescent="0.3">
      <c r="S477" s="14"/>
      <c r="T477" s="14"/>
      <c r="U477" s="14"/>
      <c r="V477" s="12"/>
      <c r="W477" s="12"/>
      <c r="X477" s="12"/>
      <c r="Y477" s="16"/>
      <c r="Z477" s="17"/>
    </row>
    <row r="478" spans="19:26" x14ac:dyDescent="0.3">
      <c r="S478" s="14"/>
      <c r="T478" s="14"/>
      <c r="U478" s="14"/>
      <c r="V478" s="12"/>
      <c r="W478" s="12"/>
      <c r="X478" s="12"/>
      <c r="Y478" s="16"/>
      <c r="Z478" s="17"/>
    </row>
    <row r="479" spans="19:26" x14ac:dyDescent="0.3">
      <c r="S479" s="14"/>
      <c r="T479" s="14"/>
      <c r="U479" s="14"/>
      <c r="V479" s="12"/>
      <c r="W479" s="12"/>
      <c r="X479" s="12"/>
      <c r="Y479" s="16"/>
      <c r="Z479" s="17"/>
    </row>
    <row r="480" spans="19:26" x14ac:dyDescent="0.3">
      <c r="S480" s="14"/>
      <c r="T480" s="14"/>
      <c r="U480" s="14"/>
      <c r="V480" s="12"/>
      <c r="W480" s="12"/>
      <c r="X480" s="12"/>
      <c r="Y480" s="16"/>
      <c r="Z480" s="17"/>
    </row>
    <row r="481" spans="19:26" x14ac:dyDescent="0.3">
      <c r="S481" s="14"/>
      <c r="T481" s="14"/>
      <c r="U481" s="14"/>
      <c r="V481" s="12"/>
      <c r="W481" s="12"/>
      <c r="X481" s="12"/>
      <c r="Y481" s="16"/>
      <c r="Z481" s="17"/>
    </row>
    <row r="482" spans="19:26" x14ac:dyDescent="0.3">
      <c r="S482" s="14"/>
      <c r="T482" s="14"/>
      <c r="U482" s="14"/>
      <c r="V482" s="12"/>
      <c r="W482" s="12"/>
      <c r="X482" s="12"/>
      <c r="Y482" s="16"/>
      <c r="Z482" s="17"/>
    </row>
    <row r="483" spans="19:26" x14ac:dyDescent="0.3">
      <c r="S483" s="14"/>
      <c r="T483" s="14"/>
      <c r="U483" s="14"/>
      <c r="V483" s="12"/>
      <c r="W483" s="12"/>
      <c r="X483" s="12"/>
      <c r="Y483" s="16"/>
      <c r="Z483" s="17"/>
    </row>
    <row r="484" spans="19:26" x14ac:dyDescent="0.3">
      <c r="S484" s="14"/>
      <c r="T484" s="14"/>
      <c r="U484" s="14"/>
      <c r="V484" s="12"/>
      <c r="W484" s="12"/>
      <c r="X484" s="12"/>
      <c r="Y484" s="16"/>
      <c r="Z484" s="17"/>
    </row>
    <row r="485" spans="19:26" x14ac:dyDescent="0.3">
      <c r="S485" s="14"/>
      <c r="T485" s="14"/>
      <c r="U485" s="14"/>
      <c r="V485" s="12"/>
      <c r="W485" s="12"/>
      <c r="X485" s="12"/>
      <c r="Y485" s="16"/>
      <c r="Z485" s="17"/>
    </row>
    <row r="486" spans="19:26" x14ac:dyDescent="0.3">
      <c r="S486" s="14"/>
      <c r="T486" s="14"/>
      <c r="U486" s="14"/>
      <c r="V486" s="12"/>
      <c r="W486" s="12"/>
      <c r="X486" s="12"/>
      <c r="Y486" s="16"/>
      <c r="Z486" s="17"/>
    </row>
    <row r="487" spans="19:26" x14ac:dyDescent="0.3">
      <c r="S487" s="14"/>
      <c r="T487" s="14"/>
      <c r="U487" s="14"/>
      <c r="V487" s="12"/>
      <c r="W487" s="12"/>
      <c r="X487" s="12"/>
      <c r="Y487" s="16"/>
      <c r="Z487" s="17"/>
    </row>
    <row r="488" spans="19:26" x14ac:dyDescent="0.3">
      <c r="S488" s="14"/>
      <c r="T488" s="14"/>
      <c r="U488" s="14"/>
      <c r="V488" s="12"/>
      <c r="W488" s="12"/>
      <c r="X488" s="12"/>
      <c r="Y488" s="16"/>
      <c r="Z488" s="17"/>
    </row>
    <row r="489" spans="19:26" x14ac:dyDescent="0.3">
      <c r="S489" s="14"/>
      <c r="T489" s="14"/>
      <c r="U489" s="14"/>
      <c r="V489" s="12"/>
      <c r="W489" s="12"/>
      <c r="X489" s="12"/>
      <c r="Y489" s="16"/>
      <c r="Z489" s="17"/>
    </row>
    <row r="490" spans="19:26" x14ac:dyDescent="0.3">
      <c r="S490" s="14"/>
      <c r="T490" s="14"/>
      <c r="U490" s="14"/>
      <c r="V490" s="12"/>
      <c r="W490" s="12"/>
      <c r="X490" s="12"/>
      <c r="Y490" s="16"/>
      <c r="Z490" s="17"/>
    </row>
    <row r="491" spans="19:26" x14ac:dyDescent="0.3">
      <c r="S491" s="14"/>
      <c r="T491" s="14"/>
      <c r="U491" s="14"/>
      <c r="V491" s="12"/>
      <c r="W491" s="12"/>
      <c r="X491" s="12"/>
      <c r="Y491" s="16"/>
      <c r="Z491" s="17"/>
    </row>
    <row r="492" spans="19:26" x14ac:dyDescent="0.3">
      <c r="S492" s="14"/>
      <c r="T492" s="14"/>
      <c r="U492" s="14"/>
      <c r="V492" s="12"/>
      <c r="W492" s="12"/>
      <c r="X492" s="12"/>
      <c r="Y492" s="16"/>
      <c r="Z492" s="17"/>
    </row>
    <row r="493" spans="19:26" x14ac:dyDescent="0.3">
      <c r="S493" s="14"/>
      <c r="T493" s="14"/>
      <c r="U493" s="14"/>
      <c r="V493" s="12"/>
      <c r="W493" s="12"/>
      <c r="X493" s="12"/>
      <c r="Y493" s="16"/>
      <c r="Z493" s="17"/>
    </row>
    <row r="494" spans="19:26" x14ac:dyDescent="0.3">
      <c r="S494" s="14"/>
      <c r="T494" s="14"/>
      <c r="U494" s="14"/>
      <c r="V494" s="12"/>
      <c r="W494" s="12"/>
      <c r="X494" s="12"/>
      <c r="Y494" s="16"/>
      <c r="Z494" s="17"/>
    </row>
    <row r="495" spans="19:26" x14ac:dyDescent="0.3">
      <c r="S495" s="14"/>
      <c r="T495" s="14"/>
      <c r="U495" s="14"/>
      <c r="V495" s="12"/>
      <c r="W495" s="12"/>
      <c r="X495" s="12"/>
      <c r="Y495" s="16"/>
      <c r="Z495" s="17"/>
    </row>
    <row r="496" spans="19:26" x14ac:dyDescent="0.3">
      <c r="S496" s="14"/>
      <c r="T496" s="14"/>
      <c r="U496" s="14"/>
      <c r="V496" s="12"/>
      <c r="W496" s="12"/>
      <c r="X496" s="12"/>
      <c r="Y496" s="16"/>
      <c r="Z496" s="17"/>
    </row>
    <row r="497" spans="19:26" x14ac:dyDescent="0.3">
      <c r="S497" s="14"/>
      <c r="T497" s="14"/>
      <c r="U497" s="14"/>
      <c r="V497" s="12"/>
      <c r="W497" s="12"/>
      <c r="X497" s="12"/>
      <c r="Y497" s="16"/>
      <c r="Z497" s="17"/>
    </row>
    <row r="498" spans="19:26" x14ac:dyDescent="0.3">
      <c r="S498" s="14"/>
      <c r="T498" s="14"/>
      <c r="U498" s="14"/>
      <c r="V498" s="12"/>
      <c r="W498" s="12"/>
      <c r="X498" s="12"/>
      <c r="Y498" s="16"/>
      <c r="Z498" s="17"/>
    </row>
    <row r="499" spans="19:26" x14ac:dyDescent="0.3">
      <c r="S499" s="14"/>
      <c r="T499" s="14"/>
      <c r="U499" s="14"/>
      <c r="V499" s="12"/>
      <c r="W499" s="12"/>
      <c r="X499" s="12"/>
      <c r="Y499" s="16"/>
      <c r="Z499" s="17"/>
    </row>
    <row r="500" spans="19:26" x14ac:dyDescent="0.3">
      <c r="S500" s="14"/>
      <c r="T500" s="14"/>
      <c r="U500" s="14"/>
      <c r="V500" s="12"/>
      <c r="W500" s="12"/>
      <c r="X500" s="12"/>
      <c r="Y500" s="16"/>
      <c r="Z500" s="17"/>
    </row>
    <row r="501" spans="19:26" x14ac:dyDescent="0.3">
      <c r="S501" s="14"/>
      <c r="T501" s="14"/>
      <c r="U501" s="14"/>
      <c r="V501" s="12"/>
      <c r="W501" s="12"/>
      <c r="X501" s="12"/>
      <c r="Y501" s="16"/>
      <c r="Z501" s="17"/>
    </row>
    <row r="502" spans="19:26" x14ac:dyDescent="0.3">
      <c r="S502" s="14"/>
      <c r="T502" s="14"/>
      <c r="U502" s="14"/>
      <c r="V502" s="12"/>
      <c r="W502" s="12"/>
      <c r="X502" s="12"/>
      <c r="Y502" s="16"/>
      <c r="Z502" s="17"/>
    </row>
    <row r="503" spans="19:26" x14ac:dyDescent="0.3">
      <c r="S503" s="14"/>
      <c r="T503" s="14"/>
      <c r="U503" s="14"/>
      <c r="V503" s="12"/>
      <c r="W503" s="12"/>
      <c r="X503" s="12"/>
      <c r="Y503" s="16"/>
      <c r="Z503" s="17"/>
    </row>
    <row r="504" spans="19:26" x14ac:dyDescent="0.3">
      <c r="S504" s="14"/>
      <c r="T504" s="14"/>
      <c r="U504" s="14"/>
      <c r="V504" s="12"/>
      <c r="W504" s="12"/>
      <c r="X504" s="12"/>
      <c r="Y504" s="16"/>
      <c r="Z504" s="17"/>
    </row>
    <row r="505" spans="19:26" x14ac:dyDescent="0.3">
      <c r="S505" s="14"/>
      <c r="T505" s="14"/>
      <c r="U505" s="14"/>
      <c r="V505" s="12"/>
      <c r="W505" s="12"/>
      <c r="X505" s="12"/>
      <c r="Y505" s="16"/>
      <c r="Z505" s="17"/>
    </row>
    <row r="506" spans="19:26" x14ac:dyDescent="0.3">
      <c r="S506" s="14"/>
      <c r="T506" s="14"/>
      <c r="U506" s="14"/>
      <c r="V506" s="12"/>
      <c r="W506" s="12"/>
      <c r="X506" s="12"/>
      <c r="Y506" s="16"/>
      <c r="Z506" s="17"/>
    </row>
    <row r="507" spans="19:26" x14ac:dyDescent="0.3">
      <c r="S507" s="14"/>
      <c r="T507" s="14"/>
      <c r="U507" s="14"/>
      <c r="V507" s="12"/>
      <c r="W507" s="12"/>
      <c r="X507" s="12"/>
      <c r="Y507" s="16"/>
      <c r="Z507" s="17"/>
    </row>
    <row r="508" spans="19:26" x14ac:dyDescent="0.3">
      <c r="S508" s="14"/>
      <c r="T508" s="14"/>
      <c r="U508" s="14"/>
      <c r="V508" s="12"/>
      <c r="W508" s="12"/>
      <c r="X508" s="12"/>
      <c r="Y508" s="16"/>
      <c r="Z508" s="17"/>
    </row>
    <row r="509" spans="19:26" x14ac:dyDescent="0.3">
      <c r="S509" s="14"/>
      <c r="T509" s="14"/>
      <c r="U509" s="14"/>
      <c r="V509" s="12"/>
      <c r="W509" s="12"/>
      <c r="X509" s="12"/>
      <c r="Y509" s="16"/>
      <c r="Z509" s="17"/>
    </row>
    <row r="510" spans="19:26" x14ac:dyDescent="0.3">
      <c r="S510" s="14"/>
      <c r="T510" s="14"/>
      <c r="U510" s="14"/>
      <c r="V510" s="12"/>
      <c r="W510" s="12"/>
      <c r="X510" s="12"/>
      <c r="Y510" s="16"/>
      <c r="Z510" s="17"/>
    </row>
    <row r="511" spans="19:26" x14ac:dyDescent="0.3">
      <c r="S511" s="14"/>
      <c r="T511" s="14"/>
      <c r="U511" s="14"/>
      <c r="V511" s="12"/>
      <c r="W511" s="12"/>
      <c r="X511" s="12"/>
      <c r="Y511" s="16"/>
      <c r="Z511" s="17"/>
    </row>
    <row r="512" spans="19:26" x14ac:dyDescent="0.3">
      <c r="S512" s="14"/>
      <c r="T512" s="14"/>
      <c r="U512" s="14"/>
      <c r="V512" s="12"/>
      <c r="W512" s="12"/>
      <c r="X512" s="12"/>
      <c r="Y512" s="16"/>
      <c r="Z512" s="17"/>
    </row>
    <row r="513" spans="19:26" x14ac:dyDescent="0.3">
      <c r="S513" s="14"/>
      <c r="T513" s="14"/>
      <c r="U513" s="14"/>
      <c r="V513" s="12"/>
      <c r="W513" s="12"/>
      <c r="X513" s="12"/>
      <c r="Y513" s="16"/>
      <c r="Z513" s="17"/>
    </row>
    <row r="514" spans="19:26" x14ac:dyDescent="0.3">
      <c r="S514" s="14"/>
      <c r="T514" s="14"/>
      <c r="U514" s="14"/>
      <c r="V514" s="12"/>
      <c r="W514" s="12"/>
      <c r="X514" s="12"/>
      <c r="Y514" s="16"/>
      <c r="Z514" s="17"/>
    </row>
    <row r="515" spans="19:26" x14ac:dyDescent="0.3">
      <c r="S515" s="14"/>
      <c r="T515" s="14"/>
      <c r="U515" s="14"/>
      <c r="V515" s="12"/>
      <c r="W515" s="12"/>
      <c r="X515" s="12"/>
      <c r="Y515" s="16"/>
      <c r="Z515" s="17"/>
    </row>
    <row r="516" spans="19:26" x14ac:dyDescent="0.3">
      <c r="S516" s="14"/>
      <c r="T516" s="14"/>
      <c r="U516" s="14"/>
      <c r="V516" s="12"/>
      <c r="W516" s="12"/>
      <c r="X516" s="12"/>
      <c r="Y516" s="16"/>
      <c r="Z516" s="17"/>
    </row>
    <row r="517" spans="19:26" x14ac:dyDescent="0.3">
      <c r="S517" s="14"/>
      <c r="T517" s="14"/>
      <c r="U517" s="14"/>
      <c r="V517" s="12"/>
      <c r="W517" s="12"/>
      <c r="X517" s="12"/>
      <c r="Y517" s="16"/>
      <c r="Z517" s="17"/>
    </row>
    <row r="518" spans="19:26" x14ac:dyDescent="0.3">
      <c r="S518" s="14"/>
      <c r="T518" s="14"/>
      <c r="U518" s="14"/>
      <c r="V518" s="12"/>
      <c r="W518" s="12"/>
      <c r="X518" s="12"/>
      <c r="Y518" s="16"/>
      <c r="Z518" s="17"/>
    </row>
    <row r="519" spans="19:26" x14ac:dyDescent="0.3">
      <c r="S519" s="14"/>
      <c r="T519" s="14"/>
      <c r="U519" s="14"/>
      <c r="V519" s="12"/>
      <c r="W519" s="12"/>
      <c r="X519" s="12"/>
      <c r="Y519" s="16"/>
      <c r="Z519" s="17"/>
    </row>
    <row r="520" spans="19:26" x14ac:dyDescent="0.3">
      <c r="S520" s="14"/>
      <c r="T520" s="14"/>
      <c r="U520" s="14"/>
      <c r="V520" s="12"/>
      <c r="W520" s="12"/>
      <c r="X520" s="12"/>
      <c r="Y520" s="16"/>
      <c r="Z520" s="17"/>
    </row>
    <row r="521" spans="19:26" x14ac:dyDescent="0.3">
      <c r="S521" s="14"/>
      <c r="T521" s="14"/>
      <c r="U521" s="14"/>
      <c r="V521" s="12"/>
      <c r="W521" s="12"/>
      <c r="X521" s="12"/>
      <c r="Y521" s="16"/>
      <c r="Z521" s="17"/>
    </row>
    <row r="522" spans="19:26" x14ac:dyDescent="0.3">
      <c r="S522" s="14"/>
      <c r="T522" s="14"/>
      <c r="U522" s="14"/>
      <c r="V522" s="12"/>
      <c r="W522" s="12"/>
      <c r="X522" s="12"/>
      <c r="Y522" s="16"/>
      <c r="Z522" s="17"/>
    </row>
    <row r="523" spans="19:26" x14ac:dyDescent="0.3">
      <c r="S523" s="14"/>
      <c r="T523" s="14"/>
      <c r="U523" s="14"/>
      <c r="V523" s="12"/>
      <c r="W523" s="12"/>
      <c r="X523" s="12"/>
      <c r="Y523" s="16"/>
      <c r="Z523" s="17"/>
    </row>
    <row r="524" spans="19:26" x14ac:dyDescent="0.3">
      <c r="S524" s="14"/>
      <c r="T524" s="14"/>
      <c r="U524" s="14"/>
      <c r="V524" s="12"/>
      <c r="W524" s="12"/>
      <c r="X524" s="12"/>
      <c r="Y524" s="16"/>
      <c r="Z524" s="17"/>
    </row>
    <row r="525" spans="19:26" x14ac:dyDescent="0.3">
      <c r="S525" s="14"/>
      <c r="T525" s="14"/>
      <c r="U525" s="14"/>
      <c r="V525" s="12"/>
      <c r="W525" s="12"/>
      <c r="X525" s="12"/>
      <c r="Y525" s="16"/>
      <c r="Z525" s="17"/>
    </row>
    <row r="526" spans="19:26" x14ac:dyDescent="0.3">
      <c r="S526" s="14"/>
      <c r="T526" s="14"/>
      <c r="U526" s="14"/>
      <c r="V526" s="12"/>
      <c r="W526" s="12"/>
      <c r="X526" s="12"/>
      <c r="Y526" s="16"/>
      <c r="Z526" s="17"/>
    </row>
    <row r="527" spans="19:26" x14ac:dyDescent="0.3">
      <c r="S527" s="14"/>
      <c r="T527" s="14"/>
      <c r="U527" s="14"/>
      <c r="V527" s="12"/>
      <c r="W527" s="12"/>
      <c r="X527" s="12"/>
      <c r="Y527" s="16"/>
      <c r="Z527" s="17"/>
    </row>
    <row r="528" spans="19:26" x14ac:dyDescent="0.3">
      <c r="S528" s="14"/>
      <c r="T528" s="14"/>
      <c r="U528" s="14"/>
      <c r="V528" s="12"/>
      <c r="W528" s="12"/>
      <c r="X528" s="12"/>
      <c r="Y528" s="16"/>
      <c r="Z528" s="17"/>
    </row>
    <row r="529" spans="19:26" x14ac:dyDescent="0.3">
      <c r="S529" s="14"/>
      <c r="T529" s="14"/>
      <c r="U529" s="14"/>
      <c r="V529" s="12"/>
      <c r="W529" s="12"/>
      <c r="X529" s="12"/>
      <c r="Y529" s="16"/>
      <c r="Z529" s="17"/>
    </row>
    <row r="530" spans="19:26" x14ac:dyDescent="0.3">
      <c r="S530" s="14"/>
      <c r="T530" s="14"/>
      <c r="U530" s="14"/>
      <c r="V530" s="12"/>
      <c r="W530" s="12"/>
      <c r="X530" s="12"/>
      <c r="Y530" s="16"/>
      <c r="Z530" s="17"/>
    </row>
    <row r="531" spans="19:26" x14ac:dyDescent="0.3">
      <c r="S531" s="14"/>
      <c r="T531" s="14"/>
      <c r="U531" s="14"/>
      <c r="V531" s="12"/>
      <c r="W531" s="12"/>
      <c r="X531" s="12"/>
      <c r="Y531" s="16"/>
      <c r="Z531" s="17"/>
    </row>
    <row r="532" spans="19:26" x14ac:dyDescent="0.3">
      <c r="S532" s="14"/>
      <c r="T532" s="14"/>
      <c r="U532" s="14"/>
      <c r="V532" s="12"/>
      <c r="W532" s="12"/>
      <c r="X532" s="12"/>
      <c r="Y532" s="16"/>
      <c r="Z532" s="17"/>
    </row>
    <row r="533" spans="19:26" x14ac:dyDescent="0.3">
      <c r="S533" s="14"/>
      <c r="T533" s="14"/>
      <c r="U533" s="14"/>
      <c r="V533" s="12"/>
      <c r="W533" s="12"/>
      <c r="X533" s="12"/>
      <c r="Y533" s="16"/>
      <c r="Z533" s="17"/>
    </row>
    <row r="534" spans="19:26" x14ac:dyDescent="0.3">
      <c r="S534" s="14"/>
      <c r="T534" s="14"/>
      <c r="U534" s="14"/>
      <c r="V534" s="12"/>
      <c r="W534" s="12"/>
      <c r="X534" s="12"/>
      <c r="Y534" s="16"/>
      <c r="Z534" s="17"/>
    </row>
    <row r="535" spans="19:26" x14ac:dyDescent="0.3">
      <c r="S535" s="14"/>
      <c r="T535" s="14"/>
      <c r="U535" s="14"/>
      <c r="V535" s="12"/>
      <c r="W535" s="12"/>
      <c r="X535" s="12"/>
      <c r="Y535" s="16"/>
      <c r="Z535" s="17"/>
    </row>
    <row r="536" spans="19:26" x14ac:dyDescent="0.3">
      <c r="S536" s="14"/>
      <c r="T536" s="14"/>
      <c r="U536" s="14"/>
      <c r="V536" s="12"/>
      <c r="W536" s="12"/>
      <c r="X536" s="12"/>
      <c r="Y536" s="16"/>
      <c r="Z536" s="17"/>
    </row>
    <row r="537" spans="19:26" x14ac:dyDescent="0.3">
      <c r="S537" s="14"/>
      <c r="T537" s="14"/>
      <c r="U537" s="14"/>
      <c r="V537" s="12"/>
      <c r="W537" s="12"/>
      <c r="X537" s="12"/>
      <c r="Y537" s="16"/>
      <c r="Z537" s="17"/>
    </row>
    <row r="538" spans="19:26" x14ac:dyDescent="0.3">
      <c r="S538" s="14"/>
      <c r="T538" s="14"/>
      <c r="U538" s="14"/>
      <c r="V538" s="12"/>
      <c r="W538" s="12"/>
      <c r="X538" s="12"/>
      <c r="Y538" s="16"/>
      <c r="Z538" s="17"/>
    </row>
    <row r="539" spans="19:26" x14ac:dyDescent="0.3">
      <c r="S539" s="14"/>
      <c r="T539" s="14"/>
      <c r="U539" s="14"/>
      <c r="V539" s="12"/>
      <c r="W539" s="12"/>
      <c r="X539" s="12"/>
      <c r="Y539" s="16"/>
      <c r="Z539" s="17"/>
    </row>
    <row r="540" spans="19:26" x14ac:dyDescent="0.3">
      <c r="S540" s="14"/>
      <c r="T540" s="14"/>
      <c r="U540" s="14"/>
      <c r="V540" s="12"/>
      <c r="W540" s="12"/>
      <c r="X540" s="12"/>
      <c r="Y540" s="16"/>
      <c r="Z540" s="17"/>
    </row>
    <row r="541" spans="19:26" x14ac:dyDescent="0.3">
      <c r="S541" s="14"/>
      <c r="T541" s="14"/>
      <c r="U541" s="14"/>
      <c r="V541" s="12"/>
      <c r="W541" s="12"/>
      <c r="X541" s="12"/>
      <c r="Y541" s="16"/>
      <c r="Z541" s="17"/>
    </row>
    <row r="542" spans="19:26" x14ac:dyDescent="0.3">
      <c r="S542" s="14"/>
      <c r="T542" s="14"/>
      <c r="U542" s="14"/>
      <c r="V542" s="12"/>
      <c r="W542" s="12"/>
      <c r="X542" s="12"/>
      <c r="Y542" s="16"/>
      <c r="Z542" s="17"/>
    </row>
    <row r="543" spans="19:26" x14ac:dyDescent="0.3">
      <c r="S543" s="14"/>
      <c r="T543" s="14"/>
      <c r="U543" s="14"/>
      <c r="V543" s="12"/>
      <c r="W543" s="12"/>
      <c r="X543" s="12"/>
      <c r="Y543" s="16"/>
      <c r="Z543" s="17"/>
    </row>
    <row r="544" spans="19:26" x14ac:dyDescent="0.3">
      <c r="S544" s="14"/>
      <c r="T544" s="14"/>
      <c r="U544" s="14"/>
      <c r="V544" s="12"/>
      <c r="W544" s="12"/>
      <c r="X544" s="12"/>
      <c r="Y544" s="16"/>
      <c r="Z544" s="17"/>
    </row>
    <row r="545" spans="19:26" x14ac:dyDescent="0.3">
      <c r="S545" s="14"/>
      <c r="T545" s="14"/>
      <c r="U545" s="14"/>
      <c r="V545" s="12"/>
      <c r="W545" s="12"/>
      <c r="X545" s="12"/>
      <c r="Y545" s="16"/>
      <c r="Z545" s="17"/>
    </row>
    <row r="546" spans="19:26" x14ac:dyDescent="0.3">
      <c r="S546" s="14"/>
      <c r="T546" s="14"/>
      <c r="U546" s="14"/>
      <c r="V546" s="12"/>
      <c r="W546" s="12"/>
      <c r="X546" s="12"/>
      <c r="Y546" s="16"/>
      <c r="Z546" s="17"/>
    </row>
    <row r="547" spans="19:26" x14ac:dyDescent="0.3">
      <c r="S547" s="14"/>
      <c r="T547" s="14"/>
      <c r="U547" s="14"/>
      <c r="V547" s="12"/>
      <c r="W547" s="12"/>
      <c r="X547" s="12"/>
      <c r="Y547" s="16"/>
      <c r="Z547" s="17"/>
    </row>
    <row r="548" spans="19:26" x14ac:dyDescent="0.3">
      <c r="S548" s="14"/>
      <c r="T548" s="14"/>
      <c r="U548" s="14"/>
      <c r="V548" s="12"/>
      <c r="W548" s="12"/>
      <c r="X548" s="12"/>
      <c r="Y548" s="16"/>
      <c r="Z548" s="17"/>
    </row>
    <row r="549" spans="19:26" x14ac:dyDescent="0.3">
      <c r="S549" s="14"/>
      <c r="T549" s="14"/>
      <c r="U549" s="14"/>
      <c r="V549" s="12"/>
      <c r="W549" s="12"/>
      <c r="X549" s="12"/>
      <c r="Y549" s="16"/>
      <c r="Z549" s="17"/>
    </row>
    <row r="550" spans="19:26" x14ac:dyDescent="0.3">
      <c r="S550" s="14"/>
      <c r="T550" s="14"/>
      <c r="U550" s="14"/>
      <c r="V550" s="12"/>
      <c r="W550" s="12"/>
      <c r="X550" s="12"/>
      <c r="Y550" s="16"/>
      <c r="Z550" s="17"/>
    </row>
    <row r="551" spans="19:26" x14ac:dyDescent="0.3">
      <c r="S551" s="14"/>
      <c r="T551" s="14"/>
      <c r="U551" s="14"/>
      <c r="V551" s="12"/>
      <c r="W551" s="12"/>
      <c r="X551" s="12"/>
      <c r="Y551" s="16"/>
      <c r="Z551" s="17"/>
    </row>
    <row r="552" spans="19:26" x14ac:dyDescent="0.3">
      <c r="S552" s="14"/>
      <c r="T552" s="14"/>
      <c r="U552" s="14"/>
      <c r="V552" s="12"/>
      <c r="W552" s="12"/>
      <c r="X552" s="12"/>
      <c r="Y552" s="16"/>
      <c r="Z552" s="17"/>
    </row>
    <row r="553" spans="19:26" x14ac:dyDescent="0.3">
      <c r="S553" s="14"/>
      <c r="T553" s="14"/>
      <c r="U553" s="14"/>
      <c r="V553" s="12"/>
      <c r="W553" s="12"/>
      <c r="X553" s="12"/>
      <c r="Y553" s="16"/>
      <c r="Z553" s="17"/>
    </row>
    <row r="554" spans="19:26" x14ac:dyDescent="0.3">
      <c r="S554" s="14"/>
      <c r="T554" s="14"/>
      <c r="U554" s="14"/>
      <c r="V554" s="12"/>
      <c r="W554" s="12"/>
      <c r="X554" s="12"/>
      <c r="Y554" s="16"/>
      <c r="Z554" s="17"/>
    </row>
    <row r="555" spans="19:26" x14ac:dyDescent="0.3">
      <c r="S555" s="14"/>
      <c r="T555" s="14"/>
      <c r="U555" s="14"/>
      <c r="V555" s="12"/>
      <c r="W555" s="12"/>
      <c r="X555" s="12"/>
      <c r="Y555" s="16"/>
      <c r="Z555" s="17"/>
    </row>
    <row r="556" spans="19:26" x14ac:dyDescent="0.3">
      <c r="S556" s="14"/>
      <c r="T556" s="14"/>
      <c r="U556" s="14"/>
      <c r="V556" s="12"/>
      <c r="W556" s="12"/>
      <c r="X556" s="12"/>
      <c r="Y556" s="16"/>
      <c r="Z556" s="17"/>
    </row>
    <row r="557" spans="19:26" x14ac:dyDescent="0.3">
      <c r="S557" s="14"/>
      <c r="T557" s="14"/>
      <c r="U557" s="14"/>
      <c r="V557" s="12"/>
      <c r="W557" s="12"/>
      <c r="X557" s="12"/>
      <c r="Y557" s="16"/>
      <c r="Z557" s="17"/>
    </row>
    <row r="558" spans="19:26" x14ac:dyDescent="0.3">
      <c r="S558" s="14"/>
      <c r="T558" s="14"/>
      <c r="U558" s="14"/>
      <c r="V558" s="12"/>
      <c r="W558" s="12"/>
      <c r="X558" s="12"/>
      <c r="Y558" s="16"/>
      <c r="Z558" s="17"/>
    </row>
    <row r="559" spans="19:26" x14ac:dyDescent="0.3">
      <c r="S559" s="14"/>
      <c r="T559" s="14"/>
      <c r="U559" s="14"/>
      <c r="V559" s="12"/>
      <c r="W559" s="12"/>
      <c r="X559" s="12"/>
      <c r="Y559" s="16"/>
      <c r="Z559" s="17"/>
    </row>
    <row r="560" spans="19:26" x14ac:dyDescent="0.3">
      <c r="S560" s="14"/>
      <c r="T560" s="14"/>
      <c r="U560" s="14"/>
      <c r="V560" s="12"/>
      <c r="W560" s="12"/>
      <c r="X560" s="12"/>
      <c r="Y560" s="16"/>
      <c r="Z560" s="17"/>
    </row>
    <row r="561" spans="19:26" x14ac:dyDescent="0.3">
      <c r="S561" s="14"/>
      <c r="T561" s="14"/>
      <c r="U561" s="14"/>
      <c r="V561" s="12"/>
      <c r="W561" s="12"/>
      <c r="X561" s="12"/>
      <c r="Y561" s="16"/>
      <c r="Z561" s="17"/>
    </row>
    <row r="562" spans="19:26" x14ac:dyDescent="0.3">
      <c r="S562" s="14"/>
      <c r="T562" s="14"/>
      <c r="U562" s="14"/>
      <c r="V562" s="12"/>
      <c r="W562" s="12"/>
      <c r="X562" s="12"/>
      <c r="Y562" s="16"/>
      <c r="Z562" s="17"/>
    </row>
    <row r="563" spans="19:26" x14ac:dyDescent="0.3">
      <c r="S563" s="14"/>
      <c r="T563" s="14"/>
      <c r="U563" s="14"/>
      <c r="V563" s="12"/>
      <c r="W563" s="12"/>
      <c r="X563" s="12"/>
      <c r="Y563" s="16"/>
      <c r="Z563" s="17"/>
    </row>
    <row r="564" spans="19:26" x14ac:dyDescent="0.3">
      <c r="S564" s="14"/>
      <c r="T564" s="14"/>
      <c r="U564" s="14"/>
      <c r="V564" s="12"/>
      <c r="W564" s="12"/>
      <c r="X564" s="12"/>
      <c r="Y564" s="16"/>
      <c r="Z564" s="17"/>
    </row>
    <row r="565" spans="19:26" x14ac:dyDescent="0.3">
      <c r="S565" s="14"/>
      <c r="T565" s="14"/>
      <c r="U565" s="14"/>
      <c r="V565" s="12"/>
      <c r="W565" s="12"/>
      <c r="X565" s="12"/>
      <c r="Y565" s="16"/>
      <c r="Z565" s="17"/>
    </row>
    <row r="566" spans="19:26" x14ac:dyDescent="0.3">
      <c r="S566" s="14"/>
      <c r="T566" s="14"/>
      <c r="U566" s="14"/>
      <c r="V566" s="12"/>
      <c r="W566" s="12"/>
      <c r="X566" s="12"/>
      <c r="Y566" s="16"/>
      <c r="Z566" s="17"/>
    </row>
    <row r="567" spans="19:26" x14ac:dyDescent="0.3">
      <c r="S567" s="14"/>
      <c r="T567" s="14"/>
      <c r="U567" s="14"/>
      <c r="V567" s="12"/>
      <c r="W567" s="12"/>
      <c r="X567" s="12"/>
      <c r="Y567" s="16"/>
      <c r="Z567" s="17"/>
    </row>
    <row r="568" spans="19:26" x14ac:dyDescent="0.3">
      <c r="S568" s="14"/>
      <c r="T568" s="14"/>
      <c r="U568" s="14"/>
      <c r="V568" s="12"/>
      <c r="W568" s="12"/>
      <c r="X568" s="12"/>
      <c r="Y568" s="16"/>
      <c r="Z568" s="17"/>
    </row>
    <row r="569" spans="19:26" x14ac:dyDescent="0.3">
      <c r="S569" s="14"/>
      <c r="T569" s="14"/>
      <c r="U569" s="14"/>
      <c r="V569" s="12"/>
      <c r="W569" s="12"/>
      <c r="X569" s="12"/>
      <c r="Y569" s="16"/>
      <c r="Z569" s="17"/>
    </row>
    <row r="570" spans="19:26" x14ac:dyDescent="0.3">
      <c r="S570" s="14"/>
      <c r="T570" s="14"/>
      <c r="U570" s="14"/>
      <c r="V570" s="12"/>
      <c r="W570" s="12"/>
      <c r="X570" s="12"/>
      <c r="Y570" s="16"/>
      <c r="Z570" s="17"/>
    </row>
    <row r="571" spans="19:26" x14ac:dyDescent="0.3">
      <c r="S571" s="14"/>
      <c r="T571" s="14"/>
      <c r="U571" s="14"/>
      <c r="V571" s="12"/>
      <c r="W571" s="12"/>
      <c r="X571" s="12"/>
      <c r="Y571" s="16"/>
      <c r="Z571" s="17"/>
    </row>
    <row r="572" spans="19:26" x14ac:dyDescent="0.3">
      <c r="S572" s="14"/>
      <c r="T572" s="14"/>
      <c r="U572" s="14"/>
      <c r="V572" s="12"/>
      <c r="W572" s="12"/>
      <c r="X572" s="12"/>
      <c r="Y572" s="16"/>
      <c r="Z572" s="17"/>
    </row>
    <row r="573" spans="19:26" x14ac:dyDescent="0.3">
      <c r="S573" s="14"/>
      <c r="T573" s="14"/>
      <c r="U573" s="14"/>
      <c r="V573" s="12"/>
      <c r="W573" s="12"/>
      <c r="X573" s="12"/>
      <c r="Y573" s="16"/>
      <c r="Z573" s="17"/>
    </row>
    <row r="574" spans="19:26" x14ac:dyDescent="0.3">
      <c r="S574" s="14"/>
      <c r="T574" s="14"/>
      <c r="U574" s="14"/>
      <c r="V574" s="12"/>
      <c r="W574" s="12"/>
      <c r="X574" s="12"/>
      <c r="Y574" s="16"/>
      <c r="Z574" s="17"/>
    </row>
    <row r="575" spans="19:26" x14ac:dyDescent="0.3">
      <c r="S575" s="14"/>
      <c r="T575" s="14"/>
      <c r="U575" s="14"/>
      <c r="V575" s="12"/>
      <c r="W575" s="12"/>
      <c r="X575" s="12"/>
      <c r="Y575" s="16"/>
      <c r="Z575" s="17"/>
    </row>
    <row r="576" spans="19:26" x14ac:dyDescent="0.3">
      <c r="S576" s="14"/>
      <c r="T576" s="14"/>
      <c r="U576" s="14"/>
      <c r="V576" s="12"/>
      <c r="W576" s="12"/>
      <c r="X576" s="12"/>
      <c r="Y576" s="16"/>
      <c r="Z576" s="17"/>
    </row>
    <row r="577" spans="19:26" x14ac:dyDescent="0.3">
      <c r="S577" s="14"/>
      <c r="T577" s="14"/>
      <c r="U577" s="14"/>
      <c r="V577" s="12"/>
      <c r="W577" s="12"/>
      <c r="X577" s="12"/>
      <c r="Y577" s="16"/>
      <c r="Z577" s="17"/>
    </row>
    <row r="578" spans="19:26" x14ac:dyDescent="0.3">
      <c r="S578" s="14"/>
      <c r="T578" s="14"/>
      <c r="U578" s="14"/>
      <c r="V578" s="12"/>
      <c r="W578" s="12"/>
      <c r="X578" s="12"/>
      <c r="Y578" s="16"/>
      <c r="Z578" s="17"/>
    </row>
    <row r="579" spans="19:26" x14ac:dyDescent="0.3">
      <c r="S579" s="14"/>
      <c r="T579" s="14"/>
      <c r="U579" s="14"/>
      <c r="V579" s="12"/>
      <c r="W579" s="12"/>
      <c r="X579" s="12"/>
      <c r="Y579" s="16"/>
      <c r="Z579" s="17"/>
    </row>
    <row r="580" spans="19:26" x14ac:dyDescent="0.3">
      <c r="S580" s="14"/>
      <c r="T580" s="14"/>
      <c r="U580" s="14"/>
      <c r="V580" s="12"/>
      <c r="W580" s="12"/>
      <c r="X580" s="12"/>
      <c r="Y580" s="16"/>
      <c r="Z580" s="17"/>
    </row>
    <row r="581" spans="19:26" x14ac:dyDescent="0.3">
      <c r="S581" s="14"/>
      <c r="T581" s="14"/>
      <c r="U581" s="14"/>
      <c r="V581" s="12"/>
      <c r="W581" s="12"/>
      <c r="X581" s="12"/>
      <c r="Y581" s="16"/>
      <c r="Z581" s="17"/>
    </row>
    <row r="582" spans="19:26" x14ac:dyDescent="0.3">
      <c r="S582" s="14"/>
      <c r="T582" s="14"/>
      <c r="U582" s="14"/>
      <c r="V582" s="12"/>
      <c r="W582" s="12"/>
      <c r="X582" s="12"/>
      <c r="Y582" s="16"/>
      <c r="Z582" s="17"/>
    </row>
    <row r="583" spans="19:26" x14ac:dyDescent="0.3">
      <c r="S583" s="14"/>
      <c r="T583" s="14"/>
      <c r="U583" s="14"/>
      <c r="V583" s="12"/>
      <c r="W583" s="12"/>
      <c r="X583" s="12"/>
      <c r="Y583" s="16"/>
      <c r="Z583" s="17"/>
    </row>
    <row r="584" spans="19:26" x14ac:dyDescent="0.3">
      <c r="S584" s="14"/>
      <c r="T584" s="14"/>
      <c r="U584" s="14"/>
      <c r="V584" s="12"/>
      <c r="W584" s="12"/>
      <c r="X584" s="12"/>
      <c r="Y584" s="16"/>
      <c r="Z584" s="17"/>
    </row>
    <row r="585" spans="19:26" x14ac:dyDescent="0.3">
      <c r="S585" s="14"/>
      <c r="T585" s="14"/>
      <c r="U585" s="14"/>
      <c r="V585" s="12"/>
      <c r="W585" s="12"/>
      <c r="X585" s="12"/>
      <c r="Y585" s="16"/>
      <c r="Z585" s="17"/>
    </row>
    <row r="586" spans="19:26" x14ac:dyDescent="0.3">
      <c r="S586" s="14"/>
      <c r="T586" s="14"/>
      <c r="U586" s="14"/>
      <c r="V586" s="12"/>
      <c r="W586" s="12"/>
      <c r="X586" s="12"/>
      <c r="Y586" s="16"/>
      <c r="Z586" s="17"/>
    </row>
    <row r="587" spans="19:26" x14ac:dyDescent="0.3">
      <c r="S587" s="14"/>
      <c r="T587" s="14"/>
      <c r="U587" s="14"/>
      <c r="V587" s="12"/>
      <c r="W587" s="12"/>
      <c r="X587" s="12"/>
      <c r="Y587" s="16"/>
      <c r="Z587" s="17"/>
    </row>
    <row r="588" spans="19:26" x14ac:dyDescent="0.3">
      <c r="S588" s="14"/>
      <c r="T588" s="14"/>
      <c r="U588" s="14"/>
      <c r="V588" s="12"/>
      <c r="W588" s="12"/>
      <c r="X588" s="12"/>
      <c r="Y588" s="16"/>
      <c r="Z588" s="17"/>
    </row>
    <row r="589" spans="19:26" x14ac:dyDescent="0.3">
      <c r="S589" s="14"/>
      <c r="T589" s="14"/>
      <c r="U589" s="14"/>
      <c r="V589" s="12"/>
      <c r="W589" s="12"/>
      <c r="X589" s="12"/>
      <c r="Y589" s="16"/>
      <c r="Z589" s="17"/>
    </row>
    <row r="590" spans="19:26" x14ac:dyDescent="0.3">
      <c r="S590" s="14"/>
      <c r="T590" s="14"/>
      <c r="U590" s="14"/>
      <c r="V590" s="12"/>
      <c r="W590" s="12"/>
      <c r="X590" s="12"/>
      <c r="Y590" s="16"/>
      <c r="Z590" s="17"/>
    </row>
    <row r="591" spans="19:26" x14ac:dyDescent="0.3">
      <c r="S591" s="14"/>
      <c r="T591" s="14"/>
      <c r="U591" s="14"/>
      <c r="V591" s="12"/>
      <c r="W591" s="12"/>
      <c r="X591" s="12"/>
      <c r="Y591" s="16"/>
      <c r="Z591" s="17"/>
    </row>
    <row r="592" spans="19:26" x14ac:dyDescent="0.3">
      <c r="S592" s="14"/>
      <c r="T592" s="14"/>
      <c r="U592" s="14"/>
      <c r="V592" s="12"/>
      <c r="W592" s="12"/>
      <c r="X592" s="12"/>
      <c r="Y592" s="16"/>
      <c r="Z592" s="17"/>
    </row>
    <row r="593" spans="19:26" x14ac:dyDescent="0.3">
      <c r="S593" s="14"/>
      <c r="T593" s="14"/>
      <c r="U593" s="14"/>
      <c r="V593" s="12"/>
      <c r="W593" s="12"/>
      <c r="X593" s="12"/>
      <c r="Y593" s="16"/>
      <c r="Z593" s="17"/>
    </row>
    <row r="594" spans="19:26" x14ac:dyDescent="0.3">
      <c r="S594" s="14"/>
      <c r="T594" s="14"/>
      <c r="U594" s="14"/>
      <c r="V594" s="12"/>
      <c r="W594" s="12"/>
      <c r="X594" s="12"/>
      <c r="Y594" s="16"/>
      <c r="Z594" s="17"/>
    </row>
    <row r="595" spans="19:26" x14ac:dyDescent="0.3">
      <c r="S595" s="14"/>
      <c r="T595" s="14"/>
      <c r="U595" s="14"/>
      <c r="V595" s="12"/>
      <c r="W595" s="12"/>
      <c r="X595" s="12"/>
      <c r="Y595" s="16"/>
      <c r="Z595" s="17"/>
    </row>
    <row r="596" spans="19:26" x14ac:dyDescent="0.3">
      <c r="S596" s="14"/>
      <c r="T596" s="14"/>
      <c r="U596" s="14"/>
      <c r="V596" s="12"/>
      <c r="W596" s="12"/>
      <c r="X596" s="12"/>
      <c r="Y596" s="16"/>
      <c r="Z596" s="17"/>
    </row>
    <row r="597" spans="19:26" x14ac:dyDescent="0.3">
      <c r="S597" s="14"/>
      <c r="T597" s="14"/>
      <c r="U597" s="14"/>
      <c r="V597" s="12"/>
      <c r="W597" s="12"/>
      <c r="X597" s="12"/>
      <c r="Y597" s="16"/>
      <c r="Z597" s="17"/>
    </row>
    <row r="598" spans="19:26" x14ac:dyDescent="0.3">
      <c r="S598" s="14"/>
      <c r="T598" s="14"/>
      <c r="U598" s="14"/>
      <c r="V598" s="12"/>
      <c r="W598" s="12"/>
      <c r="X598" s="12"/>
      <c r="Y598" s="16"/>
      <c r="Z598" s="17"/>
    </row>
    <row r="599" spans="19:26" x14ac:dyDescent="0.3">
      <c r="S599" s="14"/>
      <c r="T599" s="14"/>
      <c r="U599" s="14"/>
      <c r="V599" s="12"/>
      <c r="W599" s="12"/>
      <c r="X599" s="12"/>
      <c r="Y599" s="16"/>
      <c r="Z599" s="17"/>
    </row>
    <row r="600" spans="19:26" x14ac:dyDescent="0.3">
      <c r="S600" s="14"/>
      <c r="T600" s="14"/>
      <c r="U600" s="14"/>
      <c r="V600" s="12"/>
      <c r="W600" s="12"/>
      <c r="X600" s="12"/>
      <c r="Y600" s="16"/>
      <c r="Z600" s="17"/>
    </row>
    <row r="601" spans="19:26" x14ac:dyDescent="0.3">
      <c r="S601" s="14"/>
      <c r="T601" s="14"/>
      <c r="U601" s="14"/>
      <c r="V601" s="12"/>
      <c r="W601" s="12"/>
      <c r="X601" s="12"/>
      <c r="Y601" s="16"/>
      <c r="Z601" s="17"/>
    </row>
    <row r="602" spans="19:26" x14ac:dyDescent="0.3">
      <c r="S602" s="14"/>
      <c r="T602" s="14"/>
      <c r="U602" s="14"/>
      <c r="V602" s="12"/>
      <c r="W602" s="12"/>
      <c r="X602" s="12"/>
      <c r="Y602" s="16"/>
      <c r="Z602" s="17"/>
    </row>
    <row r="603" spans="19:26" x14ac:dyDescent="0.3">
      <c r="S603" s="14"/>
      <c r="T603" s="14"/>
      <c r="U603" s="14"/>
      <c r="V603" s="12"/>
      <c r="W603" s="12"/>
      <c r="X603" s="12"/>
      <c r="Y603" s="16"/>
      <c r="Z603" s="17"/>
    </row>
    <row r="604" spans="19:26" x14ac:dyDescent="0.3">
      <c r="S604" s="14"/>
      <c r="T604" s="14"/>
      <c r="U604" s="14"/>
      <c r="V604" s="12"/>
      <c r="W604" s="12"/>
      <c r="X604" s="12"/>
      <c r="Y604" s="16"/>
      <c r="Z604" s="17"/>
    </row>
    <row r="605" spans="19:26" x14ac:dyDescent="0.3">
      <c r="S605" s="14"/>
      <c r="T605" s="14"/>
      <c r="U605" s="14"/>
      <c r="V605" s="12"/>
      <c r="W605" s="12"/>
      <c r="X605" s="12"/>
      <c r="Y605" s="16"/>
      <c r="Z605" s="17"/>
    </row>
    <row r="606" spans="19:26" x14ac:dyDescent="0.3">
      <c r="S606" s="14"/>
      <c r="T606" s="14"/>
      <c r="U606" s="14"/>
      <c r="V606" s="12"/>
      <c r="W606" s="12"/>
      <c r="X606" s="12"/>
      <c r="Y606" s="16"/>
      <c r="Z606" s="17"/>
    </row>
    <row r="607" spans="19:26" x14ac:dyDescent="0.3">
      <c r="S607" s="14"/>
      <c r="T607" s="14"/>
      <c r="U607" s="14"/>
      <c r="V607" s="12"/>
      <c r="W607" s="12"/>
      <c r="X607" s="12"/>
      <c r="Y607" s="16"/>
      <c r="Z607" s="17"/>
    </row>
    <row r="608" spans="19:26" x14ac:dyDescent="0.3">
      <c r="S608" s="14"/>
      <c r="T608" s="14"/>
      <c r="U608" s="14"/>
      <c r="V608" s="12"/>
      <c r="W608" s="12"/>
      <c r="X608" s="12"/>
      <c r="Y608" s="16"/>
      <c r="Z608" s="17"/>
    </row>
    <row r="609" spans="19:26" x14ac:dyDescent="0.3">
      <c r="S609" s="14"/>
      <c r="T609" s="14"/>
      <c r="U609" s="14"/>
      <c r="V609" s="12"/>
      <c r="W609" s="12"/>
      <c r="X609" s="12"/>
      <c r="Y609" s="16"/>
      <c r="Z609" s="17"/>
    </row>
    <row r="610" spans="19:26" x14ac:dyDescent="0.3">
      <c r="S610" s="14"/>
      <c r="T610" s="14"/>
      <c r="U610" s="14"/>
      <c r="V610" s="12"/>
      <c r="W610" s="12"/>
      <c r="X610" s="12"/>
      <c r="Y610" s="16"/>
      <c r="Z610" s="17"/>
    </row>
    <row r="611" spans="19:26" x14ac:dyDescent="0.3">
      <c r="S611" s="14"/>
      <c r="T611" s="14"/>
      <c r="U611" s="14"/>
      <c r="V611" s="12"/>
      <c r="W611" s="12"/>
      <c r="X611" s="12"/>
      <c r="Y611" s="16"/>
      <c r="Z611" s="17"/>
    </row>
    <row r="612" spans="19:26" x14ac:dyDescent="0.3">
      <c r="S612" s="14"/>
      <c r="T612" s="14"/>
      <c r="U612" s="14"/>
      <c r="V612" s="12"/>
      <c r="W612" s="12"/>
      <c r="X612" s="12"/>
      <c r="Y612" s="16"/>
      <c r="Z612" s="17"/>
    </row>
    <row r="613" spans="19:26" x14ac:dyDescent="0.3">
      <c r="S613" s="14"/>
      <c r="T613" s="14"/>
      <c r="U613" s="14"/>
      <c r="V613" s="12"/>
      <c r="W613" s="12"/>
      <c r="X613" s="12"/>
      <c r="Y613" s="16"/>
      <c r="Z613" s="17"/>
    </row>
    <row r="614" spans="19:26" x14ac:dyDescent="0.3">
      <c r="S614" s="14"/>
      <c r="T614" s="14"/>
      <c r="U614" s="14"/>
      <c r="V614" s="12"/>
      <c r="W614" s="12"/>
      <c r="X614" s="12"/>
      <c r="Y614" s="16"/>
      <c r="Z614" s="17"/>
    </row>
    <row r="615" spans="19:26" x14ac:dyDescent="0.3">
      <c r="S615" s="14"/>
      <c r="T615" s="14"/>
      <c r="U615" s="14"/>
      <c r="V615" s="12"/>
      <c r="W615" s="12"/>
      <c r="X615" s="12"/>
      <c r="Y615" s="16"/>
      <c r="Z615" s="17"/>
    </row>
    <row r="616" spans="19:26" x14ac:dyDescent="0.3">
      <c r="S616" s="14"/>
      <c r="T616" s="14"/>
      <c r="U616" s="14"/>
      <c r="V616" s="12"/>
      <c r="W616" s="12"/>
      <c r="X616" s="12"/>
      <c r="Y616" s="16"/>
      <c r="Z616" s="17"/>
    </row>
    <row r="617" spans="19:26" x14ac:dyDescent="0.3">
      <c r="S617" s="14"/>
      <c r="T617" s="14"/>
      <c r="U617" s="14"/>
      <c r="V617" s="12"/>
      <c r="W617" s="12"/>
      <c r="X617" s="12"/>
      <c r="Y617" s="16"/>
      <c r="Z617" s="17"/>
    </row>
    <row r="618" spans="19:26" x14ac:dyDescent="0.3">
      <c r="S618" s="14"/>
      <c r="T618" s="14"/>
      <c r="U618" s="14"/>
      <c r="V618" s="12"/>
      <c r="W618" s="12"/>
      <c r="X618" s="12"/>
      <c r="Y618" s="16"/>
      <c r="Z618" s="17"/>
    </row>
    <row r="619" spans="19:26" x14ac:dyDescent="0.3">
      <c r="S619" s="14"/>
      <c r="T619" s="14"/>
      <c r="U619" s="14"/>
      <c r="V619" s="12"/>
      <c r="W619" s="12"/>
      <c r="X619" s="12"/>
      <c r="Y619" s="16"/>
      <c r="Z619" s="17"/>
    </row>
    <row r="620" spans="19:26" x14ac:dyDescent="0.3">
      <c r="S620" s="14"/>
      <c r="T620" s="14"/>
      <c r="U620" s="14"/>
      <c r="V620" s="12"/>
      <c r="W620" s="12"/>
      <c r="X620" s="12"/>
      <c r="Y620" s="16"/>
      <c r="Z620" s="17"/>
    </row>
    <row r="621" spans="19:26" x14ac:dyDescent="0.3">
      <c r="S621" s="14"/>
      <c r="T621" s="14"/>
      <c r="U621" s="14"/>
      <c r="V621" s="12"/>
      <c r="W621" s="12"/>
      <c r="X621" s="12"/>
      <c r="Y621" s="16"/>
      <c r="Z621" s="17"/>
    </row>
    <row r="622" spans="19:26" x14ac:dyDescent="0.3">
      <c r="S622" s="14"/>
      <c r="T622" s="14"/>
      <c r="U622" s="14"/>
      <c r="V622" s="12"/>
      <c r="W622" s="12"/>
      <c r="X622" s="12"/>
      <c r="Y622" s="16"/>
      <c r="Z622" s="17"/>
    </row>
    <row r="623" spans="19:26" x14ac:dyDescent="0.3">
      <c r="S623" s="14"/>
      <c r="T623" s="14"/>
      <c r="U623" s="14"/>
      <c r="V623" s="12"/>
      <c r="W623" s="12"/>
      <c r="X623" s="12"/>
      <c r="Y623" s="16"/>
      <c r="Z623" s="17"/>
    </row>
    <row r="624" spans="19:26" x14ac:dyDescent="0.3">
      <c r="S624" s="14"/>
      <c r="T624" s="14"/>
      <c r="U624" s="14"/>
      <c r="V624" s="12"/>
      <c r="W624" s="12"/>
      <c r="X624" s="12"/>
      <c r="Y624" s="16"/>
      <c r="Z624" s="17"/>
    </row>
    <row r="625" spans="19:26" x14ac:dyDescent="0.3">
      <c r="S625" s="14"/>
      <c r="T625" s="14"/>
      <c r="U625" s="14"/>
      <c r="V625" s="12"/>
      <c r="W625" s="12"/>
      <c r="X625" s="12"/>
      <c r="Y625" s="16"/>
      <c r="Z625" s="17"/>
    </row>
    <row r="626" spans="19:26" x14ac:dyDescent="0.3">
      <c r="S626" s="14"/>
      <c r="T626" s="14"/>
      <c r="U626" s="14"/>
      <c r="V626" s="12"/>
      <c r="W626" s="12"/>
      <c r="X626" s="12"/>
      <c r="Y626" s="16"/>
      <c r="Z626" s="17"/>
    </row>
    <row r="627" spans="19:26" x14ac:dyDescent="0.3">
      <c r="S627" s="14"/>
      <c r="T627" s="14"/>
      <c r="U627" s="14"/>
      <c r="V627" s="12"/>
      <c r="W627" s="12"/>
      <c r="X627" s="12"/>
      <c r="Y627" s="16"/>
      <c r="Z627" s="17"/>
    </row>
    <row r="628" spans="19:26" x14ac:dyDescent="0.3">
      <c r="S628" s="14"/>
      <c r="T628" s="14"/>
      <c r="U628" s="14"/>
      <c r="V628" s="12"/>
      <c r="W628" s="12"/>
      <c r="X628" s="12"/>
      <c r="Y628" s="16"/>
      <c r="Z628" s="17"/>
    </row>
    <row r="629" spans="19:26" x14ac:dyDescent="0.3">
      <c r="S629" s="14"/>
      <c r="T629" s="14"/>
      <c r="U629" s="14"/>
      <c r="V629" s="12"/>
      <c r="W629" s="12"/>
      <c r="X629" s="12"/>
      <c r="Y629" s="16"/>
      <c r="Z629" s="17"/>
    </row>
    <row r="630" spans="19:26" x14ac:dyDescent="0.3">
      <c r="S630" s="14"/>
      <c r="T630" s="14"/>
      <c r="U630" s="14"/>
      <c r="V630" s="12"/>
      <c r="W630" s="12"/>
      <c r="X630" s="12"/>
      <c r="Y630" s="16"/>
      <c r="Z630" s="17"/>
    </row>
    <row r="631" spans="19:26" x14ac:dyDescent="0.3">
      <c r="S631" s="14"/>
      <c r="T631" s="14"/>
      <c r="U631" s="14"/>
      <c r="V631" s="12"/>
      <c r="W631" s="12"/>
      <c r="X631" s="12"/>
      <c r="Y631" s="16"/>
      <c r="Z631" s="17"/>
    </row>
    <row r="632" spans="19:26" x14ac:dyDescent="0.3">
      <c r="S632" s="14"/>
      <c r="T632" s="14"/>
      <c r="U632" s="14"/>
      <c r="V632" s="12"/>
      <c r="W632" s="12"/>
      <c r="X632" s="12"/>
      <c r="Y632" s="16"/>
      <c r="Z632" s="17"/>
    </row>
    <row r="633" spans="19:26" x14ac:dyDescent="0.3">
      <c r="S633" s="14"/>
      <c r="T633" s="14"/>
      <c r="U633" s="14"/>
      <c r="V633" s="12"/>
      <c r="W633" s="12"/>
      <c r="X633" s="12"/>
      <c r="Y633" s="16"/>
      <c r="Z633" s="17"/>
    </row>
    <row r="634" spans="19:26" x14ac:dyDescent="0.3">
      <c r="S634" s="14"/>
      <c r="T634" s="14"/>
      <c r="U634" s="14"/>
      <c r="V634" s="12"/>
      <c r="W634" s="12"/>
      <c r="X634" s="12"/>
      <c r="Y634" s="16"/>
      <c r="Z634" s="17"/>
    </row>
    <row r="635" spans="19:26" x14ac:dyDescent="0.3">
      <c r="S635" s="14"/>
      <c r="T635" s="14"/>
      <c r="U635" s="14"/>
      <c r="V635" s="12"/>
      <c r="W635" s="12"/>
      <c r="X635" s="12"/>
      <c r="Y635" s="16"/>
      <c r="Z635" s="17"/>
    </row>
    <row r="636" spans="19:26" x14ac:dyDescent="0.3">
      <c r="S636" s="14"/>
      <c r="T636" s="14"/>
      <c r="U636" s="14"/>
      <c r="V636" s="12"/>
      <c r="W636" s="12"/>
      <c r="X636" s="12"/>
      <c r="Y636" s="16"/>
      <c r="Z636" s="17"/>
    </row>
    <row r="637" spans="19:26" x14ac:dyDescent="0.3">
      <c r="S637" s="14"/>
      <c r="T637" s="14"/>
      <c r="U637" s="14"/>
      <c r="V637" s="12"/>
      <c r="W637" s="12"/>
      <c r="X637" s="12"/>
      <c r="Y637" s="16"/>
      <c r="Z637" s="17"/>
    </row>
    <row r="638" spans="19:26" x14ac:dyDescent="0.3">
      <c r="S638" s="14"/>
      <c r="T638" s="14"/>
      <c r="U638" s="14"/>
      <c r="V638" s="12"/>
      <c r="W638" s="12"/>
      <c r="X638" s="12"/>
      <c r="Y638" s="16"/>
      <c r="Z638" s="17"/>
    </row>
    <row r="639" spans="19:26" x14ac:dyDescent="0.3">
      <c r="S639" s="14"/>
      <c r="T639" s="14"/>
      <c r="U639" s="14"/>
      <c r="V639" s="12"/>
      <c r="W639" s="12"/>
      <c r="X639" s="12"/>
      <c r="Y639" s="16"/>
      <c r="Z639" s="17"/>
    </row>
    <row r="640" spans="19:26" x14ac:dyDescent="0.3">
      <c r="S640" s="14"/>
      <c r="T640" s="14"/>
      <c r="U640" s="14"/>
      <c r="V640" s="12"/>
      <c r="W640" s="12"/>
      <c r="X640" s="12"/>
      <c r="Y640" s="16"/>
      <c r="Z640" s="17"/>
    </row>
    <row r="641" spans="19:26" x14ac:dyDescent="0.3">
      <c r="S641" s="14"/>
      <c r="T641" s="14"/>
      <c r="U641" s="14"/>
      <c r="V641" s="12"/>
      <c r="W641" s="12"/>
      <c r="X641" s="12"/>
      <c r="Y641" s="16"/>
      <c r="Z641" s="17"/>
    </row>
    <row r="642" spans="19:26" x14ac:dyDescent="0.3">
      <c r="S642" s="14"/>
      <c r="T642" s="14"/>
      <c r="U642" s="14"/>
      <c r="V642" s="12"/>
      <c r="W642" s="12"/>
      <c r="X642" s="12"/>
      <c r="Y642" s="16"/>
      <c r="Z642" s="17"/>
    </row>
    <row r="643" spans="19:26" x14ac:dyDescent="0.3">
      <c r="S643" s="14"/>
      <c r="T643" s="14"/>
      <c r="U643" s="14"/>
      <c r="V643" s="12"/>
      <c r="W643" s="12"/>
      <c r="X643" s="12"/>
      <c r="Y643" s="16"/>
      <c r="Z643" s="17"/>
    </row>
    <row r="644" spans="19:26" x14ac:dyDescent="0.3">
      <c r="S644" s="14"/>
      <c r="T644" s="14"/>
      <c r="U644" s="14"/>
      <c r="V644" s="12"/>
      <c r="W644" s="12"/>
      <c r="X644" s="12"/>
      <c r="Y644" s="16"/>
      <c r="Z644" s="17"/>
    </row>
    <row r="645" spans="19:26" x14ac:dyDescent="0.3">
      <c r="S645" s="14"/>
      <c r="T645" s="14"/>
      <c r="U645" s="14"/>
      <c r="V645" s="12"/>
      <c r="W645" s="12"/>
      <c r="X645" s="12"/>
      <c r="Y645" s="16"/>
      <c r="Z645" s="17"/>
    </row>
    <row r="646" spans="19:26" x14ac:dyDescent="0.3">
      <c r="S646" s="14"/>
      <c r="T646" s="14"/>
      <c r="U646" s="14"/>
      <c r="V646" s="12"/>
      <c r="W646" s="12"/>
      <c r="X646" s="12"/>
      <c r="Y646" s="16"/>
      <c r="Z646" s="17"/>
    </row>
    <row r="647" spans="19:26" x14ac:dyDescent="0.3">
      <c r="S647" s="14"/>
      <c r="T647" s="14"/>
      <c r="U647" s="14"/>
      <c r="V647" s="12"/>
      <c r="W647" s="12"/>
      <c r="X647" s="12"/>
      <c r="Y647" s="16"/>
      <c r="Z647" s="17"/>
    </row>
    <row r="648" spans="19:26" x14ac:dyDescent="0.3">
      <c r="S648" s="14"/>
      <c r="T648" s="14"/>
      <c r="U648" s="14"/>
      <c r="V648" s="12"/>
      <c r="W648" s="12"/>
      <c r="X648" s="12"/>
      <c r="Y648" s="16"/>
      <c r="Z648" s="17"/>
    </row>
    <row r="649" spans="19:26" x14ac:dyDescent="0.3">
      <c r="S649" s="14"/>
      <c r="T649" s="14"/>
      <c r="U649" s="14"/>
      <c r="V649" s="12"/>
      <c r="W649" s="12"/>
      <c r="X649" s="12"/>
      <c r="Y649" s="16"/>
      <c r="Z649" s="17"/>
    </row>
    <row r="650" spans="19:26" x14ac:dyDescent="0.3">
      <c r="S650" s="14"/>
      <c r="T650" s="14"/>
      <c r="U650" s="14"/>
      <c r="V650" s="12"/>
      <c r="W650" s="12"/>
      <c r="X650" s="12"/>
      <c r="Y650" s="16"/>
      <c r="Z650" s="17"/>
    </row>
    <row r="651" spans="19:26" x14ac:dyDescent="0.3">
      <c r="S651" s="14"/>
      <c r="T651" s="14"/>
      <c r="U651" s="14"/>
      <c r="V651" s="12"/>
      <c r="W651" s="12"/>
      <c r="X651" s="12"/>
      <c r="Y651" s="16"/>
      <c r="Z651" s="17"/>
    </row>
    <row r="652" spans="19:26" x14ac:dyDescent="0.3">
      <c r="S652" s="14"/>
      <c r="T652" s="14"/>
      <c r="U652" s="14"/>
      <c r="V652" s="12"/>
      <c r="W652" s="12"/>
      <c r="X652" s="12"/>
      <c r="Y652" s="16"/>
      <c r="Z652" s="17"/>
    </row>
    <row r="653" spans="19:26" x14ac:dyDescent="0.3">
      <c r="S653" s="14"/>
      <c r="T653" s="14"/>
      <c r="U653" s="14"/>
      <c r="V653" s="12"/>
      <c r="W653" s="12"/>
      <c r="X653" s="12"/>
      <c r="Y653" s="16"/>
      <c r="Z653" s="17"/>
    </row>
    <row r="654" spans="19:26" x14ac:dyDescent="0.3">
      <c r="S654" s="14"/>
      <c r="T654" s="14"/>
      <c r="U654" s="14"/>
      <c r="V654" s="12"/>
      <c r="W654" s="12"/>
      <c r="X654" s="12"/>
      <c r="Y654" s="16"/>
      <c r="Z654" s="17"/>
    </row>
    <row r="655" spans="19:26" x14ac:dyDescent="0.3">
      <c r="S655" s="14"/>
      <c r="T655" s="14"/>
      <c r="U655" s="14"/>
      <c r="V655" s="12"/>
      <c r="W655" s="12"/>
      <c r="X655" s="12"/>
      <c r="Y655" s="16"/>
      <c r="Z655" s="17"/>
    </row>
    <row r="656" spans="19:26" x14ac:dyDescent="0.3">
      <c r="S656" s="14"/>
      <c r="T656" s="14"/>
      <c r="U656" s="14"/>
      <c r="V656" s="12"/>
      <c r="W656" s="12"/>
      <c r="X656" s="12"/>
      <c r="Y656" s="16"/>
      <c r="Z656" s="17"/>
    </row>
    <row r="657" spans="19:26" x14ac:dyDescent="0.3">
      <c r="S657" s="14"/>
      <c r="T657" s="14"/>
      <c r="U657" s="14"/>
      <c r="V657" s="12"/>
      <c r="W657" s="12"/>
      <c r="X657" s="12"/>
      <c r="Y657" s="16"/>
      <c r="Z657" s="17"/>
    </row>
    <row r="658" spans="19:26" x14ac:dyDescent="0.3">
      <c r="S658" s="14"/>
      <c r="T658" s="14"/>
      <c r="U658" s="14"/>
      <c r="V658" s="12"/>
      <c r="W658" s="12"/>
      <c r="X658" s="12"/>
      <c r="Y658" s="16"/>
      <c r="Z658" s="17"/>
    </row>
    <row r="659" spans="19:26" x14ac:dyDescent="0.3">
      <c r="S659" s="14"/>
      <c r="T659" s="14"/>
      <c r="U659" s="14"/>
      <c r="V659" s="12"/>
      <c r="W659" s="12"/>
      <c r="X659" s="12"/>
      <c r="Y659" s="16"/>
      <c r="Z659" s="17"/>
    </row>
    <row r="660" spans="19:26" x14ac:dyDescent="0.3">
      <c r="S660" s="14"/>
      <c r="T660" s="14"/>
      <c r="U660" s="14"/>
      <c r="V660" s="12"/>
      <c r="W660" s="12"/>
      <c r="X660" s="12"/>
      <c r="Y660" s="16"/>
      <c r="Z660" s="17"/>
    </row>
    <row r="661" spans="19:26" x14ac:dyDescent="0.3">
      <c r="S661" s="14"/>
      <c r="T661" s="14"/>
      <c r="U661" s="14"/>
      <c r="V661" s="12"/>
      <c r="W661" s="12"/>
      <c r="X661" s="12"/>
      <c r="Y661" s="16"/>
      <c r="Z661" s="17"/>
    </row>
    <row r="662" spans="19:26" x14ac:dyDescent="0.3">
      <c r="S662" s="14"/>
      <c r="T662" s="14"/>
      <c r="U662" s="14"/>
      <c r="V662" s="12"/>
      <c r="W662" s="12"/>
      <c r="X662" s="12"/>
      <c r="Y662" s="16"/>
      <c r="Z662" s="17"/>
    </row>
    <row r="663" spans="19:26" x14ac:dyDescent="0.3">
      <c r="S663" s="14"/>
      <c r="T663" s="14"/>
      <c r="U663" s="14"/>
      <c r="V663" s="12"/>
      <c r="W663" s="12"/>
      <c r="X663" s="12"/>
      <c r="Y663" s="16"/>
      <c r="Z663" s="17"/>
    </row>
    <row r="664" spans="19:26" x14ac:dyDescent="0.3">
      <c r="S664" s="14"/>
      <c r="T664" s="14"/>
      <c r="U664" s="14"/>
      <c r="V664" s="12"/>
      <c r="W664" s="12"/>
      <c r="X664" s="12"/>
      <c r="Y664" s="16"/>
      <c r="Z664" s="17"/>
    </row>
    <row r="665" spans="19:26" x14ac:dyDescent="0.3">
      <c r="S665" s="14"/>
      <c r="T665" s="14"/>
      <c r="U665" s="14"/>
      <c r="V665" s="12"/>
      <c r="W665" s="12"/>
      <c r="X665" s="12"/>
      <c r="Y665" s="16"/>
      <c r="Z665" s="17"/>
    </row>
    <row r="666" spans="19:26" x14ac:dyDescent="0.3">
      <c r="S666" s="14"/>
      <c r="T666" s="14"/>
      <c r="U666" s="14"/>
      <c r="V666" s="12"/>
      <c r="W666" s="12"/>
      <c r="X666" s="12"/>
      <c r="Y666" s="16"/>
      <c r="Z666" s="17"/>
    </row>
    <row r="667" spans="19:26" x14ac:dyDescent="0.3">
      <c r="S667" s="14"/>
      <c r="T667" s="14"/>
      <c r="U667" s="14"/>
      <c r="V667" s="12"/>
      <c r="W667" s="12"/>
      <c r="X667" s="12"/>
      <c r="Y667" s="16"/>
      <c r="Z667" s="17"/>
    </row>
    <row r="668" spans="19:26" x14ac:dyDescent="0.3">
      <c r="S668" s="14"/>
      <c r="T668" s="14"/>
      <c r="U668" s="14"/>
      <c r="V668" s="12"/>
      <c r="W668" s="12"/>
      <c r="X668" s="12"/>
      <c r="Y668" s="16"/>
      <c r="Z668" s="17"/>
    </row>
    <row r="669" spans="19:26" x14ac:dyDescent="0.3">
      <c r="S669" s="14"/>
      <c r="T669" s="14"/>
      <c r="U669" s="14"/>
      <c r="V669" s="12"/>
      <c r="W669" s="12"/>
      <c r="X669" s="12"/>
      <c r="Y669" s="16"/>
      <c r="Z669" s="17"/>
    </row>
    <row r="670" spans="19:26" x14ac:dyDescent="0.3">
      <c r="S670" s="14"/>
      <c r="T670" s="14"/>
      <c r="U670" s="14"/>
      <c r="V670" s="12"/>
      <c r="W670" s="12"/>
      <c r="X670" s="12"/>
      <c r="Y670" s="16"/>
      <c r="Z670" s="17"/>
    </row>
    <row r="671" spans="19:26" x14ac:dyDescent="0.3">
      <c r="S671" s="14"/>
      <c r="T671" s="14"/>
      <c r="U671" s="14"/>
      <c r="V671" s="12"/>
      <c r="W671" s="12"/>
      <c r="X671" s="12"/>
      <c r="Y671" s="16"/>
      <c r="Z671" s="17"/>
    </row>
    <row r="672" spans="19:26" x14ac:dyDescent="0.3">
      <c r="S672" s="14"/>
      <c r="T672" s="14"/>
      <c r="U672" s="14"/>
      <c r="V672" s="12"/>
      <c r="W672" s="12"/>
      <c r="X672" s="12"/>
      <c r="Y672" s="16"/>
      <c r="Z672" s="17"/>
    </row>
    <row r="673" spans="19:26" x14ac:dyDescent="0.3">
      <c r="S673" s="14"/>
      <c r="T673" s="14"/>
      <c r="U673" s="14"/>
      <c r="V673" s="12"/>
      <c r="W673" s="12"/>
      <c r="X673" s="12"/>
      <c r="Y673" s="16"/>
      <c r="Z673" s="17"/>
    </row>
    <row r="674" spans="19:26" x14ac:dyDescent="0.3">
      <c r="S674" s="14"/>
      <c r="T674" s="14"/>
      <c r="U674" s="14"/>
      <c r="V674" s="12"/>
      <c r="W674" s="12"/>
      <c r="X674" s="12"/>
      <c r="Y674" s="16"/>
      <c r="Z674" s="17"/>
    </row>
    <row r="675" spans="19:26" x14ac:dyDescent="0.3">
      <c r="S675" s="14"/>
      <c r="T675" s="14"/>
      <c r="U675" s="14"/>
      <c r="V675" s="12"/>
      <c r="W675" s="12"/>
      <c r="X675" s="12"/>
      <c r="Y675" s="16"/>
      <c r="Z675" s="17"/>
    </row>
    <row r="676" spans="19:26" x14ac:dyDescent="0.3">
      <c r="S676" s="14"/>
      <c r="T676" s="14"/>
      <c r="U676" s="14"/>
      <c r="V676" s="12"/>
      <c r="W676" s="12"/>
      <c r="X676" s="12"/>
      <c r="Y676" s="16"/>
      <c r="Z676" s="17"/>
    </row>
    <row r="677" spans="19:26" x14ac:dyDescent="0.3">
      <c r="S677" s="14"/>
      <c r="T677" s="14"/>
      <c r="U677" s="14"/>
      <c r="V677" s="12"/>
      <c r="W677" s="12"/>
      <c r="X677" s="12"/>
      <c r="Y677" s="16"/>
      <c r="Z677" s="17"/>
    </row>
    <row r="678" spans="19:26" x14ac:dyDescent="0.3">
      <c r="S678" s="14"/>
      <c r="T678" s="14"/>
      <c r="U678" s="14"/>
      <c r="V678" s="12"/>
      <c r="W678" s="12"/>
      <c r="X678" s="12"/>
      <c r="Y678" s="16"/>
      <c r="Z678" s="17"/>
    </row>
    <row r="679" spans="19:26" x14ac:dyDescent="0.3">
      <c r="S679" s="14"/>
      <c r="T679" s="14"/>
      <c r="U679" s="14"/>
      <c r="V679" s="12"/>
      <c r="W679" s="12"/>
      <c r="X679" s="12"/>
      <c r="Y679" s="16"/>
      <c r="Z679" s="17"/>
    </row>
    <row r="680" spans="19:26" x14ac:dyDescent="0.3">
      <c r="S680" s="14"/>
      <c r="T680" s="14"/>
      <c r="U680" s="14"/>
      <c r="V680" s="12"/>
      <c r="W680" s="12"/>
      <c r="X680" s="12"/>
      <c r="Y680" s="16"/>
      <c r="Z680" s="17"/>
    </row>
    <row r="681" spans="19:26" x14ac:dyDescent="0.3">
      <c r="S681" s="14"/>
      <c r="T681" s="14"/>
      <c r="U681" s="14"/>
      <c r="V681" s="12"/>
      <c r="W681" s="12"/>
      <c r="X681" s="12"/>
      <c r="Y681" s="16"/>
      <c r="Z681" s="17"/>
    </row>
    <row r="682" spans="19:26" x14ac:dyDescent="0.3">
      <c r="S682" s="14"/>
      <c r="T682" s="14"/>
      <c r="U682" s="14"/>
      <c r="V682" s="12"/>
      <c r="W682" s="12"/>
      <c r="X682" s="12"/>
      <c r="Y682" s="16"/>
      <c r="Z682" s="17"/>
    </row>
    <row r="683" spans="19:26" x14ac:dyDescent="0.3">
      <c r="S683" s="14"/>
      <c r="T683" s="14"/>
      <c r="U683" s="14"/>
      <c r="V683" s="12"/>
      <c r="W683" s="12"/>
      <c r="X683" s="12"/>
      <c r="Y683" s="16"/>
      <c r="Z683" s="17"/>
    </row>
    <row r="684" spans="19:26" x14ac:dyDescent="0.3">
      <c r="S684" s="14"/>
      <c r="T684" s="14"/>
      <c r="U684" s="14"/>
      <c r="V684" s="12"/>
      <c r="W684" s="12"/>
      <c r="X684" s="12"/>
      <c r="Y684" s="16"/>
      <c r="Z684" s="17"/>
    </row>
    <row r="685" spans="19:26" x14ac:dyDescent="0.3">
      <c r="S685" s="14"/>
      <c r="T685" s="14"/>
      <c r="U685" s="14"/>
      <c r="V685" s="12"/>
      <c r="W685" s="12"/>
      <c r="X685" s="12"/>
      <c r="Y685" s="16"/>
      <c r="Z685" s="17"/>
    </row>
    <row r="686" spans="19:26" x14ac:dyDescent="0.3">
      <c r="S686" s="14"/>
      <c r="T686" s="14"/>
      <c r="U686" s="14"/>
      <c r="V686" s="12"/>
      <c r="W686" s="12"/>
      <c r="X686" s="12"/>
      <c r="Y686" s="16"/>
      <c r="Z686" s="17"/>
    </row>
    <row r="687" spans="19:26" x14ac:dyDescent="0.3">
      <c r="S687" s="14"/>
      <c r="T687" s="14"/>
      <c r="U687" s="14"/>
      <c r="V687" s="12"/>
      <c r="W687" s="12"/>
      <c r="X687" s="12"/>
      <c r="Y687" s="16"/>
      <c r="Z687" s="17"/>
    </row>
    <row r="688" spans="19:26" x14ac:dyDescent="0.3">
      <c r="S688" s="14"/>
      <c r="T688" s="14"/>
      <c r="U688" s="14"/>
      <c r="V688" s="12"/>
      <c r="W688" s="12"/>
      <c r="X688" s="12"/>
      <c r="Y688" s="16"/>
      <c r="Z688" s="17"/>
    </row>
    <row r="689" spans="19:26" x14ac:dyDescent="0.3">
      <c r="S689" s="14"/>
      <c r="T689" s="14"/>
      <c r="U689" s="14"/>
      <c r="V689" s="12"/>
      <c r="W689" s="12"/>
      <c r="X689" s="12"/>
      <c r="Y689" s="16"/>
      <c r="Z689" s="17"/>
    </row>
    <row r="690" spans="19:26" x14ac:dyDescent="0.3">
      <c r="S690" s="14"/>
      <c r="T690" s="14"/>
      <c r="U690" s="14"/>
      <c r="V690" s="12"/>
      <c r="W690" s="12"/>
      <c r="X690" s="12"/>
      <c r="Y690" s="16"/>
      <c r="Z690" s="17"/>
    </row>
    <row r="691" spans="19:26" x14ac:dyDescent="0.3">
      <c r="S691" s="14"/>
      <c r="T691" s="14"/>
      <c r="U691" s="14"/>
      <c r="V691" s="12"/>
      <c r="W691" s="12"/>
      <c r="X691" s="12"/>
      <c r="Y691" s="16"/>
      <c r="Z691" s="17"/>
    </row>
    <row r="692" spans="19:26" x14ac:dyDescent="0.3">
      <c r="S692" s="14"/>
      <c r="T692" s="14"/>
      <c r="U692" s="14"/>
      <c r="V692" s="12"/>
      <c r="W692" s="12"/>
      <c r="X692" s="12"/>
      <c r="Y692" s="16"/>
      <c r="Z692" s="17"/>
    </row>
    <row r="693" spans="19:26" x14ac:dyDescent="0.3">
      <c r="S693" s="14"/>
      <c r="T693" s="14"/>
      <c r="U693" s="14"/>
      <c r="V693" s="12"/>
      <c r="W693" s="12"/>
      <c r="X693" s="12"/>
      <c r="Y693" s="16"/>
      <c r="Z693" s="17"/>
    </row>
    <row r="694" spans="19:26" x14ac:dyDescent="0.3">
      <c r="S694" s="14"/>
      <c r="T694" s="14"/>
      <c r="U694" s="14"/>
      <c r="V694" s="12"/>
      <c r="W694" s="12"/>
      <c r="X694" s="12"/>
      <c r="Y694" s="16"/>
      <c r="Z694" s="17"/>
    </row>
    <row r="695" spans="19:26" x14ac:dyDescent="0.3">
      <c r="S695" s="14"/>
      <c r="T695" s="14"/>
      <c r="U695" s="14"/>
      <c r="V695" s="12"/>
      <c r="W695" s="12"/>
      <c r="X695" s="12"/>
      <c r="Y695" s="16"/>
      <c r="Z695" s="17"/>
    </row>
    <row r="696" spans="19:26" x14ac:dyDescent="0.3">
      <c r="S696" s="14"/>
      <c r="T696" s="14"/>
      <c r="U696" s="14"/>
      <c r="V696" s="12"/>
      <c r="W696" s="12"/>
      <c r="X696" s="12"/>
      <c r="Y696" s="16"/>
      <c r="Z696" s="17"/>
    </row>
    <row r="697" spans="19:26" x14ac:dyDescent="0.3">
      <c r="S697" s="14"/>
      <c r="T697" s="14"/>
      <c r="U697" s="14"/>
      <c r="V697" s="12"/>
      <c r="W697" s="12"/>
      <c r="X697" s="12"/>
      <c r="Y697" s="16"/>
      <c r="Z697" s="17"/>
    </row>
    <row r="698" spans="19:26" x14ac:dyDescent="0.3">
      <c r="S698" s="14"/>
      <c r="T698" s="14"/>
      <c r="U698" s="14"/>
      <c r="V698" s="12"/>
      <c r="W698" s="12"/>
      <c r="X698" s="12"/>
      <c r="Y698" s="16"/>
      <c r="Z698" s="17"/>
    </row>
    <row r="699" spans="19:26" x14ac:dyDescent="0.3">
      <c r="S699" s="14"/>
      <c r="T699" s="14"/>
      <c r="U699" s="14"/>
      <c r="V699" s="12"/>
      <c r="W699" s="12"/>
      <c r="X699" s="12"/>
      <c r="Y699" s="16"/>
      <c r="Z699" s="17"/>
    </row>
    <row r="700" spans="19:26" x14ac:dyDescent="0.3">
      <c r="S700" s="14"/>
      <c r="T700" s="14"/>
      <c r="U700" s="14"/>
      <c r="V700" s="12"/>
      <c r="W700" s="12"/>
      <c r="X700" s="12"/>
      <c r="Y700" s="16"/>
      <c r="Z700" s="17"/>
    </row>
    <row r="701" spans="19:26" x14ac:dyDescent="0.3">
      <c r="S701" s="14"/>
      <c r="T701" s="14"/>
      <c r="U701" s="14"/>
      <c r="V701" s="12"/>
      <c r="W701" s="12"/>
      <c r="X701" s="12"/>
      <c r="Y701" s="16"/>
      <c r="Z701" s="17"/>
    </row>
    <row r="702" spans="19:26" x14ac:dyDescent="0.3">
      <c r="S702" s="14"/>
      <c r="T702" s="14"/>
      <c r="U702" s="14"/>
      <c r="V702" s="12"/>
      <c r="W702" s="12"/>
      <c r="X702" s="12"/>
      <c r="Y702" s="16"/>
      <c r="Z702" s="17"/>
    </row>
    <row r="703" spans="19:26" x14ac:dyDescent="0.3">
      <c r="S703" s="14"/>
      <c r="T703" s="14"/>
      <c r="U703" s="14"/>
      <c r="V703" s="12"/>
      <c r="W703" s="12"/>
      <c r="X703" s="12"/>
      <c r="Y703" s="16"/>
      <c r="Z703" s="17"/>
    </row>
    <row r="704" spans="19:26" x14ac:dyDescent="0.3">
      <c r="S704" s="14"/>
      <c r="T704" s="14"/>
      <c r="U704" s="14"/>
      <c r="V704" s="12"/>
      <c r="W704" s="12"/>
      <c r="X704" s="12"/>
      <c r="Y704" s="16"/>
      <c r="Z704" s="17"/>
    </row>
    <row r="705" spans="19:26" x14ac:dyDescent="0.3">
      <c r="S705" s="14"/>
      <c r="T705" s="14"/>
      <c r="U705" s="14"/>
      <c r="V705" s="12"/>
      <c r="W705" s="12"/>
      <c r="X705" s="12"/>
      <c r="Y705" s="16"/>
      <c r="Z705" s="17"/>
    </row>
    <row r="706" spans="19:26" x14ac:dyDescent="0.3">
      <c r="S706" s="14"/>
      <c r="T706" s="14"/>
      <c r="U706" s="14"/>
      <c r="V706" s="12"/>
      <c r="W706" s="12"/>
      <c r="X706" s="12"/>
      <c r="Y706" s="16"/>
      <c r="Z706" s="17"/>
    </row>
    <row r="707" spans="19:26" x14ac:dyDescent="0.3">
      <c r="S707" s="14"/>
      <c r="T707" s="14"/>
      <c r="U707" s="14"/>
      <c r="V707" s="12"/>
      <c r="W707" s="12"/>
      <c r="X707" s="12"/>
      <c r="Y707" s="16"/>
      <c r="Z707" s="17"/>
    </row>
    <row r="708" spans="19:26" x14ac:dyDescent="0.3">
      <c r="S708" s="14"/>
      <c r="T708" s="14"/>
      <c r="U708" s="14"/>
      <c r="V708" s="12"/>
      <c r="W708" s="12"/>
      <c r="X708" s="12"/>
      <c r="Y708" s="16"/>
      <c r="Z708" s="17"/>
    </row>
    <row r="709" spans="19:26" x14ac:dyDescent="0.3">
      <c r="S709" s="14"/>
      <c r="T709" s="14"/>
      <c r="U709" s="14"/>
      <c r="V709" s="12"/>
      <c r="W709" s="12"/>
      <c r="X709" s="12"/>
      <c r="Y709" s="16"/>
      <c r="Z709" s="17"/>
    </row>
    <row r="710" spans="19:26" x14ac:dyDescent="0.3">
      <c r="S710" s="14"/>
      <c r="T710" s="14"/>
      <c r="U710" s="14"/>
      <c r="V710" s="12"/>
      <c r="W710" s="12"/>
      <c r="X710" s="12"/>
      <c r="Y710" s="16"/>
      <c r="Z710" s="17"/>
    </row>
    <row r="711" spans="19:26" x14ac:dyDescent="0.3">
      <c r="S711" s="14"/>
      <c r="T711" s="14"/>
      <c r="U711" s="14"/>
      <c r="V711" s="12"/>
      <c r="W711" s="12"/>
      <c r="X711" s="12"/>
      <c r="Y711" s="16"/>
      <c r="Z711" s="17"/>
    </row>
    <row r="712" spans="19:26" x14ac:dyDescent="0.3">
      <c r="S712" s="14"/>
      <c r="T712" s="14"/>
      <c r="U712" s="14"/>
      <c r="V712" s="12"/>
      <c r="W712" s="12"/>
      <c r="X712" s="12"/>
      <c r="Y712" s="16"/>
      <c r="Z712" s="17"/>
    </row>
    <row r="713" spans="19:26" x14ac:dyDescent="0.3">
      <c r="S713" s="14"/>
      <c r="T713" s="14"/>
      <c r="U713" s="14"/>
      <c r="V713" s="12"/>
      <c r="W713" s="12"/>
      <c r="X713" s="12"/>
      <c r="Y713" s="16"/>
      <c r="Z713" s="17"/>
    </row>
    <row r="714" spans="19:26" x14ac:dyDescent="0.3">
      <c r="S714" s="14"/>
      <c r="T714" s="14"/>
      <c r="U714" s="14"/>
      <c r="V714" s="12"/>
      <c r="W714" s="12"/>
      <c r="X714" s="12"/>
      <c r="Y714" s="16"/>
      <c r="Z714" s="17"/>
    </row>
    <row r="715" spans="19:26" x14ac:dyDescent="0.3">
      <c r="S715" s="14"/>
      <c r="T715" s="14"/>
      <c r="U715" s="14"/>
      <c r="V715" s="12"/>
      <c r="W715" s="12"/>
      <c r="X715" s="12"/>
      <c r="Y715" s="16"/>
      <c r="Z715" s="17"/>
    </row>
    <row r="716" spans="19:26" x14ac:dyDescent="0.3">
      <c r="S716" s="14"/>
      <c r="T716" s="14"/>
      <c r="U716" s="14"/>
      <c r="V716" s="12"/>
      <c r="W716" s="12"/>
      <c r="X716" s="12"/>
      <c r="Y716" s="16"/>
      <c r="Z716" s="17"/>
    </row>
    <row r="717" spans="19:26" x14ac:dyDescent="0.3">
      <c r="S717" s="14"/>
      <c r="T717" s="14"/>
      <c r="U717" s="14"/>
      <c r="V717" s="12"/>
      <c r="W717" s="12"/>
      <c r="X717" s="12"/>
      <c r="Y717" s="16"/>
      <c r="Z717" s="17"/>
    </row>
    <row r="718" spans="19:26" x14ac:dyDescent="0.3">
      <c r="S718" s="14"/>
      <c r="T718" s="14"/>
      <c r="U718" s="14"/>
      <c r="V718" s="12"/>
      <c r="W718" s="12"/>
      <c r="X718" s="12"/>
      <c r="Y718" s="16"/>
      <c r="Z718" s="17"/>
    </row>
    <row r="719" spans="19:26" x14ac:dyDescent="0.3">
      <c r="S719" s="14"/>
      <c r="T719" s="14"/>
      <c r="U719" s="14"/>
      <c r="V719" s="12"/>
      <c r="W719" s="12"/>
      <c r="X719" s="12"/>
      <c r="Y719" s="16"/>
      <c r="Z719" s="17"/>
    </row>
    <row r="720" spans="19:26" x14ac:dyDescent="0.3">
      <c r="S720" s="14"/>
      <c r="T720" s="14"/>
      <c r="U720" s="14"/>
      <c r="V720" s="12"/>
      <c r="W720" s="12"/>
      <c r="X720" s="12"/>
      <c r="Y720" s="16"/>
      <c r="Z720" s="17"/>
    </row>
    <row r="721" spans="19:26" x14ac:dyDescent="0.3">
      <c r="S721" s="14"/>
      <c r="T721" s="14"/>
      <c r="U721" s="14"/>
      <c r="V721" s="12"/>
      <c r="W721" s="12"/>
      <c r="X721" s="12"/>
      <c r="Y721" s="16"/>
      <c r="Z721" s="17"/>
    </row>
    <row r="722" spans="19:26" x14ac:dyDescent="0.3">
      <c r="S722" s="14"/>
      <c r="T722" s="14"/>
      <c r="U722" s="14"/>
      <c r="V722" s="12"/>
      <c r="W722" s="12"/>
      <c r="X722" s="12"/>
      <c r="Y722" s="16"/>
      <c r="Z722" s="17"/>
    </row>
    <row r="723" spans="19:26" x14ac:dyDescent="0.3">
      <c r="S723" s="14"/>
      <c r="T723" s="14"/>
      <c r="U723" s="14"/>
      <c r="V723" s="12"/>
      <c r="W723" s="12"/>
      <c r="X723" s="12"/>
      <c r="Y723" s="16"/>
      <c r="Z723" s="17"/>
    </row>
    <row r="724" spans="19:26" x14ac:dyDescent="0.3">
      <c r="S724" s="14"/>
      <c r="T724" s="14"/>
      <c r="U724" s="14"/>
      <c r="V724" s="12"/>
      <c r="W724" s="12"/>
      <c r="X724" s="12"/>
      <c r="Y724" s="16"/>
      <c r="Z724" s="17"/>
    </row>
    <row r="725" spans="19:26" x14ac:dyDescent="0.3">
      <c r="S725" s="14"/>
      <c r="T725" s="14"/>
      <c r="U725" s="14"/>
      <c r="V725" s="12"/>
      <c r="W725" s="12"/>
      <c r="X725" s="12"/>
      <c r="Y725" s="16"/>
      <c r="Z725" s="17"/>
    </row>
    <row r="726" spans="19:26" x14ac:dyDescent="0.3">
      <c r="S726" s="14"/>
      <c r="T726" s="14"/>
      <c r="U726" s="14"/>
      <c r="V726" s="12"/>
      <c r="W726" s="12"/>
      <c r="X726" s="12"/>
      <c r="Y726" s="16"/>
      <c r="Z726" s="17"/>
    </row>
    <row r="727" spans="19:26" x14ac:dyDescent="0.3">
      <c r="S727" s="14"/>
      <c r="T727" s="14"/>
      <c r="U727" s="14"/>
      <c r="V727" s="12"/>
      <c r="W727" s="12"/>
      <c r="X727" s="12"/>
      <c r="Y727" s="16"/>
      <c r="Z727" s="17"/>
    </row>
    <row r="728" spans="19:26" x14ac:dyDescent="0.3">
      <c r="S728" s="14"/>
      <c r="T728" s="14"/>
      <c r="U728" s="14"/>
      <c r="V728" s="12"/>
      <c r="W728" s="12"/>
      <c r="X728" s="12"/>
      <c r="Y728" s="16"/>
      <c r="Z728" s="17"/>
    </row>
    <row r="729" spans="19:26" x14ac:dyDescent="0.3">
      <c r="S729" s="14"/>
      <c r="T729" s="14"/>
      <c r="U729" s="14"/>
      <c r="V729" s="12"/>
      <c r="W729" s="12"/>
      <c r="X729" s="12"/>
      <c r="Y729" s="16"/>
      <c r="Z729" s="17"/>
    </row>
    <row r="730" spans="19:26" x14ac:dyDescent="0.3">
      <c r="S730" s="14"/>
      <c r="T730" s="14"/>
      <c r="U730" s="14"/>
      <c r="V730" s="12"/>
      <c r="W730" s="12"/>
      <c r="X730" s="12"/>
      <c r="Y730" s="16"/>
      <c r="Z730" s="17"/>
    </row>
    <row r="731" spans="19:26" x14ac:dyDescent="0.3">
      <c r="S731" s="14"/>
      <c r="T731" s="14"/>
      <c r="U731" s="14"/>
      <c r="V731" s="12"/>
      <c r="W731" s="12"/>
      <c r="X731" s="12"/>
      <c r="Y731" s="16"/>
      <c r="Z731" s="17"/>
    </row>
    <row r="732" spans="19:26" x14ac:dyDescent="0.3">
      <c r="S732" s="14"/>
      <c r="T732" s="14"/>
      <c r="U732" s="14"/>
      <c r="V732" s="12"/>
      <c r="W732" s="12"/>
      <c r="X732" s="12"/>
      <c r="Y732" s="16"/>
      <c r="Z732" s="17"/>
    </row>
    <row r="733" spans="19:26" x14ac:dyDescent="0.3">
      <c r="S733" s="14"/>
      <c r="T733" s="14"/>
      <c r="U733" s="14"/>
      <c r="V733" s="12"/>
      <c r="W733" s="12"/>
      <c r="X733" s="12"/>
      <c r="Y733" s="16"/>
      <c r="Z733" s="17"/>
    </row>
    <row r="734" spans="19:26" x14ac:dyDescent="0.3">
      <c r="S734" s="14"/>
      <c r="T734" s="14"/>
      <c r="U734" s="14"/>
      <c r="V734" s="12"/>
      <c r="W734" s="12"/>
      <c r="X734" s="12"/>
      <c r="Y734" s="16"/>
      <c r="Z734" s="17"/>
    </row>
    <row r="735" spans="19:26" x14ac:dyDescent="0.3">
      <c r="S735" s="14"/>
      <c r="T735" s="14"/>
      <c r="U735" s="14"/>
      <c r="V735" s="12"/>
      <c r="W735" s="12"/>
      <c r="X735" s="12"/>
      <c r="Y735" s="16"/>
      <c r="Z735" s="17"/>
    </row>
    <row r="736" spans="19:26" x14ac:dyDescent="0.3">
      <c r="S736" s="14"/>
      <c r="T736" s="14"/>
      <c r="U736" s="14"/>
      <c r="V736" s="12"/>
      <c r="W736" s="12"/>
      <c r="X736" s="12"/>
      <c r="Y736" s="16"/>
      <c r="Z736" s="17"/>
    </row>
    <row r="737" spans="19:26" x14ac:dyDescent="0.3">
      <c r="S737" s="14"/>
      <c r="T737" s="14"/>
      <c r="U737" s="14"/>
      <c r="V737" s="12"/>
      <c r="W737" s="12"/>
      <c r="X737" s="12"/>
      <c r="Y737" s="16"/>
      <c r="Z737" s="17"/>
    </row>
    <row r="738" spans="19:26" x14ac:dyDescent="0.3">
      <c r="S738" s="14"/>
      <c r="T738" s="14"/>
      <c r="U738" s="14"/>
      <c r="V738" s="12"/>
      <c r="W738" s="12"/>
      <c r="X738" s="12"/>
      <c r="Y738" s="16"/>
      <c r="Z738" s="17"/>
    </row>
    <row r="739" spans="19:26" x14ac:dyDescent="0.3">
      <c r="S739" s="14"/>
      <c r="T739" s="14"/>
      <c r="U739" s="14"/>
      <c r="V739" s="12"/>
      <c r="W739" s="12"/>
      <c r="X739" s="12"/>
      <c r="Y739" s="16"/>
      <c r="Z739" s="17"/>
    </row>
    <row r="740" spans="19:26" x14ac:dyDescent="0.3">
      <c r="S740" s="14"/>
      <c r="T740" s="14"/>
      <c r="U740" s="14"/>
      <c r="V740" s="12"/>
      <c r="W740" s="12"/>
      <c r="X740" s="12"/>
      <c r="Y740" s="16"/>
      <c r="Z740" s="17"/>
    </row>
    <row r="741" spans="19:26" x14ac:dyDescent="0.3">
      <c r="S741" s="14"/>
      <c r="T741" s="14"/>
      <c r="U741" s="14"/>
      <c r="V741" s="12"/>
      <c r="W741" s="12"/>
      <c r="X741" s="12"/>
      <c r="Y741" s="16"/>
      <c r="Z741" s="17"/>
    </row>
    <row r="742" spans="19:26" x14ac:dyDescent="0.3">
      <c r="S742" s="14"/>
      <c r="T742" s="14"/>
      <c r="U742" s="14"/>
      <c r="V742" s="12"/>
      <c r="W742" s="12"/>
      <c r="X742" s="12"/>
      <c r="Y742" s="16"/>
      <c r="Z742" s="17"/>
    </row>
    <row r="743" spans="19:26" x14ac:dyDescent="0.3">
      <c r="S743" s="14"/>
      <c r="T743" s="14"/>
      <c r="U743" s="14"/>
      <c r="V743" s="12"/>
      <c r="W743" s="12"/>
      <c r="X743" s="12"/>
      <c r="Y743" s="16"/>
      <c r="Z743" s="17"/>
    </row>
    <row r="744" spans="19:26" x14ac:dyDescent="0.3">
      <c r="S744" s="14"/>
      <c r="T744" s="14"/>
      <c r="U744" s="14"/>
      <c r="V744" s="12"/>
      <c r="W744" s="12"/>
      <c r="X744" s="12"/>
      <c r="Y744" s="16"/>
      <c r="Z744" s="17"/>
    </row>
    <row r="745" spans="19:26" x14ac:dyDescent="0.3">
      <c r="S745" s="14"/>
      <c r="T745" s="14"/>
      <c r="U745" s="14"/>
      <c r="V745" s="12"/>
      <c r="W745" s="12"/>
      <c r="X745" s="12"/>
      <c r="Y745" s="16"/>
      <c r="Z745" s="17"/>
    </row>
    <row r="746" spans="19:26" x14ac:dyDescent="0.3">
      <c r="S746" s="14"/>
      <c r="T746" s="14"/>
      <c r="U746" s="14"/>
      <c r="V746" s="12"/>
      <c r="W746" s="12"/>
      <c r="X746" s="12"/>
      <c r="Y746" s="16"/>
      <c r="Z746" s="17"/>
    </row>
    <row r="747" spans="19:26" x14ac:dyDescent="0.3">
      <c r="S747" s="14"/>
      <c r="T747" s="14"/>
      <c r="U747" s="14"/>
      <c r="V747" s="12"/>
      <c r="W747" s="12"/>
      <c r="X747" s="12"/>
      <c r="Y747" s="16"/>
      <c r="Z747" s="17"/>
    </row>
    <row r="748" spans="19:26" x14ac:dyDescent="0.3">
      <c r="S748" s="14"/>
      <c r="T748" s="14"/>
      <c r="U748" s="14"/>
      <c r="V748" s="12"/>
      <c r="W748" s="12"/>
      <c r="X748" s="12"/>
      <c r="Y748" s="16"/>
      <c r="Z748" s="17"/>
    </row>
    <row r="749" spans="19:26" x14ac:dyDescent="0.3">
      <c r="S749" s="14"/>
      <c r="T749" s="14"/>
      <c r="U749" s="14"/>
      <c r="V749" s="12"/>
      <c r="W749" s="12"/>
      <c r="X749" s="12"/>
      <c r="Y749" s="16"/>
      <c r="Z749" s="17"/>
    </row>
    <row r="750" spans="19:26" x14ac:dyDescent="0.3">
      <c r="S750" s="14"/>
      <c r="T750" s="14"/>
      <c r="U750" s="14"/>
      <c r="V750" s="12"/>
      <c r="W750" s="12"/>
      <c r="X750" s="12"/>
      <c r="Y750" s="16"/>
      <c r="Z750" s="17"/>
    </row>
    <row r="751" spans="19:26" x14ac:dyDescent="0.3">
      <c r="S751" s="14"/>
      <c r="T751" s="14"/>
      <c r="U751" s="14"/>
      <c r="V751" s="12"/>
      <c r="W751" s="12"/>
      <c r="X751" s="12"/>
      <c r="Y751" s="16"/>
      <c r="Z751" s="17"/>
    </row>
    <row r="752" spans="19:26" x14ac:dyDescent="0.3">
      <c r="S752" s="14"/>
      <c r="T752" s="14"/>
      <c r="U752" s="14"/>
      <c r="V752" s="12"/>
      <c r="W752" s="12"/>
      <c r="X752" s="12"/>
      <c r="Y752" s="16"/>
      <c r="Z752" s="17"/>
    </row>
    <row r="753" spans="19:26" x14ac:dyDescent="0.3">
      <c r="S753" s="14"/>
      <c r="T753" s="14"/>
      <c r="U753" s="14"/>
      <c r="V753" s="12"/>
      <c r="W753" s="12"/>
      <c r="X753" s="12"/>
      <c r="Y753" s="16"/>
      <c r="Z753" s="17"/>
    </row>
    <row r="754" spans="19:26" x14ac:dyDescent="0.3">
      <c r="S754" s="14"/>
      <c r="T754" s="14"/>
      <c r="U754" s="14"/>
      <c r="V754" s="12"/>
      <c r="W754" s="12"/>
      <c r="X754" s="12"/>
      <c r="Y754" s="16"/>
      <c r="Z754" s="17"/>
    </row>
    <row r="755" spans="19:26" x14ac:dyDescent="0.3">
      <c r="S755" s="14"/>
      <c r="T755" s="14"/>
      <c r="U755" s="14"/>
      <c r="V755" s="12"/>
      <c r="W755" s="12"/>
      <c r="X755" s="12"/>
      <c r="Y755" s="16"/>
      <c r="Z755" s="17"/>
    </row>
    <row r="756" spans="19:26" x14ac:dyDescent="0.3">
      <c r="S756" s="14"/>
      <c r="T756" s="14"/>
      <c r="U756" s="14"/>
      <c r="V756" s="12"/>
      <c r="W756" s="12"/>
      <c r="X756" s="12"/>
      <c r="Y756" s="16"/>
      <c r="Z756" s="17"/>
    </row>
    <row r="757" spans="19:26" x14ac:dyDescent="0.3">
      <c r="S757" s="14"/>
      <c r="T757" s="14"/>
      <c r="U757" s="14"/>
      <c r="V757" s="12"/>
      <c r="W757" s="12"/>
      <c r="X757" s="12"/>
      <c r="Y757" s="16"/>
      <c r="Z757" s="17"/>
    </row>
    <row r="758" spans="19:26" x14ac:dyDescent="0.3">
      <c r="S758" s="14"/>
      <c r="T758" s="14"/>
      <c r="U758" s="14"/>
      <c r="V758" s="12"/>
      <c r="W758" s="12"/>
      <c r="X758" s="12"/>
      <c r="Y758" s="16"/>
      <c r="Z758" s="17"/>
    </row>
    <row r="759" spans="19:26" x14ac:dyDescent="0.3">
      <c r="S759" s="14"/>
      <c r="T759" s="14"/>
      <c r="U759" s="14"/>
      <c r="V759" s="12"/>
      <c r="W759" s="12"/>
      <c r="X759" s="12"/>
      <c r="Y759" s="16"/>
      <c r="Z759" s="17"/>
    </row>
    <row r="760" spans="19:26" x14ac:dyDescent="0.3">
      <c r="S760" s="14"/>
      <c r="T760" s="14"/>
      <c r="U760" s="14"/>
      <c r="V760" s="12"/>
      <c r="W760" s="12"/>
      <c r="X760" s="12"/>
      <c r="Y760" s="16"/>
      <c r="Z760" s="17"/>
    </row>
    <row r="761" spans="19:26" x14ac:dyDescent="0.3">
      <c r="S761" s="14"/>
      <c r="T761" s="14"/>
      <c r="U761" s="14"/>
      <c r="V761" s="12"/>
      <c r="W761" s="12"/>
      <c r="X761" s="12"/>
      <c r="Y761" s="16"/>
      <c r="Z761" s="17"/>
    </row>
    <row r="762" spans="19:26" x14ac:dyDescent="0.3">
      <c r="S762" s="14"/>
      <c r="T762" s="14"/>
      <c r="U762" s="14"/>
      <c r="V762" s="12"/>
      <c r="W762" s="12"/>
      <c r="X762" s="12"/>
      <c r="Y762" s="16"/>
      <c r="Z762" s="17"/>
    </row>
    <row r="763" spans="19:26" x14ac:dyDescent="0.3">
      <c r="S763" s="14"/>
      <c r="T763" s="14"/>
      <c r="U763" s="14"/>
      <c r="V763" s="12"/>
      <c r="W763" s="12"/>
      <c r="X763" s="12"/>
      <c r="Y763" s="16"/>
      <c r="Z763" s="17"/>
    </row>
    <row r="764" spans="19:26" x14ac:dyDescent="0.3">
      <c r="S764" s="14"/>
      <c r="T764" s="14"/>
      <c r="U764" s="14"/>
      <c r="V764" s="12"/>
      <c r="W764" s="12"/>
      <c r="X764" s="12"/>
      <c r="Y764" s="16"/>
      <c r="Z764" s="17"/>
    </row>
    <row r="765" spans="19:26" x14ac:dyDescent="0.3">
      <c r="S765" s="14"/>
      <c r="T765" s="14"/>
      <c r="U765" s="14"/>
      <c r="V765" s="12"/>
      <c r="W765" s="12"/>
      <c r="X765" s="12"/>
      <c r="Y765" s="16"/>
      <c r="Z765" s="17"/>
    </row>
    <row r="766" spans="19:26" x14ac:dyDescent="0.3">
      <c r="S766" s="14"/>
      <c r="T766" s="14"/>
      <c r="U766" s="14"/>
      <c r="V766" s="12"/>
      <c r="W766" s="12"/>
      <c r="X766" s="12"/>
      <c r="Y766" s="16"/>
      <c r="Z766" s="17"/>
    </row>
    <row r="767" spans="19:26" x14ac:dyDescent="0.3">
      <c r="S767" s="14"/>
      <c r="T767" s="14"/>
      <c r="U767" s="14"/>
      <c r="V767" s="12"/>
      <c r="W767" s="12"/>
      <c r="X767" s="12"/>
      <c r="Y767" s="16"/>
      <c r="Z767" s="17"/>
    </row>
    <row r="768" spans="19:26" x14ac:dyDescent="0.3">
      <c r="S768" s="14"/>
      <c r="T768" s="14"/>
      <c r="U768" s="14"/>
      <c r="V768" s="12"/>
      <c r="W768" s="12"/>
      <c r="X768" s="12"/>
      <c r="Y768" s="16"/>
      <c r="Z768" s="17"/>
    </row>
    <row r="769" spans="19:26" x14ac:dyDescent="0.3">
      <c r="S769" s="14"/>
      <c r="T769" s="14"/>
      <c r="U769" s="14"/>
      <c r="V769" s="12"/>
      <c r="W769" s="12"/>
      <c r="X769" s="12"/>
      <c r="Y769" s="16"/>
      <c r="Z769" s="17"/>
    </row>
    <row r="770" spans="19:26" x14ac:dyDescent="0.3">
      <c r="S770" s="14"/>
      <c r="T770" s="14"/>
      <c r="U770" s="14"/>
      <c r="V770" s="12"/>
      <c r="W770" s="12"/>
      <c r="X770" s="12"/>
      <c r="Y770" s="16"/>
      <c r="Z770" s="17"/>
    </row>
    <row r="771" spans="19:26" x14ac:dyDescent="0.3">
      <c r="S771" s="14"/>
      <c r="T771" s="14"/>
      <c r="U771" s="14"/>
      <c r="V771" s="12"/>
      <c r="W771" s="12"/>
      <c r="X771" s="12"/>
      <c r="Y771" s="16"/>
      <c r="Z771" s="17"/>
    </row>
    <row r="772" spans="19:26" x14ac:dyDescent="0.3">
      <c r="S772" s="14"/>
      <c r="T772" s="14"/>
      <c r="U772" s="14"/>
      <c r="V772" s="12"/>
      <c r="W772" s="12"/>
      <c r="X772" s="12"/>
      <c r="Y772" s="16"/>
      <c r="Z772" s="17"/>
    </row>
    <row r="773" spans="19:26" x14ac:dyDescent="0.3">
      <c r="S773" s="14"/>
      <c r="T773" s="14"/>
      <c r="U773" s="14"/>
      <c r="V773" s="12"/>
      <c r="W773" s="12"/>
      <c r="X773" s="12"/>
      <c r="Y773" s="16"/>
      <c r="Z773" s="17"/>
    </row>
    <row r="774" spans="19:26" x14ac:dyDescent="0.3">
      <c r="S774" s="14"/>
      <c r="T774" s="14"/>
      <c r="U774" s="14"/>
      <c r="V774" s="12"/>
      <c r="W774" s="12"/>
      <c r="X774" s="12"/>
      <c r="Y774" s="16"/>
      <c r="Z774" s="17"/>
    </row>
    <row r="775" spans="19:26" x14ac:dyDescent="0.3">
      <c r="S775" s="14"/>
      <c r="T775" s="14"/>
      <c r="U775" s="14"/>
      <c r="V775" s="12"/>
      <c r="W775" s="12"/>
      <c r="X775" s="12"/>
      <c r="Y775" s="16"/>
      <c r="Z775" s="17"/>
    </row>
    <row r="776" spans="19:26" x14ac:dyDescent="0.3">
      <c r="S776" s="14"/>
      <c r="T776" s="14"/>
      <c r="U776" s="14"/>
      <c r="V776" s="12"/>
      <c r="W776" s="12"/>
      <c r="X776" s="12"/>
      <c r="Y776" s="16"/>
      <c r="Z776" s="17"/>
    </row>
    <row r="777" spans="19:26" x14ac:dyDescent="0.3">
      <c r="S777" s="14"/>
      <c r="T777" s="14"/>
      <c r="U777" s="14"/>
      <c r="V777" s="12"/>
      <c r="W777" s="12"/>
      <c r="X777" s="12"/>
      <c r="Y777" s="16"/>
      <c r="Z777" s="17"/>
    </row>
    <row r="778" spans="19:26" x14ac:dyDescent="0.3">
      <c r="S778" s="14"/>
      <c r="T778" s="14"/>
      <c r="U778" s="14"/>
      <c r="V778" s="12"/>
      <c r="W778" s="12"/>
      <c r="X778" s="12"/>
      <c r="Y778" s="16"/>
      <c r="Z778" s="17"/>
    </row>
    <row r="779" spans="19:26" x14ac:dyDescent="0.3">
      <c r="S779" s="14"/>
      <c r="T779" s="14"/>
      <c r="U779" s="14"/>
      <c r="V779" s="12"/>
      <c r="W779" s="12"/>
      <c r="X779" s="12"/>
      <c r="Y779" s="16"/>
      <c r="Z779" s="17"/>
    </row>
    <row r="780" spans="19:26" x14ac:dyDescent="0.3">
      <c r="S780" s="14"/>
      <c r="T780" s="14"/>
      <c r="U780" s="14"/>
      <c r="V780" s="12"/>
      <c r="W780" s="12"/>
      <c r="X780" s="12"/>
      <c r="Y780" s="16"/>
      <c r="Z780" s="17"/>
    </row>
    <row r="781" spans="19:26" x14ac:dyDescent="0.3">
      <c r="S781" s="14"/>
      <c r="T781" s="14"/>
      <c r="U781" s="14"/>
      <c r="V781" s="12"/>
      <c r="W781" s="12"/>
      <c r="X781" s="12"/>
      <c r="Y781" s="16"/>
      <c r="Z781" s="17"/>
    </row>
    <row r="782" spans="19:26" x14ac:dyDescent="0.3">
      <c r="S782" s="14"/>
      <c r="T782" s="14"/>
      <c r="U782" s="14"/>
      <c r="V782" s="12"/>
      <c r="W782" s="12"/>
      <c r="X782" s="12"/>
      <c r="Y782" s="16"/>
      <c r="Z782" s="17"/>
    </row>
    <row r="783" spans="19:26" x14ac:dyDescent="0.3">
      <c r="S783" s="14"/>
      <c r="T783" s="14"/>
      <c r="U783" s="14"/>
      <c r="V783" s="12"/>
      <c r="W783" s="12"/>
      <c r="X783" s="12"/>
      <c r="Y783" s="16"/>
      <c r="Z783" s="17"/>
    </row>
    <row r="784" spans="19:26" x14ac:dyDescent="0.3">
      <c r="S784" s="14"/>
      <c r="T784" s="14"/>
      <c r="U784" s="14"/>
      <c r="V784" s="12"/>
      <c r="W784" s="12"/>
      <c r="X784" s="12"/>
      <c r="Y784" s="16"/>
      <c r="Z784" s="17"/>
    </row>
    <row r="785" spans="19:26" x14ac:dyDescent="0.3">
      <c r="S785" s="14"/>
      <c r="T785" s="14"/>
      <c r="U785" s="14"/>
      <c r="V785" s="12"/>
      <c r="W785" s="12"/>
      <c r="X785" s="12"/>
      <c r="Y785" s="16"/>
      <c r="Z785" s="17"/>
    </row>
    <row r="786" spans="19:26" x14ac:dyDescent="0.3">
      <c r="S786" s="14"/>
      <c r="T786" s="14"/>
      <c r="U786" s="14"/>
      <c r="V786" s="12"/>
      <c r="W786" s="12"/>
      <c r="X786" s="12"/>
      <c r="Y786" s="16"/>
      <c r="Z786" s="17"/>
    </row>
    <row r="787" spans="19:26" x14ac:dyDescent="0.3">
      <c r="S787" s="14"/>
      <c r="T787" s="14"/>
      <c r="U787" s="14"/>
      <c r="V787" s="12"/>
      <c r="W787" s="12"/>
      <c r="X787" s="12"/>
      <c r="Y787" s="16"/>
      <c r="Z787" s="17"/>
    </row>
    <row r="788" spans="19:26" x14ac:dyDescent="0.3">
      <c r="S788" s="14"/>
      <c r="T788" s="14"/>
      <c r="U788" s="14"/>
      <c r="V788" s="12"/>
      <c r="W788" s="12"/>
      <c r="X788" s="12"/>
      <c r="Y788" s="16"/>
      <c r="Z788" s="17"/>
    </row>
    <row r="789" spans="19:26" x14ac:dyDescent="0.3">
      <c r="S789" s="14"/>
      <c r="T789" s="14"/>
      <c r="U789" s="14"/>
      <c r="V789" s="12"/>
      <c r="W789" s="12"/>
      <c r="X789" s="12"/>
      <c r="Y789" s="16"/>
      <c r="Z789" s="17"/>
    </row>
    <row r="790" spans="19:26" x14ac:dyDescent="0.3">
      <c r="S790" s="14"/>
      <c r="T790" s="14"/>
      <c r="U790" s="14"/>
      <c r="V790" s="12"/>
      <c r="W790" s="12"/>
      <c r="X790" s="12"/>
      <c r="Y790" s="16"/>
      <c r="Z790" s="17"/>
    </row>
    <row r="791" spans="19:26" x14ac:dyDescent="0.3">
      <c r="S791" s="14"/>
      <c r="T791" s="14"/>
      <c r="U791" s="14"/>
      <c r="V791" s="12"/>
      <c r="W791" s="12"/>
      <c r="X791" s="12"/>
      <c r="Y791" s="16"/>
      <c r="Z791" s="17"/>
    </row>
    <row r="792" spans="19:26" x14ac:dyDescent="0.3">
      <c r="S792" s="14"/>
      <c r="T792" s="14"/>
      <c r="U792" s="14"/>
      <c r="V792" s="12"/>
      <c r="W792" s="12"/>
      <c r="X792" s="12"/>
      <c r="Y792" s="16"/>
      <c r="Z792" s="17"/>
    </row>
    <row r="793" spans="19:26" x14ac:dyDescent="0.3">
      <c r="S793" s="14"/>
      <c r="T793" s="14"/>
      <c r="U793" s="14"/>
      <c r="V793" s="12"/>
      <c r="W793" s="12"/>
      <c r="X793" s="12"/>
      <c r="Y793" s="16"/>
      <c r="Z793" s="17"/>
    </row>
    <row r="794" spans="19:26" x14ac:dyDescent="0.3">
      <c r="S794" s="14"/>
      <c r="T794" s="14"/>
      <c r="U794" s="14"/>
      <c r="V794" s="12"/>
      <c r="W794" s="12"/>
      <c r="X794" s="12"/>
      <c r="Y794" s="16"/>
      <c r="Z794" s="17"/>
    </row>
    <row r="795" spans="19:26" x14ac:dyDescent="0.3">
      <c r="S795" s="14"/>
      <c r="T795" s="14"/>
      <c r="U795" s="14"/>
      <c r="V795" s="12"/>
      <c r="W795" s="12"/>
      <c r="X795" s="12"/>
      <c r="Y795" s="16"/>
      <c r="Z795" s="17"/>
    </row>
    <row r="796" spans="19:26" x14ac:dyDescent="0.3">
      <c r="S796" s="14"/>
      <c r="T796" s="14"/>
      <c r="U796" s="14"/>
      <c r="V796" s="12"/>
      <c r="W796" s="12"/>
      <c r="X796" s="12"/>
      <c r="Y796" s="16"/>
      <c r="Z796" s="17"/>
    </row>
    <row r="797" spans="19:26" x14ac:dyDescent="0.3">
      <c r="S797" s="14"/>
      <c r="T797" s="14"/>
      <c r="U797" s="14"/>
      <c r="V797" s="12"/>
      <c r="W797" s="12"/>
      <c r="X797" s="12"/>
      <c r="Y797" s="16"/>
      <c r="Z797" s="17"/>
    </row>
    <row r="798" spans="19:26" x14ac:dyDescent="0.3">
      <c r="S798" s="14"/>
      <c r="T798" s="14"/>
      <c r="U798" s="14"/>
      <c r="V798" s="12"/>
      <c r="W798" s="12"/>
      <c r="X798" s="12"/>
      <c r="Y798" s="16"/>
      <c r="Z798" s="17"/>
    </row>
    <row r="799" spans="19:26" x14ac:dyDescent="0.3">
      <c r="S799" s="14"/>
      <c r="T799" s="14"/>
      <c r="U799" s="14"/>
      <c r="V799" s="12"/>
      <c r="W799" s="12"/>
      <c r="X799" s="12"/>
      <c r="Y799" s="16"/>
      <c r="Z799" s="17"/>
    </row>
    <row r="800" spans="19:26" x14ac:dyDescent="0.3">
      <c r="S800" s="14"/>
      <c r="T800" s="14"/>
      <c r="U800" s="14"/>
      <c r="V800" s="12"/>
      <c r="W800" s="12"/>
      <c r="X800" s="12"/>
      <c r="Y800" s="16"/>
      <c r="Z800" s="17"/>
    </row>
    <row r="801" spans="1:26" x14ac:dyDescent="0.3">
      <c r="S801" s="14"/>
      <c r="T801" s="14"/>
      <c r="U801" s="14"/>
      <c r="V801" s="12"/>
      <c r="W801" s="12"/>
      <c r="X801" s="12"/>
      <c r="Y801" s="16"/>
      <c r="Z801" s="17"/>
    </row>
    <row r="802" spans="1:26" x14ac:dyDescent="0.3">
      <c r="S802" s="14"/>
      <c r="T802" s="14"/>
      <c r="U802" s="14"/>
      <c r="V802" s="12"/>
      <c r="W802" s="12"/>
      <c r="X802" s="12"/>
      <c r="Y802" s="16"/>
      <c r="Z802" s="17"/>
    </row>
    <row r="803" spans="1:26" x14ac:dyDescent="0.3">
      <c r="S803" s="14"/>
      <c r="T803" s="14"/>
      <c r="U803" s="14"/>
      <c r="V803" s="12"/>
      <c r="W803" s="12"/>
      <c r="X803" s="12"/>
      <c r="Y803" s="16"/>
      <c r="Z803" s="17"/>
    </row>
    <row r="804" spans="1:26" x14ac:dyDescent="0.3">
      <c r="S804" s="14"/>
      <c r="T804" s="14"/>
      <c r="U804" s="14"/>
      <c r="V804" s="12"/>
      <c r="W804" s="12"/>
      <c r="X804" s="12"/>
      <c r="Y804" s="16"/>
      <c r="Z804" s="17"/>
    </row>
    <row r="805" spans="1:26" x14ac:dyDescent="0.3">
      <c r="A805" s="14"/>
      <c r="B805" s="14"/>
      <c r="C805" s="14"/>
      <c r="D805" s="14"/>
      <c r="E805" s="14"/>
      <c r="F805" s="14"/>
      <c r="G805" s="14"/>
      <c r="H805" s="14"/>
      <c r="I805" s="14"/>
      <c r="J805" s="14"/>
      <c r="K805" s="14"/>
      <c r="L805" s="14"/>
      <c r="M805" s="14"/>
      <c r="N805" s="14"/>
      <c r="O805" s="14"/>
      <c r="P805" s="14"/>
      <c r="Q805" s="14"/>
      <c r="R805" s="15"/>
      <c r="S805" s="14"/>
      <c r="T805" s="14"/>
      <c r="U805" s="14"/>
      <c r="V805" s="12"/>
      <c r="W805" s="12"/>
      <c r="X805" s="12"/>
      <c r="Y805" s="16"/>
      <c r="Z805" s="17"/>
    </row>
    <row r="806" spans="1:26" x14ac:dyDescent="0.3">
      <c r="S806" s="14"/>
      <c r="T806" s="14"/>
      <c r="U806" s="14"/>
      <c r="V806" s="12"/>
      <c r="W806" s="12"/>
      <c r="X806" s="12"/>
      <c r="Y806" s="16"/>
      <c r="Z806" s="17"/>
    </row>
    <row r="807" spans="1:26" x14ac:dyDescent="0.3">
      <c r="S807" s="14"/>
      <c r="T807" s="14"/>
      <c r="U807" s="14"/>
      <c r="V807" s="12"/>
      <c r="W807" s="12"/>
      <c r="X807" s="12"/>
      <c r="Y807" s="16"/>
      <c r="Z807" s="17"/>
    </row>
    <row r="808" spans="1:26" x14ac:dyDescent="0.3">
      <c r="S808" s="14"/>
      <c r="T808" s="14"/>
      <c r="U808" s="14"/>
      <c r="V808" s="12"/>
      <c r="W808" s="12"/>
      <c r="X808" s="12"/>
      <c r="Y808" s="16"/>
      <c r="Z808" s="17"/>
    </row>
    <row r="809" spans="1:26" x14ac:dyDescent="0.3">
      <c r="S809" s="14"/>
      <c r="T809" s="14"/>
      <c r="U809" s="14"/>
      <c r="V809" s="12"/>
      <c r="W809" s="12"/>
      <c r="X809" s="12"/>
      <c r="Y809" s="16"/>
      <c r="Z809" s="17"/>
    </row>
    <row r="810" spans="1:26" x14ac:dyDescent="0.3">
      <c r="S810" s="14"/>
      <c r="T810" s="14"/>
      <c r="U810" s="14"/>
      <c r="V810" s="12"/>
      <c r="W810" s="12"/>
      <c r="X810" s="12"/>
      <c r="Y810" s="16"/>
      <c r="Z810" s="17"/>
    </row>
    <row r="811" spans="1:26" x14ac:dyDescent="0.3">
      <c r="S811" s="14"/>
      <c r="T811" s="14"/>
      <c r="U811" s="14"/>
      <c r="V811" s="12"/>
      <c r="W811" s="12"/>
      <c r="X811" s="12"/>
      <c r="Y811" s="16"/>
      <c r="Z811" s="17"/>
    </row>
    <row r="812" spans="1:26" x14ac:dyDescent="0.3">
      <c r="S812" s="14"/>
      <c r="T812" s="14"/>
      <c r="U812" s="14"/>
      <c r="V812" s="12"/>
      <c r="W812" s="12"/>
      <c r="X812" s="12"/>
      <c r="Y812" s="16"/>
      <c r="Z812" s="17"/>
    </row>
    <row r="813" spans="1:26" x14ac:dyDescent="0.3">
      <c r="S813" s="14"/>
      <c r="T813" s="14"/>
      <c r="U813" s="14"/>
      <c r="V813" s="12"/>
      <c r="W813" s="12"/>
      <c r="X813" s="12"/>
      <c r="Y813" s="16"/>
      <c r="Z813" s="17"/>
    </row>
    <row r="814" spans="1:26" x14ac:dyDescent="0.3">
      <c r="S814" s="14"/>
      <c r="T814" s="14"/>
      <c r="U814" s="14"/>
      <c r="V814" s="12"/>
      <c r="W814" s="12"/>
      <c r="X814" s="12"/>
      <c r="Y814" s="16"/>
      <c r="Z814" s="17"/>
    </row>
    <row r="815" spans="1:26" x14ac:dyDescent="0.3">
      <c r="S815" s="14"/>
      <c r="T815" s="14"/>
      <c r="U815" s="14"/>
      <c r="V815" s="12"/>
      <c r="W815" s="12"/>
      <c r="X815" s="12"/>
      <c r="Y815" s="16"/>
      <c r="Z815" s="17"/>
    </row>
    <row r="816" spans="1:26" x14ac:dyDescent="0.3">
      <c r="S816" s="14"/>
      <c r="T816" s="14"/>
      <c r="U816" s="14"/>
      <c r="V816" s="12"/>
      <c r="W816" s="12"/>
      <c r="X816" s="12"/>
      <c r="Y816" s="16"/>
      <c r="Z816" s="17"/>
    </row>
    <row r="817" spans="19:26" x14ac:dyDescent="0.3">
      <c r="S817" s="14"/>
      <c r="T817" s="14"/>
      <c r="U817" s="14"/>
      <c r="V817" s="12"/>
      <c r="W817" s="12"/>
      <c r="X817" s="12"/>
      <c r="Y817" s="16"/>
      <c r="Z817" s="17"/>
    </row>
    <row r="818" spans="19:26" x14ac:dyDescent="0.3">
      <c r="S818" s="14"/>
      <c r="T818" s="14"/>
      <c r="U818" s="14"/>
      <c r="V818" s="12"/>
      <c r="W818" s="12"/>
      <c r="X818" s="12"/>
      <c r="Y818" s="16"/>
      <c r="Z818" s="17"/>
    </row>
    <row r="819" spans="19:26" x14ac:dyDescent="0.3">
      <c r="S819" s="14"/>
      <c r="T819" s="14"/>
      <c r="U819" s="14"/>
      <c r="V819" s="12"/>
      <c r="W819" s="12"/>
      <c r="X819" s="12"/>
      <c r="Y819" s="16"/>
      <c r="Z819" s="17"/>
    </row>
    <row r="820" spans="19:26" x14ac:dyDescent="0.3">
      <c r="S820" s="14"/>
      <c r="T820" s="14"/>
      <c r="U820" s="14"/>
      <c r="V820" s="12"/>
      <c r="W820" s="12"/>
      <c r="X820" s="12"/>
      <c r="Y820" s="16"/>
      <c r="Z820" s="17"/>
    </row>
    <row r="821" spans="19:26" x14ac:dyDescent="0.3">
      <c r="S821" s="14"/>
      <c r="T821" s="14"/>
      <c r="U821" s="14"/>
      <c r="V821" s="12"/>
      <c r="W821" s="12"/>
      <c r="X821" s="12"/>
      <c r="Y821" s="16"/>
      <c r="Z821" s="17"/>
    </row>
    <row r="822" spans="19:26" x14ac:dyDescent="0.3">
      <c r="S822" s="14"/>
      <c r="T822" s="14"/>
      <c r="U822" s="14"/>
      <c r="V822" s="12"/>
      <c r="W822" s="12"/>
      <c r="X822" s="12"/>
      <c r="Y822" s="16"/>
      <c r="Z822" s="17"/>
    </row>
    <row r="823" spans="19:26" x14ac:dyDescent="0.3">
      <c r="S823" s="14"/>
      <c r="T823" s="14"/>
      <c r="U823" s="14"/>
      <c r="V823" s="12"/>
      <c r="W823" s="12"/>
      <c r="X823" s="12"/>
      <c r="Y823" s="16"/>
      <c r="Z823" s="17"/>
    </row>
    <row r="824" spans="19:26" x14ac:dyDescent="0.3">
      <c r="S824" s="14"/>
      <c r="T824" s="14"/>
      <c r="U824" s="14"/>
      <c r="V824" s="12"/>
      <c r="W824" s="12"/>
      <c r="X824" s="12"/>
      <c r="Y824" s="16"/>
      <c r="Z824" s="17"/>
    </row>
    <row r="825" spans="19:26" x14ac:dyDescent="0.3">
      <c r="S825" s="14"/>
      <c r="T825" s="14"/>
      <c r="U825" s="14"/>
      <c r="V825" s="12"/>
      <c r="W825" s="12"/>
      <c r="X825" s="12"/>
      <c r="Y825" s="16"/>
      <c r="Z825" s="17"/>
    </row>
    <row r="826" spans="19:26" x14ac:dyDescent="0.3">
      <c r="S826" s="14"/>
      <c r="T826" s="14"/>
      <c r="U826" s="14"/>
      <c r="V826" s="12"/>
      <c r="W826" s="12"/>
      <c r="X826" s="12"/>
      <c r="Y826" s="16"/>
      <c r="Z826" s="17"/>
    </row>
    <row r="827" spans="19:26" x14ac:dyDescent="0.3">
      <c r="S827" s="14"/>
      <c r="T827" s="14"/>
      <c r="U827" s="14"/>
      <c r="V827" s="12"/>
      <c r="W827" s="12"/>
      <c r="X827" s="12"/>
      <c r="Y827" s="16"/>
      <c r="Z827" s="17"/>
    </row>
    <row r="828" spans="19:26" x14ac:dyDescent="0.3">
      <c r="S828" s="14"/>
      <c r="T828" s="14"/>
      <c r="U828" s="14"/>
      <c r="V828" s="12"/>
      <c r="W828" s="12"/>
      <c r="X828" s="12"/>
      <c r="Y828" s="16"/>
      <c r="Z828" s="17"/>
    </row>
    <row r="829" spans="19:26" x14ac:dyDescent="0.3">
      <c r="S829" s="14"/>
      <c r="T829" s="14"/>
      <c r="U829" s="14"/>
      <c r="V829" s="12"/>
      <c r="W829" s="12"/>
      <c r="X829" s="12"/>
      <c r="Y829" s="16"/>
      <c r="Z829" s="17"/>
    </row>
    <row r="830" spans="19:26" x14ac:dyDescent="0.3">
      <c r="S830" s="14"/>
      <c r="T830" s="14"/>
      <c r="U830" s="14"/>
      <c r="V830" s="12"/>
      <c r="W830" s="12"/>
      <c r="X830" s="12"/>
      <c r="Y830" s="16"/>
      <c r="Z830" s="17"/>
    </row>
    <row r="831" spans="19:26" x14ac:dyDescent="0.3">
      <c r="S831" s="14"/>
      <c r="T831" s="14"/>
      <c r="U831" s="14"/>
      <c r="V831" s="12"/>
      <c r="W831" s="12"/>
      <c r="X831" s="12"/>
      <c r="Y831" s="16"/>
      <c r="Z831" s="17"/>
    </row>
    <row r="832" spans="19:26" x14ac:dyDescent="0.3">
      <c r="S832" s="14"/>
      <c r="T832" s="14"/>
      <c r="U832" s="14"/>
      <c r="V832" s="12"/>
      <c r="W832" s="12"/>
      <c r="X832" s="12"/>
      <c r="Y832" s="16"/>
      <c r="Z832" s="17"/>
    </row>
    <row r="833" spans="19:26" x14ac:dyDescent="0.3">
      <c r="S833" s="14"/>
      <c r="T833" s="14"/>
      <c r="U833" s="14"/>
      <c r="V833" s="12"/>
      <c r="W833" s="12"/>
      <c r="X833" s="12"/>
      <c r="Y833" s="16"/>
      <c r="Z833" s="17"/>
    </row>
    <row r="834" spans="19:26" x14ac:dyDescent="0.3">
      <c r="S834" s="14"/>
      <c r="T834" s="14"/>
      <c r="U834" s="14"/>
      <c r="V834" s="12"/>
      <c r="W834" s="12"/>
      <c r="X834" s="12"/>
      <c r="Y834" s="16"/>
      <c r="Z834" s="17"/>
    </row>
    <row r="835" spans="19:26" x14ac:dyDescent="0.3">
      <c r="S835" s="14"/>
      <c r="T835" s="14"/>
      <c r="U835" s="14"/>
      <c r="V835" s="12"/>
      <c r="W835" s="12"/>
      <c r="X835" s="12"/>
      <c r="Y835" s="16"/>
      <c r="Z835" s="17"/>
    </row>
    <row r="836" spans="19:26" x14ac:dyDescent="0.3">
      <c r="S836" s="14"/>
      <c r="T836" s="14"/>
      <c r="U836" s="14"/>
      <c r="V836" s="12"/>
      <c r="W836" s="12"/>
      <c r="X836" s="12"/>
      <c r="Y836" s="16"/>
      <c r="Z836" s="17"/>
    </row>
    <row r="837" spans="19:26" x14ac:dyDescent="0.3">
      <c r="S837" s="14"/>
      <c r="T837" s="14"/>
      <c r="U837" s="14"/>
      <c r="V837" s="12"/>
      <c r="W837" s="12"/>
      <c r="X837" s="12"/>
      <c r="Y837" s="16"/>
      <c r="Z837" s="17"/>
    </row>
    <row r="838" spans="19:26" x14ac:dyDescent="0.3">
      <c r="S838" s="14"/>
      <c r="T838" s="14"/>
      <c r="U838" s="14"/>
      <c r="V838" s="12"/>
      <c r="W838" s="12"/>
      <c r="X838" s="12"/>
      <c r="Y838" s="16"/>
      <c r="Z838" s="17"/>
    </row>
    <row r="839" spans="19:26" x14ac:dyDescent="0.3">
      <c r="S839" s="14"/>
      <c r="T839" s="14"/>
      <c r="U839" s="14"/>
      <c r="V839" s="12"/>
      <c r="W839" s="12"/>
      <c r="X839" s="12"/>
      <c r="Y839" s="16"/>
      <c r="Z839" s="17"/>
    </row>
    <row r="840" spans="19:26" x14ac:dyDescent="0.3">
      <c r="S840" s="14"/>
      <c r="T840" s="14"/>
      <c r="U840" s="14"/>
      <c r="V840" s="12"/>
      <c r="W840" s="12"/>
      <c r="X840" s="12"/>
      <c r="Y840" s="16"/>
      <c r="Z840" s="17"/>
    </row>
    <row r="841" spans="19:26" x14ac:dyDescent="0.3">
      <c r="S841" s="14"/>
      <c r="T841" s="14"/>
      <c r="U841" s="14"/>
      <c r="V841" s="12"/>
      <c r="W841" s="12"/>
      <c r="X841" s="12"/>
      <c r="Y841" s="16"/>
      <c r="Z841" s="17"/>
    </row>
    <row r="842" spans="19:26" x14ac:dyDescent="0.3">
      <c r="S842" s="14"/>
      <c r="T842" s="14"/>
      <c r="U842" s="14"/>
      <c r="V842" s="12"/>
      <c r="W842" s="12"/>
      <c r="X842" s="12"/>
      <c r="Y842" s="16"/>
      <c r="Z842" s="17"/>
    </row>
    <row r="843" spans="19:26" x14ac:dyDescent="0.3">
      <c r="S843" s="14"/>
      <c r="T843" s="14"/>
      <c r="U843" s="14"/>
      <c r="V843" s="12"/>
      <c r="W843" s="12"/>
      <c r="X843" s="12"/>
      <c r="Y843" s="16"/>
      <c r="Z843" s="17"/>
    </row>
    <row r="844" spans="19:26" x14ac:dyDescent="0.3">
      <c r="S844" s="14"/>
      <c r="T844" s="14"/>
      <c r="U844" s="14"/>
      <c r="V844" s="12"/>
      <c r="W844" s="12"/>
      <c r="X844" s="12"/>
      <c r="Y844" s="16"/>
      <c r="Z844" s="17"/>
    </row>
    <row r="845" spans="19:26" x14ac:dyDescent="0.3">
      <c r="S845" s="14"/>
      <c r="T845" s="14"/>
      <c r="U845" s="14"/>
      <c r="V845" s="12"/>
      <c r="W845" s="12"/>
      <c r="X845" s="12"/>
      <c r="Y845" s="16"/>
      <c r="Z845" s="17"/>
    </row>
    <row r="846" spans="19:26" x14ac:dyDescent="0.3">
      <c r="S846" s="14"/>
      <c r="T846" s="14"/>
      <c r="U846" s="14"/>
      <c r="V846" s="12"/>
      <c r="W846" s="12"/>
      <c r="X846" s="12"/>
      <c r="Y846" s="16"/>
      <c r="Z846" s="17"/>
    </row>
    <row r="847" spans="19:26" x14ac:dyDescent="0.3">
      <c r="S847" s="14"/>
      <c r="T847" s="14"/>
      <c r="U847" s="14"/>
      <c r="V847" s="12"/>
      <c r="W847" s="12"/>
      <c r="X847" s="12"/>
      <c r="Y847" s="16"/>
      <c r="Z847" s="17"/>
    </row>
    <row r="848" spans="19:26" x14ac:dyDescent="0.3">
      <c r="S848" s="14"/>
      <c r="T848" s="14"/>
      <c r="U848" s="14"/>
      <c r="V848" s="12"/>
      <c r="W848" s="12"/>
      <c r="X848" s="12"/>
      <c r="Y848" s="16"/>
      <c r="Z848" s="17"/>
    </row>
    <row r="849" spans="19:26" x14ac:dyDescent="0.3">
      <c r="S849" s="14"/>
      <c r="T849" s="14"/>
      <c r="U849" s="14"/>
      <c r="V849" s="12"/>
      <c r="W849" s="12"/>
      <c r="X849" s="12"/>
      <c r="Y849" s="16"/>
      <c r="Z849" s="17"/>
    </row>
    <row r="850" spans="19:26" x14ac:dyDescent="0.3">
      <c r="S850" s="14"/>
      <c r="T850" s="14"/>
      <c r="U850" s="14"/>
      <c r="V850" s="12"/>
      <c r="W850" s="12"/>
      <c r="X850" s="12"/>
      <c r="Y850" s="16"/>
      <c r="Z850" s="17"/>
    </row>
    <row r="851" spans="19:26" x14ac:dyDescent="0.3">
      <c r="S851" s="14"/>
      <c r="T851" s="14"/>
      <c r="U851" s="14"/>
      <c r="V851" s="12"/>
      <c r="W851" s="12"/>
      <c r="X851" s="12"/>
      <c r="Y851" s="16"/>
      <c r="Z851" s="17"/>
    </row>
    <row r="852" spans="19:26" x14ac:dyDescent="0.3">
      <c r="S852" s="14"/>
      <c r="T852" s="14"/>
      <c r="U852" s="14"/>
      <c r="V852" s="12"/>
      <c r="W852" s="12"/>
      <c r="X852" s="12"/>
      <c r="Y852" s="16"/>
      <c r="Z852" s="17"/>
    </row>
    <row r="853" spans="19:26" x14ac:dyDescent="0.3">
      <c r="S853" s="14"/>
      <c r="T853" s="14"/>
      <c r="U853" s="14"/>
      <c r="V853" s="12"/>
      <c r="W853" s="12"/>
      <c r="X853" s="12"/>
      <c r="Y853" s="16"/>
      <c r="Z853" s="17"/>
    </row>
    <row r="854" spans="19:26" x14ac:dyDescent="0.3">
      <c r="S854" s="14"/>
      <c r="T854" s="14"/>
      <c r="U854" s="14"/>
      <c r="V854" s="12"/>
      <c r="W854" s="12"/>
      <c r="X854" s="12"/>
      <c r="Y854" s="16"/>
      <c r="Z854" s="17"/>
    </row>
    <row r="855" spans="19:26" x14ac:dyDescent="0.3">
      <c r="S855" s="14"/>
      <c r="T855" s="14"/>
      <c r="U855" s="14"/>
      <c r="V855" s="12"/>
      <c r="W855" s="12"/>
      <c r="X855" s="12"/>
      <c r="Y855" s="16"/>
      <c r="Z855" s="17"/>
    </row>
    <row r="856" spans="19:26" x14ac:dyDescent="0.3">
      <c r="S856" s="14"/>
      <c r="T856" s="14"/>
      <c r="U856" s="14"/>
      <c r="V856" s="12"/>
      <c r="W856" s="12"/>
      <c r="X856" s="12"/>
      <c r="Y856" s="16"/>
      <c r="Z856" s="17"/>
    </row>
    <row r="857" spans="19:26" x14ac:dyDescent="0.3">
      <c r="S857" s="14"/>
      <c r="T857" s="14"/>
      <c r="U857" s="14"/>
      <c r="V857" s="12"/>
      <c r="W857" s="12"/>
      <c r="X857" s="12"/>
      <c r="Y857" s="16"/>
      <c r="Z857" s="17"/>
    </row>
    <row r="858" spans="19:26" x14ac:dyDescent="0.3">
      <c r="S858" s="14"/>
      <c r="T858" s="14"/>
      <c r="U858" s="14"/>
      <c r="V858" s="12"/>
      <c r="W858" s="12"/>
      <c r="X858" s="12"/>
      <c r="Y858" s="16"/>
      <c r="Z858" s="17"/>
    </row>
    <row r="859" spans="19:26" x14ac:dyDescent="0.3">
      <c r="S859" s="14"/>
      <c r="T859" s="14"/>
      <c r="U859" s="14"/>
      <c r="V859" s="12"/>
      <c r="W859" s="12"/>
      <c r="X859" s="12"/>
      <c r="Y859" s="16"/>
      <c r="Z859" s="17"/>
    </row>
    <row r="860" spans="19:26" x14ac:dyDescent="0.3">
      <c r="S860" s="14"/>
      <c r="T860" s="14"/>
      <c r="U860" s="14"/>
      <c r="V860" s="12"/>
      <c r="W860" s="12"/>
      <c r="X860" s="12"/>
      <c r="Y860" s="16"/>
      <c r="Z860" s="17"/>
    </row>
    <row r="861" spans="19:26" x14ac:dyDescent="0.3">
      <c r="S861" s="14"/>
      <c r="T861" s="14"/>
      <c r="U861" s="14"/>
      <c r="V861" s="12"/>
      <c r="W861" s="12"/>
      <c r="X861" s="12"/>
      <c r="Y861" s="16"/>
      <c r="Z861" s="17"/>
    </row>
    <row r="862" spans="19:26" x14ac:dyDescent="0.3">
      <c r="S862" s="14"/>
      <c r="T862" s="14"/>
      <c r="U862" s="14"/>
      <c r="V862" s="12"/>
      <c r="W862" s="12"/>
      <c r="X862" s="12"/>
      <c r="Y862" s="16"/>
      <c r="Z862" s="17"/>
    </row>
    <row r="863" spans="19:26" x14ac:dyDescent="0.3">
      <c r="S863" s="14"/>
      <c r="T863" s="14"/>
      <c r="U863" s="14"/>
      <c r="V863" s="12"/>
      <c r="W863" s="12"/>
      <c r="X863" s="12"/>
      <c r="Y863" s="16"/>
      <c r="Z863" s="17"/>
    </row>
    <row r="864" spans="19:26" x14ac:dyDescent="0.3">
      <c r="S864" s="14"/>
      <c r="T864" s="14"/>
      <c r="U864" s="14"/>
      <c r="V864" s="12"/>
      <c r="W864" s="12"/>
      <c r="X864" s="12"/>
      <c r="Y864" s="16"/>
      <c r="Z864" s="17"/>
    </row>
    <row r="865" spans="19:26" x14ac:dyDescent="0.3">
      <c r="S865" s="14"/>
      <c r="T865" s="14"/>
      <c r="U865" s="14"/>
      <c r="V865" s="12"/>
      <c r="W865" s="12"/>
      <c r="X865" s="12"/>
      <c r="Y865" s="16"/>
      <c r="Z865" s="17"/>
    </row>
    <row r="866" spans="19:26" x14ac:dyDescent="0.3">
      <c r="S866" s="14"/>
      <c r="T866" s="14"/>
      <c r="U866" s="14"/>
      <c r="V866" s="12"/>
      <c r="W866" s="12"/>
      <c r="X866" s="12"/>
      <c r="Y866" s="16"/>
      <c r="Z866" s="17"/>
    </row>
    <row r="867" spans="19:26" x14ac:dyDescent="0.3">
      <c r="S867" s="14"/>
      <c r="T867" s="14"/>
      <c r="U867" s="14"/>
      <c r="V867" s="12"/>
      <c r="W867" s="12"/>
      <c r="X867" s="12"/>
      <c r="Y867" s="16"/>
      <c r="Z867" s="17"/>
    </row>
    <row r="868" spans="19:26" x14ac:dyDescent="0.3">
      <c r="S868" s="14"/>
      <c r="T868" s="14"/>
      <c r="U868" s="14"/>
      <c r="V868" s="12"/>
      <c r="W868" s="12"/>
      <c r="X868" s="12"/>
      <c r="Y868" s="16"/>
      <c r="Z868" s="17"/>
    </row>
    <row r="869" spans="19:26" x14ac:dyDescent="0.3">
      <c r="S869" s="14"/>
      <c r="T869" s="14"/>
      <c r="U869" s="14"/>
      <c r="V869" s="12"/>
      <c r="W869" s="12"/>
      <c r="X869" s="12"/>
      <c r="Y869" s="16"/>
      <c r="Z869" s="17"/>
    </row>
    <row r="870" spans="19:26" x14ac:dyDescent="0.3">
      <c r="S870" s="14"/>
      <c r="T870" s="14"/>
      <c r="U870" s="14"/>
      <c r="V870" s="12"/>
      <c r="W870" s="12"/>
      <c r="X870" s="12"/>
      <c r="Y870" s="16"/>
      <c r="Z870" s="17"/>
    </row>
    <row r="871" spans="19:26" x14ac:dyDescent="0.3">
      <c r="S871" s="14"/>
      <c r="T871" s="14"/>
      <c r="U871" s="14"/>
      <c r="V871" s="12"/>
      <c r="W871" s="12"/>
      <c r="X871" s="12"/>
      <c r="Y871" s="16"/>
      <c r="Z871" s="17"/>
    </row>
    <row r="872" spans="19:26" x14ac:dyDescent="0.3">
      <c r="S872" s="14"/>
      <c r="T872" s="14"/>
      <c r="U872" s="14"/>
      <c r="V872" s="12"/>
      <c r="W872" s="12"/>
      <c r="X872" s="12"/>
      <c r="Y872" s="16"/>
      <c r="Z872" s="17"/>
    </row>
    <row r="873" spans="19:26" x14ac:dyDescent="0.3">
      <c r="S873" s="14"/>
      <c r="T873" s="14"/>
      <c r="U873" s="14"/>
      <c r="V873" s="12"/>
      <c r="W873" s="12"/>
      <c r="X873" s="12"/>
      <c r="Y873" s="16"/>
      <c r="Z873" s="17"/>
    </row>
    <row r="874" spans="19:26" x14ac:dyDescent="0.3">
      <c r="S874" s="14"/>
      <c r="T874" s="14"/>
      <c r="U874" s="14"/>
      <c r="V874" s="12"/>
      <c r="W874" s="12"/>
      <c r="X874" s="12"/>
      <c r="Y874" s="16"/>
      <c r="Z874" s="17"/>
    </row>
    <row r="875" spans="19:26" x14ac:dyDescent="0.3">
      <c r="S875" s="14"/>
      <c r="T875" s="14"/>
      <c r="U875" s="14"/>
      <c r="V875" s="12"/>
      <c r="W875" s="12"/>
      <c r="X875" s="12"/>
      <c r="Y875" s="16"/>
      <c r="Z875" s="17"/>
    </row>
    <row r="876" spans="19:26" x14ac:dyDescent="0.3">
      <c r="S876" s="14"/>
      <c r="T876" s="14"/>
      <c r="U876" s="14"/>
      <c r="V876" s="12"/>
      <c r="W876" s="12"/>
      <c r="X876" s="12"/>
      <c r="Y876" s="16"/>
      <c r="Z876" s="17"/>
    </row>
    <row r="877" spans="19:26" x14ac:dyDescent="0.3">
      <c r="S877" s="14"/>
      <c r="T877" s="14"/>
      <c r="U877" s="14"/>
      <c r="V877" s="12"/>
      <c r="W877" s="12"/>
      <c r="X877" s="12"/>
      <c r="Y877" s="16"/>
      <c r="Z877" s="17"/>
    </row>
    <row r="878" spans="19:26" x14ac:dyDescent="0.3">
      <c r="S878" s="14"/>
      <c r="T878" s="14"/>
      <c r="U878" s="14"/>
      <c r="V878" s="12"/>
      <c r="W878" s="12"/>
      <c r="X878" s="12"/>
      <c r="Y878" s="16"/>
      <c r="Z878" s="17"/>
    </row>
    <row r="879" spans="19:26" x14ac:dyDescent="0.3">
      <c r="S879" s="14"/>
      <c r="T879" s="14"/>
      <c r="U879" s="14"/>
      <c r="V879" s="12"/>
      <c r="W879" s="12"/>
      <c r="X879" s="12"/>
      <c r="Y879" s="16"/>
      <c r="Z879" s="17"/>
    </row>
    <row r="880" spans="19:26" x14ac:dyDescent="0.3">
      <c r="S880" s="14"/>
      <c r="T880" s="14"/>
      <c r="U880" s="14"/>
      <c r="V880" s="12"/>
      <c r="W880" s="12"/>
      <c r="X880" s="12"/>
      <c r="Y880" s="16"/>
      <c r="Z880" s="17"/>
    </row>
    <row r="881" spans="19:26" x14ac:dyDescent="0.3">
      <c r="S881" s="14"/>
      <c r="T881" s="14"/>
      <c r="U881" s="14"/>
      <c r="V881" s="12"/>
      <c r="W881" s="12"/>
      <c r="X881" s="12"/>
      <c r="Y881" s="16"/>
      <c r="Z881" s="17"/>
    </row>
    <row r="882" spans="19:26" x14ac:dyDescent="0.3">
      <c r="S882" s="14"/>
      <c r="T882" s="14"/>
      <c r="U882" s="14"/>
      <c r="V882" s="12"/>
      <c r="W882" s="12"/>
      <c r="X882" s="12"/>
      <c r="Y882" s="16"/>
      <c r="Z882" s="17"/>
    </row>
    <row r="883" spans="19:26" x14ac:dyDescent="0.3">
      <c r="S883" s="14"/>
      <c r="T883" s="14"/>
      <c r="U883" s="14"/>
      <c r="V883" s="12"/>
      <c r="W883" s="12"/>
      <c r="X883" s="12"/>
      <c r="Y883" s="16"/>
      <c r="Z883" s="17"/>
    </row>
    <row r="884" spans="19:26" x14ac:dyDescent="0.3">
      <c r="S884" s="14"/>
      <c r="T884" s="14"/>
      <c r="U884" s="14"/>
      <c r="V884" s="12"/>
      <c r="W884" s="12"/>
      <c r="X884" s="12"/>
      <c r="Y884" s="16"/>
      <c r="Z884" s="17"/>
    </row>
    <row r="885" spans="19:26" x14ac:dyDescent="0.3">
      <c r="S885" s="14"/>
      <c r="T885" s="14"/>
      <c r="U885" s="14"/>
      <c r="V885" s="12"/>
      <c r="W885" s="12"/>
      <c r="X885" s="12"/>
      <c r="Y885" s="16"/>
      <c r="Z885" s="17"/>
    </row>
    <row r="886" spans="19:26" x14ac:dyDescent="0.3">
      <c r="S886" s="14"/>
      <c r="T886" s="14"/>
      <c r="U886" s="14"/>
      <c r="V886" s="12"/>
      <c r="W886" s="12"/>
      <c r="X886" s="12"/>
      <c r="Y886" s="16"/>
      <c r="Z886" s="17"/>
    </row>
    <row r="887" spans="19:26" x14ac:dyDescent="0.3">
      <c r="S887" s="14"/>
      <c r="T887" s="14"/>
      <c r="U887" s="14"/>
      <c r="V887" s="12"/>
      <c r="W887" s="12"/>
      <c r="X887" s="12"/>
      <c r="Y887" s="16"/>
      <c r="Z887" s="17"/>
    </row>
    <row r="888" spans="19:26" x14ac:dyDescent="0.3">
      <c r="S888" s="14"/>
      <c r="T888" s="14"/>
      <c r="U888" s="14"/>
      <c r="V888" s="12"/>
      <c r="W888" s="12"/>
      <c r="X888" s="12"/>
      <c r="Y888" s="16"/>
      <c r="Z888" s="17"/>
    </row>
    <row r="889" spans="19:26" x14ac:dyDescent="0.3">
      <c r="S889" s="14"/>
      <c r="T889" s="14"/>
      <c r="U889" s="14"/>
      <c r="V889" s="12"/>
      <c r="W889" s="12"/>
      <c r="X889" s="12"/>
      <c r="Y889" s="16"/>
      <c r="Z889" s="17"/>
    </row>
    <row r="890" spans="19:26" x14ac:dyDescent="0.3">
      <c r="S890" s="14"/>
      <c r="T890" s="14"/>
      <c r="U890" s="14"/>
      <c r="V890" s="12"/>
      <c r="W890" s="12"/>
      <c r="X890" s="12"/>
      <c r="Y890" s="16"/>
      <c r="Z890" s="17"/>
    </row>
    <row r="891" spans="19:26" x14ac:dyDescent="0.3">
      <c r="S891" s="14"/>
      <c r="T891" s="14"/>
      <c r="U891" s="14"/>
      <c r="V891" s="12"/>
      <c r="W891" s="12"/>
      <c r="X891" s="12"/>
      <c r="Y891" s="16"/>
      <c r="Z891" s="17"/>
    </row>
    <row r="892" spans="19:26" x14ac:dyDescent="0.3">
      <c r="S892" s="14"/>
      <c r="T892" s="14"/>
      <c r="U892" s="14"/>
      <c r="V892" s="12"/>
      <c r="W892" s="12"/>
      <c r="X892" s="12"/>
      <c r="Y892" s="16"/>
      <c r="Z892" s="17"/>
    </row>
    <row r="893" spans="19:26" x14ac:dyDescent="0.3">
      <c r="S893" s="14"/>
      <c r="T893" s="14"/>
      <c r="U893" s="14"/>
      <c r="V893" s="12"/>
      <c r="W893" s="12"/>
      <c r="X893" s="12"/>
      <c r="Y893" s="16"/>
      <c r="Z893" s="17"/>
    </row>
    <row r="894" spans="19:26" x14ac:dyDescent="0.3">
      <c r="S894" s="14"/>
      <c r="T894" s="14"/>
      <c r="U894" s="14"/>
      <c r="V894" s="12"/>
      <c r="W894" s="12"/>
      <c r="X894" s="12"/>
      <c r="Y894" s="16"/>
      <c r="Z894" s="17"/>
    </row>
    <row r="895" spans="19:26" x14ac:dyDescent="0.3">
      <c r="S895" s="14"/>
      <c r="T895" s="14"/>
      <c r="U895" s="14"/>
      <c r="V895" s="12"/>
      <c r="W895" s="12"/>
      <c r="X895" s="12"/>
      <c r="Y895" s="16"/>
      <c r="Z895" s="17"/>
    </row>
    <row r="896" spans="19:26" x14ac:dyDescent="0.3">
      <c r="S896" s="14"/>
      <c r="T896" s="14"/>
      <c r="U896" s="14"/>
      <c r="V896" s="12"/>
      <c r="W896" s="12"/>
      <c r="X896" s="12"/>
      <c r="Y896" s="16"/>
      <c r="Z896" s="17"/>
    </row>
    <row r="897" spans="19:26" x14ac:dyDescent="0.3">
      <c r="S897" s="14"/>
      <c r="T897" s="14"/>
      <c r="U897" s="14"/>
      <c r="V897" s="12"/>
      <c r="W897" s="12"/>
      <c r="X897" s="12"/>
      <c r="Y897" s="16"/>
      <c r="Z897" s="17"/>
    </row>
    <row r="898" spans="19:26" x14ac:dyDescent="0.3">
      <c r="S898" s="14"/>
      <c r="T898" s="14"/>
      <c r="U898" s="14"/>
      <c r="V898" s="12"/>
      <c r="W898" s="12"/>
      <c r="X898" s="12"/>
      <c r="Y898" s="16"/>
      <c r="Z898" s="17"/>
    </row>
    <row r="899" spans="19:26" x14ac:dyDescent="0.3">
      <c r="S899" s="14"/>
      <c r="T899" s="14"/>
      <c r="U899" s="14"/>
      <c r="V899" s="12"/>
      <c r="W899" s="12"/>
      <c r="X899" s="12"/>
      <c r="Y899" s="16"/>
      <c r="Z899" s="17"/>
    </row>
    <row r="900" spans="19:26" x14ac:dyDescent="0.3">
      <c r="S900" s="14"/>
      <c r="T900" s="14"/>
      <c r="U900" s="14"/>
      <c r="V900" s="12"/>
      <c r="W900" s="12"/>
      <c r="X900" s="12"/>
      <c r="Y900" s="16"/>
      <c r="Z900" s="17"/>
    </row>
    <row r="901" spans="19:26" x14ac:dyDescent="0.3">
      <c r="S901" s="14"/>
      <c r="T901" s="14"/>
      <c r="U901" s="14"/>
      <c r="V901" s="12"/>
      <c r="W901" s="12"/>
      <c r="X901" s="12"/>
      <c r="Y901" s="16"/>
      <c r="Z901" s="17"/>
    </row>
    <row r="902" spans="19:26" x14ac:dyDescent="0.3">
      <c r="S902" s="14"/>
      <c r="T902" s="14"/>
      <c r="U902" s="14"/>
      <c r="V902" s="12"/>
      <c r="W902" s="12"/>
      <c r="X902" s="12"/>
      <c r="Y902" s="16"/>
      <c r="Z902" s="17"/>
    </row>
    <row r="903" spans="19:26" x14ac:dyDescent="0.3">
      <c r="S903" s="14"/>
      <c r="T903" s="14"/>
      <c r="U903" s="14"/>
      <c r="V903" s="12"/>
      <c r="W903" s="12"/>
      <c r="X903" s="12"/>
      <c r="Y903" s="16"/>
      <c r="Z903" s="17"/>
    </row>
    <row r="904" spans="19:26" x14ac:dyDescent="0.3">
      <c r="S904" s="14"/>
      <c r="T904" s="14"/>
      <c r="U904" s="14"/>
      <c r="V904" s="12"/>
      <c r="W904" s="12"/>
      <c r="X904" s="12"/>
      <c r="Y904" s="16"/>
      <c r="Z904" s="17"/>
    </row>
    <row r="905" spans="19:26" x14ac:dyDescent="0.3">
      <c r="S905" s="14"/>
      <c r="T905" s="14"/>
      <c r="U905" s="14"/>
      <c r="V905" s="12"/>
      <c r="W905" s="12"/>
      <c r="X905" s="12"/>
      <c r="Y905" s="16"/>
      <c r="Z905" s="17"/>
    </row>
    <row r="906" spans="19:26" x14ac:dyDescent="0.3">
      <c r="S906" s="14"/>
      <c r="T906" s="14"/>
      <c r="U906" s="14"/>
      <c r="V906" s="12"/>
      <c r="W906" s="12"/>
      <c r="X906" s="12"/>
      <c r="Y906" s="16"/>
      <c r="Z906" s="17"/>
    </row>
    <row r="907" spans="19:26" x14ac:dyDescent="0.3">
      <c r="S907" s="14"/>
      <c r="T907" s="14"/>
      <c r="U907" s="14"/>
      <c r="V907" s="12"/>
      <c r="W907" s="12"/>
      <c r="X907" s="12"/>
      <c r="Y907" s="16"/>
      <c r="Z907" s="17"/>
    </row>
    <row r="908" spans="19:26" x14ac:dyDescent="0.3">
      <c r="S908" s="14"/>
      <c r="T908" s="14"/>
      <c r="U908" s="14"/>
      <c r="V908" s="12"/>
      <c r="W908" s="12"/>
      <c r="X908" s="12"/>
      <c r="Y908" s="16"/>
      <c r="Z908" s="17"/>
    </row>
    <row r="909" spans="19:26" x14ac:dyDescent="0.3">
      <c r="S909" s="14"/>
      <c r="T909" s="14"/>
      <c r="U909" s="14"/>
      <c r="V909" s="12"/>
      <c r="W909" s="12"/>
      <c r="X909" s="12"/>
      <c r="Y909" s="16"/>
      <c r="Z909" s="17"/>
    </row>
    <row r="910" spans="19:26" x14ac:dyDescent="0.3">
      <c r="S910" s="14"/>
      <c r="T910" s="14"/>
      <c r="U910" s="14"/>
      <c r="V910" s="12"/>
      <c r="W910" s="12"/>
      <c r="X910" s="12"/>
      <c r="Y910" s="16"/>
      <c r="Z910" s="17"/>
    </row>
    <row r="911" spans="19:26" x14ac:dyDescent="0.3">
      <c r="S911" s="14"/>
      <c r="T911" s="14"/>
      <c r="U911" s="14"/>
      <c r="V911" s="12"/>
      <c r="W911" s="12"/>
      <c r="X911" s="12"/>
      <c r="Y911" s="16"/>
      <c r="Z911" s="17"/>
    </row>
  </sheetData>
  <sortState ref="A2:Z92">
    <sortCondition ref="R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U17"/>
  <sheetViews>
    <sheetView zoomScaleNormal="100" workbookViewId="0">
      <selection activeCell="E1" sqref="E1:G17"/>
    </sheetView>
  </sheetViews>
  <sheetFormatPr defaultRowHeight="14.4" x14ac:dyDescent="0.3"/>
  <cols>
    <col min="1" max="5" width="8.88671875" style="3"/>
    <col min="6" max="6" width="15.21875" style="3" bestFit="1" customWidth="1"/>
    <col min="7" max="7" width="11.33203125" style="3" bestFit="1" customWidth="1"/>
    <col min="8" max="16384" width="8.88671875" style="3"/>
  </cols>
  <sheetData>
    <row r="1" spans="1:21" x14ac:dyDescent="0.3">
      <c r="A1" s="2" t="s">
        <v>67</v>
      </c>
      <c r="B1" s="2" t="s">
        <v>68</v>
      </c>
      <c r="E1" s="2" t="s">
        <v>69</v>
      </c>
      <c r="F1" s="2" t="s">
        <v>70</v>
      </c>
      <c r="G1" s="2" t="s">
        <v>71</v>
      </c>
      <c r="I1" s="4" t="s">
        <v>72</v>
      </c>
      <c r="J1" s="4" t="s">
        <v>68</v>
      </c>
      <c r="U1" s="3" t="s">
        <v>73</v>
      </c>
    </row>
    <row r="2" spans="1:21" x14ac:dyDescent="0.3">
      <c r="A2" s="5">
        <v>1</v>
      </c>
      <c r="B2" s="5" t="s">
        <v>74</v>
      </c>
      <c r="E2" s="6" t="s">
        <v>75</v>
      </c>
      <c r="F2" s="3" t="s">
        <v>76</v>
      </c>
      <c r="G2" s="7" t="s">
        <v>77</v>
      </c>
      <c r="I2" s="3">
        <v>1</v>
      </c>
      <c r="J2" s="3" t="s">
        <v>78</v>
      </c>
    </row>
    <row r="3" spans="1:21" x14ac:dyDescent="0.3">
      <c r="A3" s="5">
        <v>2</v>
      </c>
      <c r="B3" s="5" t="s">
        <v>79</v>
      </c>
      <c r="E3" s="8" t="s">
        <v>80</v>
      </c>
      <c r="F3" s="9" t="s">
        <v>81</v>
      </c>
      <c r="G3" s="9" t="s">
        <v>77</v>
      </c>
      <c r="I3" s="3">
        <v>2</v>
      </c>
      <c r="J3" s="3" t="s">
        <v>82</v>
      </c>
    </row>
    <row r="4" spans="1:21" x14ac:dyDescent="0.3">
      <c r="A4" s="5">
        <v>3</v>
      </c>
      <c r="B4" s="5" t="s">
        <v>83</v>
      </c>
      <c r="E4" s="10" t="s">
        <v>84</v>
      </c>
      <c r="F4" s="7" t="s">
        <v>85</v>
      </c>
      <c r="G4" s="7" t="s">
        <v>77</v>
      </c>
      <c r="I4" s="3">
        <v>3</v>
      </c>
      <c r="J4" s="3" t="s">
        <v>86</v>
      </c>
    </row>
    <row r="5" spans="1:21" x14ac:dyDescent="0.3">
      <c r="A5" s="5">
        <v>4</v>
      </c>
      <c r="B5" s="5" t="s">
        <v>87</v>
      </c>
      <c r="E5" s="10" t="s">
        <v>88</v>
      </c>
      <c r="F5" s="7" t="s">
        <v>89</v>
      </c>
      <c r="G5" s="7" t="s">
        <v>77</v>
      </c>
      <c r="I5" s="3">
        <v>4</v>
      </c>
      <c r="J5" s="3" t="s">
        <v>90</v>
      </c>
    </row>
    <row r="6" spans="1:21" x14ac:dyDescent="0.3">
      <c r="A6" s="5">
        <v>5</v>
      </c>
      <c r="B6" s="5" t="s">
        <v>91</v>
      </c>
      <c r="E6" s="10" t="s">
        <v>92</v>
      </c>
      <c r="F6" s="7" t="s">
        <v>93</v>
      </c>
      <c r="G6" s="7" t="s">
        <v>94</v>
      </c>
      <c r="I6" s="3">
        <v>5</v>
      </c>
      <c r="J6" s="3" t="s">
        <v>95</v>
      </c>
    </row>
    <row r="7" spans="1:21" x14ac:dyDescent="0.3">
      <c r="A7" s="5">
        <v>6</v>
      </c>
      <c r="B7" s="5" t="s">
        <v>96</v>
      </c>
      <c r="E7" s="10" t="s">
        <v>27</v>
      </c>
      <c r="F7" s="7" t="s">
        <v>97</v>
      </c>
      <c r="G7" s="7" t="s">
        <v>77</v>
      </c>
      <c r="I7" s="3">
        <v>6</v>
      </c>
      <c r="J7" s="3" t="s">
        <v>98</v>
      </c>
    </row>
    <row r="8" spans="1:21" x14ac:dyDescent="0.3">
      <c r="A8" s="5">
        <v>7</v>
      </c>
      <c r="B8" s="5" t="s">
        <v>99</v>
      </c>
      <c r="E8" s="10" t="s">
        <v>100</v>
      </c>
      <c r="F8" s="7" t="s">
        <v>101</v>
      </c>
      <c r="G8" s="7" t="s">
        <v>102</v>
      </c>
      <c r="I8" s="3">
        <v>7</v>
      </c>
      <c r="J8" s="3" t="s">
        <v>103</v>
      </c>
    </row>
    <row r="9" spans="1:21" x14ac:dyDescent="0.3">
      <c r="A9" s="5">
        <v>8</v>
      </c>
      <c r="B9" s="5" t="s">
        <v>104</v>
      </c>
      <c r="E9" s="10" t="s">
        <v>105</v>
      </c>
      <c r="F9" s="7" t="s">
        <v>106</v>
      </c>
      <c r="G9" s="7" t="s">
        <v>102</v>
      </c>
    </row>
    <row r="10" spans="1:21" x14ac:dyDescent="0.3">
      <c r="A10" s="5">
        <v>9</v>
      </c>
      <c r="B10" s="5" t="s">
        <v>107</v>
      </c>
      <c r="E10" s="10" t="s">
        <v>108</v>
      </c>
      <c r="F10" s="7" t="s">
        <v>109</v>
      </c>
      <c r="G10" s="7" t="s">
        <v>102</v>
      </c>
    </row>
    <row r="11" spans="1:21" x14ac:dyDescent="0.3">
      <c r="A11" s="5">
        <v>10</v>
      </c>
      <c r="B11" s="5" t="s">
        <v>110</v>
      </c>
      <c r="E11" s="10" t="s">
        <v>111</v>
      </c>
      <c r="F11" s="7" t="s">
        <v>85</v>
      </c>
      <c r="G11" s="7" t="s">
        <v>77</v>
      </c>
    </row>
    <row r="12" spans="1:21" x14ac:dyDescent="0.3">
      <c r="A12" s="5">
        <v>11</v>
      </c>
      <c r="B12" s="5" t="s">
        <v>112</v>
      </c>
      <c r="E12" s="10" t="s">
        <v>113</v>
      </c>
      <c r="F12" s="7" t="s">
        <v>114</v>
      </c>
      <c r="G12" s="7" t="s">
        <v>77</v>
      </c>
    </row>
    <row r="13" spans="1:21" x14ac:dyDescent="0.3">
      <c r="A13" s="5">
        <v>12</v>
      </c>
      <c r="B13" s="5" t="s">
        <v>115</v>
      </c>
      <c r="E13" s="8" t="s">
        <v>33</v>
      </c>
      <c r="F13" s="9" t="s">
        <v>116</v>
      </c>
      <c r="G13" s="9" t="s">
        <v>102</v>
      </c>
    </row>
    <row r="14" spans="1:21" x14ac:dyDescent="0.3">
      <c r="E14" s="10" t="s">
        <v>117</v>
      </c>
      <c r="F14" s="7" t="s">
        <v>118</v>
      </c>
      <c r="G14" s="7" t="s">
        <v>77</v>
      </c>
    </row>
    <row r="15" spans="1:21" x14ac:dyDescent="0.3">
      <c r="E15" s="10" t="s">
        <v>119</v>
      </c>
      <c r="F15" s="7" t="s">
        <v>120</v>
      </c>
      <c r="G15" s="7" t="s">
        <v>77</v>
      </c>
    </row>
    <row r="16" spans="1:21" x14ac:dyDescent="0.3">
      <c r="E16" s="10" t="s">
        <v>22</v>
      </c>
      <c r="F16" s="7" t="s">
        <v>121</v>
      </c>
      <c r="G16" s="7" t="s">
        <v>102</v>
      </c>
    </row>
    <row r="17" spans="5:7" x14ac:dyDescent="0.3">
      <c r="E17" s="8" t="s">
        <v>122</v>
      </c>
      <c r="F17" s="9" t="s">
        <v>123</v>
      </c>
      <c r="G17" s="9" t="s">
        <v>124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911"/>
  <sheetViews>
    <sheetView showGridLines="0" showRowColHeaders="0" zoomScaleNormal="100" workbookViewId="0">
      <pane xSplit="3" ySplit="1" topLeftCell="R2" activePane="bottomRight" state="frozen"/>
      <selection pane="topRight" activeCell="D1" sqref="D1"/>
      <selection pane="bottomLeft" activeCell="A2" sqref="A2"/>
      <selection pane="bottomRight" activeCell="U21" sqref="U21"/>
    </sheetView>
  </sheetViews>
  <sheetFormatPr defaultRowHeight="14.4" x14ac:dyDescent="0.3"/>
  <cols>
    <col min="1" max="1" width="18.88671875" style="12" customWidth="1"/>
    <col min="2" max="2" width="13.5546875" style="12" bestFit="1" customWidth="1"/>
    <col min="3" max="3" width="17.33203125" style="12" customWidth="1"/>
    <col min="4" max="4" width="19.6640625" style="12" customWidth="1"/>
    <col min="5" max="5" width="9.77734375" style="12" customWidth="1"/>
    <col min="6" max="6" width="16.109375" style="12" customWidth="1"/>
    <col min="7" max="7" width="9" style="12" customWidth="1"/>
    <col min="8" max="8" width="10.33203125" style="12" customWidth="1"/>
    <col min="9" max="9" width="16.77734375" style="12" customWidth="1"/>
    <col min="10" max="10" width="11.44140625" style="12" customWidth="1"/>
    <col min="11" max="11" width="10.44140625" style="12" customWidth="1"/>
    <col min="12" max="12" width="16.44140625" style="12" customWidth="1"/>
    <col min="13" max="13" width="12" style="12" customWidth="1"/>
    <col min="14" max="14" width="13" style="12" customWidth="1"/>
    <col min="15" max="15" width="13.88671875" style="12" customWidth="1"/>
    <col min="16" max="16" width="10.5546875" style="12" customWidth="1"/>
    <col min="17" max="17" width="10.77734375" style="12" customWidth="1"/>
    <col min="18" max="18" width="10.6640625" style="13" customWidth="1"/>
    <col min="19" max="19" width="9.77734375" style="12" customWidth="1"/>
    <col min="20" max="20" width="8.88671875" style="12"/>
    <col min="21" max="21" width="10.6640625" style="12" customWidth="1"/>
    <col min="22" max="22" width="11.5546875" style="13" bestFit="1" customWidth="1"/>
    <col min="23" max="24" width="9.5546875" style="13" customWidth="1"/>
    <col min="25" max="25" width="10.44140625" style="13" bestFit="1" customWidth="1"/>
    <col min="26" max="29" width="9.5546875" style="13" customWidth="1"/>
    <col min="30" max="30" width="9.5546875" style="13" bestFit="1" customWidth="1"/>
    <col min="31" max="16384" width="8.88671875" style="12"/>
  </cols>
  <sheetData>
    <row r="1" spans="1:30" s="21" customFormat="1" ht="25.2" customHeight="1"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c r="AA1" s="20"/>
      <c r="AB1" s="20"/>
      <c r="AC1" s="20"/>
      <c r="AD1" s="20"/>
    </row>
    <row r="2" spans="1:30" x14ac:dyDescent="0.3">
      <c r="S2" s="14"/>
      <c r="T2" s="14"/>
      <c r="U2" s="14"/>
      <c r="V2" s="12"/>
      <c r="W2" s="12"/>
      <c r="X2" s="12"/>
      <c r="Y2" s="16"/>
      <c r="Z2" s="17"/>
      <c r="AA2" s="12"/>
      <c r="AB2" s="12"/>
      <c r="AC2" s="12"/>
    </row>
    <row r="3" spans="1:30" x14ac:dyDescent="0.3">
      <c r="S3" s="14"/>
      <c r="T3" s="14"/>
      <c r="U3" s="14"/>
      <c r="V3" s="12"/>
      <c r="W3" s="12"/>
      <c r="X3" s="12"/>
      <c r="Y3" s="16"/>
      <c r="Z3" s="17"/>
      <c r="AA3" s="12"/>
    </row>
    <row r="4" spans="1:30" x14ac:dyDescent="0.3">
      <c r="S4" s="14"/>
      <c r="T4" s="14"/>
      <c r="U4" s="14"/>
      <c r="V4" s="12"/>
      <c r="W4" s="12"/>
      <c r="X4" s="12"/>
      <c r="Y4" s="16"/>
      <c r="Z4" s="17"/>
      <c r="AA4" s="12"/>
    </row>
    <row r="5" spans="1:30" x14ac:dyDescent="0.3">
      <c r="S5" s="14"/>
      <c r="T5" s="14"/>
      <c r="U5" s="14"/>
      <c r="V5" s="12"/>
      <c r="W5" s="12"/>
      <c r="X5" s="12"/>
      <c r="Y5" s="16"/>
      <c r="Z5" s="17"/>
      <c r="AA5" s="12"/>
    </row>
    <row r="6" spans="1:30" x14ac:dyDescent="0.3">
      <c r="S6" s="14"/>
      <c r="T6" s="14"/>
      <c r="U6" s="14"/>
      <c r="V6" s="12"/>
      <c r="W6" s="12"/>
      <c r="X6" s="12"/>
      <c r="Y6" s="16"/>
      <c r="Z6" s="17"/>
      <c r="AA6" s="12"/>
    </row>
    <row r="7" spans="1:30" x14ac:dyDescent="0.3">
      <c r="S7" s="14"/>
      <c r="T7" s="14"/>
      <c r="U7" s="14"/>
      <c r="V7" s="12"/>
      <c r="W7" s="12"/>
      <c r="X7" s="12"/>
      <c r="Y7" s="16"/>
      <c r="Z7" s="17"/>
      <c r="AA7" s="12"/>
    </row>
    <row r="8" spans="1:30" x14ac:dyDescent="0.3">
      <c r="S8" s="14"/>
      <c r="T8" s="14"/>
      <c r="U8" s="14"/>
      <c r="V8" s="12"/>
      <c r="W8" s="12"/>
      <c r="X8" s="12"/>
      <c r="Y8" s="16"/>
      <c r="Z8" s="17"/>
      <c r="AA8" s="12"/>
    </row>
    <row r="9" spans="1:30" x14ac:dyDescent="0.3">
      <c r="S9" s="14"/>
      <c r="T9" s="14"/>
      <c r="U9" s="14"/>
      <c r="V9" s="12"/>
      <c r="W9" s="12"/>
      <c r="X9" s="12"/>
      <c r="Y9" s="16"/>
      <c r="Z9" s="17"/>
      <c r="AA9" s="12"/>
    </row>
    <row r="10" spans="1:30" x14ac:dyDescent="0.3">
      <c r="S10" s="14"/>
      <c r="T10" s="14"/>
      <c r="U10" s="14"/>
      <c r="V10" s="12"/>
      <c r="W10" s="12"/>
      <c r="X10" s="12"/>
      <c r="Y10" s="16"/>
      <c r="Z10" s="17"/>
      <c r="AA10" s="12"/>
    </row>
    <row r="11" spans="1:30" x14ac:dyDescent="0.3">
      <c r="S11" s="14"/>
      <c r="T11" s="14"/>
      <c r="U11" s="14"/>
      <c r="V11" s="12"/>
      <c r="W11" s="12"/>
      <c r="X11" s="12"/>
      <c r="Y11" s="16"/>
      <c r="Z11" s="17"/>
      <c r="AA11" s="12"/>
    </row>
    <row r="12" spans="1:30" x14ac:dyDescent="0.3">
      <c r="S12" s="14"/>
      <c r="T12" s="14"/>
      <c r="U12" s="14"/>
      <c r="V12" s="12"/>
      <c r="W12" s="12"/>
      <c r="X12" s="12"/>
      <c r="Y12" s="16"/>
      <c r="Z12" s="17"/>
      <c r="AA12" s="12"/>
    </row>
    <row r="13" spans="1:30" x14ac:dyDescent="0.3">
      <c r="S13" s="14"/>
      <c r="T13" s="14"/>
      <c r="U13" s="14"/>
      <c r="V13" s="12"/>
      <c r="W13" s="12"/>
      <c r="X13" s="12"/>
      <c r="Y13" s="16"/>
      <c r="Z13" s="17"/>
      <c r="AA13" s="12"/>
    </row>
    <row r="14" spans="1:30" x14ac:dyDescent="0.3">
      <c r="S14" s="14"/>
      <c r="T14" s="14"/>
      <c r="U14" s="14"/>
      <c r="V14" s="12"/>
      <c r="W14" s="12"/>
      <c r="X14" s="12"/>
      <c r="Y14" s="16"/>
      <c r="Z14" s="17"/>
      <c r="AA14" s="12"/>
    </row>
    <row r="15" spans="1:30" x14ac:dyDescent="0.3">
      <c r="S15" s="14"/>
      <c r="T15" s="14"/>
      <c r="U15" s="14"/>
      <c r="V15" s="12"/>
      <c r="W15" s="12"/>
      <c r="X15" s="12"/>
      <c r="Y15" s="16"/>
      <c r="Z15" s="17"/>
      <c r="AA15" s="12"/>
    </row>
    <row r="16" spans="1:30" x14ac:dyDescent="0.3">
      <c r="S16" s="14"/>
      <c r="T16" s="14"/>
      <c r="U16" s="14"/>
      <c r="V16" s="12"/>
      <c r="W16" s="12"/>
      <c r="X16" s="12"/>
      <c r="Y16" s="16"/>
      <c r="Z16" s="17"/>
      <c r="AA16" s="12"/>
    </row>
    <row r="17" spans="19:27" x14ac:dyDescent="0.3">
      <c r="S17" s="14"/>
      <c r="T17" s="14"/>
      <c r="U17" s="14"/>
      <c r="V17" s="12"/>
      <c r="W17" s="12"/>
      <c r="X17" s="12"/>
      <c r="Y17" s="16"/>
      <c r="Z17" s="17"/>
      <c r="AA17" s="12"/>
    </row>
    <row r="18" spans="19:27" x14ac:dyDescent="0.3">
      <c r="S18" s="14"/>
      <c r="T18" s="14"/>
      <c r="U18" s="14"/>
      <c r="V18" s="12"/>
      <c r="W18" s="12"/>
      <c r="X18" s="12"/>
      <c r="Y18" s="16"/>
      <c r="Z18" s="17"/>
      <c r="AA18" s="12"/>
    </row>
    <row r="19" spans="19:27" x14ac:dyDescent="0.3">
      <c r="S19" s="14"/>
      <c r="T19" s="14"/>
      <c r="U19" s="14"/>
      <c r="V19" s="12"/>
      <c r="W19" s="12"/>
      <c r="X19" s="12"/>
      <c r="Y19" s="16"/>
      <c r="Z19" s="17"/>
      <c r="AA19" s="12"/>
    </row>
    <row r="20" spans="19:27" x14ac:dyDescent="0.3">
      <c r="S20" s="14"/>
      <c r="T20" s="14"/>
      <c r="U20" s="14"/>
      <c r="V20" s="12"/>
      <c r="W20" s="12"/>
      <c r="X20" s="12"/>
      <c r="Y20" s="16"/>
      <c r="Z20" s="17"/>
      <c r="AA20" s="12"/>
    </row>
    <row r="21" spans="19:27" x14ac:dyDescent="0.3">
      <c r="S21" s="14"/>
      <c r="T21" s="14"/>
      <c r="U21" s="14"/>
      <c r="V21" s="12"/>
      <c r="W21" s="12"/>
      <c r="X21" s="12"/>
      <c r="Y21" s="16"/>
      <c r="Z21" s="17"/>
      <c r="AA21" s="12"/>
    </row>
    <row r="22" spans="19:27" x14ac:dyDescent="0.3">
      <c r="S22" s="14"/>
      <c r="T22" s="14"/>
      <c r="U22" s="14"/>
      <c r="V22" s="12"/>
      <c r="W22" s="12"/>
      <c r="X22" s="12"/>
      <c r="Y22" s="16"/>
      <c r="Z22" s="17"/>
      <c r="AA22" s="12"/>
    </row>
    <row r="23" spans="19:27" x14ac:dyDescent="0.3">
      <c r="S23" s="14"/>
      <c r="T23" s="14"/>
      <c r="U23" s="14"/>
      <c r="V23" s="12"/>
      <c r="W23" s="12"/>
      <c r="X23" s="12"/>
      <c r="Y23" s="16"/>
      <c r="Z23" s="17"/>
      <c r="AA23" s="12"/>
    </row>
    <row r="24" spans="19:27" x14ac:dyDescent="0.3">
      <c r="S24" s="14"/>
      <c r="T24" s="14"/>
      <c r="U24" s="14"/>
      <c r="V24" s="12"/>
      <c r="W24" s="12"/>
      <c r="X24" s="12"/>
      <c r="Y24" s="16"/>
      <c r="Z24" s="17"/>
      <c r="AA24" s="12"/>
    </row>
    <row r="25" spans="19:27" x14ac:dyDescent="0.3">
      <c r="S25" s="14"/>
      <c r="T25" s="14"/>
      <c r="U25" s="14"/>
      <c r="V25" s="12"/>
      <c r="W25" s="12"/>
      <c r="X25" s="12"/>
      <c r="Y25" s="16"/>
      <c r="Z25" s="17"/>
      <c r="AA25" s="12"/>
    </row>
    <row r="26" spans="19:27" x14ac:dyDescent="0.3">
      <c r="S26" s="14"/>
      <c r="T26" s="14"/>
      <c r="U26" s="14"/>
      <c r="V26" s="12"/>
      <c r="W26" s="12"/>
      <c r="X26" s="12"/>
      <c r="Y26" s="16"/>
      <c r="Z26" s="17"/>
      <c r="AA26" s="12"/>
    </row>
    <row r="27" spans="19:27" x14ac:dyDescent="0.3">
      <c r="S27" s="14"/>
      <c r="T27" s="14"/>
      <c r="U27" s="14"/>
      <c r="V27" s="12"/>
      <c r="W27" s="12"/>
      <c r="X27" s="12"/>
      <c r="Y27" s="16"/>
      <c r="Z27" s="17"/>
      <c r="AA27" s="12"/>
    </row>
    <row r="28" spans="19:27" x14ac:dyDescent="0.3">
      <c r="S28" s="14"/>
      <c r="T28" s="14"/>
      <c r="U28" s="14"/>
      <c r="V28" s="12"/>
      <c r="W28" s="12"/>
      <c r="X28" s="12"/>
      <c r="Y28" s="16"/>
      <c r="Z28" s="17"/>
      <c r="AA28" s="12"/>
    </row>
    <row r="29" spans="19:27" x14ac:dyDescent="0.3">
      <c r="S29" s="14"/>
      <c r="T29" s="14"/>
      <c r="U29" s="14"/>
      <c r="V29" s="12"/>
      <c r="W29" s="12"/>
      <c r="X29" s="12"/>
      <c r="Y29" s="16"/>
      <c r="Z29" s="17"/>
      <c r="AA29" s="12"/>
    </row>
    <row r="30" spans="19:27" x14ac:dyDescent="0.3">
      <c r="S30" s="14"/>
      <c r="T30" s="14"/>
      <c r="U30" s="14"/>
      <c r="V30" s="12"/>
      <c r="W30" s="12"/>
      <c r="X30" s="12"/>
      <c r="Y30" s="16"/>
      <c r="Z30" s="17"/>
      <c r="AA30" s="12"/>
    </row>
    <row r="31" spans="19:27" x14ac:dyDescent="0.3">
      <c r="S31" s="14"/>
      <c r="T31" s="14"/>
      <c r="U31" s="14"/>
      <c r="V31" s="12"/>
      <c r="W31" s="12"/>
      <c r="X31" s="12"/>
      <c r="Y31" s="16"/>
      <c r="Z31" s="17"/>
      <c r="AA31" s="12"/>
    </row>
    <row r="32" spans="19:27" x14ac:dyDescent="0.3">
      <c r="S32" s="14"/>
      <c r="T32" s="14"/>
      <c r="U32" s="14"/>
      <c r="V32" s="12"/>
      <c r="W32" s="12"/>
      <c r="X32" s="12"/>
      <c r="Y32" s="16"/>
      <c r="Z32" s="17"/>
      <c r="AA32" s="12"/>
    </row>
    <row r="33" spans="19:27" x14ac:dyDescent="0.3">
      <c r="S33" s="14"/>
      <c r="T33" s="14"/>
      <c r="U33" s="14"/>
      <c r="V33" s="12"/>
      <c r="W33" s="12"/>
      <c r="X33" s="12"/>
      <c r="Y33" s="16"/>
      <c r="Z33" s="17"/>
      <c r="AA33" s="12"/>
    </row>
    <row r="34" spans="19:27" x14ac:dyDescent="0.3">
      <c r="S34" s="14"/>
      <c r="T34" s="14"/>
      <c r="U34" s="14"/>
      <c r="V34" s="12"/>
      <c r="W34" s="12"/>
      <c r="X34" s="12"/>
      <c r="Y34" s="16"/>
      <c r="Z34" s="17"/>
      <c r="AA34" s="12"/>
    </row>
    <row r="35" spans="19:27" x14ac:dyDescent="0.3">
      <c r="S35" s="14"/>
      <c r="T35" s="14"/>
      <c r="U35" s="14"/>
      <c r="V35" s="12"/>
      <c r="W35" s="12"/>
      <c r="X35" s="12"/>
      <c r="Y35" s="16"/>
      <c r="Z35" s="17"/>
      <c r="AA35" s="12"/>
    </row>
    <row r="36" spans="19:27" x14ac:dyDescent="0.3">
      <c r="S36" s="14"/>
      <c r="T36" s="14"/>
      <c r="U36" s="14"/>
      <c r="V36" s="12"/>
      <c r="W36" s="12"/>
      <c r="X36" s="12"/>
      <c r="Y36" s="16"/>
      <c r="Z36" s="17"/>
      <c r="AA36" s="12"/>
    </row>
    <row r="37" spans="19:27" x14ac:dyDescent="0.3">
      <c r="S37" s="14"/>
      <c r="T37" s="14"/>
      <c r="U37" s="14"/>
      <c r="V37" s="12"/>
      <c r="W37" s="12"/>
      <c r="X37" s="12"/>
      <c r="Y37" s="16"/>
      <c r="Z37" s="17"/>
      <c r="AA37" s="12"/>
    </row>
    <row r="38" spans="19:27" x14ac:dyDescent="0.3">
      <c r="S38" s="14"/>
      <c r="T38" s="14"/>
      <c r="U38" s="14"/>
      <c r="V38" s="12"/>
      <c r="W38" s="12"/>
      <c r="X38" s="12"/>
      <c r="Y38" s="16"/>
      <c r="Z38" s="17"/>
      <c r="AA38" s="12"/>
    </row>
    <row r="39" spans="19:27" x14ac:dyDescent="0.3">
      <c r="S39" s="14"/>
      <c r="T39" s="14"/>
      <c r="U39" s="14"/>
      <c r="V39" s="12"/>
      <c r="W39" s="12"/>
      <c r="X39" s="12"/>
      <c r="Y39" s="16"/>
      <c r="Z39" s="17"/>
      <c r="AA39" s="12"/>
    </row>
    <row r="40" spans="19:27" x14ac:dyDescent="0.3">
      <c r="S40" s="14"/>
      <c r="T40" s="14"/>
      <c r="U40" s="14"/>
      <c r="V40" s="12"/>
      <c r="W40" s="12"/>
      <c r="X40" s="12"/>
      <c r="Y40" s="16"/>
      <c r="Z40" s="17"/>
      <c r="AA40" s="12"/>
    </row>
    <row r="41" spans="19:27" x14ac:dyDescent="0.3">
      <c r="S41" s="14"/>
      <c r="T41" s="14"/>
      <c r="U41" s="14"/>
      <c r="V41" s="12"/>
      <c r="W41" s="12"/>
      <c r="X41" s="12"/>
      <c r="Y41" s="16"/>
      <c r="Z41" s="17"/>
      <c r="AA41" s="12"/>
    </row>
    <row r="42" spans="19:27" x14ac:dyDescent="0.3">
      <c r="S42" s="14"/>
      <c r="T42" s="14"/>
      <c r="U42" s="14"/>
      <c r="V42" s="12"/>
      <c r="W42" s="12"/>
      <c r="X42" s="12"/>
      <c r="Y42" s="16"/>
      <c r="Z42" s="17"/>
      <c r="AA42" s="12"/>
    </row>
    <row r="43" spans="19:27" x14ac:dyDescent="0.3">
      <c r="S43" s="14"/>
      <c r="T43" s="14"/>
      <c r="U43" s="14"/>
      <c r="V43" s="12"/>
      <c r="W43" s="12"/>
      <c r="X43" s="12"/>
      <c r="Y43" s="16"/>
      <c r="Z43" s="17"/>
      <c r="AA43" s="12"/>
    </row>
    <row r="44" spans="19:27" x14ac:dyDescent="0.3">
      <c r="S44" s="14"/>
      <c r="T44" s="14"/>
      <c r="U44" s="14"/>
      <c r="V44" s="12"/>
      <c r="W44" s="12"/>
      <c r="X44" s="12"/>
      <c r="Y44" s="16"/>
      <c r="Z44" s="17"/>
      <c r="AA44" s="12"/>
    </row>
    <row r="45" spans="19:27" x14ac:dyDescent="0.3">
      <c r="S45" s="14"/>
      <c r="T45" s="14"/>
      <c r="U45" s="14"/>
      <c r="V45" s="12"/>
      <c r="W45" s="12"/>
      <c r="X45" s="12"/>
      <c r="Y45" s="16"/>
      <c r="Z45" s="17"/>
      <c r="AA45" s="12"/>
    </row>
    <row r="46" spans="19:27" x14ac:dyDescent="0.3">
      <c r="S46" s="14"/>
      <c r="T46" s="14"/>
      <c r="U46" s="14"/>
      <c r="V46" s="12"/>
      <c r="W46" s="12"/>
      <c r="X46" s="12"/>
      <c r="Y46" s="16"/>
      <c r="Z46" s="17"/>
      <c r="AA46" s="12"/>
    </row>
    <row r="47" spans="19:27" x14ac:dyDescent="0.3">
      <c r="S47" s="14"/>
      <c r="T47" s="14"/>
      <c r="U47" s="14"/>
      <c r="V47" s="12"/>
      <c r="W47" s="12"/>
      <c r="X47" s="12"/>
      <c r="Y47" s="16"/>
      <c r="Z47" s="17"/>
      <c r="AA47" s="12"/>
    </row>
    <row r="48" spans="19:27" x14ac:dyDescent="0.3">
      <c r="S48" s="14"/>
      <c r="T48" s="14"/>
      <c r="U48" s="14"/>
      <c r="V48" s="12"/>
      <c r="W48" s="12"/>
      <c r="X48" s="12"/>
      <c r="Y48" s="16"/>
      <c r="Z48" s="17"/>
      <c r="AA48" s="12"/>
    </row>
    <row r="49" spans="1:27" x14ac:dyDescent="0.3">
      <c r="S49" s="14"/>
      <c r="T49" s="14"/>
      <c r="U49" s="14"/>
      <c r="V49" s="12"/>
      <c r="W49" s="12"/>
      <c r="X49" s="12"/>
      <c r="Y49" s="16"/>
      <c r="Z49" s="17"/>
      <c r="AA49" s="12"/>
    </row>
    <row r="50" spans="1:27" x14ac:dyDescent="0.3">
      <c r="S50" s="14"/>
      <c r="T50" s="14"/>
      <c r="U50" s="14"/>
      <c r="V50" s="12"/>
      <c r="W50" s="12"/>
      <c r="X50" s="12"/>
      <c r="Y50" s="16"/>
      <c r="Z50" s="17"/>
      <c r="AA50" s="12"/>
    </row>
    <row r="51" spans="1:27" x14ac:dyDescent="0.3">
      <c r="S51" s="14"/>
      <c r="T51" s="14"/>
      <c r="U51" s="14"/>
      <c r="V51" s="12"/>
      <c r="W51" s="12"/>
      <c r="X51" s="12"/>
      <c r="Y51" s="16"/>
      <c r="Z51" s="17"/>
      <c r="AA51" s="12"/>
    </row>
    <row r="52" spans="1:27" x14ac:dyDescent="0.3">
      <c r="S52" s="14"/>
      <c r="T52" s="14"/>
      <c r="U52" s="14"/>
      <c r="V52" s="12"/>
      <c r="W52" s="12"/>
      <c r="X52" s="12"/>
      <c r="Y52" s="16"/>
      <c r="Z52" s="17"/>
      <c r="AA52" s="12"/>
    </row>
    <row r="53" spans="1:27" x14ac:dyDescent="0.3">
      <c r="S53" s="14"/>
      <c r="T53" s="14"/>
      <c r="U53" s="14"/>
      <c r="V53" s="12"/>
      <c r="W53" s="12"/>
      <c r="X53" s="12"/>
      <c r="Y53" s="16"/>
      <c r="Z53" s="17"/>
      <c r="AA53" s="12"/>
    </row>
    <row r="54" spans="1:27" x14ac:dyDescent="0.3">
      <c r="S54" s="14"/>
      <c r="T54" s="14"/>
      <c r="U54" s="14"/>
      <c r="V54" s="12"/>
      <c r="W54" s="12"/>
      <c r="X54" s="12"/>
      <c r="Y54" s="16"/>
      <c r="Z54" s="17"/>
      <c r="AA54" s="12"/>
    </row>
    <row r="55" spans="1:27" x14ac:dyDescent="0.3">
      <c r="S55" s="14"/>
      <c r="T55" s="14"/>
      <c r="U55" s="14"/>
      <c r="V55" s="12"/>
      <c r="W55" s="12"/>
      <c r="X55" s="12"/>
      <c r="Y55" s="16"/>
      <c r="Z55" s="17"/>
      <c r="AA55" s="12"/>
    </row>
    <row r="56" spans="1:27" x14ac:dyDescent="0.3">
      <c r="S56" s="14"/>
      <c r="T56" s="14"/>
      <c r="U56" s="14"/>
      <c r="V56" s="12"/>
      <c r="W56" s="12"/>
      <c r="X56" s="12"/>
      <c r="Y56" s="16"/>
      <c r="Z56" s="17"/>
      <c r="AA56" s="12"/>
    </row>
    <row r="57" spans="1:27" x14ac:dyDescent="0.3">
      <c r="S57" s="14"/>
      <c r="T57" s="14"/>
      <c r="U57" s="14"/>
      <c r="V57" s="12"/>
      <c r="W57" s="12"/>
      <c r="X57" s="12"/>
      <c r="Y57" s="16"/>
      <c r="Z57" s="17"/>
      <c r="AA57" s="12"/>
    </row>
    <row r="58" spans="1:27" x14ac:dyDescent="0.3">
      <c r="S58" s="14"/>
      <c r="T58" s="14"/>
      <c r="U58" s="14"/>
      <c r="V58" s="12"/>
      <c r="W58" s="12"/>
      <c r="X58" s="12"/>
      <c r="Y58" s="16"/>
      <c r="Z58" s="17"/>
      <c r="AA58" s="12"/>
    </row>
    <row r="59" spans="1:27" x14ac:dyDescent="0.3">
      <c r="A59" s="14"/>
      <c r="B59" s="14"/>
      <c r="C59" s="14"/>
      <c r="D59" s="14"/>
      <c r="E59" s="14"/>
      <c r="F59" s="14"/>
      <c r="G59" s="14"/>
      <c r="H59" s="14"/>
      <c r="I59" s="14"/>
      <c r="J59" s="14"/>
      <c r="K59" s="14"/>
      <c r="L59" s="14"/>
      <c r="M59" s="14"/>
      <c r="N59" s="14"/>
      <c r="O59" s="14"/>
      <c r="P59" s="14"/>
      <c r="Q59" s="14"/>
      <c r="R59" s="15"/>
      <c r="S59" s="14"/>
      <c r="T59" s="14"/>
      <c r="U59" s="14"/>
      <c r="V59" s="12"/>
      <c r="W59" s="12"/>
      <c r="X59" s="12"/>
      <c r="Y59" s="16"/>
      <c r="Z59" s="17"/>
      <c r="AA59" s="12"/>
    </row>
    <row r="60" spans="1:27" x14ac:dyDescent="0.3">
      <c r="S60" s="14"/>
      <c r="T60" s="14"/>
      <c r="U60" s="14"/>
      <c r="V60" s="12"/>
      <c r="W60" s="12"/>
      <c r="X60" s="12"/>
      <c r="Y60" s="16"/>
      <c r="Z60" s="17"/>
      <c r="AA60" s="12"/>
    </row>
    <row r="61" spans="1:27" x14ac:dyDescent="0.3">
      <c r="A61" s="14"/>
      <c r="B61" s="14"/>
      <c r="C61" s="14"/>
      <c r="D61" s="14"/>
      <c r="E61" s="14"/>
      <c r="F61" s="14"/>
      <c r="G61" s="14"/>
      <c r="H61" s="14"/>
      <c r="I61" s="14"/>
      <c r="J61" s="14"/>
      <c r="K61" s="14"/>
      <c r="L61" s="14"/>
      <c r="M61" s="14"/>
      <c r="N61" s="14"/>
      <c r="O61" s="14"/>
      <c r="P61" s="14"/>
      <c r="Q61" s="14"/>
      <c r="R61" s="15"/>
      <c r="S61" s="14"/>
      <c r="T61" s="14"/>
      <c r="U61" s="14"/>
      <c r="V61" s="12"/>
      <c r="W61" s="12"/>
      <c r="X61" s="12"/>
      <c r="Y61" s="16"/>
      <c r="Z61" s="17"/>
      <c r="AA61" s="12"/>
    </row>
    <row r="62" spans="1:27" x14ac:dyDescent="0.3">
      <c r="S62" s="14"/>
      <c r="T62" s="14"/>
      <c r="U62" s="14"/>
      <c r="V62" s="12"/>
      <c r="W62" s="12"/>
      <c r="X62" s="12"/>
      <c r="Y62" s="16"/>
      <c r="Z62" s="17"/>
      <c r="AA62" s="12"/>
    </row>
    <row r="63" spans="1:27" x14ac:dyDescent="0.3">
      <c r="A63" s="14"/>
      <c r="B63" s="14"/>
      <c r="C63" s="14"/>
      <c r="D63" s="14"/>
      <c r="E63" s="14"/>
      <c r="F63" s="14"/>
      <c r="G63" s="14"/>
      <c r="H63" s="14"/>
      <c r="I63" s="14"/>
      <c r="J63" s="14"/>
      <c r="K63" s="14"/>
      <c r="L63" s="14"/>
      <c r="M63" s="14"/>
      <c r="N63" s="14"/>
      <c r="O63" s="14"/>
      <c r="P63" s="14"/>
      <c r="Q63" s="14"/>
      <c r="R63" s="15"/>
      <c r="S63" s="14"/>
      <c r="T63" s="14"/>
      <c r="U63" s="14"/>
      <c r="V63" s="12"/>
      <c r="W63" s="12"/>
      <c r="X63" s="12"/>
      <c r="Y63" s="16"/>
      <c r="Z63" s="17"/>
      <c r="AA63" s="12"/>
    </row>
    <row r="64" spans="1:27" x14ac:dyDescent="0.3">
      <c r="A64" s="14"/>
      <c r="B64" s="14"/>
      <c r="C64" s="14"/>
      <c r="D64" s="14"/>
      <c r="E64" s="14"/>
      <c r="F64" s="14"/>
      <c r="G64" s="14"/>
      <c r="H64" s="14"/>
      <c r="I64" s="14"/>
      <c r="J64" s="14"/>
      <c r="K64" s="14"/>
      <c r="L64" s="14"/>
      <c r="M64" s="14"/>
      <c r="N64" s="14"/>
      <c r="O64" s="14"/>
      <c r="P64" s="14"/>
      <c r="Q64" s="14"/>
      <c r="R64" s="15"/>
      <c r="S64" s="14"/>
      <c r="T64" s="14"/>
      <c r="U64" s="14"/>
      <c r="V64" s="12"/>
      <c r="W64" s="12"/>
      <c r="X64" s="12"/>
      <c r="Y64" s="16"/>
      <c r="Z64" s="17"/>
      <c r="AA64" s="12"/>
    </row>
    <row r="65" spans="19:27" x14ac:dyDescent="0.3">
      <c r="S65" s="14"/>
      <c r="T65" s="14"/>
      <c r="U65" s="14"/>
      <c r="V65" s="12"/>
      <c r="W65" s="12"/>
      <c r="X65" s="12"/>
      <c r="Y65" s="16"/>
      <c r="Z65" s="17"/>
      <c r="AA65" s="12"/>
    </row>
    <row r="66" spans="19:27" x14ac:dyDescent="0.3">
      <c r="S66" s="14"/>
      <c r="T66" s="14"/>
      <c r="U66" s="14"/>
      <c r="V66" s="12"/>
      <c r="W66" s="12"/>
      <c r="X66" s="12"/>
      <c r="Y66" s="16"/>
      <c r="Z66" s="17"/>
      <c r="AA66" s="12"/>
    </row>
    <row r="67" spans="19:27" x14ac:dyDescent="0.3">
      <c r="S67" s="14"/>
      <c r="T67" s="14"/>
      <c r="U67" s="14"/>
      <c r="V67" s="12"/>
      <c r="W67" s="12"/>
      <c r="X67" s="12"/>
      <c r="Y67" s="16"/>
      <c r="Z67" s="17"/>
      <c r="AA67" s="12"/>
    </row>
    <row r="68" spans="19:27" x14ac:dyDescent="0.3">
      <c r="S68" s="14"/>
      <c r="T68" s="14"/>
      <c r="U68" s="14"/>
      <c r="V68" s="12"/>
      <c r="W68" s="12"/>
      <c r="X68" s="12"/>
      <c r="Y68" s="16"/>
      <c r="Z68" s="17"/>
      <c r="AA68" s="12"/>
    </row>
    <row r="69" spans="19:27" x14ac:dyDescent="0.3">
      <c r="S69" s="14"/>
      <c r="T69" s="14"/>
      <c r="U69" s="14"/>
      <c r="V69" s="12"/>
      <c r="W69" s="12"/>
      <c r="X69" s="12"/>
      <c r="Y69" s="16"/>
      <c r="Z69" s="17"/>
      <c r="AA69" s="12"/>
    </row>
    <row r="70" spans="19:27" x14ac:dyDescent="0.3">
      <c r="S70" s="14"/>
      <c r="T70" s="14"/>
      <c r="U70" s="14"/>
      <c r="V70" s="12"/>
      <c r="W70" s="12"/>
      <c r="X70" s="12"/>
      <c r="Y70" s="16"/>
      <c r="Z70" s="17"/>
      <c r="AA70" s="12"/>
    </row>
    <row r="71" spans="19:27" x14ac:dyDescent="0.3">
      <c r="S71" s="14"/>
      <c r="T71" s="14"/>
      <c r="U71" s="14"/>
      <c r="V71" s="12"/>
      <c r="W71" s="12"/>
      <c r="X71" s="12"/>
      <c r="Y71" s="16"/>
      <c r="Z71" s="17"/>
      <c r="AA71" s="12"/>
    </row>
    <row r="72" spans="19:27" x14ac:dyDescent="0.3">
      <c r="S72" s="14"/>
      <c r="T72" s="14"/>
      <c r="U72" s="14"/>
      <c r="V72" s="12"/>
      <c r="W72" s="12"/>
      <c r="X72" s="12"/>
      <c r="Y72" s="16"/>
      <c r="Z72" s="17"/>
      <c r="AA72" s="12"/>
    </row>
    <row r="73" spans="19:27" x14ac:dyDescent="0.3">
      <c r="S73" s="14"/>
      <c r="T73" s="14"/>
      <c r="U73" s="14"/>
      <c r="V73" s="12"/>
      <c r="W73" s="12"/>
      <c r="X73" s="12"/>
      <c r="Y73" s="16"/>
      <c r="Z73" s="17"/>
      <c r="AA73" s="12"/>
    </row>
    <row r="74" spans="19:27" x14ac:dyDescent="0.3">
      <c r="S74" s="14"/>
      <c r="T74" s="14"/>
      <c r="U74" s="14"/>
      <c r="V74" s="12"/>
      <c r="W74" s="12"/>
      <c r="X74" s="12"/>
      <c r="Y74" s="16"/>
      <c r="Z74" s="17"/>
      <c r="AA74" s="12"/>
    </row>
    <row r="75" spans="19:27" x14ac:dyDescent="0.3">
      <c r="S75" s="14"/>
      <c r="T75" s="14"/>
      <c r="U75" s="14"/>
      <c r="V75" s="12"/>
      <c r="W75" s="12"/>
      <c r="X75" s="12"/>
      <c r="Y75" s="16"/>
      <c r="Z75" s="17"/>
      <c r="AA75" s="12"/>
    </row>
    <row r="76" spans="19:27" x14ac:dyDescent="0.3">
      <c r="S76" s="14"/>
      <c r="T76" s="14"/>
      <c r="U76" s="14"/>
      <c r="V76" s="12"/>
      <c r="W76" s="12"/>
      <c r="X76" s="12"/>
      <c r="Y76" s="16"/>
      <c r="Z76" s="17"/>
      <c r="AA76" s="12"/>
    </row>
    <row r="77" spans="19:27" x14ac:dyDescent="0.3">
      <c r="S77" s="14"/>
      <c r="T77" s="14"/>
      <c r="U77" s="14"/>
      <c r="V77" s="12"/>
      <c r="W77" s="12"/>
      <c r="X77" s="12"/>
      <c r="Y77" s="16"/>
      <c r="Z77" s="17"/>
      <c r="AA77" s="12"/>
    </row>
    <row r="78" spans="19:27" x14ac:dyDescent="0.3">
      <c r="S78" s="14"/>
      <c r="T78" s="14"/>
      <c r="U78" s="14"/>
      <c r="V78" s="12"/>
      <c r="W78" s="12"/>
      <c r="X78" s="12"/>
      <c r="Y78" s="16"/>
      <c r="Z78" s="17"/>
      <c r="AA78" s="12"/>
    </row>
    <row r="79" spans="19:27" x14ac:dyDescent="0.3">
      <c r="S79" s="14"/>
      <c r="T79" s="14"/>
      <c r="U79" s="14"/>
      <c r="V79" s="12"/>
      <c r="W79" s="12"/>
      <c r="X79" s="12"/>
      <c r="Y79" s="16"/>
      <c r="Z79" s="17"/>
      <c r="AA79" s="12"/>
    </row>
    <row r="80" spans="19:27" x14ac:dyDescent="0.3">
      <c r="S80" s="14"/>
      <c r="T80" s="14"/>
      <c r="U80" s="14"/>
      <c r="V80" s="12"/>
      <c r="W80" s="12"/>
      <c r="X80" s="12"/>
      <c r="Y80" s="16"/>
      <c r="Z80" s="17"/>
      <c r="AA80" s="12"/>
    </row>
    <row r="81" spans="19:27" x14ac:dyDescent="0.3">
      <c r="S81" s="14"/>
      <c r="T81" s="14"/>
      <c r="U81" s="14"/>
      <c r="V81" s="12"/>
      <c r="W81" s="12"/>
      <c r="X81" s="12"/>
      <c r="Y81" s="16"/>
      <c r="Z81" s="17"/>
      <c r="AA81" s="12"/>
    </row>
    <row r="82" spans="19:27" x14ac:dyDescent="0.3">
      <c r="S82" s="14"/>
      <c r="T82" s="14"/>
      <c r="U82" s="14"/>
      <c r="V82" s="12"/>
      <c r="W82" s="12"/>
      <c r="X82" s="12"/>
      <c r="Y82" s="16"/>
      <c r="Z82" s="17"/>
      <c r="AA82" s="12"/>
    </row>
    <row r="83" spans="19:27" x14ac:dyDescent="0.3">
      <c r="S83" s="14"/>
      <c r="T83" s="14"/>
      <c r="U83" s="14"/>
      <c r="V83" s="12"/>
      <c r="W83" s="12"/>
      <c r="X83" s="12"/>
      <c r="Y83" s="16"/>
      <c r="Z83" s="17"/>
      <c r="AA83" s="12"/>
    </row>
    <row r="84" spans="19:27" x14ac:dyDescent="0.3">
      <c r="S84" s="14"/>
      <c r="T84" s="14"/>
      <c r="U84" s="14"/>
      <c r="V84" s="12"/>
      <c r="W84" s="12"/>
      <c r="X84" s="12"/>
      <c r="Y84" s="16"/>
      <c r="Z84" s="17"/>
      <c r="AA84" s="12"/>
    </row>
    <row r="85" spans="19:27" x14ac:dyDescent="0.3">
      <c r="S85" s="14"/>
      <c r="T85" s="14"/>
      <c r="U85" s="14"/>
      <c r="V85" s="12"/>
      <c r="W85" s="12"/>
      <c r="X85" s="12"/>
      <c r="Y85" s="16"/>
      <c r="Z85" s="17"/>
      <c r="AA85" s="12"/>
    </row>
    <row r="86" spans="19:27" x14ac:dyDescent="0.3">
      <c r="S86" s="14"/>
      <c r="T86" s="14"/>
      <c r="U86" s="14"/>
      <c r="V86" s="12"/>
      <c r="W86" s="12"/>
      <c r="X86" s="12"/>
      <c r="Y86" s="16"/>
      <c r="Z86" s="17"/>
      <c r="AA86" s="12"/>
    </row>
    <row r="87" spans="19:27" x14ac:dyDescent="0.3">
      <c r="S87" s="14"/>
      <c r="T87" s="14"/>
      <c r="U87" s="14"/>
      <c r="V87" s="12"/>
      <c r="W87" s="12"/>
      <c r="X87" s="12"/>
      <c r="Y87" s="16"/>
      <c r="Z87" s="17"/>
      <c r="AA87" s="12"/>
    </row>
    <row r="88" spans="19:27" x14ac:dyDescent="0.3">
      <c r="S88" s="14"/>
      <c r="T88" s="14"/>
      <c r="U88" s="14"/>
      <c r="V88" s="12"/>
      <c r="W88" s="12"/>
      <c r="X88" s="12"/>
      <c r="Y88" s="16"/>
      <c r="Z88" s="17"/>
      <c r="AA88" s="12"/>
    </row>
    <row r="89" spans="19:27" x14ac:dyDescent="0.3">
      <c r="S89" s="14"/>
      <c r="T89" s="14"/>
      <c r="U89" s="14"/>
      <c r="V89" s="12"/>
      <c r="W89" s="12"/>
      <c r="X89" s="12"/>
      <c r="Y89" s="16"/>
      <c r="Z89" s="17"/>
      <c r="AA89" s="12"/>
    </row>
    <row r="90" spans="19:27" x14ac:dyDescent="0.3">
      <c r="S90" s="14"/>
      <c r="T90" s="14"/>
      <c r="U90" s="14"/>
      <c r="V90" s="12"/>
      <c r="W90" s="12"/>
      <c r="X90" s="12"/>
      <c r="Y90" s="16"/>
      <c r="Z90" s="17"/>
      <c r="AA90" s="12"/>
    </row>
    <row r="91" spans="19:27" x14ac:dyDescent="0.3">
      <c r="S91" s="14"/>
      <c r="T91" s="14"/>
      <c r="U91" s="14"/>
      <c r="V91" s="12"/>
      <c r="W91" s="12"/>
      <c r="X91" s="12"/>
      <c r="Y91" s="16"/>
      <c r="Z91" s="17"/>
      <c r="AA91" s="12"/>
    </row>
    <row r="92" spans="19:27" x14ac:dyDescent="0.3">
      <c r="S92" s="14"/>
      <c r="T92" s="14"/>
      <c r="U92" s="14"/>
      <c r="V92" s="12"/>
      <c r="W92" s="12"/>
      <c r="X92" s="12"/>
      <c r="Y92" s="16"/>
      <c r="Z92" s="17"/>
      <c r="AA92" s="12"/>
    </row>
    <row r="93" spans="19:27" x14ac:dyDescent="0.3">
      <c r="S93" s="14"/>
      <c r="T93" s="14"/>
      <c r="U93" s="14"/>
      <c r="V93" s="12"/>
      <c r="W93" s="12"/>
      <c r="X93" s="12"/>
      <c r="Y93" s="16"/>
      <c r="Z93" s="17"/>
    </row>
    <row r="94" spans="19:27" x14ac:dyDescent="0.3">
      <c r="S94" s="14"/>
      <c r="T94" s="14"/>
      <c r="U94" s="14"/>
      <c r="V94" s="12"/>
      <c r="W94" s="12"/>
      <c r="X94" s="12"/>
      <c r="Y94" s="16"/>
      <c r="Z94" s="17"/>
    </row>
    <row r="95" spans="19:27" x14ac:dyDescent="0.3">
      <c r="S95" s="14"/>
      <c r="T95" s="14"/>
      <c r="U95" s="14"/>
      <c r="V95" s="12"/>
      <c r="W95" s="12"/>
      <c r="X95" s="12"/>
      <c r="Y95" s="16"/>
      <c r="Z95" s="17"/>
    </row>
    <row r="96" spans="19:27" x14ac:dyDescent="0.3">
      <c r="S96" s="14"/>
      <c r="T96" s="14"/>
      <c r="U96" s="14"/>
      <c r="V96" s="12"/>
      <c r="W96" s="12"/>
      <c r="X96" s="12"/>
      <c r="Y96" s="16"/>
      <c r="Z96" s="17"/>
    </row>
    <row r="97" spans="19:26" x14ac:dyDescent="0.3">
      <c r="S97" s="14"/>
      <c r="T97" s="14"/>
      <c r="U97" s="14"/>
      <c r="V97" s="12"/>
      <c r="W97" s="12"/>
      <c r="X97" s="12"/>
      <c r="Y97" s="16"/>
      <c r="Z97" s="17"/>
    </row>
    <row r="98" spans="19:26" x14ac:dyDescent="0.3">
      <c r="S98" s="14"/>
      <c r="T98" s="14"/>
      <c r="U98" s="14"/>
      <c r="V98" s="12"/>
      <c r="W98" s="12"/>
      <c r="X98" s="12"/>
      <c r="Y98" s="16"/>
      <c r="Z98" s="17"/>
    </row>
    <row r="99" spans="19:26" x14ac:dyDescent="0.3">
      <c r="S99" s="14"/>
      <c r="T99" s="14"/>
      <c r="U99" s="14"/>
      <c r="V99" s="12"/>
      <c r="W99" s="12"/>
      <c r="X99" s="12"/>
      <c r="Y99" s="16"/>
      <c r="Z99" s="17"/>
    </row>
    <row r="100" spans="19:26" x14ac:dyDescent="0.3">
      <c r="S100" s="14"/>
      <c r="T100" s="14"/>
      <c r="U100" s="14"/>
      <c r="V100" s="12"/>
      <c r="W100" s="12"/>
      <c r="X100" s="12"/>
      <c r="Y100" s="16"/>
      <c r="Z100" s="17"/>
    </row>
    <row r="101" spans="19:26" x14ac:dyDescent="0.3">
      <c r="S101" s="14"/>
      <c r="T101" s="14"/>
      <c r="U101" s="14"/>
      <c r="V101" s="12"/>
      <c r="W101" s="12"/>
      <c r="X101" s="12"/>
      <c r="Y101" s="16"/>
      <c r="Z101" s="17"/>
    </row>
    <row r="102" spans="19:26" x14ac:dyDescent="0.3">
      <c r="S102" s="14"/>
      <c r="T102" s="14"/>
      <c r="U102" s="14"/>
      <c r="V102" s="12"/>
      <c r="W102" s="12"/>
      <c r="X102" s="12"/>
      <c r="Y102" s="16"/>
      <c r="Z102" s="17"/>
    </row>
    <row r="103" spans="19:26" x14ac:dyDescent="0.3">
      <c r="S103" s="14"/>
      <c r="T103" s="14"/>
      <c r="U103" s="14"/>
      <c r="V103" s="12"/>
      <c r="W103" s="12"/>
      <c r="X103" s="12"/>
      <c r="Y103" s="16"/>
      <c r="Z103" s="17"/>
    </row>
    <row r="104" spans="19:26" x14ac:dyDescent="0.3">
      <c r="S104" s="14"/>
      <c r="T104" s="14"/>
      <c r="U104" s="14"/>
      <c r="V104" s="12"/>
      <c r="W104" s="12"/>
      <c r="X104" s="12"/>
      <c r="Y104" s="16"/>
      <c r="Z104" s="17"/>
    </row>
    <row r="105" spans="19:26" x14ac:dyDescent="0.3">
      <c r="S105" s="14"/>
      <c r="T105" s="14"/>
      <c r="U105" s="14"/>
      <c r="V105" s="12"/>
      <c r="W105" s="12"/>
      <c r="X105" s="12"/>
      <c r="Y105" s="16"/>
      <c r="Z105" s="17"/>
    </row>
    <row r="106" spans="19:26" x14ac:dyDescent="0.3">
      <c r="S106" s="14"/>
      <c r="T106" s="14"/>
      <c r="U106" s="14"/>
      <c r="V106" s="12"/>
      <c r="W106" s="12"/>
      <c r="X106" s="12"/>
      <c r="Y106" s="16"/>
      <c r="Z106" s="17"/>
    </row>
    <row r="107" spans="19:26" x14ac:dyDescent="0.3">
      <c r="S107" s="14"/>
      <c r="T107" s="14"/>
      <c r="U107" s="14"/>
      <c r="V107" s="12"/>
      <c r="W107" s="12"/>
      <c r="X107" s="12"/>
      <c r="Y107" s="16"/>
      <c r="Z107" s="17"/>
    </row>
    <row r="108" spans="19:26" x14ac:dyDescent="0.3">
      <c r="S108" s="14"/>
      <c r="T108" s="14"/>
      <c r="U108" s="14"/>
      <c r="V108" s="12"/>
      <c r="W108" s="12"/>
      <c r="X108" s="12"/>
      <c r="Y108" s="16"/>
      <c r="Z108" s="17"/>
    </row>
    <row r="109" spans="19:26" x14ac:dyDescent="0.3">
      <c r="S109" s="14"/>
      <c r="T109" s="14"/>
      <c r="U109" s="14"/>
      <c r="V109" s="12"/>
      <c r="W109" s="12"/>
      <c r="X109" s="12"/>
      <c r="Y109" s="16"/>
      <c r="Z109" s="17"/>
    </row>
    <row r="110" spans="19:26" x14ac:dyDescent="0.3">
      <c r="S110" s="14"/>
      <c r="T110" s="14"/>
      <c r="U110" s="14"/>
      <c r="V110" s="12"/>
      <c r="W110" s="12"/>
      <c r="X110" s="12"/>
      <c r="Y110" s="16"/>
      <c r="Z110" s="17"/>
    </row>
    <row r="111" spans="19:26" x14ac:dyDescent="0.3">
      <c r="S111" s="14"/>
      <c r="T111" s="14"/>
      <c r="U111" s="14"/>
      <c r="V111" s="12"/>
      <c r="W111" s="12"/>
      <c r="X111" s="12"/>
      <c r="Y111" s="16"/>
      <c r="Z111" s="17"/>
    </row>
    <row r="112" spans="19:26" x14ac:dyDescent="0.3">
      <c r="S112" s="14"/>
      <c r="T112" s="14"/>
      <c r="U112" s="14"/>
      <c r="V112" s="12"/>
      <c r="W112" s="12"/>
      <c r="X112" s="12"/>
      <c r="Y112" s="16"/>
      <c r="Z112" s="17"/>
    </row>
    <row r="113" spans="19:26" x14ac:dyDescent="0.3">
      <c r="S113" s="14"/>
      <c r="T113" s="14"/>
      <c r="U113" s="14"/>
      <c r="V113" s="12"/>
      <c r="W113" s="12"/>
      <c r="X113" s="12"/>
      <c r="Y113" s="16"/>
      <c r="Z113" s="17"/>
    </row>
    <row r="114" spans="19:26" x14ac:dyDescent="0.3">
      <c r="S114" s="14"/>
      <c r="T114" s="14"/>
      <c r="U114" s="14"/>
      <c r="V114" s="12"/>
      <c r="W114" s="12"/>
      <c r="X114" s="12"/>
      <c r="Y114" s="16"/>
      <c r="Z114" s="17"/>
    </row>
    <row r="115" spans="19:26" x14ac:dyDescent="0.3">
      <c r="S115" s="14"/>
      <c r="T115" s="14"/>
      <c r="U115" s="14"/>
      <c r="V115" s="12"/>
      <c r="W115" s="12"/>
      <c r="X115" s="12"/>
      <c r="Y115" s="16"/>
      <c r="Z115" s="17"/>
    </row>
    <row r="116" spans="19:26" x14ac:dyDescent="0.3">
      <c r="S116" s="14"/>
      <c r="T116" s="14"/>
      <c r="U116" s="14"/>
      <c r="V116" s="12"/>
      <c r="W116" s="12"/>
      <c r="X116" s="12"/>
      <c r="Y116" s="16"/>
      <c r="Z116" s="17"/>
    </row>
    <row r="117" spans="19:26" x14ac:dyDescent="0.3">
      <c r="S117" s="14"/>
      <c r="T117" s="14"/>
      <c r="U117" s="14"/>
      <c r="V117" s="12"/>
      <c r="W117" s="12"/>
      <c r="X117" s="12"/>
      <c r="Y117" s="16"/>
      <c r="Z117" s="17"/>
    </row>
    <row r="118" spans="19:26" x14ac:dyDescent="0.3">
      <c r="S118" s="14"/>
      <c r="T118" s="14"/>
      <c r="U118" s="14"/>
      <c r="V118" s="12"/>
      <c r="W118" s="12"/>
      <c r="X118" s="12"/>
      <c r="Y118" s="16"/>
      <c r="Z118" s="17"/>
    </row>
    <row r="119" spans="19:26" x14ac:dyDescent="0.3">
      <c r="S119" s="14"/>
      <c r="T119" s="14"/>
      <c r="U119" s="14"/>
      <c r="V119" s="12"/>
      <c r="W119" s="12"/>
      <c r="X119" s="12"/>
      <c r="Y119" s="16"/>
      <c r="Z119" s="17"/>
    </row>
    <row r="120" spans="19:26" x14ac:dyDescent="0.3">
      <c r="S120" s="14"/>
      <c r="T120" s="14"/>
      <c r="U120" s="14"/>
      <c r="V120" s="12"/>
      <c r="W120" s="12"/>
      <c r="X120" s="12"/>
      <c r="Y120" s="16"/>
      <c r="Z120" s="17"/>
    </row>
    <row r="121" spans="19:26" x14ac:dyDescent="0.3">
      <c r="S121" s="14"/>
      <c r="T121" s="14"/>
      <c r="U121" s="14"/>
      <c r="V121" s="12"/>
      <c r="W121" s="12"/>
      <c r="X121" s="12"/>
      <c r="Y121" s="16"/>
      <c r="Z121" s="17"/>
    </row>
    <row r="122" spans="19:26" x14ac:dyDescent="0.3">
      <c r="S122" s="14"/>
      <c r="T122" s="14"/>
      <c r="U122" s="14"/>
      <c r="V122" s="12"/>
      <c r="W122" s="12"/>
      <c r="X122" s="12"/>
      <c r="Y122" s="16"/>
      <c r="Z122" s="17"/>
    </row>
    <row r="123" spans="19:26" x14ac:dyDescent="0.3">
      <c r="S123" s="14"/>
      <c r="T123" s="14"/>
      <c r="U123" s="14"/>
      <c r="V123" s="12"/>
      <c r="W123" s="12"/>
      <c r="X123" s="12"/>
      <c r="Y123" s="16"/>
      <c r="Z123" s="17"/>
    </row>
    <row r="124" spans="19:26" x14ac:dyDescent="0.3">
      <c r="S124" s="14"/>
      <c r="T124" s="14"/>
      <c r="U124" s="14"/>
      <c r="V124" s="12"/>
      <c r="W124" s="12"/>
      <c r="X124" s="12"/>
      <c r="Y124" s="16"/>
      <c r="Z124" s="17"/>
    </row>
    <row r="125" spans="19:26" x14ac:dyDescent="0.3">
      <c r="S125" s="14"/>
      <c r="T125" s="14"/>
      <c r="U125" s="14"/>
      <c r="V125" s="12"/>
      <c r="W125" s="12"/>
      <c r="X125" s="12"/>
      <c r="Y125" s="16"/>
      <c r="Z125" s="17"/>
    </row>
    <row r="126" spans="19:26" x14ac:dyDescent="0.3">
      <c r="S126" s="14"/>
      <c r="T126" s="14"/>
      <c r="U126" s="14"/>
      <c r="V126" s="12"/>
      <c r="W126" s="12"/>
      <c r="X126" s="12"/>
      <c r="Y126" s="16"/>
      <c r="Z126" s="17"/>
    </row>
    <row r="127" spans="19:26" x14ac:dyDescent="0.3">
      <c r="S127" s="14"/>
      <c r="T127" s="14"/>
      <c r="U127" s="14"/>
      <c r="V127" s="12"/>
      <c r="W127" s="12"/>
      <c r="X127" s="12"/>
      <c r="Y127" s="16"/>
      <c r="Z127" s="17"/>
    </row>
    <row r="128" spans="19:26" x14ac:dyDescent="0.3">
      <c r="S128" s="14"/>
      <c r="T128" s="14"/>
      <c r="U128" s="14"/>
      <c r="V128" s="12"/>
      <c r="W128" s="12"/>
      <c r="X128" s="12"/>
      <c r="Y128" s="16"/>
      <c r="Z128" s="17"/>
    </row>
    <row r="129" spans="19:26" x14ac:dyDescent="0.3">
      <c r="S129" s="14"/>
      <c r="T129" s="14"/>
      <c r="U129" s="14"/>
      <c r="V129" s="12"/>
      <c r="W129" s="12"/>
      <c r="X129" s="12"/>
      <c r="Y129" s="16"/>
      <c r="Z129" s="17"/>
    </row>
    <row r="130" spans="19:26" x14ac:dyDescent="0.3">
      <c r="S130" s="14"/>
      <c r="T130" s="14"/>
      <c r="U130" s="14"/>
      <c r="V130" s="12"/>
      <c r="W130" s="12"/>
      <c r="X130" s="12"/>
      <c r="Y130" s="16"/>
      <c r="Z130" s="17"/>
    </row>
    <row r="131" spans="19:26" x14ac:dyDescent="0.3">
      <c r="S131" s="14"/>
      <c r="T131" s="14"/>
      <c r="U131" s="14"/>
      <c r="V131" s="12"/>
      <c r="W131" s="12"/>
      <c r="X131" s="12"/>
      <c r="Y131" s="16"/>
      <c r="Z131" s="17"/>
    </row>
    <row r="132" spans="19:26" x14ac:dyDescent="0.3">
      <c r="S132" s="14"/>
      <c r="T132" s="14"/>
      <c r="U132" s="14"/>
      <c r="V132" s="12"/>
      <c r="W132" s="12"/>
      <c r="X132" s="12"/>
      <c r="Y132" s="16"/>
      <c r="Z132" s="17"/>
    </row>
    <row r="133" spans="19:26" x14ac:dyDescent="0.3">
      <c r="S133" s="14"/>
      <c r="T133" s="14"/>
      <c r="U133" s="14"/>
      <c r="V133" s="12"/>
      <c r="W133" s="12"/>
      <c r="X133" s="12"/>
      <c r="Y133" s="16"/>
      <c r="Z133" s="17"/>
    </row>
    <row r="134" spans="19:26" x14ac:dyDescent="0.3">
      <c r="S134" s="14"/>
      <c r="T134" s="14"/>
      <c r="U134" s="14"/>
      <c r="V134" s="12"/>
      <c r="W134" s="12"/>
      <c r="X134" s="12"/>
      <c r="Y134" s="16"/>
      <c r="Z134" s="17"/>
    </row>
    <row r="135" spans="19:26" x14ac:dyDescent="0.3">
      <c r="S135" s="14"/>
      <c r="T135" s="14"/>
      <c r="U135" s="14"/>
      <c r="V135" s="12"/>
      <c r="W135" s="12"/>
      <c r="X135" s="12"/>
      <c r="Y135" s="16"/>
      <c r="Z135" s="17"/>
    </row>
    <row r="136" spans="19:26" x14ac:dyDescent="0.3">
      <c r="S136" s="14"/>
      <c r="T136" s="14"/>
      <c r="U136" s="14"/>
      <c r="V136" s="12"/>
      <c r="W136" s="12"/>
      <c r="X136" s="12"/>
      <c r="Y136" s="16"/>
      <c r="Z136" s="17"/>
    </row>
    <row r="137" spans="19:26" x14ac:dyDescent="0.3">
      <c r="S137" s="14"/>
      <c r="T137" s="14"/>
      <c r="U137" s="14"/>
      <c r="V137" s="12"/>
      <c r="W137" s="12"/>
      <c r="X137" s="12"/>
      <c r="Y137" s="16"/>
      <c r="Z137" s="17"/>
    </row>
    <row r="138" spans="19:26" x14ac:dyDescent="0.3">
      <c r="S138" s="14"/>
      <c r="T138" s="14"/>
      <c r="U138" s="14"/>
      <c r="V138" s="12"/>
      <c r="W138" s="12"/>
      <c r="X138" s="12"/>
      <c r="Y138" s="16"/>
      <c r="Z138" s="17"/>
    </row>
    <row r="139" spans="19:26" x14ac:dyDescent="0.3">
      <c r="S139" s="14"/>
      <c r="T139" s="14"/>
      <c r="U139" s="14"/>
      <c r="V139" s="12"/>
      <c r="W139" s="12"/>
      <c r="X139" s="12"/>
      <c r="Y139" s="16"/>
      <c r="Z139" s="17"/>
    </row>
    <row r="140" spans="19:26" x14ac:dyDescent="0.3">
      <c r="S140" s="14"/>
      <c r="T140" s="14"/>
      <c r="U140" s="14"/>
      <c r="V140" s="12"/>
      <c r="W140" s="12"/>
      <c r="X140" s="12"/>
      <c r="Y140" s="16"/>
      <c r="Z140" s="17"/>
    </row>
    <row r="141" spans="19:26" x14ac:dyDescent="0.3">
      <c r="S141" s="14"/>
      <c r="T141" s="14"/>
      <c r="U141" s="14"/>
      <c r="V141" s="12"/>
      <c r="W141" s="12"/>
      <c r="X141" s="12"/>
      <c r="Y141" s="16"/>
      <c r="Z141" s="17"/>
    </row>
    <row r="142" spans="19:26" x14ac:dyDescent="0.3">
      <c r="S142" s="14"/>
      <c r="T142" s="14"/>
      <c r="U142" s="14"/>
      <c r="V142" s="12"/>
      <c r="W142" s="12"/>
      <c r="X142" s="12"/>
      <c r="Y142" s="16"/>
      <c r="Z142" s="17"/>
    </row>
    <row r="143" spans="19:26" x14ac:dyDescent="0.3">
      <c r="S143" s="14"/>
      <c r="T143" s="14"/>
      <c r="U143" s="14"/>
      <c r="V143" s="12"/>
      <c r="W143" s="12"/>
      <c r="X143" s="12"/>
      <c r="Y143" s="16"/>
      <c r="Z143" s="17"/>
    </row>
    <row r="144" spans="19:26" x14ac:dyDescent="0.3">
      <c r="S144" s="14"/>
      <c r="T144" s="14"/>
      <c r="U144" s="14"/>
      <c r="V144" s="12"/>
      <c r="W144" s="12"/>
      <c r="X144" s="12"/>
      <c r="Y144" s="16"/>
      <c r="Z144" s="17"/>
    </row>
    <row r="145" spans="19:26" x14ac:dyDescent="0.3">
      <c r="S145" s="14"/>
      <c r="T145" s="14"/>
      <c r="U145" s="14"/>
      <c r="V145" s="12"/>
      <c r="W145" s="12"/>
      <c r="X145" s="12"/>
      <c r="Y145" s="16"/>
      <c r="Z145" s="17"/>
    </row>
    <row r="146" spans="19:26" x14ac:dyDescent="0.3">
      <c r="S146" s="14"/>
      <c r="T146" s="14"/>
      <c r="U146" s="14"/>
      <c r="V146" s="12"/>
      <c r="W146" s="12"/>
      <c r="X146" s="12"/>
      <c r="Y146" s="16"/>
      <c r="Z146" s="17"/>
    </row>
    <row r="147" spans="19:26" x14ac:dyDescent="0.3">
      <c r="S147" s="14"/>
      <c r="T147" s="14"/>
      <c r="U147" s="14"/>
      <c r="V147" s="12"/>
      <c r="W147" s="12"/>
      <c r="X147" s="12"/>
      <c r="Y147" s="16"/>
      <c r="Z147" s="17"/>
    </row>
    <row r="148" spans="19:26" x14ac:dyDescent="0.3">
      <c r="S148" s="14"/>
      <c r="T148" s="14"/>
      <c r="U148" s="14"/>
      <c r="V148" s="12"/>
      <c r="W148" s="12"/>
      <c r="X148" s="12"/>
      <c r="Y148" s="16"/>
      <c r="Z148" s="17"/>
    </row>
    <row r="149" spans="19:26" x14ac:dyDescent="0.3">
      <c r="S149" s="14"/>
      <c r="T149" s="14"/>
      <c r="U149" s="14"/>
      <c r="V149" s="12"/>
      <c r="W149" s="12"/>
      <c r="X149" s="12"/>
      <c r="Y149" s="16"/>
      <c r="Z149" s="17"/>
    </row>
    <row r="150" spans="19:26" x14ac:dyDescent="0.3">
      <c r="S150" s="14"/>
      <c r="T150" s="14"/>
      <c r="U150" s="14"/>
      <c r="V150" s="12"/>
      <c r="W150" s="12"/>
      <c r="X150" s="12"/>
      <c r="Y150" s="16"/>
      <c r="Z150" s="17"/>
    </row>
    <row r="151" spans="19:26" x14ac:dyDescent="0.3">
      <c r="S151" s="14"/>
      <c r="T151" s="14"/>
      <c r="U151" s="14"/>
      <c r="V151" s="12"/>
      <c r="W151" s="12"/>
      <c r="X151" s="12"/>
      <c r="Y151" s="16"/>
      <c r="Z151" s="17"/>
    </row>
    <row r="152" spans="19:26" x14ac:dyDescent="0.3">
      <c r="S152" s="14"/>
      <c r="T152" s="14"/>
      <c r="U152" s="14"/>
      <c r="V152" s="12"/>
      <c r="W152" s="12"/>
      <c r="X152" s="12"/>
      <c r="Y152" s="16"/>
      <c r="Z152" s="17"/>
    </row>
    <row r="153" spans="19:26" x14ac:dyDescent="0.3">
      <c r="S153" s="14"/>
      <c r="T153" s="14"/>
      <c r="U153" s="14"/>
      <c r="V153" s="12"/>
      <c r="W153" s="12"/>
      <c r="X153" s="12"/>
      <c r="Y153" s="16"/>
      <c r="Z153" s="17"/>
    </row>
    <row r="154" spans="19:26" x14ac:dyDescent="0.3">
      <c r="S154" s="14"/>
      <c r="T154" s="14"/>
      <c r="U154" s="14"/>
      <c r="V154" s="12"/>
      <c r="W154" s="12"/>
      <c r="X154" s="12"/>
      <c r="Y154" s="16"/>
      <c r="Z154" s="17"/>
    </row>
    <row r="155" spans="19:26" x14ac:dyDescent="0.3">
      <c r="S155" s="14"/>
      <c r="T155" s="14"/>
      <c r="U155" s="14"/>
      <c r="V155" s="12"/>
      <c r="W155" s="12"/>
      <c r="X155" s="12"/>
      <c r="Y155" s="16"/>
      <c r="Z155" s="17"/>
    </row>
    <row r="156" spans="19:26" x14ac:dyDescent="0.3">
      <c r="S156" s="14"/>
      <c r="T156" s="14"/>
      <c r="U156" s="14"/>
      <c r="V156" s="12"/>
      <c r="W156" s="12"/>
      <c r="X156" s="12"/>
      <c r="Y156" s="16"/>
      <c r="Z156" s="17"/>
    </row>
    <row r="157" spans="19:26" x14ac:dyDescent="0.3">
      <c r="S157" s="14"/>
      <c r="T157" s="14"/>
      <c r="U157" s="14"/>
      <c r="V157" s="12"/>
      <c r="W157" s="12"/>
      <c r="X157" s="12"/>
      <c r="Y157" s="16"/>
      <c r="Z157" s="17"/>
    </row>
    <row r="158" spans="19:26" x14ac:dyDescent="0.3">
      <c r="S158" s="14"/>
      <c r="T158" s="14"/>
      <c r="U158" s="14"/>
      <c r="V158" s="12"/>
      <c r="W158" s="12"/>
      <c r="X158" s="12"/>
      <c r="Y158" s="16"/>
      <c r="Z158" s="17"/>
    </row>
    <row r="159" spans="19:26" x14ac:dyDescent="0.3">
      <c r="S159" s="14"/>
      <c r="T159" s="14"/>
      <c r="U159" s="14"/>
      <c r="V159" s="12"/>
      <c r="W159" s="12"/>
      <c r="X159" s="12"/>
      <c r="Y159" s="16"/>
      <c r="Z159" s="17"/>
    </row>
    <row r="160" spans="19:26" x14ac:dyDescent="0.3">
      <c r="S160" s="14"/>
      <c r="T160" s="14"/>
      <c r="U160" s="14"/>
      <c r="V160" s="12"/>
      <c r="W160" s="12"/>
      <c r="X160" s="12"/>
      <c r="Y160" s="16"/>
      <c r="Z160" s="17"/>
    </row>
    <row r="161" spans="19:26" x14ac:dyDescent="0.3">
      <c r="S161" s="14"/>
      <c r="T161" s="14"/>
      <c r="U161" s="14"/>
      <c r="V161" s="12"/>
      <c r="W161" s="12"/>
      <c r="X161" s="12"/>
      <c r="Y161" s="16"/>
      <c r="Z161" s="17"/>
    </row>
    <row r="162" spans="19:26" x14ac:dyDescent="0.3">
      <c r="S162" s="14"/>
      <c r="T162" s="14"/>
      <c r="U162" s="14"/>
      <c r="V162" s="12"/>
      <c r="W162" s="12"/>
      <c r="X162" s="12"/>
      <c r="Y162" s="16"/>
      <c r="Z162" s="17"/>
    </row>
    <row r="163" spans="19:26" x14ac:dyDescent="0.3">
      <c r="S163" s="14"/>
      <c r="T163" s="14"/>
      <c r="U163" s="14"/>
      <c r="V163" s="12"/>
      <c r="W163" s="12"/>
      <c r="X163" s="12"/>
      <c r="Y163" s="16"/>
      <c r="Z163" s="17"/>
    </row>
    <row r="164" spans="19:26" x14ac:dyDescent="0.3">
      <c r="S164" s="14"/>
      <c r="T164" s="14"/>
      <c r="U164" s="14"/>
      <c r="V164" s="12"/>
      <c r="W164" s="12"/>
      <c r="X164" s="12"/>
      <c r="Y164" s="16"/>
      <c r="Z164" s="17"/>
    </row>
    <row r="165" spans="19:26" x14ac:dyDescent="0.3">
      <c r="S165" s="14"/>
      <c r="T165" s="14"/>
      <c r="U165" s="14"/>
      <c r="V165" s="12"/>
      <c r="W165" s="12"/>
      <c r="X165" s="12"/>
      <c r="Y165" s="16"/>
      <c r="Z165" s="17"/>
    </row>
    <row r="166" spans="19:26" x14ac:dyDescent="0.3">
      <c r="S166" s="14"/>
      <c r="T166" s="14"/>
      <c r="U166" s="14"/>
      <c r="V166" s="12"/>
      <c r="W166" s="12"/>
      <c r="X166" s="12"/>
      <c r="Y166" s="16"/>
      <c r="Z166" s="17"/>
    </row>
    <row r="167" spans="19:26" x14ac:dyDescent="0.3">
      <c r="S167" s="14"/>
      <c r="T167" s="14"/>
      <c r="U167" s="14"/>
      <c r="V167" s="12"/>
      <c r="W167" s="12"/>
      <c r="X167" s="12"/>
      <c r="Y167" s="16"/>
      <c r="Z167" s="17"/>
    </row>
    <row r="168" spans="19:26" x14ac:dyDescent="0.3">
      <c r="S168" s="14"/>
      <c r="T168" s="14"/>
      <c r="U168" s="14"/>
      <c r="V168" s="12"/>
      <c r="W168" s="12"/>
      <c r="X168" s="12"/>
      <c r="Y168" s="16"/>
      <c r="Z168" s="17"/>
    </row>
    <row r="169" spans="19:26" x14ac:dyDescent="0.3">
      <c r="S169" s="14"/>
      <c r="T169" s="14"/>
      <c r="U169" s="14"/>
      <c r="V169" s="12"/>
      <c r="W169" s="12"/>
      <c r="X169" s="12"/>
      <c r="Y169" s="16"/>
      <c r="Z169" s="17"/>
    </row>
    <row r="170" spans="19:26" x14ac:dyDescent="0.3">
      <c r="S170" s="14"/>
      <c r="T170" s="14"/>
      <c r="U170" s="14"/>
      <c r="V170" s="12"/>
      <c r="W170" s="12"/>
      <c r="X170" s="12"/>
      <c r="Y170" s="16"/>
      <c r="Z170" s="17"/>
    </row>
    <row r="171" spans="19:26" x14ac:dyDescent="0.3">
      <c r="S171" s="14"/>
      <c r="T171" s="14"/>
      <c r="U171" s="14"/>
      <c r="V171" s="12"/>
      <c r="W171" s="12"/>
      <c r="X171" s="12"/>
      <c r="Y171" s="16"/>
      <c r="Z171" s="17"/>
    </row>
    <row r="172" spans="19:26" x14ac:dyDescent="0.3">
      <c r="S172" s="14"/>
      <c r="T172" s="14"/>
      <c r="U172" s="14"/>
      <c r="V172" s="12"/>
      <c r="W172" s="12"/>
      <c r="X172" s="12"/>
      <c r="Y172" s="16"/>
      <c r="Z172" s="17"/>
    </row>
    <row r="173" spans="19:26" x14ac:dyDescent="0.3">
      <c r="S173" s="14"/>
      <c r="T173" s="14"/>
      <c r="U173" s="14"/>
      <c r="V173" s="12"/>
      <c r="W173" s="12"/>
      <c r="X173" s="12"/>
      <c r="Y173" s="16"/>
      <c r="Z173" s="17"/>
    </row>
    <row r="174" spans="19:26" x14ac:dyDescent="0.3">
      <c r="S174" s="14"/>
      <c r="T174" s="14"/>
      <c r="U174" s="14"/>
      <c r="V174" s="12"/>
      <c r="W174" s="12"/>
      <c r="X174" s="12"/>
      <c r="Y174" s="16"/>
      <c r="Z174" s="17"/>
    </row>
    <row r="175" spans="19:26" x14ac:dyDescent="0.3">
      <c r="S175" s="14"/>
      <c r="T175" s="14"/>
      <c r="U175" s="14"/>
      <c r="V175" s="12"/>
      <c r="W175" s="12"/>
      <c r="X175" s="12"/>
      <c r="Y175" s="16"/>
      <c r="Z175" s="17"/>
    </row>
    <row r="176" spans="19:26" x14ac:dyDescent="0.3">
      <c r="S176" s="14"/>
      <c r="T176" s="14"/>
      <c r="U176" s="14"/>
      <c r="V176" s="12"/>
      <c r="W176" s="12"/>
      <c r="X176" s="12"/>
      <c r="Y176" s="16"/>
      <c r="Z176" s="17"/>
    </row>
    <row r="177" spans="19:26" x14ac:dyDescent="0.3">
      <c r="S177" s="14"/>
      <c r="T177" s="14"/>
      <c r="U177" s="14"/>
      <c r="V177" s="12"/>
      <c r="W177" s="12"/>
      <c r="X177" s="12"/>
      <c r="Y177" s="16"/>
      <c r="Z177" s="17"/>
    </row>
    <row r="178" spans="19:26" x14ac:dyDescent="0.3">
      <c r="S178" s="14"/>
      <c r="T178" s="14"/>
      <c r="U178" s="14"/>
      <c r="V178" s="12"/>
      <c r="W178" s="12"/>
      <c r="X178" s="12"/>
      <c r="Y178" s="16"/>
      <c r="Z178" s="17"/>
    </row>
    <row r="179" spans="19:26" x14ac:dyDescent="0.3">
      <c r="S179" s="14"/>
      <c r="T179" s="14"/>
      <c r="U179" s="14"/>
      <c r="V179" s="12"/>
      <c r="W179" s="12"/>
      <c r="X179" s="12"/>
      <c r="Y179" s="16"/>
      <c r="Z179" s="17"/>
    </row>
    <row r="180" spans="19:26" x14ac:dyDescent="0.3">
      <c r="S180" s="14"/>
      <c r="T180" s="14"/>
      <c r="U180" s="14"/>
      <c r="V180" s="12"/>
      <c r="W180" s="12"/>
      <c r="X180" s="12"/>
      <c r="Y180" s="16"/>
      <c r="Z180" s="17"/>
    </row>
    <row r="181" spans="19:26" x14ac:dyDescent="0.3">
      <c r="S181" s="14"/>
      <c r="T181" s="14"/>
      <c r="U181" s="14"/>
      <c r="V181" s="12"/>
      <c r="W181" s="12"/>
      <c r="X181" s="12"/>
      <c r="Y181" s="16"/>
      <c r="Z181" s="17"/>
    </row>
    <row r="182" spans="19:26" x14ac:dyDescent="0.3">
      <c r="S182" s="14"/>
      <c r="T182" s="14"/>
      <c r="U182" s="14"/>
      <c r="V182" s="12"/>
      <c r="W182" s="12"/>
      <c r="X182" s="12"/>
      <c r="Y182" s="16"/>
      <c r="Z182" s="17"/>
    </row>
    <row r="183" spans="19:26" x14ac:dyDescent="0.3">
      <c r="S183" s="14"/>
      <c r="T183" s="14"/>
      <c r="U183" s="14"/>
      <c r="V183" s="12"/>
      <c r="W183" s="12"/>
      <c r="X183" s="12"/>
      <c r="Y183" s="16"/>
      <c r="Z183" s="17"/>
    </row>
    <row r="184" spans="19:26" x14ac:dyDescent="0.3">
      <c r="S184" s="14"/>
      <c r="T184" s="14"/>
      <c r="U184" s="14"/>
      <c r="V184" s="12"/>
      <c r="W184" s="12"/>
      <c r="X184" s="12"/>
      <c r="Y184" s="16"/>
      <c r="Z184" s="17"/>
    </row>
    <row r="185" spans="19:26" x14ac:dyDescent="0.3">
      <c r="S185" s="14"/>
      <c r="T185" s="14"/>
      <c r="U185" s="14"/>
      <c r="V185" s="12"/>
      <c r="W185" s="12"/>
      <c r="X185" s="12"/>
      <c r="Y185" s="16"/>
      <c r="Z185" s="17"/>
    </row>
    <row r="186" spans="19:26" x14ac:dyDescent="0.3">
      <c r="S186" s="14"/>
      <c r="T186" s="14"/>
      <c r="U186" s="14"/>
      <c r="V186" s="12"/>
      <c r="W186" s="12"/>
      <c r="X186" s="12"/>
      <c r="Y186" s="16"/>
      <c r="Z186" s="17"/>
    </row>
    <row r="187" spans="19:26" x14ac:dyDescent="0.3">
      <c r="S187" s="14"/>
      <c r="T187" s="14"/>
      <c r="U187" s="14"/>
      <c r="V187" s="12"/>
      <c r="W187" s="12"/>
      <c r="X187" s="12"/>
      <c r="Y187" s="16"/>
      <c r="Z187" s="17"/>
    </row>
    <row r="188" spans="19:26" x14ac:dyDescent="0.3">
      <c r="S188" s="14"/>
      <c r="T188" s="14"/>
      <c r="U188" s="14"/>
      <c r="V188" s="12"/>
      <c r="W188" s="12"/>
      <c r="X188" s="12"/>
      <c r="Y188" s="16"/>
      <c r="Z188" s="17"/>
    </row>
    <row r="189" spans="19:26" x14ac:dyDescent="0.3">
      <c r="S189" s="14"/>
      <c r="T189" s="14"/>
      <c r="U189" s="14"/>
      <c r="V189" s="12"/>
      <c r="W189" s="12"/>
      <c r="X189" s="12"/>
      <c r="Y189" s="16"/>
      <c r="Z189" s="17"/>
    </row>
    <row r="190" spans="19:26" x14ac:dyDescent="0.3">
      <c r="S190" s="14"/>
      <c r="T190" s="14"/>
      <c r="U190" s="14"/>
      <c r="V190" s="12"/>
      <c r="W190" s="12"/>
      <c r="X190" s="12"/>
      <c r="Y190" s="16"/>
      <c r="Z190" s="17"/>
    </row>
    <row r="191" spans="19:26" x14ac:dyDescent="0.3">
      <c r="S191" s="14"/>
      <c r="T191" s="14"/>
      <c r="U191" s="14"/>
      <c r="V191" s="12"/>
      <c r="W191" s="12"/>
      <c r="X191" s="12"/>
      <c r="Y191" s="16"/>
      <c r="Z191" s="17"/>
    </row>
    <row r="192" spans="19:26" x14ac:dyDescent="0.3">
      <c r="S192" s="14"/>
      <c r="T192" s="14"/>
      <c r="U192" s="14"/>
      <c r="V192" s="12"/>
      <c r="W192" s="12"/>
      <c r="X192" s="12"/>
      <c r="Y192" s="16"/>
      <c r="Z192" s="17"/>
    </row>
    <row r="193" spans="19:26" x14ac:dyDescent="0.3">
      <c r="S193" s="14"/>
      <c r="T193" s="14"/>
      <c r="U193" s="14"/>
      <c r="V193" s="12"/>
      <c r="W193" s="12"/>
      <c r="X193" s="12"/>
      <c r="Y193" s="16"/>
      <c r="Z193" s="17"/>
    </row>
    <row r="194" spans="19:26" x14ac:dyDescent="0.3">
      <c r="S194" s="14"/>
      <c r="T194" s="14"/>
      <c r="U194" s="14"/>
      <c r="V194" s="12"/>
      <c r="W194" s="12"/>
      <c r="X194" s="12"/>
      <c r="Y194" s="16"/>
      <c r="Z194" s="17"/>
    </row>
    <row r="195" spans="19:26" x14ac:dyDescent="0.3">
      <c r="S195" s="14"/>
      <c r="T195" s="14"/>
      <c r="U195" s="14"/>
      <c r="V195" s="12"/>
      <c r="W195" s="12"/>
      <c r="X195" s="12"/>
      <c r="Y195" s="16"/>
      <c r="Z195" s="17"/>
    </row>
    <row r="196" spans="19:26" x14ac:dyDescent="0.3">
      <c r="S196" s="14"/>
      <c r="T196" s="14"/>
      <c r="U196" s="14"/>
      <c r="V196" s="12"/>
      <c r="W196" s="12"/>
      <c r="X196" s="12"/>
      <c r="Y196" s="16"/>
      <c r="Z196" s="17"/>
    </row>
    <row r="197" spans="19:26" x14ac:dyDescent="0.3">
      <c r="S197" s="14"/>
      <c r="T197" s="14"/>
      <c r="U197" s="14"/>
      <c r="V197" s="12"/>
      <c r="W197" s="12"/>
      <c r="X197" s="12"/>
      <c r="Y197" s="16"/>
      <c r="Z197" s="17"/>
    </row>
    <row r="198" spans="19:26" x14ac:dyDescent="0.3">
      <c r="S198" s="14"/>
      <c r="T198" s="14"/>
      <c r="U198" s="14"/>
      <c r="V198" s="12"/>
      <c r="W198" s="12"/>
      <c r="X198" s="12"/>
      <c r="Y198" s="16"/>
      <c r="Z198" s="17"/>
    </row>
    <row r="199" spans="19:26" x14ac:dyDescent="0.3">
      <c r="S199" s="14"/>
      <c r="T199" s="14"/>
      <c r="U199" s="14"/>
      <c r="V199" s="12"/>
      <c r="W199" s="12"/>
      <c r="X199" s="12"/>
      <c r="Y199" s="16"/>
      <c r="Z199" s="17"/>
    </row>
    <row r="200" spans="19:26" x14ac:dyDescent="0.3">
      <c r="S200" s="14"/>
      <c r="T200" s="14"/>
      <c r="U200" s="14"/>
      <c r="V200" s="12"/>
      <c r="W200" s="12"/>
      <c r="X200" s="12"/>
      <c r="Y200" s="16"/>
      <c r="Z200" s="17"/>
    </row>
    <row r="201" spans="19:26" x14ac:dyDescent="0.3">
      <c r="S201" s="14"/>
      <c r="T201" s="14"/>
      <c r="U201" s="14"/>
      <c r="V201" s="12"/>
      <c r="W201" s="12"/>
      <c r="X201" s="12"/>
      <c r="Y201" s="16"/>
      <c r="Z201" s="17"/>
    </row>
    <row r="202" spans="19:26" x14ac:dyDescent="0.3">
      <c r="S202" s="14"/>
      <c r="T202" s="14"/>
      <c r="U202" s="14"/>
      <c r="V202" s="12"/>
      <c r="W202" s="12"/>
      <c r="X202" s="12"/>
      <c r="Y202" s="16"/>
      <c r="Z202" s="17"/>
    </row>
    <row r="203" spans="19:26" x14ac:dyDescent="0.3">
      <c r="S203" s="14"/>
      <c r="T203" s="14"/>
      <c r="U203" s="14"/>
      <c r="V203" s="12"/>
      <c r="W203" s="12"/>
      <c r="X203" s="12"/>
      <c r="Y203" s="16"/>
      <c r="Z203" s="17"/>
    </row>
    <row r="204" spans="19:26" x14ac:dyDescent="0.3">
      <c r="S204" s="14"/>
      <c r="T204" s="14"/>
      <c r="U204" s="14"/>
      <c r="V204" s="12"/>
      <c r="W204" s="12"/>
      <c r="X204" s="12"/>
      <c r="Y204" s="16"/>
      <c r="Z204" s="17"/>
    </row>
    <row r="205" spans="19:26" x14ac:dyDescent="0.3">
      <c r="S205" s="14"/>
      <c r="T205" s="14"/>
      <c r="U205" s="14"/>
      <c r="V205" s="12"/>
      <c r="W205" s="12"/>
      <c r="X205" s="12"/>
      <c r="Y205" s="16"/>
      <c r="Z205" s="17"/>
    </row>
    <row r="206" spans="19:26" x14ac:dyDescent="0.3">
      <c r="S206" s="14"/>
      <c r="T206" s="14"/>
      <c r="U206" s="14"/>
      <c r="V206" s="12"/>
      <c r="W206" s="12"/>
      <c r="X206" s="12"/>
      <c r="Y206" s="16"/>
      <c r="Z206" s="17"/>
    </row>
    <row r="207" spans="19:26" x14ac:dyDescent="0.3">
      <c r="S207" s="14"/>
      <c r="T207" s="14"/>
      <c r="U207" s="14"/>
      <c r="V207" s="12"/>
      <c r="W207" s="12"/>
      <c r="X207" s="12"/>
      <c r="Y207" s="16"/>
      <c r="Z207" s="17"/>
    </row>
    <row r="208" spans="19:26" x14ac:dyDescent="0.3">
      <c r="S208" s="14"/>
      <c r="T208" s="14"/>
      <c r="U208" s="14"/>
      <c r="V208" s="12"/>
      <c r="W208" s="12"/>
      <c r="X208" s="12"/>
      <c r="Y208" s="16"/>
      <c r="Z208" s="17"/>
    </row>
    <row r="209" spans="19:26" x14ac:dyDescent="0.3">
      <c r="S209" s="14"/>
      <c r="T209" s="14"/>
      <c r="U209" s="14"/>
      <c r="V209" s="12"/>
      <c r="W209" s="12"/>
      <c r="X209" s="12"/>
      <c r="Y209" s="16"/>
      <c r="Z209" s="17"/>
    </row>
    <row r="210" spans="19:26" x14ac:dyDescent="0.3">
      <c r="S210" s="14"/>
      <c r="T210" s="14"/>
      <c r="U210" s="14"/>
      <c r="V210" s="12"/>
      <c r="W210" s="12"/>
      <c r="X210" s="12"/>
      <c r="Y210" s="16"/>
      <c r="Z210" s="17"/>
    </row>
    <row r="211" spans="19:26" x14ac:dyDescent="0.3">
      <c r="S211" s="14"/>
      <c r="T211" s="14"/>
      <c r="U211" s="14"/>
      <c r="V211" s="12"/>
      <c r="W211" s="12"/>
      <c r="X211" s="12"/>
      <c r="Y211" s="16"/>
      <c r="Z211" s="17"/>
    </row>
    <row r="212" spans="19:26" x14ac:dyDescent="0.3">
      <c r="S212" s="14"/>
      <c r="T212" s="14"/>
      <c r="U212" s="14"/>
      <c r="V212" s="12"/>
      <c r="W212" s="12"/>
      <c r="X212" s="12"/>
      <c r="Y212" s="16"/>
      <c r="Z212" s="17"/>
    </row>
    <row r="213" spans="19:26" x14ac:dyDescent="0.3">
      <c r="S213" s="14"/>
      <c r="T213" s="14"/>
      <c r="U213" s="14"/>
      <c r="V213" s="12"/>
      <c r="W213" s="12"/>
      <c r="X213" s="12"/>
      <c r="Y213" s="16"/>
      <c r="Z213" s="17"/>
    </row>
    <row r="214" spans="19:26" x14ac:dyDescent="0.3">
      <c r="S214" s="14"/>
      <c r="T214" s="14"/>
      <c r="U214" s="14"/>
      <c r="V214" s="12"/>
      <c r="W214" s="12"/>
      <c r="X214" s="12"/>
      <c r="Y214" s="16"/>
      <c r="Z214" s="17"/>
    </row>
    <row r="215" spans="19:26" x14ac:dyDescent="0.3">
      <c r="S215" s="14"/>
      <c r="T215" s="14"/>
      <c r="U215" s="14"/>
      <c r="V215" s="12"/>
      <c r="W215" s="12"/>
      <c r="X215" s="12"/>
      <c r="Y215" s="16"/>
      <c r="Z215" s="17"/>
    </row>
    <row r="216" spans="19:26" x14ac:dyDescent="0.3">
      <c r="S216" s="14"/>
      <c r="T216" s="14"/>
      <c r="U216" s="14"/>
      <c r="V216" s="12"/>
      <c r="W216" s="12"/>
      <c r="X216" s="12"/>
      <c r="Y216" s="16"/>
      <c r="Z216" s="17"/>
    </row>
    <row r="217" spans="19:26" x14ac:dyDescent="0.3">
      <c r="S217" s="14"/>
      <c r="T217" s="14"/>
      <c r="U217" s="14"/>
      <c r="V217" s="12"/>
      <c r="W217" s="12"/>
      <c r="X217" s="12"/>
      <c r="Y217" s="16"/>
      <c r="Z217" s="17"/>
    </row>
    <row r="218" spans="19:26" x14ac:dyDescent="0.3">
      <c r="S218" s="14"/>
      <c r="T218" s="14"/>
      <c r="U218" s="14"/>
      <c r="V218" s="12"/>
      <c r="W218" s="12"/>
      <c r="X218" s="12"/>
      <c r="Y218" s="16"/>
      <c r="Z218" s="17"/>
    </row>
    <row r="219" spans="19:26" x14ac:dyDescent="0.3">
      <c r="S219" s="14"/>
      <c r="T219" s="14"/>
      <c r="U219" s="14"/>
      <c r="V219" s="12"/>
      <c r="W219" s="12"/>
      <c r="X219" s="12"/>
      <c r="Y219" s="16"/>
      <c r="Z219" s="17"/>
    </row>
    <row r="220" spans="19:26" x14ac:dyDescent="0.3">
      <c r="S220" s="14"/>
      <c r="T220" s="14"/>
      <c r="U220" s="14"/>
      <c r="V220" s="12"/>
      <c r="W220" s="12"/>
      <c r="X220" s="12"/>
      <c r="Y220" s="16"/>
      <c r="Z220" s="17"/>
    </row>
    <row r="221" spans="19:26" x14ac:dyDescent="0.3">
      <c r="S221" s="14"/>
      <c r="T221" s="14"/>
      <c r="U221" s="14"/>
      <c r="V221" s="12"/>
      <c r="W221" s="12"/>
      <c r="X221" s="12"/>
      <c r="Y221" s="16"/>
      <c r="Z221" s="17"/>
    </row>
    <row r="222" spans="19:26" x14ac:dyDescent="0.3">
      <c r="S222" s="14"/>
      <c r="T222" s="14"/>
      <c r="U222" s="14"/>
      <c r="V222" s="12"/>
      <c r="W222" s="12"/>
      <c r="X222" s="12"/>
      <c r="Y222" s="16"/>
      <c r="Z222" s="17"/>
    </row>
    <row r="223" spans="19:26" x14ac:dyDescent="0.3">
      <c r="S223" s="14"/>
      <c r="T223" s="14"/>
      <c r="U223" s="14"/>
      <c r="V223" s="12"/>
      <c r="W223" s="12"/>
      <c r="X223" s="12"/>
      <c r="Y223" s="16"/>
      <c r="Z223" s="17"/>
    </row>
    <row r="224" spans="19:26" x14ac:dyDescent="0.3">
      <c r="S224" s="14"/>
      <c r="T224" s="14"/>
      <c r="U224" s="14"/>
      <c r="V224" s="12"/>
      <c r="W224" s="12"/>
      <c r="X224" s="12"/>
      <c r="Y224" s="16"/>
      <c r="Z224" s="17"/>
    </row>
    <row r="225" spans="19:26" x14ac:dyDescent="0.3">
      <c r="S225" s="14"/>
      <c r="T225" s="14"/>
      <c r="U225" s="14"/>
      <c r="V225" s="12"/>
      <c r="W225" s="12"/>
      <c r="X225" s="12"/>
      <c r="Y225" s="16"/>
      <c r="Z225" s="17"/>
    </row>
    <row r="226" spans="19:26" x14ac:dyDescent="0.3">
      <c r="S226" s="14"/>
      <c r="T226" s="14"/>
      <c r="U226" s="14"/>
      <c r="V226" s="12"/>
      <c r="W226" s="12"/>
      <c r="X226" s="12"/>
      <c r="Y226" s="16"/>
      <c r="Z226" s="17"/>
    </row>
    <row r="227" spans="19:26" x14ac:dyDescent="0.3">
      <c r="S227" s="14"/>
      <c r="T227" s="14"/>
      <c r="U227" s="14"/>
      <c r="V227" s="12"/>
      <c r="W227" s="12"/>
      <c r="X227" s="12"/>
      <c r="Y227" s="16"/>
      <c r="Z227" s="17"/>
    </row>
    <row r="228" spans="19:26" x14ac:dyDescent="0.3">
      <c r="S228" s="14"/>
      <c r="T228" s="14"/>
      <c r="U228" s="14"/>
      <c r="V228" s="12"/>
      <c r="W228" s="12"/>
      <c r="X228" s="12"/>
      <c r="Y228" s="16"/>
      <c r="Z228" s="17"/>
    </row>
    <row r="229" spans="19:26" x14ac:dyDescent="0.3">
      <c r="S229" s="14"/>
      <c r="T229" s="14"/>
      <c r="U229" s="14"/>
      <c r="V229" s="12"/>
      <c r="W229" s="12"/>
      <c r="X229" s="12"/>
      <c r="Y229" s="16"/>
      <c r="Z229" s="17"/>
    </row>
    <row r="230" spans="19:26" x14ac:dyDescent="0.3">
      <c r="S230" s="14"/>
      <c r="T230" s="14"/>
      <c r="U230" s="14"/>
      <c r="V230" s="12"/>
      <c r="W230" s="12"/>
      <c r="X230" s="12"/>
      <c r="Y230" s="16"/>
      <c r="Z230" s="17"/>
    </row>
    <row r="231" spans="19:26" x14ac:dyDescent="0.3">
      <c r="S231" s="14"/>
      <c r="T231" s="14"/>
      <c r="U231" s="14"/>
      <c r="V231" s="12"/>
      <c r="W231" s="12"/>
      <c r="X231" s="12"/>
      <c r="Y231" s="16"/>
      <c r="Z231" s="17"/>
    </row>
    <row r="232" spans="19:26" x14ac:dyDescent="0.3">
      <c r="S232" s="14"/>
      <c r="T232" s="14"/>
      <c r="U232" s="14"/>
      <c r="V232" s="12"/>
      <c r="W232" s="12"/>
      <c r="X232" s="12"/>
      <c r="Y232" s="16"/>
      <c r="Z232" s="17"/>
    </row>
    <row r="233" spans="19:26" x14ac:dyDescent="0.3">
      <c r="S233" s="14"/>
      <c r="T233" s="14"/>
      <c r="U233" s="14"/>
      <c r="V233" s="12"/>
      <c r="W233" s="12"/>
      <c r="X233" s="12"/>
      <c r="Y233" s="16"/>
      <c r="Z233" s="17"/>
    </row>
    <row r="234" spans="19:26" x14ac:dyDescent="0.3">
      <c r="S234" s="14"/>
      <c r="T234" s="14"/>
      <c r="U234" s="14"/>
      <c r="V234" s="12"/>
      <c r="W234" s="12"/>
      <c r="X234" s="12"/>
      <c r="Y234" s="16"/>
      <c r="Z234" s="17"/>
    </row>
    <row r="235" spans="19:26" x14ac:dyDescent="0.3">
      <c r="S235" s="14"/>
      <c r="T235" s="14"/>
      <c r="U235" s="14"/>
      <c r="V235" s="12"/>
      <c r="W235" s="12"/>
      <c r="X235" s="12"/>
      <c r="Y235" s="16"/>
      <c r="Z235" s="17"/>
    </row>
    <row r="236" spans="19:26" x14ac:dyDescent="0.3">
      <c r="S236" s="14"/>
      <c r="T236" s="14"/>
      <c r="U236" s="14"/>
      <c r="V236" s="12"/>
      <c r="W236" s="12"/>
      <c r="X236" s="12"/>
      <c r="Y236" s="16"/>
      <c r="Z236" s="17"/>
    </row>
    <row r="237" spans="19:26" x14ac:dyDescent="0.3">
      <c r="S237" s="14"/>
      <c r="T237" s="14"/>
      <c r="U237" s="14"/>
      <c r="V237" s="12"/>
      <c r="W237" s="12"/>
      <c r="X237" s="12"/>
      <c r="Y237" s="16"/>
      <c r="Z237" s="17"/>
    </row>
    <row r="238" spans="19:26" x14ac:dyDescent="0.3">
      <c r="S238" s="14"/>
      <c r="T238" s="14"/>
      <c r="U238" s="14"/>
      <c r="V238" s="12"/>
      <c r="W238" s="12"/>
      <c r="X238" s="12"/>
      <c r="Y238" s="16"/>
      <c r="Z238" s="17"/>
    </row>
    <row r="239" spans="19:26" x14ac:dyDescent="0.3">
      <c r="S239" s="14"/>
      <c r="T239" s="14"/>
      <c r="U239" s="14"/>
      <c r="V239" s="12"/>
      <c r="W239" s="12"/>
      <c r="X239" s="12"/>
      <c r="Y239" s="16"/>
      <c r="Z239" s="17"/>
    </row>
    <row r="240" spans="19:26" x14ac:dyDescent="0.3">
      <c r="S240" s="14"/>
      <c r="T240" s="14"/>
      <c r="U240" s="14"/>
      <c r="V240" s="12"/>
      <c r="W240" s="12"/>
      <c r="X240" s="12"/>
      <c r="Y240" s="16"/>
      <c r="Z240" s="17"/>
    </row>
    <row r="241" spans="19:26" x14ac:dyDescent="0.3">
      <c r="S241" s="14"/>
      <c r="T241" s="14"/>
      <c r="U241" s="14"/>
      <c r="V241" s="12"/>
      <c r="W241" s="12"/>
      <c r="X241" s="12"/>
      <c r="Y241" s="16"/>
      <c r="Z241" s="17"/>
    </row>
    <row r="242" spans="19:26" x14ac:dyDescent="0.3">
      <c r="S242" s="14"/>
      <c r="T242" s="14"/>
      <c r="U242" s="14"/>
      <c r="V242" s="12"/>
      <c r="W242" s="12"/>
      <c r="X242" s="12"/>
      <c r="Y242" s="16"/>
      <c r="Z242" s="17"/>
    </row>
    <row r="243" spans="19:26" x14ac:dyDescent="0.3">
      <c r="S243" s="14"/>
      <c r="T243" s="14"/>
      <c r="U243" s="14"/>
      <c r="V243" s="12"/>
      <c r="W243" s="12"/>
      <c r="X243" s="12"/>
      <c r="Y243" s="16"/>
      <c r="Z243" s="17"/>
    </row>
    <row r="244" spans="19:26" x14ac:dyDescent="0.3">
      <c r="S244" s="14"/>
      <c r="T244" s="14"/>
      <c r="U244" s="14"/>
      <c r="V244" s="12"/>
      <c r="W244" s="12"/>
      <c r="X244" s="12"/>
      <c r="Y244" s="16"/>
      <c r="Z244" s="17"/>
    </row>
    <row r="245" spans="19:26" x14ac:dyDescent="0.3">
      <c r="S245" s="14"/>
      <c r="T245" s="14"/>
      <c r="U245" s="14"/>
      <c r="V245" s="12"/>
      <c r="W245" s="12"/>
      <c r="X245" s="12"/>
      <c r="Y245" s="16"/>
      <c r="Z245" s="17"/>
    </row>
    <row r="246" spans="19:26" x14ac:dyDescent="0.3">
      <c r="S246" s="14"/>
      <c r="T246" s="14"/>
      <c r="U246" s="14"/>
      <c r="V246" s="12"/>
      <c r="W246" s="12"/>
      <c r="X246" s="12"/>
      <c r="Y246" s="16"/>
      <c r="Z246" s="17"/>
    </row>
    <row r="247" spans="19:26" x14ac:dyDescent="0.3">
      <c r="S247" s="14"/>
      <c r="T247" s="14"/>
      <c r="U247" s="14"/>
      <c r="V247" s="12"/>
      <c r="W247" s="12"/>
      <c r="X247" s="12"/>
      <c r="Y247" s="16"/>
      <c r="Z247" s="17"/>
    </row>
    <row r="248" spans="19:26" x14ac:dyDescent="0.3">
      <c r="S248" s="14"/>
      <c r="T248" s="14"/>
      <c r="U248" s="14"/>
      <c r="V248" s="12"/>
      <c r="W248" s="12"/>
      <c r="X248" s="12"/>
      <c r="Y248" s="16"/>
      <c r="Z248" s="17"/>
    </row>
    <row r="249" spans="19:26" x14ac:dyDescent="0.3">
      <c r="S249" s="14"/>
      <c r="T249" s="14"/>
      <c r="U249" s="14"/>
      <c r="V249" s="12"/>
      <c r="W249" s="12"/>
      <c r="X249" s="12"/>
      <c r="Y249" s="16"/>
      <c r="Z249" s="17"/>
    </row>
    <row r="250" spans="19:26" x14ac:dyDescent="0.3">
      <c r="S250" s="14"/>
      <c r="T250" s="14"/>
      <c r="U250" s="14"/>
      <c r="V250" s="12"/>
      <c r="W250" s="12"/>
      <c r="X250" s="12"/>
      <c r="Y250" s="16"/>
      <c r="Z250" s="17"/>
    </row>
    <row r="251" spans="19:26" x14ac:dyDescent="0.3">
      <c r="S251" s="14"/>
      <c r="T251" s="14"/>
      <c r="U251" s="14"/>
      <c r="V251" s="12"/>
      <c r="W251" s="12"/>
      <c r="X251" s="12"/>
      <c r="Y251" s="16"/>
      <c r="Z251" s="17"/>
    </row>
    <row r="252" spans="19:26" x14ac:dyDescent="0.3">
      <c r="S252" s="14"/>
      <c r="T252" s="14"/>
      <c r="U252" s="14"/>
      <c r="V252" s="12"/>
      <c r="W252" s="12"/>
      <c r="X252" s="12"/>
      <c r="Y252" s="16"/>
      <c r="Z252" s="17"/>
    </row>
    <row r="253" spans="19:26" x14ac:dyDescent="0.3">
      <c r="S253" s="14"/>
      <c r="T253" s="14"/>
      <c r="U253" s="14"/>
      <c r="V253" s="12"/>
      <c r="W253" s="12"/>
      <c r="X253" s="12"/>
      <c r="Y253" s="16"/>
      <c r="Z253" s="17"/>
    </row>
    <row r="254" spans="19:26" x14ac:dyDescent="0.3">
      <c r="S254" s="14"/>
      <c r="T254" s="14"/>
      <c r="U254" s="14"/>
      <c r="V254" s="12"/>
      <c r="W254" s="12"/>
      <c r="X254" s="12"/>
      <c r="Y254" s="16"/>
      <c r="Z254" s="17"/>
    </row>
    <row r="255" spans="19:26" x14ac:dyDescent="0.3">
      <c r="S255" s="14"/>
      <c r="T255" s="14"/>
      <c r="U255" s="14"/>
      <c r="V255" s="12"/>
      <c r="W255" s="12"/>
      <c r="X255" s="12"/>
      <c r="Y255" s="16"/>
      <c r="Z255" s="17"/>
    </row>
    <row r="256" spans="19:26" x14ac:dyDescent="0.3">
      <c r="S256" s="14"/>
      <c r="T256" s="14"/>
      <c r="U256" s="14"/>
      <c r="V256" s="12"/>
      <c r="W256" s="12"/>
      <c r="X256" s="12"/>
      <c r="Y256" s="16"/>
      <c r="Z256" s="17"/>
    </row>
    <row r="257" spans="19:26" x14ac:dyDescent="0.3">
      <c r="S257" s="14"/>
      <c r="T257" s="14"/>
      <c r="U257" s="14"/>
      <c r="V257" s="12"/>
      <c r="W257" s="12"/>
      <c r="X257" s="12"/>
      <c r="Y257" s="16"/>
      <c r="Z257" s="17"/>
    </row>
    <row r="258" spans="19:26" x14ac:dyDescent="0.3">
      <c r="S258" s="14"/>
      <c r="T258" s="14"/>
      <c r="U258" s="14"/>
      <c r="V258" s="12"/>
      <c r="W258" s="12"/>
      <c r="X258" s="12"/>
      <c r="Y258" s="16"/>
      <c r="Z258" s="17"/>
    </row>
    <row r="259" spans="19:26" x14ac:dyDescent="0.3">
      <c r="S259" s="14"/>
      <c r="T259" s="14"/>
      <c r="U259" s="14"/>
      <c r="V259" s="12"/>
      <c r="W259" s="12"/>
      <c r="X259" s="12"/>
      <c r="Y259" s="16"/>
      <c r="Z259" s="17"/>
    </row>
    <row r="260" spans="19:26" x14ac:dyDescent="0.3">
      <c r="S260" s="14"/>
      <c r="T260" s="14"/>
      <c r="U260" s="14"/>
      <c r="V260" s="12"/>
      <c r="W260" s="12"/>
      <c r="X260" s="12"/>
      <c r="Y260" s="16"/>
      <c r="Z260" s="17"/>
    </row>
    <row r="261" spans="19:26" x14ac:dyDescent="0.3">
      <c r="S261" s="14"/>
      <c r="T261" s="14"/>
      <c r="U261" s="14"/>
      <c r="V261" s="12"/>
      <c r="W261" s="12"/>
      <c r="X261" s="12"/>
      <c r="Y261" s="16"/>
      <c r="Z261" s="17"/>
    </row>
    <row r="262" spans="19:26" x14ac:dyDescent="0.3">
      <c r="S262" s="14"/>
      <c r="T262" s="14"/>
      <c r="U262" s="14"/>
      <c r="V262" s="12"/>
      <c r="W262" s="12"/>
      <c r="X262" s="12"/>
      <c r="Y262" s="16"/>
      <c r="Z262" s="17"/>
    </row>
    <row r="263" spans="19:26" x14ac:dyDescent="0.3">
      <c r="S263" s="14"/>
      <c r="T263" s="14"/>
      <c r="U263" s="14"/>
      <c r="V263" s="12"/>
      <c r="W263" s="12"/>
      <c r="X263" s="12"/>
      <c r="Y263" s="16"/>
      <c r="Z263" s="17"/>
    </row>
    <row r="264" spans="19:26" x14ac:dyDescent="0.3">
      <c r="S264" s="14"/>
      <c r="T264" s="14"/>
      <c r="U264" s="14"/>
      <c r="V264" s="12"/>
      <c r="W264" s="12"/>
      <c r="X264" s="12"/>
      <c r="Y264" s="16"/>
      <c r="Z264" s="17"/>
    </row>
    <row r="265" spans="19:26" x14ac:dyDescent="0.3">
      <c r="S265" s="14"/>
      <c r="T265" s="14"/>
      <c r="U265" s="14"/>
      <c r="V265" s="12"/>
      <c r="W265" s="12"/>
      <c r="X265" s="12"/>
      <c r="Y265" s="16"/>
      <c r="Z265" s="17"/>
    </row>
    <row r="266" spans="19:26" x14ac:dyDescent="0.3">
      <c r="S266" s="14"/>
      <c r="T266" s="14"/>
      <c r="U266" s="14"/>
      <c r="V266" s="12"/>
      <c r="W266" s="12"/>
      <c r="X266" s="12"/>
      <c r="Y266" s="16"/>
      <c r="Z266" s="17"/>
    </row>
    <row r="267" spans="19:26" x14ac:dyDescent="0.3">
      <c r="S267" s="14"/>
      <c r="T267" s="14"/>
      <c r="U267" s="14"/>
      <c r="V267" s="12"/>
      <c r="W267" s="12"/>
      <c r="X267" s="12"/>
      <c r="Y267" s="16"/>
      <c r="Z267" s="17"/>
    </row>
    <row r="268" spans="19:26" x14ac:dyDescent="0.3">
      <c r="S268" s="14"/>
      <c r="T268" s="14"/>
      <c r="U268" s="14"/>
      <c r="V268" s="12"/>
      <c r="W268" s="12"/>
      <c r="X268" s="12"/>
      <c r="Y268" s="16"/>
      <c r="Z268" s="17"/>
    </row>
    <row r="269" spans="19:26" x14ac:dyDescent="0.3">
      <c r="S269" s="14"/>
      <c r="T269" s="14"/>
      <c r="U269" s="14"/>
      <c r="V269" s="12"/>
      <c r="W269" s="12"/>
      <c r="X269" s="12"/>
      <c r="Y269" s="16"/>
      <c r="Z269" s="17"/>
    </row>
    <row r="270" spans="19:26" x14ac:dyDescent="0.3">
      <c r="S270" s="14"/>
      <c r="T270" s="14"/>
      <c r="U270" s="14"/>
      <c r="V270" s="12"/>
      <c r="W270" s="12"/>
      <c r="X270" s="12"/>
      <c r="Y270" s="16"/>
      <c r="Z270" s="17"/>
    </row>
    <row r="271" spans="19:26" x14ac:dyDescent="0.3">
      <c r="S271" s="14"/>
      <c r="T271" s="14"/>
      <c r="U271" s="14"/>
      <c r="V271" s="12"/>
      <c r="W271" s="12"/>
      <c r="X271" s="12"/>
      <c r="Y271" s="16"/>
      <c r="Z271" s="17"/>
    </row>
    <row r="272" spans="19:26" x14ac:dyDescent="0.3">
      <c r="S272" s="14"/>
      <c r="T272" s="14"/>
      <c r="U272" s="14"/>
      <c r="V272" s="12"/>
      <c r="W272" s="12"/>
      <c r="X272" s="12"/>
      <c r="Y272" s="16"/>
      <c r="Z272" s="17"/>
    </row>
    <row r="273" spans="19:26" x14ac:dyDescent="0.3">
      <c r="S273" s="14"/>
      <c r="T273" s="14"/>
      <c r="U273" s="14"/>
      <c r="V273" s="12"/>
      <c r="W273" s="12"/>
      <c r="X273" s="12"/>
      <c r="Y273" s="16"/>
      <c r="Z273" s="17"/>
    </row>
    <row r="274" spans="19:26" x14ac:dyDescent="0.3">
      <c r="S274" s="14"/>
      <c r="T274" s="14"/>
      <c r="U274" s="14"/>
      <c r="V274" s="12"/>
      <c r="W274" s="12"/>
      <c r="X274" s="12"/>
      <c r="Y274" s="16"/>
      <c r="Z274" s="17"/>
    </row>
    <row r="275" spans="19:26" x14ac:dyDescent="0.3">
      <c r="S275" s="14"/>
      <c r="T275" s="14"/>
      <c r="U275" s="14"/>
      <c r="V275" s="12"/>
      <c r="W275" s="12"/>
      <c r="X275" s="12"/>
      <c r="Y275" s="16"/>
      <c r="Z275" s="17"/>
    </row>
    <row r="276" spans="19:26" x14ac:dyDescent="0.3">
      <c r="S276" s="14"/>
      <c r="T276" s="14"/>
      <c r="U276" s="14"/>
      <c r="V276" s="12"/>
      <c r="W276" s="12"/>
      <c r="X276" s="12"/>
      <c r="Y276" s="16"/>
      <c r="Z276" s="17"/>
    </row>
    <row r="277" spans="19:26" x14ac:dyDescent="0.3">
      <c r="S277" s="14"/>
      <c r="T277" s="14"/>
      <c r="U277" s="14"/>
      <c r="V277" s="12"/>
      <c r="W277" s="12"/>
      <c r="X277" s="12"/>
      <c r="Y277" s="16"/>
      <c r="Z277" s="17"/>
    </row>
    <row r="278" spans="19:26" x14ac:dyDescent="0.3">
      <c r="S278" s="14"/>
      <c r="T278" s="14"/>
      <c r="U278" s="14"/>
      <c r="V278" s="12"/>
      <c r="W278" s="12"/>
      <c r="X278" s="12"/>
      <c r="Y278" s="16"/>
      <c r="Z278" s="17"/>
    </row>
    <row r="279" spans="19:26" x14ac:dyDescent="0.3">
      <c r="S279" s="14"/>
      <c r="T279" s="14"/>
      <c r="U279" s="14"/>
      <c r="V279" s="12"/>
      <c r="W279" s="12"/>
      <c r="X279" s="12"/>
      <c r="Y279" s="16"/>
      <c r="Z279" s="17"/>
    </row>
    <row r="280" spans="19:26" x14ac:dyDescent="0.3">
      <c r="S280" s="14"/>
      <c r="T280" s="14"/>
      <c r="U280" s="14"/>
      <c r="V280" s="12"/>
      <c r="W280" s="12"/>
      <c r="X280" s="12"/>
      <c r="Y280" s="16"/>
      <c r="Z280" s="17"/>
    </row>
    <row r="281" spans="19:26" x14ac:dyDescent="0.3">
      <c r="S281" s="14"/>
      <c r="T281" s="14"/>
      <c r="U281" s="14"/>
      <c r="V281" s="12"/>
      <c r="W281" s="12"/>
      <c r="X281" s="12"/>
      <c r="Y281" s="16"/>
      <c r="Z281" s="17"/>
    </row>
    <row r="282" spans="19:26" x14ac:dyDescent="0.3">
      <c r="S282" s="14"/>
      <c r="T282" s="14"/>
      <c r="U282" s="14"/>
      <c r="V282" s="12"/>
      <c r="W282" s="12"/>
      <c r="X282" s="12"/>
      <c r="Y282" s="16"/>
      <c r="Z282" s="17"/>
    </row>
    <row r="283" spans="19:26" x14ac:dyDescent="0.3">
      <c r="S283" s="14"/>
      <c r="T283" s="14"/>
      <c r="U283" s="14"/>
      <c r="V283" s="12"/>
      <c r="W283" s="12"/>
      <c r="X283" s="12"/>
      <c r="Y283" s="16"/>
      <c r="Z283" s="17"/>
    </row>
    <row r="284" spans="19:26" x14ac:dyDescent="0.3">
      <c r="S284" s="14"/>
      <c r="T284" s="14"/>
      <c r="U284" s="14"/>
      <c r="V284" s="12"/>
      <c r="W284" s="12"/>
      <c r="X284" s="12"/>
      <c r="Y284" s="16"/>
      <c r="Z284" s="17"/>
    </row>
    <row r="285" spans="19:26" x14ac:dyDescent="0.3">
      <c r="S285" s="14"/>
      <c r="T285" s="14"/>
      <c r="U285" s="14"/>
      <c r="V285" s="12"/>
      <c r="W285" s="12"/>
      <c r="X285" s="12"/>
      <c r="Y285" s="16"/>
      <c r="Z285" s="17"/>
    </row>
    <row r="286" spans="19:26" x14ac:dyDescent="0.3">
      <c r="S286" s="14"/>
      <c r="T286" s="14"/>
      <c r="U286" s="14"/>
      <c r="V286" s="12"/>
      <c r="W286" s="12"/>
      <c r="X286" s="12"/>
      <c r="Y286" s="16"/>
      <c r="Z286" s="17"/>
    </row>
    <row r="287" spans="19:26" x14ac:dyDescent="0.3">
      <c r="S287" s="14"/>
      <c r="T287" s="14"/>
      <c r="U287" s="14"/>
      <c r="V287" s="12"/>
      <c r="W287" s="12"/>
      <c r="X287" s="12"/>
      <c r="Y287" s="16"/>
      <c r="Z287" s="17"/>
    </row>
    <row r="288" spans="19:26" x14ac:dyDescent="0.3">
      <c r="S288" s="14"/>
      <c r="T288" s="14"/>
      <c r="U288" s="14"/>
      <c r="V288" s="12"/>
      <c r="W288" s="12"/>
      <c r="X288" s="12"/>
      <c r="Y288" s="16"/>
      <c r="Z288" s="17"/>
    </row>
    <row r="289" spans="1:26" x14ac:dyDescent="0.3">
      <c r="S289" s="14"/>
      <c r="T289" s="14"/>
      <c r="U289" s="14"/>
      <c r="V289" s="12"/>
      <c r="W289" s="12"/>
      <c r="X289" s="12"/>
      <c r="Y289" s="16"/>
      <c r="Z289" s="17"/>
    </row>
    <row r="290" spans="1:26" x14ac:dyDescent="0.3">
      <c r="S290" s="14"/>
      <c r="T290" s="14"/>
      <c r="U290" s="14"/>
      <c r="V290" s="12"/>
      <c r="W290" s="12"/>
      <c r="X290" s="12"/>
      <c r="Y290" s="16"/>
      <c r="Z290" s="17"/>
    </row>
    <row r="291" spans="1:26" x14ac:dyDescent="0.3">
      <c r="S291" s="14"/>
      <c r="T291" s="14"/>
      <c r="U291" s="14"/>
      <c r="V291" s="12"/>
      <c r="W291" s="12"/>
      <c r="X291" s="12"/>
      <c r="Y291" s="16"/>
      <c r="Z291" s="17"/>
    </row>
    <row r="292" spans="1:26" x14ac:dyDescent="0.3">
      <c r="S292" s="14"/>
      <c r="T292" s="14"/>
      <c r="U292" s="14"/>
      <c r="V292" s="12"/>
      <c r="W292" s="12"/>
      <c r="X292" s="12"/>
      <c r="Y292" s="16"/>
      <c r="Z292" s="17"/>
    </row>
    <row r="293" spans="1:26" x14ac:dyDescent="0.3">
      <c r="S293" s="14"/>
      <c r="T293" s="14"/>
      <c r="U293" s="14"/>
      <c r="V293" s="12"/>
      <c r="W293" s="12"/>
      <c r="X293" s="12"/>
      <c r="Y293" s="16"/>
      <c r="Z293" s="17"/>
    </row>
    <row r="294" spans="1:26" x14ac:dyDescent="0.3">
      <c r="S294" s="14"/>
      <c r="T294" s="14"/>
      <c r="U294" s="14"/>
      <c r="V294" s="12"/>
      <c r="W294" s="12"/>
      <c r="X294" s="12"/>
      <c r="Y294" s="16"/>
      <c r="Z294" s="17"/>
    </row>
    <row r="295" spans="1:26" x14ac:dyDescent="0.3">
      <c r="S295" s="14"/>
      <c r="T295" s="14"/>
      <c r="U295" s="14"/>
      <c r="V295" s="12"/>
      <c r="W295" s="12"/>
      <c r="X295" s="12"/>
      <c r="Y295" s="16"/>
      <c r="Z295" s="17"/>
    </row>
    <row r="296" spans="1:26" x14ac:dyDescent="0.3">
      <c r="A296" s="14"/>
      <c r="B296" s="14"/>
      <c r="C296" s="14"/>
      <c r="D296" s="14"/>
      <c r="E296" s="14"/>
      <c r="F296" s="14"/>
      <c r="G296" s="14"/>
      <c r="H296" s="14"/>
      <c r="I296" s="14"/>
      <c r="J296" s="14"/>
      <c r="K296" s="14"/>
      <c r="L296" s="14"/>
      <c r="M296" s="14"/>
      <c r="N296" s="14"/>
      <c r="O296" s="14"/>
      <c r="P296" s="14"/>
      <c r="Q296" s="14"/>
      <c r="R296" s="15"/>
      <c r="S296" s="14"/>
      <c r="T296" s="14"/>
      <c r="U296" s="14"/>
      <c r="V296" s="12"/>
      <c r="W296" s="12"/>
      <c r="X296" s="12"/>
      <c r="Y296" s="16"/>
      <c r="Z296" s="17"/>
    </row>
    <row r="297" spans="1:26" x14ac:dyDescent="0.3">
      <c r="S297" s="14"/>
      <c r="T297" s="14"/>
      <c r="U297" s="14"/>
      <c r="V297" s="12"/>
      <c r="W297" s="12"/>
      <c r="X297" s="12"/>
      <c r="Y297" s="16"/>
      <c r="Z297" s="17"/>
    </row>
    <row r="298" spans="1:26" x14ac:dyDescent="0.3">
      <c r="S298" s="14"/>
      <c r="T298" s="14"/>
      <c r="U298" s="14"/>
      <c r="V298" s="12"/>
      <c r="W298" s="12"/>
      <c r="X298" s="12"/>
      <c r="Y298" s="16"/>
      <c r="Z298" s="17"/>
    </row>
    <row r="299" spans="1:26" x14ac:dyDescent="0.3">
      <c r="S299" s="14"/>
      <c r="T299" s="14"/>
      <c r="U299" s="14"/>
      <c r="V299" s="12"/>
      <c r="W299" s="12"/>
      <c r="X299" s="12"/>
      <c r="Y299" s="16"/>
      <c r="Z299" s="17"/>
    </row>
    <row r="300" spans="1:26" x14ac:dyDescent="0.3">
      <c r="S300" s="14"/>
      <c r="T300" s="14"/>
      <c r="U300" s="14"/>
      <c r="V300" s="12"/>
      <c r="W300" s="12"/>
      <c r="X300" s="12"/>
      <c r="Y300" s="16"/>
      <c r="Z300" s="17"/>
    </row>
    <row r="301" spans="1:26" x14ac:dyDescent="0.3">
      <c r="S301" s="14"/>
      <c r="T301" s="14"/>
      <c r="U301" s="14"/>
      <c r="V301" s="12"/>
      <c r="W301" s="12"/>
      <c r="X301" s="12"/>
      <c r="Y301" s="16"/>
      <c r="Z301" s="17"/>
    </row>
    <row r="302" spans="1:26" x14ac:dyDescent="0.3">
      <c r="S302" s="14"/>
      <c r="T302" s="14"/>
      <c r="U302" s="14"/>
      <c r="V302" s="12"/>
      <c r="W302" s="12"/>
      <c r="X302" s="12"/>
      <c r="Y302" s="16"/>
      <c r="Z302" s="17"/>
    </row>
    <row r="303" spans="1:26" x14ac:dyDescent="0.3">
      <c r="S303" s="14"/>
      <c r="T303" s="14"/>
      <c r="U303" s="14"/>
      <c r="V303" s="12"/>
      <c r="W303" s="12"/>
      <c r="X303" s="12"/>
      <c r="Y303" s="16"/>
      <c r="Z303" s="17"/>
    </row>
    <row r="304" spans="1:26" x14ac:dyDescent="0.3">
      <c r="S304" s="14"/>
      <c r="T304" s="14"/>
      <c r="U304" s="14"/>
      <c r="V304" s="12"/>
      <c r="W304" s="12"/>
      <c r="X304" s="12"/>
      <c r="Y304" s="16"/>
      <c r="Z304" s="17"/>
    </row>
    <row r="305" spans="1:26" x14ac:dyDescent="0.3">
      <c r="S305" s="14"/>
      <c r="T305" s="14"/>
      <c r="U305" s="14"/>
      <c r="V305" s="12"/>
      <c r="W305" s="12"/>
      <c r="X305" s="12"/>
      <c r="Y305" s="16"/>
      <c r="Z305" s="17"/>
    </row>
    <row r="306" spans="1:26" x14ac:dyDescent="0.3">
      <c r="A306" s="14"/>
      <c r="B306" s="14"/>
      <c r="C306" s="14"/>
      <c r="D306" s="14"/>
      <c r="E306" s="14"/>
      <c r="F306" s="14"/>
      <c r="G306" s="14"/>
      <c r="H306" s="14"/>
      <c r="I306" s="14"/>
      <c r="J306" s="14"/>
      <c r="K306" s="14"/>
      <c r="L306" s="14"/>
      <c r="M306" s="14"/>
      <c r="N306" s="14"/>
      <c r="O306" s="14"/>
      <c r="P306" s="14"/>
      <c r="Q306" s="14"/>
      <c r="R306" s="15"/>
      <c r="S306" s="14"/>
      <c r="T306" s="14"/>
      <c r="U306" s="14"/>
      <c r="V306" s="12"/>
      <c r="W306" s="12"/>
      <c r="X306" s="12"/>
      <c r="Y306" s="16"/>
      <c r="Z306" s="17"/>
    </row>
    <row r="307" spans="1:26" x14ac:dyDescent="0.3">
      <c r="S307" s="14"/>
      <c r="T307" s="14"/>
      <c r="U307" s="14"/>
      <c r="V307" s="12"/>
      <c r="W307" s="12"/>
      <c r="X307" s="12"/>
      <c r="Y307" s="16"/>
      <c r="Z307" s="17"/>
    </row>
    <row r="308" spans="1:26" x14ac:dyDescent="0.3">
      <c r="S308" s="14"/>
      <c r="T308" s="14"/>
      <c r="U308" s="14"/>
      <c r="V308" s="12"/>
      <c r="W308" s="12"/>
      <c r="X308" s="12"/>
      <c r="Y308" s="16"/>
      <c r="Z308" s="17"/>
    </row>
    <row r="309" spans="1:26" x14ac:dyDescent="0.3">
      <c r="S309" s="14"/>
      <c r="T309" s="14"/>
      <c r="U309" s="14"/>
      <c r="V309" s="12"/>
      <c r="W309" s="12"/>
      <c r="X309" s="12"/>
      <c r="Y309" s="16"/>
      <c r="Z309" s="17"/>
    </row>
    <row r="310" spans="1:26" x14ac:dyDescent="0.3">
      <c r="S310" s="14"/>
      <c r="T310" s="14"/>
      <c r="U310" s="14"/>
      <c r="V310" s="12"/>
      <c r="W310" s="12"/>
      <c r="X310" s="12"/>
      <c r="Y310" s="16"/>
      <c r="Z310" s="17"/>
    </row>
    <row r="311" spans="1:26" x14ac:dyDescent="0.3">
      <c r="A311" s="14"/>
      <c r="B311" s="14"/>
      <c r="C311" s="14"/>
      <c r="D311" s="14"/>
      <c r="E311" s="14"/>
      <c r="F311" s="14"/>
      <c r="G311" s="14"/>
      <c r="H311" s="14"/>
      <c r="I311" s="14"/>
      <c r="J311" s="14"/>
      <c r="K311" s="14"/>
      <c r="L311" s="14"/>
      <c r="M311" s="14"/>
      <c r="N311" s="14"/>
      <c r="O311" s="14"/>
      <c r="P311" s="14"/>
      <c r="Q311" s="14"/>
      <c r="R311" s="15"/>
      <c r="S311" s="14"/>
      <c r="T311" s="14"/>
      <c r="U311" s="14"/>
      <c r="V311" s="12"/>
      <c r="W311" s="12"/>
      <c r="X311" s="12"/>
      <c r="Y311" s="16"/>
      <c r="Z311" s="17"/>
    </row>
    <row r="312" spans="1:26" x14ac:dyDescent="0.3">
      <c r="S312" s="14"/>
      <c r="T312" s="14"/>
      <c r="U312" s="14"/>
      <c r="V312" s="12"/>
      <c r="W312" s="12"/>
      <c r="X312" s="12"/>
      <c r="Y312" s="16"/>
      <c r="Z312" s="17"/>
    </row>
    <row r="313" spans="1:26" x14ac:dyDescent="0.3">
      <c r="S313" s="14"/>
      <c r="T313" s="14"/>
      <c r="U313" s="14"/>
      <c r="V313" s="12"/>
      <c r="W313" s="12"/>
      <c r="X313" s="12"/>
      <c r="Y313" s="16"/>
      <c r="Z313" s="17"/>
    </row>
    <row r="314" spans="1:26" x14ac:dyDescent="0.3">
      <c r="S314" s="14"/>
      <c r="T314" s="14"/>
      <c r="U314" s="14"/>
      <c r="V314" s="12"/>
      <c r="W314" s="12"/>
      <c r="X314" s="12"/>
      <c r="Y314" s="16"/>
      <c r="Z314" s="17"/>
    </row>
    <row r="315" spans="1:26" x14ac:dyDescent="0.3">
      <c r="S315" s="14"/>
      <c r="T315" s="14"/>
      <c r="U315" s="14"/>
      <c r="V315" s="12"/>
      <c r="W315" s="12"/>
      <c r="X315" s="12"/>
      <c r="Y315" s="16"/>
      <c r="Z315" s="17"/>
    </row>
    <row r="316" spans="1:26" x14ac:dyDescent="0.3">
      <c r="S316" s="14"/>
      <c r="T316" s="14"/>
      <c r="U316" s="14"/>
      <c r="V316" s="12"/>
      <c r="W316" s="12"/>
      <c r="X316" s="12"/>
      <c r="Y316" s="16"/>
      <c r="Z316" s="17"/>
    </row>
    <row r="317" spans="1:26" x14ac:dyDescent="0.3">
      <c r="S317" s="14"/>
      <c r="T317" s="14"/>
      <c r="U317" s="14"/>
      <c r="V317" s="12"/>
      <c r="W317" s="12"/>
      <c r="X317" s="12"/>
      <c r="Y317" s="16"/>
      <c r="Z317" s="17"/>
    </row>
    <row r="318" spans="1:26" x14ac:dyDescent="0.3">
      <c r="S318" s="14"/>
      <c r="T318" s="14"/>
      <c r="U318" s="14"/>
      <c r="V318" s="12"/>
      <c r="W318" s="12"/>
      <c r="X318" s="12"/>
      <c r="Y318" s="16"/>
      <c r="Z318" s="17"/>
    </row>
    <row r="319" spans="1:26" x14ac:dyDescent="0.3">
      <c r="S319" s="14"/>
      <c r="T319" s="14"/>
      <c r="U319" s="14"/>
      <c r="V319" s="12"/>
      <c r="W319" s="12"/>
      <c r="X319" s="12"/>
      <c r="Y319" s="16"/>
      <c r="Z319" s="17"/>
    </row>
    <row r="320" spans="1:26" x14ac:dyDescent="0.3">
      <c r="S320" s="14"/>
      <c r="T320" s="14"/>
      <c r="U320" s="14"/>
      <c r="V320" s="12"/>
      <c r="W320" s="12"/>
      <c r="X320" s="12"/>
      <c r="Y320" s="16"/>
      <c r="Z320" s="17"/>
    </row>
    <row r="321" spans="1:26" x14ac:dyDescent="0.3">
      <c r="A321" s="14"/>
      <c r="B321" s="14"/>
      <c r="C321" s="14"/>
      <c r="D321" s="14"/>
      <c r="E321" s="14"/>
      <c r="F321" s="14"/>
      <c r="G321" s="14"/>
      <c r="H321" s="14"/>
      <c r="I321" s="14"/>
      <c r="J321" s="14"/>
      <c r="K321" s="14"/>
      <c r="L321" s="14"/>
      <c r="M321" s="14"/>
      <c r="N321" s="14"/>
      <c r="O321" s="14"/>
      <c r="P321" s="14"/>
      <c r="Q321" s="14"/>
      <c r="R321" s="15"/>
      <c r="S321" s="14"/>
      <c r="T321" s="14"/>
      <c r="U321" s="14"/>
      <c r="V321" s="12"/>
      <c r="W321" s="12"/>
      <c r="X321" s="12"/>
      <c r="Y321" s="16"/>
      <c r="Z321" s="17"/>
    </row>
    <row r="322" spans="1:26" x14ac:dyDescent="0.3">
      <c r="S322" s="14"/>
      <c r="T322" s="14"/>
      <c r="U322" s="14"/>
      <c r="V322" s="12"/>
      <c r="W322" s="12"/>
      <c r="X322" s="12"/>
      <c r="Y322" s="16"/>
      <c r="Z322" s="17"/>
    </row>
    <row r="323" spans="1:26" x14ac:dyDescent="0.3">
      <c r="S323" s="14"/>
      <c r="T323" s="14"/>
      <c r="U323" s="14"/>
      <c r="V323" s="12"/>
      <c r="W323" s="12"/>
      <c r="X323" s="12"/>
      <c r="Y323" s="16"/>
      <c r="Z323" s="17"/>
    </row>
    <row r="324" spans="1:26" x14ac:dyDescent="0.3">
      <c r="S324" s="14"/>
      <c r="T324" s="14"/>
      <c r="U324" s="14"/>
      <c r="V324" s="12"/>
      <c r="W324" s="12"/>
      <c r="X324" s="12"/>
      <c r="Y324" s="16"/>
      <c r="Z324" s="17"/>
    </row>
    <row r="325" spans="1:26" x14ac:dyDescent="0.3">
      <c r="S325" s="14"/>
      <c r="T325" s="14"/>
      <c r="U325" s="14"/>
      <c r="V325" s="12"/>
      <c r="W325" s="12"/>
      <c r="X325" s="12"/>
      <c r="Y325" s="16"/>
      <c r="Z325" s="17"/>
    </row>
    <row r="326" spans="1:26" x14ac:dyDescent="0.3">
      <c r="S326" s="14"/>
      <c r="T326" s="14"/>
      <c r="U326" s="14"/>
      <c r="V326" s="12"/>
      <c r="W326" s="12"/>
      <c r="X326" s="12"/>
      <c r="Y326" s="16"/>
      <c r="Z326" s="17"/>
    </row>
    <row r="327" spans="1:26" x14ac:dyDescent="0.3">
      <c r="A327" s="14"/>
      <c r="B327" s="14"/>
      <c r="C327" s="14"/>
      <c r="D327" s="14"/>
      <c r="E327" s="14"/>
      <c r="F327" s="14"/>
      <c r="G327" s="14"/>
      <c r="H327" s="14"/>
      <c r="I327" s="14"/>
      <c r="J327" s="14"/>
      <c r="K327" s="14"/>
      <c r="L327" s="14"/>
      <c r="M327" s="14"/>
      <c r="N327" s="14"/>
      <c r="O327" s="14"/>
      <c r="P327" s="14"/>
      <c r="Q327" s="14"/>
      <c r="R327" s="15"/>
      <c r="S327" s="14"/>
      <c r="T327" s="14"/>
      <c r="U327" s="14"/>
      <c r="V327" s="12"/>
      <c r="W327" s="12"/>
      <c r="X327" s="12"/>
      <c r="Y327" s="16"/>
      <c r="Z327" s="17"/>
    </row>
    <row r="328" spans="1:26" x14ac:dyDescent="0.3">
      <c r="S328" s="14"/>
      <c r="T328" s="14"/>
      <c r="U328" s="14"/>
      <c r="V328" s="12"/>
      <c r="W328" s="12"/>
      <c r="X328" s="12"/>
      <c r="Y328" s="16"/>
      <c r="Z328" s="17"/>
    </row>
    <row r="329" spans="1:26" x14ac:dyDescent="0.3">
      <c r="S329" s="14"/>
      <c r="T329" s="14"/>
      <c r="U329" s="14"/>
      <c r="V329" s="12"/>
      <c r="W329" s="12"/>
      <c r="X329" s="12"/>
      <c r="Y329" s="16"/>
      <c r="Z329" s="17"/>
    </row>
    <row r="330" spans="1:26" x14ac:dyDescent="0.3">
      <c r="S330" s="14"/>
      <c r="T330" s="14"/>
      <c r="U330" s="14"/>
      <c r="V330" s="12"/>
      <c r="W330" s="12"/>
      <c r="X330" s="12"/>
      <c r="Y330" s="16"/>
      <c r="Z330" s="17"/>
    </row>
    <row r="331" spans="1:26" x14ac:dyDescent="0.3">
      <c r="S331" s="14"/>
      <c r="T331" s="14"/>
      <c r="U331" s="14"/>
      <c r="V331" s="12"/>
      <c r="W331" s="12"/>
      <c r="X331" s="12"/>
      <c r="Y331" s="16"/>
      <c r="Z331" s="17"/>
    </row>
    <row r="332" spans="1:26" x14ac:dyDescent="0.3">
      <c r="S332" s="14"/>
      <c r="T332" s="14"/>
      <c r="U332" s="14"/>
      <c r="V332" s="12"/>
      <c r="W332" s="12"/>
      <c r="X332" s="12"/>
      <c r="Y332" s="16"/>
      <c r="Z332" s="17"/>
    </row>
    <row r="333" spans="1:26" x14ac:dyDescent="0.3">
      <c r="S333" s="14"/>
      <c r="T333" s="14"/>
      <c r="U333" s="14"/>
      <c r="V333" s="12"/>
      <c r="W333" s="12"/>
      <c r="X333" s="12"/>
      <c r="Y333" s="16"/>
      <c r="Z333" s="17"/>
    </row>
    <row r="334" spans="1:26" x14ac:dyDescent="0.3">
      <c r="S334" s="14"/>
      <c r="T334" s="14"/>
      <c r="U334" s="14"/>
      <c r="V334" s="12"/>
      <c r="W334" s="12"/>
      <c r="X334" s="12"/>
      <c r="Y334" s="16"/>
      <c r="Z334" s="17"/>
    </row>
    <row r="335" spans="1:26" x14ac:dyDescent="0.3">
      <c r="S335" s="14"/>
      <c r="T335" s="14"/>
      <c r="U335" s="14"/>
      <c r="V335" s="12"/>
      <c r="W335" s="12"/>
      <c r="X335" s="12"/>
      <c r="Y335" s="16"/>
      <c r="Z335" s="17"/>
    </row>
    <row r="336" spans="1:26" x14ac:dyDescent="0.3">
      <c r="S336" s="14"/>
      <c r="T336" s="14"/>
      <c r="U336" s="14"/>
      <c r="V336" s="12"/>
      <c r="W336" s="12"/>
      <c r="X336" s="12"/>
      <c r="Y336" s="16"/>
      <c r="Z336" s="17"/>
    </row>
    <row r="337" spans="1:26" x14ac:dyDescent="0.3">
      <c r="S337" s="14"/>
      <c r="T337" s="14"/>
      <c r="U337" s="14"/>
      <c r="V337" s="12"/>
      <c r="W337" s="12"/>
      <c r="X337" s="12"/>
      <c r="Y337" s="16"/>
      <c r="Z337" s="17"/>
    </row>
    <row r="338" spans="1:26" x14ac:dyDescent="0.3">
      <c r="S338" s="14"/>
      <c r="T338" s="14"/>
      <c r="U338" s="14"/>
      <c r="V338" s="12"/>
      <c r="W338" s="12"/>
      <c r="X338" s="12"/>
      <c r="Y338" s="16"/>
      <c r="Z338" s="17"/>
    </row>
    <row r="339" spans="1:26" x14ac:dyDescent="0.3">
      <c r="A339" s="14"/>
      <c r="B339" s="14"/>
      <c r="C339" s="14"/>
      <c r="D339" s="14"/>
      <c r="E339" s="14"/>
      <c r="F339" s="14"/>
      <c r="G339" s="14"/>
      <c r="H339" s="14"/>
      <c r="I339" s="14"/>
      <c r="J339" s="14"/>
      <c r="K339" s="14"/>
      <c r="L339" s="14"/>
      <c r="M339" s="14"/>
      <c r="N339" s="14"/>
      <c r="O339" s="14"/>
      <c r="P339" s="14"/>
      <c r="Q339" s="14"/>
      <c r="R339" s="15"/>
      <c r="S339" s="14"/>
      <c r="T339" s="14"/>
      <c r="U339" s="14"/>
      <c r="V339" s="12"/>
      <c r="W339" s="12"/>
      <c r="X339" s="12"/>
      <c r="Y339" s="16"/>
      <c r="Z339" s="17"/>
    </row>
    <row r="340" spans="1:26" x14ac:dyDescent="0.3">
      <c r="S340" s="14"/>
      <c r="T340" s="14"/>
      <c r="U340" s="14"/>
      <c r="V340" s="12"/>
      <c r="W340" s="12"/>
      <c r="X340" s="12"/>
      <c r="Y340" s="16"/>
      <c r="Z340" s="17"/>
    </row>
    <row r="341" spans="1:26" x14ac:dyDescent="0.3">
      <c r="S341" s="14"/>
      <c r="T341" s="14"/>
      <c r="U341" s="14"/>
      <c r="V341" s="12"/>
      <c r="W341" s="12"/>
      <c r="X341" s="12"/>
      <c r="Y341" s="16"/>
      <c r="Z341" s="17"/>
    </row>
    <row r="342" spans="1:26" x14ac:dyDescent="0.3">
      <c r="S342" s="14"/>
      <c r="T342" s="14"/>
      <c r="U342" s="14"/>
      <c r="V342" s="12"/>
      <c r="W342" s="12"/>
      <c r="X342" s="12"/>
      <c r="Y342" s="16"/>
      <c r="Z342" s="17"/>
    </row>
    <row r="343" spans="1:26" x14ac:dyDescent="0.3">
      <c r="S343" s="14"/>
      <c r="T343" s="14"/>
      <c r="U343" s="14"/>
      <c r="V343" s="12"/>
      <c r="W343" s="12"/>
      <c r="X343" s="12"/>
      <c r="Y343" s="16"/>
      <c r="Z343" s="17"/>
    </row>
    <row r="344" spans="1:26" x14ac:dyDescent="0.3">
      <c r="S344" s="14"/>
      <c r="T344" s="14"/>
      <c r="U344" s="14"/>
      <c r="V344" s="12"/>
      <c r="W344" s="12"/>
      <c r="X344" s="12"/>
      <c r="Y344" s="16"/>
      <c r="Z344" s="17"/>
    </row>
    <row r="345" spans="1:26" x14ac:dyDescent="0.3">
      <c r="S345" s="14"/>
      <c r="T345" s="14"/>
      <c r="U345" s="14"/>
      <c r="V345" s="12"/>
      <c r="W345" s="12"/>
      <c r="X345" s="12"/>
      <c r="Y345" s="16"/>
      <c r="Z345" s="17"/>
    </row>
    <row r="346" spans="1:26" x14ac:dyDescent="0.3">
      <c r="S346" s="14"/>
      <c r="T346" s="14"/>
      <c r="U346" s="14"/>
      <c r="V346" s="12"/>
      <c r="W346" s="12"/>
      <c r="X346" s="12"/>
      <c r="Y346" s="16"/>
      <c r="Z346" s="17"/>
    </row>
    <row r="347" spans="1:26" x14ac:dyDescent="0.3">
      <c r="S347" s="14"/>
      <c r="T347" s="14"/>
      <c r="U347" s="14"/>
      <c r="V347" s="12"/>
      <c r="W347" s="12"/>
      <c r="X347" s="12"/>
      <c r="Y347" s="16"/>
      <c r="Z347" s="17"/>
    </row>
    <row r="348" spans="1:26" x14ac:dyDescent="0.3">
      <c r="S348" s="14"/>
      <c r="T348" s="14"/>
      <c r="U348" s="14"/>
      <c r="V348" s="12"/>
      <c r="W348" s="12"/>
      <c r="X348" s="12"/>
      <c r="Y348" s="16"/>
      <c r="Z348" s="17"/>
    </row>
    <row r="349" spans="1:26" x14ac:dyDescent="0.3">
      <c r="S349" s="14"/>
      <c r="T349" s="14"/>
      <c r="U349" s="14"/>
      <c r="V349" s="12"/>
      <c r="W349" s="12"/>
      <c r="X349" s="12"/>
      <c r="Y349" s="16"/>
      <c r="Z349" s="17"/>
    </row>
    <row r="350" spans="1:26" x14ac:dyDescent="0.3">
      <c r="S350" s="14"/>
      <c r="T350" s="14"/>
      <c r="U350" s="14"/>
      <c r="V350" s="12"/>
      <c r="W350" s="12"/>
      <c r="X350" s="12"/>
      <c r="Y350" s="16"/>
      <c r="Z350" s="17"/>
    </row>
    <row r="351" spans="1:26" x14ac:dyDescent="0.3">
      <c r="S351" s="14"/>
      <c r="T351" s="14"/>
      <c r="U351" s="14"/>
      <c r="V351" s="12"/>
      <c r="W351" s="12"/>
      <c r="X351" s="12"/>
      <c r="Y351" s="16"/>
      <c r="Z351" s="17"/>
    </row>
    <row r="352" spans="1:26" x14ac:dyDescent="0.3">
      <c r="S352" s="14"/>
      <c r="T352" s="14"/>
      <c r="U352" s="14"/>
      <c r="V352" s="12"/>
      <c r="W352" s="12"/>
      <c r="X352" s="12"/>
      <c r="Y352" s="16"/>
      <c r="Z352" s="17"/>
    </row>
    <row r="353" spans="1:26" x14ac:dyDescent="0.3">
      <c r="S353" s="14"/>
      <c r="T353" s="14"/>
      <c r="U353" s="14"/>
      <c r="V353" s="12"/>
      <c r="W353" s="12"/>
      <c r="X353" s="12"/>
      <c r="Y353" s="16"/>
      <c r="Z353" s="17"/>
    </row>
    <row r="354" spans="1:26" x14ac:dyDescent="0.3">
      <c r="S354" s="14"/>
      <c r="T354" s="14"/>
      <c r="U354" s="14"/>
      <c r="V354" s="12"/>
      <c r="W354" s="12"/>
      <c r="X354" s="12"/>
      <c r="Y354" s="16"/>
      <c r="Z354" s="17"/>
    </row>
    <row r="355" spans="1:26" x14ac:dyDescent="0.3">
      <c r="S355" s="14"/>
      <c r="T355" s="14"/>
      <c r="U355" s="14"/>
      <c r="V355" s="12"/>
      <c r="W355" s="12"/>
      <c r="X355" s="12"/>
      <c r="Y355" s="16"/>
      <c r="Z355" s="17"/>
    </row>
    <row r="356" spans="1:26" x14ac:dyDescent="0.3">
      <c r="S356" s="14"/>
      <c r="T356" s="14"/>
      <c r="U356" s="14"/>
      <c r="V356" s="12"/>
      <c r="W356" s="12"/>
      <c r="X356" s="12"/>
      <c r="Y356" s="16"/>
      <c r="Z356" s="17"/>
    </row>
    <row r="357" spans="1:26" x14ac:dyDescent="0.3">
      <c r="A357" s="14"/>
      <c r="B357" s="14"/>
      <c r="C357" s="14"/>
      <c r="D357" s="14"/>
      <c r="E357" s="14"/>
      <c r="F357" s="14"/>
      <c r="G357" s="14"/>
      <c r="H357" s="14"/>
      <c r="I357" s="14"/>
      <c r="J357" s="14"/>
      <c r="K357" s="14"/>
      <c r="L357" s="14"/>
      <c r="M357" s="14"/>
      <c r="N357" s="14"/>
      <c r="O357" s="14"/>
      <c r="P357" s="14"/>
      <c r="Q357" s="14"/>
      <c r="R357" s="15"/>
      <c r="S357" s="14"/>
      <c r="T357" s="14"/>
      <c r="U357" s="14"/>
      <c r="V357" s="12"/>
      <c r="W357" s="12"/>
      <c r="X357" s="12"/>
      <c r="Y357" s="16"/>
      <c r="Z357" s="17"/>
    </row>
    <row r="358" spans="1:26" x14ac:dyDescent="0.3">
      <c r="S358" s="14"/>
      <c r="T358" s="14"/>
      <c r="U358" s="14"/>
      <c r="V358" s="12"/>
      <c r="W358" s="12"/>
      <c r="X358" s="12"/>
      <c r="Y358" s="16"/>
      <c r="Z358" s="17"/>
    </row>
    <row r="359" spans="1:26" x14ac:dyDescent="0.3">
      <c r="S359" s="14"/>
      <c r="T359" s="14"/>
      <c r="U359" s="14"/>
      <c r="V359" s="12"/>
      <c r="W359" s="12"/>
      <c r="X359" s="12"/>
      <c r="Y359" s="16"/>
      <c r="Z359" s="17"/>
    </row>
    <row r="360" spans="1:26" x14ac:dyDescent="0.3">
      <c r="S360" s="14"/>
      <c r="T360" s="14"/>
      <c r="U360" s="14"/>
      <c r="V360" s="12"/>
      <c r="W360" s="12"/>
      <c r="X360" s="12"/>
      <c r="Y360" s="16"/>
      <c r="Z360" s="17"/>
    </row>
    <row r="361" spans="1:26" x14ac:dyDescent="0.3">
      <c r="S361" s="14"/>
      <c r="T361" s="14"/>
      <c r="U361" s="14"/>
      <c r="V361" s="12"/>
      <c r="W361" s="12"/>
      <c r="X361" s="12"/>
      <c r="Y361" s="16"/>
      <c r="Z361" s="17"/>
    </row>
    <row r="362" spans="1:26" x14ac:dyDescent="0.3">
      <c r="S362" s="14"/>
      <c r="T362" s="14"/>
      <c r="U362" s="14"/>
      <c r="V362" s="12"/>
      <c r="W362" s="12"/>
      <c r="X362" s="12"/>
      <c r="Y362" s="16"/>
      <c r="Z362" s="17"/>
    </row>
    <row r="363" spans="1:26" x14ac:dyDescent="0.3">
      <c r="S363" s="14"/>
      <c r="T363" s="14"/>
      <c r="U363" s="14"/>
      <c r="V363" s="12"/>
      <c r="W363" s="12"/>
      <c r="X363" s="12"/>
      <c r="Y363" s="16"/>
      <c r="Z363" s="17"/>
    </row>
    <row r="364" spans="1:26" x14ac:dyDescent="0.3">
      <c r="S364" s="14"/>
      <c r="T364" s="14"/>
      <c r="U364" s="14"/>
      <c r="V364" s="12"/>
      <c r="W364" s="12"/>
      <c r="X364" s="12"/>
      <c r="Y364" s="16"/>
      <c r="Z364" s="17"/>
    </row>
    <row r="365" spans="1:26" x14ac:dyDescent="0.3">
      <c r="S365" s="14"/>
      <c r="T365" s="14"/>
      <c r="U365" s="14"/>
      <c r="V365" s="12"/>
      <c r="W365" s="12"/>
      <c r="X365" s="12"/>
      <c r="Y365" s="16"/>
      <c r="Z365" s="17"/>
    </row>
    <row r="366" spans="1:26" x14ac:dyDescent="0.3">
      <c r="A366" s="14"/>
      <c r="B366" s="14"/>
      <c r="C366" s="14"/>
      <c r="D366" s="14"/>
      <c r="E366" s="14"/>
      <c r="F366" s="14"/>
      <c r="G366" s="14"/>
      <c r="H366" s="14"/>
      <c r="I366" s="14"/>
      <c r="J366" s="14"/>
      <c r="K366" s="14"/>
      <c r="L366" s="14"/>
      <c r="M366" s="14"/>
      <c r="N366" s="14"/>
      <c r="O366" s="14"/>
      <c r="P366" s="14"/>
      <c r="Q366" s="14"/>
      <c r="R366" s="15"/>
      <c r="S366" s="14"/>
      <c r="T366" s="14"/>
      <c r="U366" s="14"/>
      <c r="V366" s="12"/>
      <c r="W366" s="12"/>
      <c r="X366" s="12"/>
      <c r="Y366" s="16"/>
      <c r="Z366" s="17"/>
    </row>
    <row r="367" spans="1:26" x14ac:dyDescent="0.3">
      <c r="S367" s="14"/>
      <c r="T367" s="14"/>
      <c r="U367" s="14"/>
      <c r="V367" s="12"/>
      <c r="W367" s="12"/>
      <c r="X367" s="12"/>
      <c r="Y367" s="16"/>
      <c r="Z367" s="17"/>
    </row>
    <row r="368" spans="1:26" x14ac:dyDescent="0.3">
      <c r="S368" s="14"/>
      <c r="T368" s="14"/>
      <c r="U368" s="14"/>
      <c r="V368" s="12"/>
      <c r="W368" s="12"/>
      <c r="X368" s="12"/>
      <c r="Y368" s="16"/>
      <c r="Z368" s="17"/>
    </row>
    <row r="369" spans="1:26" x14ac:dyDescent="0.3">
      <c r="S369" s="14"/>
      <c r="T369" s="14"/>
      <c r="U369" s="14"/>
      <c r="V369" s="12"/>
      <c r="W369" s="12"/>
      <c r="X369" s="12"/>
      <c r="Y369" s="16"/>
      <c r="Z369" s="17"/>
    </row>
    <row r="370" spans="1:26" x14ac:dyDescent="0.3">
      <c r="S370" s="14"/>
      <c r="T370" s="14"/>
      <c r="U370" s="14"/>
      <c r="V370" s="12"/>
      <c r="W370" s="12"/>
      <c r="X370" s="12"/>
      <c r="Y370" s="16"/>
      <c r="Z370" s="17"/>
    </row>
    <row r="371" spans="1:26" x14ac:dyDescent="0.3">
      <c r="S371" s="14"/>
      <c r="T371" s="14"/>
      <c r="U371" s="14"/>
      <c r="V371" s="12"/>
      <c r="W371" s="12"/>
      <c r="X371" s="12"/>
      <c r="Y371" s="16"/>
      <c r="Z371" s="17"/>
    </row>
    <row r="372" spans="1:26" x14ac:dyDescent="0.3">
      <c r="S372" s="14"/>
      <c r="T372" s="14"/>
      <c r="U372" s="14"/>
      <c r="V372" s="12"/>
      <c r="W372" s="12"/>
      <c r="X372" s="12"/>
      <c r="Y372" s="16"/>
      <c r="Z372" s="17"/>
    </row>
    <row r="373" spans="1:26" x14ac:dyDescent="0.3">
      <c r="S373" s="14"/>
      <c r="T373" s="14"/>
      <c r="U373" s="14"/>
      <c r="V373" s="12"/>
      <c r="W373" s="12"/>
      <c r="X373" s="12"/>
      <c r="Y373" s="16"/>
      <c r="Z373" s="17"/>
    </row>
    <row r="374" spans="1:26" x14ac:dyDescent="0.3">
      <c r="S374" s="14"/>
      <c r="T374" s="14"/>
      <c r="U374" s="14"/>
      <c r="V374" s="12"/>
      <c r="W374" s="12"/>
      <c r="X374" s="12"/>
      <c r="Y374" s="16"/>
      <c r="Z374" s="17"/>
    </row>
    <row r="375" spans="1:26" x14ac:dyDescent="0.3">
      <c r="S375" s="14"/>
      <c r="T375" s="14"/>
      <c r="U375" s="14"/>
      <c r="V375" s="12"/>
      <c r="W375" s="12"/>
      <c r="X375" s="12"/>
      <c r="Y375" s="16"/>
      <c r="Z375" s="17"/>
    </row>
    <row r="376" spans="1:26" x14ac:dyDescent="0.3">
      <c r="S376" s="14"/>
      <c r="T376" s="14"/>
      <c r="U376" s="14"/>
      <c r="V376" s="12"/>
      <c r="W376" s="12"/>
      <c r="X376" s="12"/>
      <c r="Y376" s="16"/>
      <c r="Z376" s="17"/>
    </row>
    <row r="377" spans="1:26" x14ac:dyDescent="0.3">
      <c r="S377" s="14"/>
      <c r="T377" s="14"/>
      <c r="U377" s="14"/>
      <c r="V377" s="12"/>
      <c r="W377" s="12"/>
      <c r="X377" s="12"/>
      <c r="Y377" s="16"/>
      <c r="Z377" s="17"/>
    </row>
    <row r="378" spans="1:26" x14ac:dyDescent="0.3">
      <c r="S378" s="14"/>
      <c r="T378" s="14"/>
      <c r="U378" s="14"/>
      <c r="V378" s="12"/>
      <c r="W378" s="12"/>
      <c r="X378" s="12"/>
      <c r="Y378" s="16"/>
      <c r="Z378" s="17"/>
    </row>
    <row r="379" spans="1:26" x14ac:dyDescent="0.3">
      <c r="S379" s="14"/>
      <c r="T379" s="14"/>
      <c r="U379" s="14"/>
      <c r="V379" s="12"/>
      <c r="W379" s="12"/>
      <c r="X379" s="12"/>
      <c r="Y379" s="16"/>
      <c r="Z379" s="17"/>
    </row>
    <row r="380" spans="1:26" x14ac:dyDescent="0.3">
      <c r="S380" s="14"/>
      <c r="T380" s="14"/>
      <c r="U380" s="14"/>
      <c r="V380" s="12"/>
      <c r="W380" s="12"/>
      <c r="X380" s="12"/>
      <c r="Y380" s="16"/>
      <c r="Z380" s="17"/>
    </row>
    <row r="381" spans="1:26" x14ac:dyDescent="0.3">
      <c r="S381" s="14"/>
      <c r="T381" s="14"/>
      <c r="U381" s="14"/>
      <c r="V381" s="12"/>
      <c r="W381" s="12"/>
      <c r="X381" s="12"/>
      <c r="Y381" s="16"/>
      <c r="Z381" s="17"/>
    </row>
    <row r="382" spans="1:26" x14ac:dyDescent="0.3">
      <c r="S382" s="14"/>
      <c r="T382" s="14"/>
      <c r="U382" s="14"/>
      <c r="V382" s="12"/>
      <c r="W382" s="12"/>
      <c r="X382" s="12"/>
      <c r="Y382" s="16"/>
      <c r="Z382" s="17"/>
    </row>
    <row r="383" spans="1:26" x14ac:dyDescent="0.3">
      <c r="S383" s="14"/>
      <c r="T383" s="14"/>
      <c r="U383" s="14"/>
      <c r="V383" s="12"/>
      <c r="W383" s="12"/>
      <c r="X383" s="12"/>
      <c r="Y383" s="16"/>
      <c r="Z383" s="17"/>
    </row>
    <row r="384" spans="1:26" x14ac:dyDescent="0.3">
      <c r="A384" s="14"/>
      <c r="B384" s="14"/>
      <c r="C384" s="14"/>
      <c r="D384" s="14"/>
      <c r="E384" s="14"/>
      <c r="F384" s="14"/>
      <c r="G384" s="14"/>
      <c r="H384" s="14"/>
      <c r="I384" s="14"/>
      <c r="J384" s="14"/>
      <c r="K384" s="14"/>
      <c r="L384" s="14"/>
      <c r="M384" s="14"/>
      <c r="N384" s="14"/>
      <c r="O384" s="14"/>
      <c r="P384" s="14"/>
      <c r="Q384" s="14"/>
      <c r="R384" s="15"/>
      <c r="S384" s="14"/>
      <c r="T384" s="14"/>
      <c r="U384" s="14"/>
      <c r="V384" s="12"/>
      <c r="W384" s="12"/>
      <c r="X384" s="12"/>
      <c r="Y384" s="16"/>
      <c r="Z384" s="17"/>
    </row>
    <row r="385" spans="19:26" x14ac:dyDescent="0.3">
      <c r="S385" s="14"/>
      <c r="T385" s="14"/>
      <c r="U385" s="14"/>
      <c r="V385" s="12"/>
      <c r="W385" s="12"/>
      <c r="X385" s="12"/>
      <c r="Y385" s="16"/>
      <c r="Z385" s="17"/>
    </row>
    <row r="386" spans="19:26" x14ac:dyDescent="0.3">
      <c r="S386" s="14"/>
      <c r="T386" s="14"/>
      <c r="U386" s="14"/>
      <c r="V386" s="12"/>
      <c r="W386" s="12"/>
      <c r="X386" s="12"/>
      <c r="Y386" s="16"/>
      <c r="Z386" s="17"/>
    </row>
    <row r="387" spans="19:26" x14ac:dyDescent="0.3">
      <c r="S387" s="14"/>
      <c r="T387" s="14"/>
      <c r="U387" s="14"/>
      <c r="V387" s="12"/>
      <c r="W387" s="12"/>
      <c r="X387" s="12"/>
      <c r="Y387" s="16"/>
      <c r="Z387" s="17"/>
    </row>
    <row r="388" spans="19:26" x14ac:dyDescent="0.3">
      <c r="S388" s="14"/>
      <c r="T388" s="14"/>
      <c r="U388" s="14"/>
      <c r="V388" s="12"/>
      <c r="W388" s="12"/>
      <c r="X388" s="12"/>
      <c r="Y388" s="16"/>
      <c r="Z388" s="17"/>
    </row>
    <row r="389" spans="19:26" x14ac:dyDescent="0.3">
      <c r="S389" s="14"/>
      <c r="T389" s="14"/>
      <c r="U389" s="14"/>
      <c r="V389" s="12"/>
      <c r="W389" s="12"/>
      <c r="X389" s="12"/>
      <c r="Y389" s="16"/>
      <c r="Z389" s="17"/>
    </row>
    <row r="390" spans="19:26" x14ac:dyDescent="0.3">
      <c r="S390" s="14"/>
      <c r="T390" s="14"/>
      <c r="U390" s="14"/>
      <c r="V390" s="12"/>
      <c r="W390" s="12"/>
      <c r="X390" s="12"/>
      <c r="Y390" s="16"/>
      <c r="Z390" s="17"/>
    </row>
    <row r="391" spans="19:26" x14ac:dyDescent="0.3">
      <c r="S391" s="14"/>
      <c r="T391" s="14"/>
      <c r="U391" s="14"/>
      <c r="V391" s="12"/>
      <c r="W391" s="12"/>
      <c r="X391" s="12"/>
      <c r="Y391" s="16"/>
      <c r="Z391" s="17"/>
    </row>
    <row r="392" spans="19:26" x14ac:dyDescent="0.3">
      <c r="S392" s="14"/>
      <c r="T392" s="14"/>
      <c r="U392" s="14"/>
      <c r="V392" s="12"/>
      <c r="W392" s="12"/>
      <c r="X392" s="12"/>
      <c r="Y392" s="16"/>
      <c r="Z392" s="17"/>
    </row>
    <row r="393" spans="19:26" x14ac:dyDescent="0.3">
      <c r="S393" s="14"/>
      <c r="T393" s="14"/>
      <c r="U393" s="14"/>
      <c r="V393" s="12"/>
      <c r="W393" s="12"/>
      <c r="X393" s="12"/>
      <c r="Y393" s="16"/>
      <c r="Z393" s="17"/>
    </row>
    <row r="394" spans="19:26" x14ac:dyDescent="0.3">
      <c r="S394" s="14"/>
      <c r="T394" s="14"/>
      <c r="U394" s="14"/>
      <c r="V394" s="12"/>
      <c r="W394" s="12"/>
      <c r="X394" s="12"/>
      <c r="Y394" s="16"/>
      <c r="Z394" s="17"/>
    </row>
    <row r="395" spans="19:26" x14ac:dyDescent="0.3">
      <c r="S395" s="14"/>
      <c r="T395" s="14"/>
      <c r="U395" s="14"/>
      <c r="V395" s="12"/>
      <c r="W395" s="12"/>
      <c r="X395" s="12"/>
      <c r="Y395" s="16"/>
      <c r="Z395" s="17"/>
    </row>
    <row r="396" spans="19:26" x14ac:dyDescent="0.3">
      <c r="S396" s="14"/>
      <c r="T396" s="14"/>
      <c r="U396" s="14"/>
      <c r="V396" s="12"/>
      <c r="W396" s="12"/>
      <c r="X396" s="12"/>
      <c r="Y396" s="16"/>
      <c r="Z396" s="17"/>
    </row>
    <row r="397" spans="19:26" x14ac:dyDescent="0.3">
      <c r="S397" s="14"/>
      <c r="T397" s="14"/>
      <c r="U397" s="14"/>
      <c r="V397" s="12"/>
      <c r="W397" s="12"/>
      <c r="X397" s="12"/>
      <c r="Y397" s="16"/>
      <c r="Z397" s="17"/>
    </row>
    <row r="398" spans="19:26" x14ac:dyDescent="0.3">
      <c r="S398" s="14"/>
      <c r="T398" s="14"/>
      <c r="U398" s="14"/>
      <c r="V398" s="12"/>
      <c r="W398" s="12"/>
      <c r="X398" s="12"/>
      <c r="Y398" s="16"/>
      <c r="Z398" s="17"/>
    </row>
    <row r="399" spans="19:26" x14ac:dyDescent="0.3">
      <c r="S399" s="14"/>
      <c r="T399" s="14"/>
      <c r="U399" s="14"/>
      <c r="V399" s="12"/>
      <c r="W399" s="12"/>
      <c r="X399" s="12"/>
      <c r="Y399" s="16"/>
      <c r="Z399" s="17"/>
    </row>
    <row r="400" spans="19:26" x14ac:dyDescent="0.3">
      <c r="S400" s="14"/>
      <c r="T400" s="14"/>
      <c r="U400" s="14"/>
      <c r="V400" s="12"/>
      <c r="W400" s="12"/>
      <c r="X400" s="12"/>
      <c r="Y400" s="16"/>
      <c r="Z400" s="17"/>
    </row>
    <row r="401" spans="1:26" x14ac:dyDescent="0.3">
      <c r="S401" s="14"/>
      <c r="T401" s="14"/>
      <c r="U401" s="14"/>
      <c r="V401" s="12"/>
      <c r="W401" s="12"/>
      <c r="X401" s="12"/>
      <c r="Y401" s="16"/>
      <c r="Z401" s="17"/>
    </row>
    <row r="402" spans="1:26" x14ac:dyDescent="0.3">
      <c r="S402" s="14"/>
      <c r="T402" s="14"/>
      <c r="U402" s="14"/>
      <c r="V402" s="12"/>
      <c r="W402" s="12"/>
      <c r="X402" s="12"/>
      <c r="Y402" s="16"/>
      <c r="Z402" s="17"/>
    </row>
    <row r="403" spans="1:26" x14ac:dyDescent="0.3">
      <c r="S403" s="14"/>
      <c r="T403" s="14"/>
      <c r="U403" s="14"/>
      <c r="V403" s="12"/>
      <c r="W403" s="12"/>
      <c r="X403" s="12"/>
      <c r="Y403" s="16"/>
      <c r="Z403" s="17"/>
    </row>
    <row r="404" spans="1:26" x14ac:dyDescent="0.3">
      <c r="S404" s="14"/>
      <c r="T404" s="14"/>
      <c r="U404" s="14"/>
      <c r="V404" s="12"/>
      <c r="W404" s="12"/>
      <c r="X404" s="12"/>
      <c r="Y404" s="16"/>
      <c r="Z404" s="17"/>
    </row>
    <row r="405" spans="1:26" x14ac:dyDescent="0.3">
      <c r="S405" s="14"/>
      <c r="T405" s="14"/>
      <c r="U405" s="14"/>
      <c r="V405" s="12"/>
      <c r="W405" s="12"/>
      <c r="X405" s="12"/>
      <c r="Y405" s="16"/>
      <c r="Z405" s="17"/>
    </row>
    <row r="406" spans="1:26" x14ac:dyDescent="0.3">
      <c r="S406" s="14"/>
      <c r="T406" s="14"/>
      <c r="U406" s="14"/>
      <c r="V406" s="12"/>
      <c r="W406" s="12"/>
      <c r="X406" s="12"/>
      <c r="Y406" s="16"/>
      <c r="Z406" s="17"/>
    </row>
    <row r="407" spans="1:26" x14ac:dyDescent="0.3">
      <c r="S407" s="14"/>
      <c r="T407" s="14"/>
      <c r="U407" s="14"/>
      <c r="V407" s="12"/>
      <c r="W407" s="12"/>
      <c r="X407" s="12"/>
      <c r="Y407" s="16"/>
      <c r="Z407" s="17"/>
    </row>
    <row r="408" spans="1:26" x14ac:dyDescent="0.3">
      <c r="S408" s="14"/>
      <c r="T408" s="14"/>
      <c r="U408" s="14"/>
      <c r="V408" s="12"/>
      <c r="W408" s="12"/>
      <c r="X408" s="12"/>
      <c r="Y408" s="16"/>
      <c r="Z408" s="17"/>
    </row>
    <row r="409" spans="1:26" x14ac:dyDescent="0.3">
      <c r="S409" s="14"/>
      <c r="T409" s="14"/>
      <c r="U409" s="14"/>
      <c r="V409" s="12"/>
      <c r="W409" s="12"/>
      <c r="X409" s="12"/>
      <c r="Y409" s="16"/>
      <c r="Z409" s="17"/>
    </row>
    <row r="410" spans="1:26" x14ac:dyDescent="0.3">
      <c r="S410" s="14"/>
      <c r="T410" s="14"/>
      <c r="U410" s="14"/>
      <c r="V410" s="12"/>
      <c r="W410" s="12"/>
      <c r="X410" s="12"/>
      <c r="Y410" s="16"/>
      <c r="Z410" s="17"/>
    </row>
    <row r="411" spans="1:26" x14ac:dyDescent="0.3">
      <c r="A411" s="14"/>
      <c r="B411" s="14"/>
      <c r="C411" s="14"/>
      <c r="D411" s="14"/>
      <c r="E411" s="14"/>
      <c r="F411" s="14"/>
      <c r="G411" s="14"/>
      <c r="H411" s="14"/>
      <c r="I411" s="14"/>
      <c r="J411" s="14"/>
      <c r="K411" s="14"/>
      <c r="L411" s="14"/>
      <c r="M411" s="14"/>
      <c r="N411" s="14"/>
      <c r="O411" s="14"/>
      <c r="P411" s="14"/>
      <c r="Q411" s="14"/>
      <c r="R411" s="15"/>
      <c r="S411" s="14"/>
      <c r="T411" s="14"/>
      <c r="U411" s="14"/>
      <c r="V411" s="12"/>
      <c r="W411" s="12"/>
      <c r="X411" s="12"/>
      <c r="Y411" s="16"/>
      <c r="Z411" s="17"/>
    </row>
    <row r="412" spans="1:26" x14ac:dyDescent="0.3">
      <c r="S412" s="14"/>
      <c r="T412" s="14"/>
      <c r="U412" s="14"/>
      <c r="V412" s="12"/>
      <c r="W412" s="12"/>
      <c r="X412" s="12"/>
      <c r="Y412" s="16"/>
      <c r="Z412" s="17"/>
    </row>
    <row r="413" spans="1:26" x14ac:dyDescent="0.3">
      <c r="S413" s="14"/>
      <c r="T413" s="14"/>
      <c r="U413" s="14"/>
      <c r="V413" s="12"/>
      <c r="W413" s="12"/>
      <c r="X413" s="12"/>
      <c r="Y413" s="16"/>
      <c r="Z413" s="17"/>
    </row>
    <row r="414" spans="1:26" x14ac:dyDescent="0.3">
      <c r="S414" s="14"/>
      <c r="T414" s="14"/>
      <c r="U414" s="14"/>
      <c r="V414" s="12"/>
      <c r="W414" s="12"/>
      <c r="X414" s="12"/>
      <c r="Y414" s="16"/>
      <c r="Z414" s="17"/>
    </row>
    <row r="415" spans="1:26" x14ac:dyDescent="0.3">
      <c r="S415" s="14"/>
      <c r="T415" s="14"/>
      <c r="U415" s="14"/>
      <c r="V415" s="12"/>
      <c r="W415" s="12"/>
      <c r="X415" s="12"/>
      <c r="Y415" s="16"/>
      <c r="Z415" s="17"/>
    </row>
    <row r="416" spans="1:26" x14ac:dyDescent="0.3">
      <c r="S416" s="14"/>
      <c r="T416" s="14"/>
      <c r="U416" s="14"/>
      <c r="V416" s="12"/>
      <c r="W416" s="12"/>
      <c r="X416" s="12"/>
      <c r="Y416" s="16"/>
      <c r="Z416" s="17"/>
    </row>
    <row r="417" spans="19:26" x14ac:dyDescent="0.3">
      <c r="S417" s="14"/>
      <c r="T417" s="14"/>
      <c r="U417" s="14"/>
      <c r="V417" s="12"/>
      <c r="W417" s="12"/>
      <c r="X417" s="12"/>
      <c r="Y417" s="16"/>
      <c r="Z417" s="17"/>
    </row>
    <row r="418" spans="19:26" x14ac:dyDescent="0.3">
      <c r="S418" s="14"/>
      <c r="T418" s="14"/>
      <c r="U418" s="14"/>
      <c r="V418" s="12"/>
      <c r="W418" s="12"/>
      <c r="X418" s="12"/>
      <c r="Y418" s="16"/>
      <c r="Z418" s="17"/>
    </row>
    <row r="419" spans="19:26" x14ac:dyDescent="0.3">
      <c r="S419" s="14"/>
      <c r="T419" s="14"/>
      <c r="U419" s="14"/>
      <c r="V419" s="12"/>
      <c r="W419" s="12"/>
      <c r="X419" s="12"/>
      <c r="Y419" s="16"/>
      <c r="Z419" s="17"/>
    </row>
    <row r="420" spans="19:26" x14ac:dyDescent="0.3">
      <c r="S420" s="14"/>
      <c r="T420" s="14"/>
      <c r="U420" s="14"/>
      <c r="V420" s="12"/>
      <c r="W420" s="12"/>
      <c r="X420" s="12"/>
      <c r="Y420" s="16"/>
      <c r="Z420" s="17"/>
    </row>
    <row r="421" spans="19:26" x14ac:dyDescent="0.3">
      <c r="S421" s="14"/>
      <c r="T421" s="14"/>
      <c r="U421" s="14"/>
      <c r="V421" s="12"/>
      <c r="W421" s="12"/>
      <c r="X421" s="12"/>
      <c r="Y421" s="16"/>
      <c r="Z421" s="17"/>
    </row>
    <row r="422" spans="19:26" x14ac:dyDescent="0.3">
      <c r="S422" s="14"/>
      <c r="T422" s="14"/>
      <c r="U422" s="14"/>
      <c r="V422" s="12"/>
      <c r="W422" s="12"/>
      <c r="X422" s="12"/>
      <c r="Y422" s="16"/>
      <c r="Z422" s="17"/>
    </row>
    <row r="423" spans="19:26" x14ac:dyDescent="0.3">
      <c r="S423" s="14"/>
      <c r="T423" s="14"/>
      <c r="U423" s="14"/>
      <c r="V423" s="12"/>
      <c r="W423" s="12"/>
      <c r="X423" s="12"/>
      <c r="Y423" s="16"/>
      <c r="Z423" s="17"/>
    </row>
    <row r="424" spans="19:26" x14ac:dyDescent="0.3">
      <c r="S424" s="14"/>
      <c r="T424" s="14"/>
      <c r="U424" s="14"/>
      <c r="V424" s="12"/>
      <c r="W424" s="12"/>
      <c r="X424" s="12"/>
      <c r="Y424" s="16"/>
      <c r="Z424" s="17"/>
    </row>
    <row r="425" spans="19:26" x14ac:dyDescent="0.3">
      <c r="S425" s="14"/>
      <c r="T425" s="14"/>
      <c r="U425" s="14"/>
      <c r="V425" s="12"/>
      <c r="W425" s="12"/>
      <c r="X425" s="12"/>
      <c r="Y425" s="16"/>
      <c r="Z425" s="17"/>
    </row>
    <row r="426" spans="19:26" x14ac:dyDescent="0.3">
      <c r="S426" s="14"/>
      <c r="T426" s="14"/>
      <c r="U426" s="14"/>
      <c r="V426" s="12"/>
      <c r="W426" s="12"/>
      <c r="X426" s="12"/>
      <c r="Y426" s="16"/>
      <c r="Z426" s="17"/>
    </row>
    <row r="427" spans="19:26" x14ac:dyDescent="0.3">
      <c r="S427" s="14"/>
      <c r="T427" s="14"/>
      <c r="U427" s="14"/>
      <c r="V427" s="12"/>
      <c r="W427" s="12"/>
      <c r="X427" s="12"/>
      <c r="Y427" s="16"/>
      <c r="Z427" s="17"/>
    </row>
    <row r="428" spans="19:26" x14ac:dyDescent="0.3">
      <c r="S428" s="14"/>
      <c r="T428" s="14"/>
      <c r="U428" s="14"/>
      <c r="V428" s="12"/>
      <c r="W428" s="12"/>
      <c r="X428" s="12"/>
      <c r="Y428" s="16"/>
      <c r="Z428" s="17"/>
    </row>
    <row r="429" spans="19:26" x14ac:dyDescent="0.3">
      <c r="S429" s="14"/>
      <c r="T429" s="14"/>
      <c r="U429" s="14"/>
      <c r="V429" s="12"/>
      <c r="W429" s="12"/>
      <c r="X429" s="12"/>
      <c r="Y429" s="16"/>
      <c r="Z429" s="17"/>
    </row>
    <row r="430" spans="19:26" x14ac:dyDescent="0.3">
      <c r="S430" s="14"/>
      <c r="T430" s="14"/>
      <c r="U430" s="14"/>
      <c r="V430" s="12"/>
      <c r="W430" s="12"/>
      <c r="X430" s="12"/>
      <c r="Y430" s="16"/>
      <c r="Z430" s="17"/>
    </row>
    <row r="431" spans="19:26" x14ac:dyDescent="0.3">
      <c r="S431" s="14"/>
      <c r="T431" s="14"/>
      <c r="U431" s="14"/>
      <c r="V431" s="12"/>
      <c r="W431" s="12"/>
      <c r="X431" s="12"/>
      <c r="Y431" s="16"/>
      <c r="Z431" s="17"/>
    </row>
    <row r="432" spans="19:26" x14ac:dyDescent="0.3">
      <c r="S432" s="14"/>
      <c r="T432" s="14"/>
      <c r="U432" s="14"/>
      <c r="V432" s="12"/>
      <c r="W432" s="12"/>
      <c r="X432" s="12"/>
      <c r="Y432" s="16"/>
      <c r="Z432" s="17"/>
    </row>
    <row r="433" spans="19:26" x14ac:dyDescent="0.3">
      <c r="S433" s="14"/>
      <c r="T433" s="14"/>
      <c r="U433" s="14"/>
      <c r="V433" s="12"/>
      <c r="W433" s="12"/>
      <c r="X433" s="12"/>
      <c r="Y433" s="16"/>
      <c r="Z433" s="17"/>
    </row>
    <row r="434" spans="19:26" x14ac:dyDescent="0.3">
      <c r="S434" s="14"/>
      <c r="T434" s="14"/>
      <c r="U434" s="14"/>
      <c r="V434" s="12"/>
      <c r="W434" s="12"/>
      <c r="X434" s="12"/>
      <c r="Y434" s="16"/>
      <c r="Z434" s="17"/>
    </row>
    <row r="435" spans="19:26" x14ac:dyDescent="0.3">
      <c r="S435" s="14"/>
      <c r="T435" s="14"/>
      <c r="U435" s="14"/>
      <c r="V435" s="12"/>
      <c r="W435" s="12"/>
      <c r="X435" s="12"/>
      <c r="Y435" s="16"/>
      <c r="Z435" s="17"/>
    </row>
    <row r="436" spans="19:26" x14ac:dyDescent="0.3">
      <c r="S436" s="14"/>
      <c r="T436" s="14"/>
      <c r="U436" s="14"/>
      <c r="V436" s="12"/>
      <c r="W436" s="12"/>
      <c r="X436" s="12"/>
      <c r="Y436" s="16"/>
      <c r="Z436" s="17"/>
    </row>
    <row r="437" spans="19:26" x14ac:dyDescent="0.3">
      <c r="S437" s="14"/>
      <c r="T437" s="14"/>
      <c r="U437" s="14"/>
      <c r="V437" s="12"/>
      <c r="W437" s="12"/>
      <c r="X437" s="12"/>
      <c r="Y437" s="16"/>
      <c r="Z437" s="17"/>
    </row>
    <row r="438" spans="19:26" x14ac:dyDescent="0.3">
      <c r="S438" s="14"/>
      <c r="T438" s="14"/>
      <c r="U438" s="14"/>
      <c r="V438" s="12"/>
      <c r="W438" s="12"/>
      <c r="X438" s="12"/>
      <c r="Y438" s="16"/>
      <c r="Z438" s="17"/>
    </row>
    <row r="439" spans="19:26" x14ac:dyDescent="0.3">
      <c r="S439" s="14"/>
      <c r="T439" s="14"/>
      <c r="U439" s="14"/>
      <c r="V439" s="12"/>
      <c r="W439" s="12"/>
      <c r="X439" s="12"/>
      <c r="Y439" s="16"/>
      <c r="Z439" s="17"/>
    </row>
    <row r="440" spans="19:26" x14ac:dyDescent="0.3">
      <c r="S440" s="14"/>
      <c r="T440" s="14"/>
      <c r="U440" s="14"/>
      <c r="V440" s="12"/>
      <c r="W440" s="12"/>
      <c r="X440" s="12"/>
      <c r="Y440" s="16"/>
      <c r="Z440" s="17"/>
    </row>
    <row r="441" spans="19:26" x14ac:dyDescent="0.3">
      <c r="S441" s="14"/>
      <c r="T441" s="14"/>
      <c r="U441" s="14"/>
      <c r="V441" s="12"/>
      <c r="W441" s="12"/>
      <c r="X441" s="12"/>
      <c r="Y441" s="16"/>
      <c r="Z441" s="17"/>
    </row>
    <row r="442" spans="19:26" x14ac:dyDescent="0.3">
      <c r="S442" s="14"/>
      <c r="T442" s="14"/>
      <c r="U442" s="14"/>
      <c r="V442" s="12"/>
      <c r="W442" s="12"/>
      <c r="X442" s="12"/>
      <c r="Y442" s="16"/>
      <c r="Z442" s="17"/>
    </row>
    <row r="443" spans="19:26" x14ac:dyDescent="0.3">
      <c r="S443" s="14"/>
      <c r="T443" s="14"/>
      <c r="U443" s="14"/>
      <c r="V443" s="12"/>
      <c r="W443" s="12"/>
      <c r="X443" s="12"/>
      <c r="Y443" s="16"/>
      <c r="Z443" s="17"/>
    </row>
    <row r="444" spans="19:26" x14ac:dyDescent="0.3">
      <c r="S444" s="14"/>
      <c r="T444" s="14"/>
      <c r="U444" s="14"/>
      <c r="V444" s="12"/>
      <c r="W444" s="12"/>
      <c r="X444" s="12"/>
      <c r="Y444" s="16"/>
      <c r="Z444" s="17"/>
    </row>
    <row r="445" spans="19:26" x14ac:dyDescent="0.3">
      <c r="S445" s="14"/>
      <c r="T445" s="14"/>
      <c r="U445" s="14"/>
      <c r="V445" s="12"/>
      <c r="W445" s="12"/>
      <c r="X445" s="12"/>
      <c r="Y445" s="16"/>
      <c r="Z445" s="17"/>
    </row>
    <row r="446" spans="19:26" x14ac:dyDescent="0.3">
      <c r="S446" s="14"/>
      <c r="T446" s="14"/>
      <c r="U446" s="14"/>
      <c r="V446" s="12"/>
      <c r="W446" s="12"/>
      <c r="X446" s="12"/>
      <c r="Y446" s="16"/>
      <c r="Z446" s="17"/>
    </row>
    <row r="447" spans="19:26" x14ac:dyDescent="0.3">
      <c r="S447" s="14"/>
      <c r="T447" s="14"/>
      <c r="U447" s="14"/>
      <c r="V447" s="12"/>
      <c r="W447" s="12"/>
      <c r="X447" s="12"/>
      <c r="Y447" s="16"/>
      <c r="Z447" s="17"/>
    </row>
    <row r="448" spans="19:26" x14ac:dyDescent="0.3">
      <c r="S448" s="14"/>
      <c r="T448" s="14"/>
      <c r="U448" s="14"/>
      <c r="V448" s="12"/>
      <c r="W448" s="12"/>
      <c r="X448" s="12"/>
      <c r="Y448" s="16"/>
      <c r="Z448" s="17"/>
    </row>
    <row r="449" spans="19:26" x14ac:dyDescent="0.3">
      <c r="S449" s="14"/>
      <c r="T449" s="14"/>
      <c r="U449" s="14"/>
      <c r="V449" s="12"/>
      <c r="W449" s="12"/>
      <c r="X449" s="12"/>
      <c r="Y449" s="16"/>
      <c r="Z449" s="17"/>
    </row>
    <row r="450" spans="19:26" x14ac:dyDescent="0.3">
      <c r="S450" s="14"/>
      <c r="T450" s="14"/>
      <c r="U450" s="14"/>
      <c r="V450" s="12"/>
      <c r="W450" s="12"/>
      <c r="X450" s="12"/>
      <c r="Y450" s="16"/>
      <c r="Z450" s="17"/>
    </row>
    <row r="451" spans="19:26" x14ac:dyDescent="0.3">
      <c r="S451" s="14"/>
      <c r="T451" s="14"/>
      <c r="U451" s="14"/>
      <c r="V451" s="12"/>
      <c r="W451" s="12"/>
      <c r="X451" s="12"/>
      <c r="Y451" s="16"/>
      <c r="Z451" s="17"/>
    </row>
    <row r="452" spans="19:26" x14ac:dyDescent="0.3">
      <c r="S452" s="14"/>
      <c r="T452" s="14"/>
      <c r="U452" s="14"/>
      <c r="V452" s="12"/>
      <c r="W452" s="12"/>
      <c r="X452" s="12"/>
      <c r="Y452" s="16"/>
      <c r="Z452" s="17"/>
    </row>
    <row r="453" spans="19:26" x14ac:dyDescent="0.3">
      <c r="S453" s="14"/>
      <c r="T453" s="14"/>
      <c r="U453" s="14"/>
      <c r="V453" s="12"/>
      <c r="W453" s="12"/>
      <c r="X453" s="12"/>
      <c r="Y453" s="16"/>
      <c r="Z453" s="17"/>
    </row>
    <row r="454" spans="19:26" x14ac:dyDescent="0.3">
      <c r="S454" s="14"/>
      <c r="T454" s="14"/>
      <c r="U454" s="14"/>
      <c r="V454" s="12"/>
      <c r="W454" s="12"/>
      <c r="X454" s="12"/>
      <c r="Y454" s="16"/>
      <c r="Z454" s="17"/>
    </row>
    <row r="455" spans="19:26" x14ac:dyDescent="0.3">
      <c r="S455" s="14"/>
      <c r="T455" s="14"/>
      <c r="U455" s="14"/>
      <c r="V455" s="12"/>
      <c r="W455" s="12"/>
      <c r="X455" s="12"/>
      <c r="Y455" s="16"/>
      <c r="Z455" s="17"/>
    </row>
    <row r="456" spans="19:26" x14ac:dyDescent="0.3">
      <c r="S456" s="14"/>
      <c r="T456" s="14"/>
      <c r="U456" s="14"/>
      <c r="V456" s="12"/>
      <c r="W456" s="12"/>
      <c r="X456" s="12"/>
      <c r="Y456" s="16"/>
      <c r="Z456" s="17"/>
    </row>
    <row r="457" spans="19:26" x14ac:dyDescent="0.3">
      <c r="S457" s="14"/>
      <c r="T457" s="14"/>
      <c r="U457" s="14"/>
      <c r="V457" s="12"/>
      <c r="W457" s="12"/>
      <c r="X457" s="12"/>
      <c r="Y457" s="16"/>
      <c r="Z457" s="17"/>
    </row>
    <row r="458" spans="19:26" x14ac:dyDescent="0.3">
      <c r="S458" s="14"/>
      <c r="T458" s="14"/>
      <c r="U458" s="14"/>
      <c r="V458" s="12"/>
      <c r="W458" s="12"/>
      <c r="X458" s="12"/>
      <c r="Y458" s="16"/>
      <c r="Z458" s="17"/>
    </row>
    <row r="459" spans="19:26" x14ac:dyDescent="0.3">
      <c r="S459" s="14"/>
      <c r="T459" s="14"/>
      <c r="U459" s="14"/>
      <c r="V459" s="12"/>
      <c r="W459" s="12"/>
      <c r="X459" s="12"/>
      <c r="Y459" s="16"/>
      <c r="Z459" s="17"/>
    </row>
    <row r="460" spans="19:26" x14ac:dyDescent="0.3">
      <c r="S460" s="14"/>
      <c r="T460" s="14"/>
      <c r="U460" s="14"/>
      <c r="V460" s="12"/>
      <c r="W460" s="12"/>
      <c r="X460" s="12"/>
      <c r="Y460" s="16"/>
      <c r="Z460" s="17"/>
    </row>
    <row r="461" spans="19:26" x14ac:dyDescent="0.3">
      <c r="S461" s="14"/>
      <c r="T461" s="14"/>
      <c r="U461" s="14"/>
      <c r="V461" s="12"/>
      <c r="W461" s="12"/>
      <c r="X461" s="12"/>
      <c r="Y461" s="16"/>
      <c r="Z461" s="17"/>
    </row>
    <row r="462" spans="19:26" x14ac:dyDescent="0.3">
      <c r="S462" s="14"/>
      <c r="T462" s="14"/>
      <c r="U462" s="14"/>
      <c r="V462" s="12"/>
      <c r="W462" s="12"/>
      <c r="X462" s="12"/>
      <c r="Y462" s="16"/>
      <c r="Z462" s="17"/>
    </row>
    <row r="463" spans="19:26" x14ac:dyDescent="0.3">
      <c r="S463" s="14"/>
      <c r="T463" s="14"/>
      <c r="U463" s="14"/>
      <c r="V463" s="12"/>
      <c r="W463" s="12"/>
      <c r="X463" s="12"/>
      <c r="Y463" s="16"/>
      <c r="Z463" s="17"/>
    </row>
    <row r="464" spans="19:26" x14ac:dyDescent="0.3">
      <c r="S464" s="14"/>
      <c r="T464" s="14"/>
      <c r="U464" s="14"/>
      <c r="V464" s="12"/>
      <c r="W464" s="12"/>
      <c r="X464" s="12"/>
      <c r="Y464" s="16"/>
      <c r="Z464" s="17"/>
    </row>
    <row r="465" spans="19:26" x14ac:dyDescent="0.3">
      <c r="S465" s="14"/>
      <c r="T465" s="14"/>
      <c r="U465" s="14"/>
      <c r="V465" s="12"/>
      <c r="W465" s="12"/>
      <c r="X465" s="12"/>
      <c r="Y465" s="16"/>
      <c r="Z465" s="17"/>
    </row>
    <row r="466" spans="19:26" x14ac:dyDescent="0.3">
      <c r="S466" s="14"/>
      <c r="T466" s="14"/>
      <c r="U466" s="14"/>
      <c r="V466" s="12"/>
      <c r="W466" s="12"/>
      <c r="X466" s="12"/>
      <c r="Y466" s="16"/>
      <c r="Z466" s="17"/>
    </row>
    <row r="467" spans="19:26" x14ac:dyDescent="0.3">
      <c r="S467" s="14"/>
      <c r="T467" s="14"/>
      <c r="U467" s="14"/>
      <c r="V467" s="12"/>
      <c r="W467" s="12"/>
      <c r="X467" s="12"/>
      <c r="Y467" s="16"/>
      <c r="Z467" s="17"/>
    </row>
    <row r="468" spans="19:26" x14ac:dyDescent="0.3">
      <c r="S468" s="14"/>
      <c r="T468" s="14"/>
      <c r="U468" s="14"/>
      <c r="V468" s="12"/>
      <c r="W468" s="12"/>
      <c r="X468" s="12"/>
      <c r="Y468" s="16"/>
      <c r="Z468" s="17"/>
    </row>
    <row r="469" spans="19:26" x14ac:dyDescent="0.3">
      <c r="S469" s="14"/>
      <c r="T469" s="14"/>
      <c r="U469" s="14"/>
      <c r="V469" s="12"/>
      <c r="W469" s="12"/>
      <c r="X469" s="12"/>
      <c r="Y469" s="16"/>
      <c r="Z469" s="17"/>
    </row>
    <row r="470" spans="19:26" x14ac:dyDescent="0.3">
      <c r="S470" s="14"/>
      <c r="T470" s="14"/>
      <c r="U470" s="14"/>
      <c r="V470" s="12"/>
      <c r="W470" s="12"/>
      <c r="X470" s="12"/>
      <c r="Y470" s="16"/>
      <c r="Z470" s="17"/>
    </row>
    <row r="471" spans="19:26" x14ac:dyDescent="0.3">
      <c r="S471" s="14"/>
      <c r="T471" s="14"/>
      <c r="U471" s="14"/>
      <c r="V471" s="12"/>
      <c r="W471" s="12"/>
      <c r="X471" s="12"/>
      <c r="Y471" s="16"/>
      <c r="Z471" s="17"/>
    </row>
    <row r="472" spans="19:26" x14ac:dyDescent="0.3">
      <c r="S472" s="14"/>
      <c r="T472" s="14"/>
      <c r="U472" s="14"/>
      <c r="V472" s="12"/>
      <c r="W472" s="12"/>
      <c r="X472" s="12"/>
      <c r="Y472" s="16"/>
      <c r="Z472" s="17"/>
    </row>
    <row r="473" spans="19:26" x14ac:dyDescent="0.3">
      <c r="S473" s="14"/>
      <c r="T473" s="14"/>
      <c r="U473" s="14"/>
      <c r="V473" s="12"/>
      <c r="W473" s="12"/>
      <c r="X473" s="12"/>
      <c r="Y473" s="16"/>
      <c r="Z473" s="17"/>
    </row>
    <row r="474" spans="19:26" x14ac:dyDescent="0.3">
      <c r="S474" s="14"/>
      <c r="T474" s="14"/>
      <c r="U474" s="14"/>
      <c r="V474" s="12"/>
      <c r="W474" s="12"/>
      <c r="X474" s="12"/>
      <c r="Y474" s="16"/>
      <c r="Z474" s="17"/>
    </row>
    <row r="475" spans="19:26" x14ac:dyDescent="0.3">
      <c r="S475" s="14"/>
      <c r="T475" s="14"/>
      <c r="U475" s="14"/>
      <c r="V475" s="12"/>
      <c r="W475" s="12"/>
      <c r="X475" s="12"/>
      <c r="Y475" s="16"/>
      <c r="Z475" s="17"/>
    </row>
    <row r="476" spans="19:26" x14ac:dyDescent="0.3">
      <c r="S476" s="14"/>
      <c r="T476" s="14"/>
      <c r="U476" s="14"/>
      <c r="V476" s="12"/>
      <c r="W476" s="12"/>
      <c r="X476" s="12"/>
      <c r="Y476" s="16"/>
      <c r="Z476" s="17"/>
    </row>
    <row r="477" spans="19:26" x14ac:dyDescent="0.3">
      <c r="S477" s="14"/>
      <c r="T477" s="14"/>
      <c r="U477" s="14"/>
      <c r="V477" s="12"/>
      <c r="W477" s="12"/>
      <c r="X477" s="12"/>
      <c r="Y477" s="16"/>
      <c r="Z477" s="17"/>
    </row>
    <row r="478" spans="19:26" x14ac:dyDescent="0.3">
      <c r="S478" s="14"/>
      <c r="T478" s="14"/>
      <c r="U478" s="14"/>
      <c r="V478" s="12"/>
      <c r="W478" s="12"/>
      <c r="X478" s="12"/>
      <c r="Y478" s="16"/>
      <c r="Z478" s="17"/>
    </row>
    <row r="479" spans="19:26" x14ac:dyDescent="0.3">
      <c r="S479" s="14"/>
      <c r="T479" s="14"/>
      <c r="U479" s="14"/>
      <c r="V479" s="12"/>
      <c r="W479" s="12"/>
      <c r="X479" s="12"/>
      <c r="Y479" s="16"/>
      <c r="Z479" s="17"/>
    </row>
    <row r="480" spans="19:26" x14ac:dyDescent="0.3">
      <c r="S480" s="14"/>
      <c r="T480" s="14"/>
      <c r="U480" s="14"/>
      <c r="V480" s="12"/>
      <c r="W480" s="12"/>
      <c r="X480" s="12"/>
      <c r="Y480" s="16"/>
      <c r="Z480" s="17"/>
    </row>
    <row r="481" spans="19:26" x14ac:dyDescent="0.3">
      <c r="S481" s="14"/>
      <c r="T481" s="14"/>
      <c r="U481" s="14"/>
      <c r="V481" s="12"/>
      <c r="W481" s="12"/>
      <c r="X481" s="12"/>
      <c r="Y481" s="16"/>
      <c r="Z481" s="17"/>
    </row>
    <row r="482" spans="19:26" x14ac:dyDescent="0.3">
      <c r="S482" s="14"/>
      <c r="T482" s="14"/>
      <c r="U482" s="14"/>
      <c r="V482" s="12"/>
      <c r="W482" s="12"/>
      <c r="X482" s="12"/>
      <c r="Y482" s="16"/>
      <c r="Z482" s="17"/>
    </row>
    <row r="483" spans="19:26" x14ac:dyDescent="0.3">
      <c r="S483" s="14"/>
      <c r="T483" s="14"/>
      <c r="U483" s="14"/>
      <c r="V483" s="12"/>
      <c r="W483" s="12"/>
      <c r="X483" s="12"/>
      <c r="Y483" s="16"/>
      <c r="Z483" s="17"/>
    </row>
    <row r="484" spans="19:26" x14ac:dyDescent="0.3">
      <c r="S484" s="14"/>
      <c r="T484" s="14"/>
      <c r="U484" s="14"/>
      <c r="V484" s="12"/>
      <c r="W484" s="12"/>
      <c r="X484" s="12"/>
      <c r="Y484" s="16"/>
      <c r="Z484" s="17"/>
    </row>
    <row r="485" spans="19:26" x14ac:dyDescent="0.3">
      <c r="S485" s="14"/>
      <c r="T485" s="14"/>
      <c r="U485" s="14"/>
      <c r="V485" s="12"/>
      <c r="W485" s="12"/>
      <c r="X485" s="12"/>
      <c r="Y485" s="16"/>
      <c r="Z485" s="17"/>
    </row>
    <row r="486" spans="19:26" x14ac:dyDescent="0.3">
      <c r="S486" s="14"/>
      <c r="T486" s="14"/>
      <c r="U486" s="14"/>
      <c r="V486" s="12"/>
      <c r="W486" s="12"/>
      <c r="X486" s="12"/>
      <c r="Y486" s="16"/>
      <c r="Z486" s="17"/>
    </row>
    <row r="487" spans="19:26" x14ac:dyDescent="0.3">
      <c r="S487" s="14"/>
      <c r="T487" s="14"/>
      <c r="U487" s="14"/>
      <c r="V487" s="12"/>
      <c r="W487" s="12"/>
      <c r="X487" s="12"/>
      <c r="Y487" s="16"/>
      <c r="Z487" s="17"/>
    </row>
    <row r="488" spans="19:26" x14ac:dyDescent="0.3">
      <c r="S488" s="14"/>
      <c r="T488" s="14"/>
      <c r="U488" s="14"/>
      <c r="V488" s="12"/>
      <c r="W488" s="12"/>
      <c r="X488" s="12"/>
      <c r="Y488" s="16"/>
      <c r="Z488" s="17"/>
    </row>
    <row r="489" spans="19:26" x14ac:dyDescent="0.3">
      <c r="S489" s="14"/>
      <c r="T489" s="14"/>
      <c r="U489" s="14"/>
      <c r="V489" s="12"/>
      <c r="W489" s="12"/>
      <c r="X489" s="12"/>
      <c r="Y489" s="16"/>
      <c r="Z489" s="17"/>
    </row>
    <row r="490" spans="19:26" x14ac:dyDescent="0.3">
      <c r="S490" s="14"/>
      <c r="T490" s="14"/>
      <c r="U490" s="14"/>
      <c r="V490" s="12"/>
      <c r="W490" s="12"/>
      <c r="X490" s="12"/>
      <c r="Y490" s="16"/>
      <c r="Z490" s="17"/>
    </row>
    <row r="491" spans="19:26" x14ac:dyDescent="0.3">
      <c r="S491" s="14"/>
      <c r="T491" s="14"/>
      <c r="U491" s="14"/>
      <c r="V491" s="12"/>
      <c r="W491" s="12"/>
      <c r="X491" s="12"/>
      <c r="Y491" s="16"/>
      <c r="Z491" s="17"/>
    </row>
    <row r="492" spans="19:26" x14ac:dyDescent="0.3">
      <c r="S492" s="14"/>
      <c r="T492" s="14"/>
      <c r="U492" s="14"/>
      <c r="V492" s="12"/>
      <c r="W492" s="12"/>
      <c r="X492" s="12"/>
      <c r="Y492" s="16"/>
      <c r="Z492" s="17"/>
    </row>
    <row r="493" spans="19:26" x14ac:dyDescent="0.3">
      <c r="S493" s="14"/>
      <c r="T493" s="14"/>
      <c r="U493" s="14"/>
      <c r="V493" s="12"/>
      <c r="W493" s="12"/>
      <c r="X493" s="12"/>
      <c r="Y493" s="16"/>
      <c r="Z493" s="17"/>
    </row>
    <row r="494" spans="19:26" x14ac:dyDescent="0.3">
      <c r="S494" s="14"/>
      <c r="T494" s="14"/>
      <c r="U494" s="14"/>
      <c r="V494" s="12"/>
      <c r="W494" s="12"/>
      <c r="X494" s="12"/>
      <c r="Y494" s="16"/>
      <c r="Z494" s="17"/>
    </row>
    <row r="495" spans="19:26" x14ac:dyDescent="0.3">
      <c r="S495" s="14"/>
      <c r="T495" s="14"/>
      <c r="U495" s="14"/>
      <c r="V495" s="12"/>
      <c r="W495" s="12"/>
      <c r="X495" s="12"/>
      <c r="Y495" s="16"/>
      <c r="Z495" s="17"/>
    </row>
    <row r="496" spans="19:26" x14ac:dyDescent="0.3">
      <c r="S496" s="14"/>
      <c r="T496" s="14"/>
      <c r="U496" s="14"/>
      <c r="V496" s="12"/>
      <c r="W496" s="12"/>
      <c r="X496" s="12"/>
      <c r="Y496" s="16"/>
      <c r="Z496" s="17"/>
    </row>
    <row r="497" spans="19:26" x14ac:dyDescent="0.3">
      <c r="S497" s="14"/>
      <c r="T497" s="14"/>
      <c r="U497" s="14"/>
      <c r="V497" s="12"/>
      <c r="W497" s="12"/>
      <c r="X497" s="12"/>
      <c r="Y497" s="16"/>
      <c r="Z497" s="17"/>
    </row>
    <row r="498" spans="19:26" x14ac:dyDescent="0.3">
      <c r="S498" s="14"/>
      <c r="T498" s="14"/>
      <c r="U498" s="14"/>
      <c r="V498" s="12"/>
      <c r="W498" s="12"/>
      <c r="X498" s="12"/>
      <c r="Y498" s="16"/>
      <c r="Z498" s="17"/>
    </row>
    <row r="499" spans="19:26" x14ac:dyDescent="0.3">
      <c r="S499" s="14"/>
      <c r="T499" s="14"/>
      <c r="U499" s="14"/>
      <c r="V499" s="12"/>
      <c r="W499" s="12"/>
      <c r="X499" s="12"/>
      <c r="Y499" s="16"/>
      <c r="Z499" s="17"/>
    </row>
    <row r="500" spans="19:26" x14ac:dyDescent="0.3">
      <c r="S500" s="14"/>
      <c r="T500" s="14"/>
      <c r="U500" s="14"/>
      <c r="V500" s="12"/>
      <c r="W500" s="12"/>
      <c r="X500" s="12"/>
      <c r="Y500" s="16"/>
      <c r="Z500" s="17"/>
    </row>
    <row r="501" spans="19:26" x14ac:dyDescent="0.3">
      <c r="S501" s="14"/>
      <c r="T501" s="14"/>
      <c r="U501" s="14"/>
      <c r="V501" s="12"/>
      <c r="W501" s="12"/>
      <c r="X501" s="12"/>
      <c r="Y501" s="16"/>
      <c r="Z501" s="17"/>
    </row>
    <row r="502" spans="19:26" x14ac:dyDescent="0.3">
      <c r="S502" s="14"/>
      <c r="T502" s="14"/>
      <c r="U502" s="14"/>
      <c r="V502" s="12"/>
      <c r="W502" s="12"/>
      <c r="X502" s="12"/>
      <c r="Y502" s="16"/>
      <c r="Z502" s="17"/>
    </row>
    <row r="503" spans="19:26" x14ac:dyDescent="0.3">
      <c r="S503" s="14"/>
      <c r="T503" s="14"/>
      <c r="U503" s="14"/>
      <c r="V503" s="12"/>
      <c r="W503" s="12"/>
      <c r="X503" s="12"/>
      <c r="Y503" s="16"/>
      <c r="Z503" s="17"/>
    </row>
    <row r="504" spans="19:26" x14ac:dyDescent="0.3">
      <c r="S504" s="14"/>
      <c r="T504" s="14"/>
      <c r="U504" s="14"/>
      <c r="V504" s="12"/>
      <c r="W504" s="12"/>
      <c r="X504" s="12"/>
      <c r="Y504" s="16"/>
      <c r="Z504" s="17"/>
    </row>
    <row r="505" spans="19:26" x14ac:dyDescent="0.3">
      <c r="S505" s="14"/>
      <c r="T505" s="14"/>
      <c r="U505" s="14"/>
      <c r="V505" s="12"/>
      <c r="W505" s="12"/>
      <c r="X505" s="12"/>
      <c r="Y505" s="16"/>
      <c r="Z505" s="17"/>
    </row>
    <row r="506" spans="19:26" x14ac:dyDescent="0.3">
      <c r="S506" s="14"/>
      <c r="T506" s="14"/>
      <c r="U506" s="14"/>
      <c r="V506" s="12"/>
      <c r="W506" s="12"/>
      <c r="X506" s="12"/>
      <c r="Y506" s="16"/>
      <c r="Z506" s="17"/>
    </row>
    <row r="507" spans="19:26" x14ac:dyDescent="0.3">
      <c r="S507" s="14"/>
      <c r="T507" s="14"/>
      <c r="U507" s="14"/>
      <c r="V507" s="12"/>
      <c r="W507" s="12"/>
      <c r="X507" s="12"/>
      <c r="Y507" s="16"/>
      <c r="Z507" s="17"/>
    </row>
    <row r="508" spans="19:26" x14ac:dyDescent="0.3">
      <c r="S508" s="14"/>
      <c r="T508" s="14"/>
      <c r="U508" s="14"/>
      <c r="V508" s="12"/>
      <c r="W508" s="12"/>
      <c r="X508" s="12"/>
      <c r="Y508" s="16"/>
      <c r="Z508" s="17"/>
    </row>
    <row r="509" spans="19:26" x14ac:dyDescent="0.3">
      <c r="S509" s="14"/>
      <c r="T509" s="14"/>
      <c r="U509" s="14"/>
      <c r="V509" s="12"/>
      <c r="W509" s="12"/>
      <c r="X509" s="12"/>
      <c r="Y509" s="16"/>
      <c r="Z509" s="17"/>
    </row>
    <row r="510" spans="19:26" x14ac:dyDescent="0.3">
      <c r="S510" s="14"/>
      <c r="T510" s="14"/>
      <c r="U510" s="14"/>
      <c r="V510" s="12"/>
      <c r="W510" s="12"/>
      <c r="X510" s="12"/>
      <c r="Y510" s="16"/>
      <c r="Z510" s="17"/>
    </row>
    <row r="511" spans="19:26" x14ac:dyDescent="0.3">
      <c r="S511" s="14"/>
      <c r="T511" s="14"/>
      <c r="U511" s="14"/>
      <c r="V511" s="12"/>
      <c r="W511" s="12"/>
      <c r="X511" s="12"/>
      <c r="Y511" s="16"/>
      <c r="Z511" s="17"/>
    </row>
    <row r="512" spans="19:26" x14ac:dyDescent="0.3">
      <c r="S512" s="14"/>
      <c r="T512" s="14"/>
      <c r="U512" s="14"/>
      <c r="V512" s="12"/>
      <c r="W512" s="12"/>
      <c r="X512" s="12"/>
      <c r="Y512" s="16"/>
      <c r="Z512" s="17"/>
    </row>
    <row r="513" spans="19:26" x14ac:dyDescent="0.3">
      <c r="S513" s="14"/>
      <c r="T513" s="14"/>
      <c r="U513" s="14"/>
      <c r="V513" s="12"/>
      <c r="W513" s="12"/>
      <c r="X513" s="12"/>
      <c r="Y513" s="16"/>
      <c r="Z513" s="17"/>
    </row>
    <row r="514" spans="19:26" x14ac:dyDescent="0.3">
      <c r="S514" s="14"/>
      <c r="T514" s="14"/>
      <c r="U514" s="14"/>
      <c r="V514" s="12"/>
      <c r="W514" s="12"/>
      <c r="X514" s="12"/>
      <c r="Y514" s="16"/>
      <c r="Z514" s="17"/>
    </row>
    <row r="515" spans="19:26" x14ac:dyDescent="0.3">
      <c r="S515" s="14"/>
      <c r="T515" s="14"/>
      <c r="U515" s="14"/>
      <c r="V515" s="12"/>
      <c r="W515" s="12"/>
      <c r="X515" s="12"/>
      <c r="Y515" s="16"/>
      <c r="Z515" s="17"/>
    </row>
    <row r="516" spans="19:26" x14ac:dyDescent="0.3">
      <c r="S516" s="14"/>
      <c r="T516" s="14"/>
      <c r="U516" s="14"/>
      <c r="V516" s="12"/>
      <c r="W516" s="12"/>
      <c r="X516" s="12"/>
      <c r="Y516" s="16"/>
      <c r="Z516" s="17"/>
    </row>
    <row r="517" spans="19:26" x14ac:dyDescent="0.3">
      <c r="S517" s="14"/>
      <c r="T517" s="14"/>
      <c r="U517" s="14"/>
      <c r="V517" s="12"/>
      <c r="W517" s="12"/>
      <c r="X517" s="12"/>
      <c r="Y517" s="16"/>
      <c r="Z517" s="17"/>
    </row>
    <row r="518" spans="19:26" x14ac:dyDescent="0.3">
      <c r="S518" s="14"/>
      <c r="T518" s="14"/>
      <c r="U518" s="14"/>
      <c r="V518" s="12"/>
      <c r="W518" s="12"/>
      <c r="X518" s="12"/>
      <c r="Y518" s="16"/>
      <c r="Z518" s="17"/>
    </row>
    <row r="519" spans="19:26" x14ac:dyDescent="0.3">
      <c r="S519" s="14"/>
      <c r="T519" s="14"/>
      <c r="U519" s="14"/>
      <c r="V519" s="12"/>
      <c r="W519" s="12"/>
      <c r="X519" s="12"/>
      <c r="Y519" s="16"/>
      <c r="Z519" s="17"/>
    </row>
    <row r="520" spans="19:26" x14ac:dyDescent="0.3">
      <c r="S520" s="14"/>
      <c r="T520" s="14"/>
      <c r="U520" s="14"/>
      <c r="V520" s="12"/>
      <c r="W520" s="12"/>
      <c r="X520" s="12"/>
      <c r="Y520" s="16"/>
      <c r="Z520" s="17"/>
    </row>
    <row r="521" spans="19:26" x14ac:dyDescent="0.3">
      <c r="S521" s="14"/>
      <c r="T521" s="14"/>
      <c r="U521" s="14"/>
      <c r="V521" s="12"/>
      <c r="W521" s="12"/>
      <c r="X521" s="12"/>
      <c r="Y521" s="16"/>
      <c r="Z521" s="17"/>
    </row>
    <row r="522" spans="19:26" x14ac:dyDescent="0.3">
      <c r="S522" s="14"/>
      <c r="T522" s="14"/>
      <c r="U522" s="14"/>
      <c r="V522" s="12"/>
      <c r="W522" s="12"/>
      <c r="X522" s="12"/>
      <c r="Y522" s="16"/>
      <c r="Z522" s="17"/>
    </row>
    <row r="523" spans="19:26" x14ac:dyDescent="0.3">
      <c r="S523" s="14"/>
      <c r="T523" s="14"/>
      <c r="U523" s="14"/>
      <c r="V523" s="12"/>
      <c r="W523" s="12"/>
      <c r="X523" s="12"/>
      <c r="Y523" s="16"/>
      <c r="Z523" s="17"/>
    </row>
    <row r="524" spans="19:26" x14ac:dyDescent="0.3">
      <c r="S524" s="14"/>
      <c r="T524" s="14"/>
      <c r="U524" s="14"/>
      <c r="V524" s="12"/>
      <c r="W524" s="12"/>
      <c r="X524" s="12"/>
      <c r="Y524" s="16"/>
      <c r="Z524" s="17"/>
    </row>
    <row r="525" spans="19:26" x14ac:dyDescent="0.3">
      <c r="S525" s="14"/>
      <c r="T525" s="14"/>
      <c r="U525" s="14"/>
      <c r="V525" s="12"/>
      <c r="W525" s="12"/>
      <c r="X525" s="12"/>
      <c r="Y525" s="16"/>
      <c r="Z525" s="17"/>
    </row>
    <row r="526" spans="19:26" x14ac:dyDescent="0.3">
      <c r="S526" s="14"/>
      <c r="T526" s="14"/>
      <c r="U526" s="14"/>
      <c r="V526" s="12"/>
      <c r="W526" s="12"/>
      <c r="X526" s="12"/>
      <c r="Y526" s="16"/>
      <c r="Z526" s="17"/>
    </row>
    <row r="527" spans="19:26" x14ac:dyDescent="0.3">
      <c r="S527" s="14"/>
      <c r="T527" s="14"/>
      <c r="U527" s="14"/>
      <c r="V527" s="12"/>
      <c r="W527" s="12"/>
      <c r="X527" s="12"/>
      <c r="Y527" s="16"/>
      <c r="Z527" s="17"/>
    </row>
    <row r="528" spans="19:26" x14ac:dyDescent="0.3">
      <c r="S528" s="14"/>
      <c r="T528" s="14"/>
      <c r="U528" s="14"/>
      <c r="V528" s="12"/>
      <c r="W528" s="12"/>
      <c r="X528" s="12"/>
      <c r="Y528" s="16"/>
      <c r="Z528" s="17"/>
    </row>
    <row r="529" spans="19:26" x14ac:dyDescent="0.3">
      <c r="S529" s="14"/>
      <c r="T529" s="14"/>
      <c r="U529" s="14"/>
      <c r="V529" s="12"/>
      <c r="W529" s="12"/>
      <c r="X529" s="12"/>
      <c r="Y529" s="16"/>
      <c r="Z529" s="17"/>
    </row>
    <row r="530" spans="19:26" x14ac:dyDescent="0.3">
      <c r="S530" s="14"/>
      <c r="T530" s="14"/>
      <c r="U530" s="14"/>
      <c r="V530" s="12"/>
      <c r="W530" s="12"/>
      <c r="X530" s="12"/>
      <c r="Y530" s="16"/>
      <c r="Z530" s="17"/>
    </row>
    <row r="531" spans="19:26" x14ac:dyDescent="0.3">
      <c r="S531" s="14"/>
      <c r="T531" s="14"/>
      <c r="U531" s="14"/>
      <c r="V531" s="12"/>
      <c r="W531" s="12"/>
      <c r="X531" s="12"/>
      <c r="Y531" s="16"/>
      <c r="Z531" s="17"/>
    </row>
    <row r="532" spans="19:26" x14ac:dyDescent="0.3">
      <c r="S532" s="14"/>
      <c r="T532" s="14"/>
      <c r="U532" s="14"/>
      <c r="V532" s="12"/>
      <c r="W532" s="12"/>
      <c r="X532" s="12"/>
      <c r="Y532" s="16"/>
      <c r="Z532" s="17"/>
    </row>
    <row r="533" spans="19:26" x14ac:dyDescent="0.3">
      <c r="S533" s="14"/>
      <c r="T533" s="14"/>
      <c r="U533" s="14"/>
      <c r="V533" s="12"/>
      <c r="W533" s="12"/>
      <c r="X533" s="12"/>
      <c r="Y533" s="16"/>
      <c r="Z533" s="17"/>
    </row>
    <row r="534" spans="19:26" x14ac:dyDescent="0.3">
      <c r="S534" s="14"/>
      <c r="T534" s="14"/>
      <c r="U534" s="14"/>
      <c r="V534" s="12"/>
      <c r="W534" s="12"/>
      <c r="X534" s="12"/>
      <c r="Y534" s="16"/>
      <c r="Z534" s="17"/>
    </row>
    <row r="535" spans="19:26" x14ac:dyDescent="0.3">
      <c r="S535" s="14"/>
      <c r="T535" s="14"/>
      <c r="U535" s="14"/>
      <c r="V535" s="12"/>
      <c r="W535" s="12"/>
      <c r="X535" s="12"/>
      <c r="Y535" s="16"/>
      <c r="Z535" s="17"/>
    </row>
    <row r="536" spans="19:26" x14ac:dyDescent="0.3">
      <c r="S536" s="14"/>
      <c r="T536" s="14"/>
      <c r="U536" s="14"/>
      <c r="V536" s="12"/>
      <c r="W536" s="12"/>
      <c r="X536" s="12"/>
      <c r="Y536" s="16"/>
      <c r="Z536" s="17"/>
    </row>
    <row r="537" spans="19:26" x14ac:dyDescent="0.3">
      <c r="S537" s="14"/>
      <c r="T537" s="14"/>
      <c r="U537" s="14"/>
      <c r="V537" s="12"/>
      <c r="W537" s="12"/>
      <c r="X537" s="12"/>
      <c r="Y537" s="16"/>
      <c r="Z537" s="17"/>
    </row>
    <row r="538" spans="19:26" x14ac:dyDescent="0.3">
      <c r="S538" s="14"/>
      <c r="T538" s="14"/>
      <c r="U538" s="14"/>
      <c r="V538" s="12"/>
      <c r="W538" s="12"/>
      <c r="X538" s="12"/>
      <c r="Y538" s="16"/>
      <c r="Z538" s="17"/>
    </row>
    <row r="539" spans="19:26" x14ac:dyDescent="0.3">
      <c r="S539" s="14"/>
      <c r="T539" s="14"/>
      <c r="U539" s="14"/>
      <c r="V539" s="12"/>
      <c r="W539" s="12"/>
      <c r="X539" s="12"/>
      <c r="Y539" s="16"/>
      <c r="Z539" s="17"/>
    </row>
    <row r="540" spans="19:26" x14ac:dyDescent="0.3">
      <c r="S540" s="14"/>
      <c r="T540" s="14"/>
      <c r="U540" s="14"/>
      <c r="V540" s="12"/>
      <c r="W540" s="12"/>
      <c r="X540" s="12"/>
      <c r="Y540" s="16"/>
      <c r="Z540" s="17"/>
    </row>
    <row r="541" spans="19:26" x14ac:dyDescent="0.3">
      <c r="S541" s="14"/>
      <c r="T541" s="14"/>
      <c r="U541" s="14"/>
      <c r="V541" s="12"/>
      <c r="W541" s="12"/>
      <c r="X541" s="12"/>
      <c r="Y541" s="16"/>
      <c r="Z541" s="17"/>
    </row>
    <row r="542" spans="19:26" x14ac:dyDescent="0.3">
      <c r="S542" s="14"/>
      <c r="T542" s="14"/>
      <c r="U542" s="14"/>
      <c r="V542" s="12"/>
      <c r="W542" s="12"/>
      <c r="X542" s="12"/>
      <c r="Y542" s="16"/>
      <c r="Z542" s="17"/>
    </row>
    <row r="543" spans="19:26" x14ac:dyDescent="0.3">
      <c r="S543" s="14"/>
      <c r="T543" s="14"/>
      <c r="U543" s="14"/>
      <c r="V543" s="12"/>
      <c r="W543" s="12"/>
      <c r="X543" s="12"/>
      <c r="Y543" s="16"/>
      <c r="Z543" s="17"/>
    </row>
    <row r="544" spans="19:26" x14ac:dyDescent="0.3">
      <c r="S544" s="14"/>
      <c r="T544" s="14"/>
      <c r="U544" s="14"/>
      <c r="V544" s="12"/>
      <c r="W544" s="12"/>
      <c r="X544" s="12"/>
      <c r="Y544" s="16"/>
      <c r="Z544" s="17"/>
    </row>
    <row r="545" spans="19:26" x14ac:dyDescent="0.3">
      <c r="S545" s="14"/>
      <c r="T545" s="14"/>
      <c r="U545" s="14"/>
      <c r="V545" s="12"/>
      <c r="W545" s="12"/>
      <c r="X545" s="12"/>
      <c r="Y545" s="16"/>
      <c r="Z545" s="17"/>
    </row>
    <row r="546" spans="19:26" x14ac:dyDescent="0.3">
      <c r="S546" s="14"/>
      <c r="T546" s="14"/>
      <c r="U546" s="14"/>
      <c r="V546" s="12"/>
      <c r="W546" s="12"/>
      <c r="X546" s="12"/>
      <c r="Y546" s="16"/>
      <c r="Z546" s="17"/>
    </row>
    <row r="547" spans="19:26" x14ac:dyDescent="0.3">
      <c r="S547" s="14"/>
      <c r="T547" s="14"/>
      <c r="U547" s="14"/>
      <c r="V547" s="12"/>
      <c r="W547" s="12"/>
      <c r="X547" s="12"/>
      <c r="Y547" s="16"/>
      <c r="Z547" s="17"/>
    </row>
    <row r="548" spans="19:26" x14ac:dyDescent="0.3">
      <c r="S548" s="14"/>
      <c r="T548" s="14"/>
      <c r="U548" s="14"/>
      <c r="V548" s="12"/>
      <c r="W548" s="12"/>
      <c r="X548" s="12"/>
      <c r="Y548" s="16"/>
      <c r="Z548" s="17"/>
    </row>
    <row r="549" spans="19:26" x14ac:dyDescent="0.3">
      <c r="S549" s="14"/>
      <c r="T549" s="14"/>
      <c r="U549" s="14"/>
      <c r="V549" s="12"/>
      <c r="W549" s="12"/>
      <c r="X549" s="12"/>
      <c r="Y549" s="16"/>
      <c r="Z549" s="17"/>
    </row>
    <row r="550" spans="19:26" x14ac:dyDescent="0.3">
      <c r="S550" s="14"/>
      <c r="T550" s="14"/>
      <c r="U550" s="14"/>
      <c r="V550" s="12"/>
      <c r="W550" s="12"/>
      <c r="X550" s="12"/>
      <c r="Y550" s="16"/>
      <c r="Z550" s="17"/>
    </row>
    <row r="551" spans="19:26" x14ac:dyDescent="0.3">
      <c r="S551" s="14"/>
      <c r="T551" s="14"/>
      <c r="U551" s="14"/>
      <c r="V551" s="12"/>
      <c r="W551" s="12"/>
      <c r="X551" s="12"/>
      <c r="Y551" s="16"/>
      <c r="Z551" s="17"/>
    </row>
    <row r="552" spans="19:26" x14ac:dyDescent="0.3">
      <c r="S552" s="14"/>
      <c r="T552" s="14"/>
      <c r="U552" s="14"/>
      <c r="V552" s="12"/>
      <c r="W552" s="12"/>
      <c r="X552" s="12"/>
      <c r="Y552" s="16"/>
      <c r="Z552" s="17"/>
    </row>
    <row r="553" spans="19:26" x14ac:dyDescent="0.3">
      <c r="S553" s="14"/>
      <c r="T553" s="14"/>
      <c r="U553" s="14"/>
      <c r="V553" s="12"/>
      <c r="W553" s="12"/>
      <c r="X553" s="12"/>
      <c r="Y553" s="16"/>
      <c r="Z553" s="17"/>
    </row>
    <row r="554" spans="19:26" x14ac:dyDescent="0.3">
      <c r="S554" s="14"/>
      <c r="T554" s="14"/>
      <c r="U554" s="14"/>
      <c r="V554" s="12"/>
      <c r="W554" s="12"/>
      <c r="X554" s="12"/>
      <c r="Y554" s="16"/>
      <c r="Z554" s="17"/>
    </row>
    <row r="555" spans="19:26" x14ac:dyDescent="0.3">
      <c r="S555" s="14"/>
      <c r="T555" s="14"/>
      <c r="U555" s="14"/>
      <c r="V555" s="12"/>
      <c r="W555" s="12"/>
      <c r="X555" s="12"/>
      <c r="Y555" s="16"/>
      <c r="Z555" s="17"/>
    </row>
    <row r="556" spans="19:26" x14ac:dyDescent="0.3">
      <c r="S556" s="14"/>
      <c r="T556" s="14"/>
      <c r="U556" s="14"/>
      <c r="V556" s="12"/>
      <c r="W556" s="12"/>
      <c r="X556" s="12"/>
      <c r="Y556" s="16"/>
      <c r="Z556" s="17"/>
    </row>
    <row r="557" spans="19:26" x14ac:dyDescent="0.3">
      <c r="S557" s="14"/>
      <c r="T557" s="14"/>
      <c r="U557" s="14"/>
      <c r="V557" s="12"/>
      <c r="W557" s="12"/>
      <c r="X557" s="12"/>
      <c r="Y557" s="16"/>
      <c r="Z557" s="17"/>
    </row>
    <row r="558" spans="19:26" x14ac:dyDescent="0.3">
      <c r="S558" s="14"/>
      <c r="T558" s="14"/>
      <c r="U558" s="14"/>
      <c r="V558" s="12"/>
      <c r="W558" s="12"/>
      <c r="X558" s="12"/>
      <c r="Y558" s="16"/>
      <c r="Z558" s="17"/>
    </row>
    <row r="559" spans="19:26" x14ac:dyDescent="0.3">
      <c r="S559" s="14"/>
      <c r="T559" s="14"/>
      <c r="U559" s="14"/>
      <c r="V559" s="12"/>
      <c r="W559" s="12"/>
      <c r="X559" s="12"/>
      <c r="Y559" s="16"/>
      <c r="Z559" s="17"/>
    </row>
    <row r="560" spans="19:26" x14ac:dyDescent="0.3">
      <c r="S560" s="14"/>
      <c r="T560" s="14"/>
      <c r="U560" s="14"/>
      <c r="V560" s="12"/>
      <c r="W560" s="12"/>
      <c r="X560" s="12"/>
      <c r="Y560" s="16"/>
      <c r="Z560" s="17"/>
    </row>
    <row r="561" spans="19:26" x14ac:dyDescent="0.3">
      <c r="S561" s="14"/>
      <c r="T561" s="14"/>
      <c r="U561" s="14"/>
      <c r="V561" s="12"/>
      <c r="W561" s="12"/>
      <c r="X561" s="12"/>
      <c r="Y561" s="16"/>
      <c r="Z561" s="17"/>
    </row>
    <row r="562" spans="19:26" x14ac:dyDescent="0.3">
      <c r="S562" s="14"/>
      <c r="T562" s="14"/>
      <c r="U562" s="14"/>
      <c r="V562" s="12"/>
      <c r="W562" s="12"/>
      <c r="X562" s="12"/>
      <c r="Y562" s="16"/>
      <c r="Z562" s="17"/>
    </row>
    <row r="563" spans="19:26" x14ac:dyDescent="0.3">
      <c r="S563" s="14"/>
      <c r="T563" s="14"/>
      <c r="U563" s="14"/>
      <c r="V563" s="12"/>
      <c r="W563" s="12"/>
      <c r="X563" s="12"/>
      <c r="Y563" s="16"/>
      <c r="Z563" s="17"/>
    </row>
    <row r="564" spans="19:26" x14ac:dyDescent="0.3">
      <c r="S564" s="14"/>
      <c r="T564" s="14"/>
      <c r="U564" s="14"/>
      <c r="V564" s="12"/>
      <c r="W564" s="12"/>
      <c r="X564" s="12"/>
      <c r="Y564" s="16"/>
      <c r="Z564" s="17"/>
    </row>
    <row r="565" spans="19:26" x14ac:dyDescent="0.3">
      <c r="S565" s="14"/>
      <c r="T565" s="14"/>
      <c r="U565" s="14"/>
      <c r="V565" s="12"/>
      <c r="W565" s="12"/>
      <c r="X565" s="12"/>
      <c r="Y565" s="16"/>
      <c r="Z565" s="17"/>
    </row>
    <row r="566" spans="19:26" x14ac:dyDescent="0.3">
      <c r="S566" s="14"/>
      <c r="T566" s="14"/>
      <c r="U566" s="14"/>
      <c r="V566" s="12"/>
      <c r="W566" s="12"/>
      <c r="X566" s="12"/>
      <c r="Y566" s="16"/>
      <c r="Z566" s="17"/>
    </row>
    <row r="567" spans="19:26" x14ac:dyDescent="0.3">
      <c r="S567" s="14"/>
      <c r="T567" s="14"/>
      <c r="U567" s="14"/>
      <c r="V567" s="12"/>
      <c r="W567" s="12"/>
      <c r="X567" s="12"/>
      <c r="Y567" s="16"/>
      <c r="Z567" s="17"/>
    </row>
    <row r="568" spans="19:26" x14ac:dyDescent="0.3">
      <c r="S568" s="14"/>
      <c r="T568" s="14"/>
      <c r="U568" s="14"/>
      <c r="V568" s="12"/>
      <c r="W568" s="12"/>
      <c r="X568" s="12"/>
      <c r="Y568" s="16"/>
      <c r="Z568" s="17"/>
    </row>
    <row r="569" spans="19:26" x14ac:dyDescent="0.3">
      <c r="S569" s="14"/>
      <c r="T569" s="14"/>
      <c r="U569" s="14"/>
      <c r="V569" s="12"/>
      <c r="W569" s="12"/>
      <c r="X569" s="12"/>
      <c r="Y569" s="16"/>
      <c r="Z569" s="17"/>
    </row>
    <row r="570" spans="19:26" x14ac:dyDescent="0.3">
      <c r="S570" s="14"/>
      <c r="T570" s="14"/>
      <c r="U570" s="14"/>
      <c r="V570" s="12"/>
      <c r="W570" s="12"/>
      <c r="X570" s="12"/>
      <c r="Y570" s="16"/>
      <c r="Z570" s="17"/>
    </row>
    <row r="571" spans="19:26" x14ac:dyDescent="0.3">
      <c r="S571" s="14"/>
      <c r="T571" s="14"/>
      <c r="U571" s="14"/>
      <c r="V571" s="12"/>
      <c r="W571" s="12"/>
      <c r="X571" s="12"/>
      <c r="Y571" s="16"/>
      <c r="Z571" s="17"/>
    </row>
    <row r="572" spans="19:26" x14ac:dyDescent="0.3">
      <c r="S572" s="14"/>
      <c r="T572" s="14"/>
      <c r="U572" s="14"/>
      <c r="V572" s="12"/>
      <c r="W572" s="12"/>
      <c r="X572" s="12"/>
      <c r="Y572" s="16"/>
      <c r="Z572" s="17"/>
    </row>
    <row r="573" spans="19:26" x14ac:dyDescent="0.3">
      <c r="S573" s="14"/>
      <c r="T573" s="14"/>
      <c r="U573" s="14"/>
      <c r="V573" s="12"/>
      <c r="W573" s="12"/>
      <c r="X573" s="12"/>
      <c r="Y573" s="16"/>
      <c r="Z573" s="17"/>
    </row>
    <row r="574" spans="19:26" x14ac:dyDescent="0.3">
      <c r="S574" s="14"/>
      <c r="T574" s="14"/>
      <c r="U574" s="14"/>
      <c r="V574" s="12"/>
      <c r="W574" s="12"/>
      <c r="X574" s="12"/>
      <c r="Y574" s="16"/>
      <c r="Z574" s="17"/>
    </row>
    <row r="575" spans="19:26" x14ac:dyDescent="0.3">
      <c r="S575" s="14"/>
      <c r="T575" s="14"/>
      <c r="U575" s="14"/>
      <c r="V575" s="12"/>
      <c r="W575" s="12"/>
      <c r="X575" s="12"/>
      <c r="Y575" s="16"/>
      <c r="Z575" s="17"/>
    </row>
    <row r="576" spans="19:26" x14ac:dyDescent="0.3">
      <c r="S576" s="14"/>
      <c r="T576" s="14"/>
      <c r="U576" s="14"/>
      <c r="V576" s="12"/>
      <c r="W576" s="12"/>
      <c r="X576" s="12"/>
      <c r="Y576" s="16"/>
      <c r="Z576" s="17"/>
    </row>
    <row r="577" spans="19:26" x14ac:dyDescent="0.3">
      <c r="S577" s="14"/>
      <c r="T577" s="14"/>
      <c r="U577" s="14"/>
      <c r="V577" s="12"/>
      <c r="W577" s="12"/>
      <c r="X577" s="12"/>
      <c r="Y577" s="16"/>
      <c r="Z577" s="17"/>
    </row>
    <row r="578" spans="19:26" x14ac:dyDescent="0.3">
      <c r="S578" s="14"/>
      <c r="T578" s="14"/>
      <c r="U578" s="14"/>
      <c r="V578" s="12"/>
      <c r="W578" s="12"/>
      <c r="X578" s="12"/>
      <c r="Y578" s="16"/>
      <c r="Z578" s="17"/>
    </row>
    <row r="579" spans="19:26" x14ac:dyDescent="0.3">
      <c r="S579" s="14"/>
      <c r="T579" s="14"/>
      <c r="U579" s="14"/>
      <c r="V579" s="12"/>
      <c r="W579" s="12"/>
      <c r="X579" s="12"/>
      <c r="Y579" s="16"/>
      <c r="Z579" s="17"/>
    </row>
    <row r="580" spans="19:26" x14ac:dyDescent="0.3">
      <c r="S580" s="14"/>
      <c r="T580" s="14"/>
      <c r="U580" s="14"/>
      <c r="V580" s="12"/>
      <c r="W580" s="12"/>
      <c r="X580" s="12"/>
      <c r="Y580" s="16"/>
      <c r="Z580" s="17"/>
    </row>
    <row r="581" spans="19:26" x14ac:dyDescent="0.3">
      <c r="S581" s="14"/>
      <c r="T581" s="14"/>
      <c r="U581" s="14"/>
      <c r="V581" s="12"/>
      <c r="W581" s="12"/>
      <c r="X581" s="12"/>
      <c r="Y581" s="16"/>
      <c r="Z581" s="17"/>
    </row>
    <row r="582" spans="19:26" x14ac:dyDescent="0.3">
      <c r="S582" s="14"/>
      <c r="T582" s="14"/>
      <c r="U582" s="14"/>
      <c r="V582" s="12"/>
      <c r="W582" s="12"/>
      <c r="X582" s="12"/>
      <c r="Y582" s="16"/>
      <c r="Z582" s="17"/>
    </row>
    <row r="583" spans="19:26" x14ac:dyDescent="0.3">
      <c r="S583" s="14"/>
      <c r="T583" s="14"/>
      <c r="U583" s="14"/>
      <c r="V583" s="12"/>
      <c r="W583" s="12"/>
      <c r="X583" s="12"/>
      <c r="Y583" s="16"/>
      <c r="Z583" s="17"/>
    </row>
    <row r="584" spans="19:26" x14ac:dyDescent="0.3">
      <c r="S584" s="14"/>
      <c r="T584" s="14"/>
      <c r="U584" s="14"/>
      <c r="V584" s="12"/>
      <c r="W584" s="12"/>
      <c r="X584" s="12"/>
      <c r="Y584" s="16"/>
      <c r="Z584" s="17"/>
    </row>
    <row r="585" spans="19:26" x14ac:dyDescent="0.3">
      <c r="S585" s="14"/>
      <c r="T585" s="14"/>
      <c r="U585" s="14"/>
      <c r="V585" s="12"/>
      <c r="W585" s="12"/>
      <c r="X585" s="12"/>
      <c r="Y585" s="16"/>
      <c r="Z585" s="17"/>
    </row>
    <row r="586" spans="19:26" x14ac:dyDescent="0.3">
      <c r="S586" s="14"/>
      <c r="T586" s="14"/>
      <c r="U586" s="14"/>
      <c r="V586" s="12"/>
      <c r="W586" s="12"/>
      <c r="X586" s="12"/>
      <c r="Y586" s="16"/>
      <c r="Z586" s="17"/>
    </row>
    <row r="587" spans="19:26" x14ac:dyDescent="0.3">
      <c r="S587" s="14"/>
      <c r="T587" s="14"/>
      <c r="U587" s="14"/>
      <c r="V587" s="12"/>
      <c r="W587" s="12"/>
      <c r="X587" s="12"/>
      <c r="Y587" s="16"/>
      <c r="Z587" s="17"/>
    </row>
    <row r="588" spans="19:26" x14ac:dyDescent="0.3">
      <c r="S588" s="14"/>
      <c r="T588" s="14"/>
      <c r="U588" s="14"/>
      <c r="V588" s="12"/>
      <c r="W588" s="12"/>
      <c r="X588" s="12"/>
      <c r="Y588" s="16"/>
      <c r="Z588" s="17"/>
    </row>
    <row r="589" spans="19:26" x14ac:dyDescent="0.3">
      <c r="S589" s="14"/>
      <c r="T589" s="14"/>
      <c r="U589" s="14"/>
      <c r="V589" s="12"/>
      <c r="W589" s="12"/>
      <c r="X589" s="12"/>
      <c r="Y589" s="16"/>
      <c r="Z589" s="17"/>
    </row>
    <row r="590" spans="19:26" x14ac:dyDescent="0.3">
      <c r="S590" s="14"/>
      <c r="T590" s="14"/>
      <c r="U590" s="14"/>
      <c r="V590" s="12"/>
      <c r="W590" s="12"/>
      <c r="X590" s="12"/>
      <c r="Y590" s="16"/>
      <c r="Z590" s="17"/>
    </row>
    <row r="591" spans="19:26" x14ac:dyDescent="0.3">
      <c r="S591" s="14"/>
      <c r="T591" s="14"/>
      <c r="U591" s="14"/>
      <c r="V591" s="12"/>
      <c r="W591" s="12"/>
      <c r="X591" s="12"/>
      <c r="Y591" s="16"/>
      <c r="Z591" s="17"/>
    </row>
    <row r="592" spans="19:26" x14ac:dyDescent="0.3">
      <c r="S592" s="14"/>
      <c r="T592" s="14"/>
      <c r="U592" s="14"/>
      <c r="V592" s="12"/>
      <c r="W592" s="12"/>
      <c r="X592" s="12"/>
      <c r="Y592" s="16"/>
      <c r="Z592" s="17"/>
    </row>
    <row r="593" spans="19:26" x14ac:dyDescent="0.3">
      <c r="S593" s="14"/>
      <c r="T593" s="14"/>
      <c r="U593" s="14"/>
      <c r="V593" s="12"/>
      <c r="W593" s="12"/>
      <c r="X593" s="12"/>
      <c r="Y593" s="16"/>
      <c r="Z593" s="17"/>
    </row>
    <row r="594" spans="19:26" x14ac:dyDescent="0.3">
      <c r="S594" s="14"/>
      <c r="T594" s="14"/>
      <c r="U594" s="14"/>
      <c r="V594" s="12"/>
      <c r="W594" s="12"/>
      <c r="X594" s="12"/>
      <c r="Y594" s="16"/>
      <c r="Z594" s="17"/>
    </row>
    <row r="595" spans="19:26" x14ac:dyDescent="0.3">
      <c r="S595" s="14"/>
      <c r="T595" s="14"/>
      <c r="U595" s="14"/>
      <c r="V595" s="12"/>
      <c r="W595" s="12"/>
      <c r="X595" s="12"/>
      <c r="Y595" s="16"/>
      <c r="Z595" s="17"/>
    </row>
    <row r="596" spans="19:26" x14ac:dyDescent="0.3">
      <c r="S596" s="14"/>
      <c r="T596" s="14"/>
      <c r="U596" s="14"/>
      <c r="V596" s="12"/>
      <c r="W596" s="12"/>
      <c r="X596" s="12"/>
      <c r="Y596" s="16"/>
      <c r="Z596" s="17"/>
    </row>
    <row r="597" spans="19:26" x14ac:dyDescent="0.3">
      <c r="S597" s="14"/>
      <c r="T597" s="14"/>
      <c r="U597" s="14"/>
      <c r="V597" s="12"/>
      <c r="W597" s="12"/>
      <c r="X597" s="12"/>
      <c r="Y597" s="16"/>
      <c r="Z597" s="17"/>
    </row>
    <row r="598" spans="19:26" x14ac:dyDescent="0.3">
      <c r="S598" s="14"/>
      <c r="T598" s="14"/>
      <c r="U598" s="14"/>
      <c r="V598" s="12"/>
      <c r="W598" s="12"/>
      <c r="X598" s="12"/>
      <c r="Y598" s="16"/>
      <c r="Z598" s="17"/>
    </row>
    <row r="599" spans="19:26" x14ac:dyDescent="0.3">
      <c r="S599" s="14"/>
      <c r="T599" s="14"/>
      <c r="U599" s="14"/>
      <c r="V599" s="12"/>
      <c r="W599" s="12"/>
      <c r="X599" s="12"/>
      <c r="Y599" s="16"/>
      <c r="Z599" s="17"/>
    </row>
    <row r="600" spans="19:26" x14ac:dyDescent="0.3">
      <c r="S600" s="14"/>
      <c r="T600" s="14"/>
      <c r="U600" s="14"/>
      <c r="V600" s="12"/>
      <c r="W600" s="12"/>
      <c r="X600" s="12"/>
      <c r="Y600" s="16"/>
      <c r="Z600" s="17"/>
    </row>
    <row r="601" spans="19:26" x14ac:dyDescent="0.3">
      <c r="S601" s="14"/>
      <c r="T601" s="14"/>
      <c r="U601" s="14"/>
      <c r="V601" s="12"/>
      <c r="W601" s="12"/>
      <c r="X601" s="12"/>
      <c r="Y601" s="16"/>
      <c r="Z601" s="17"/>
    </row>
    <row r="602" spans="19:26" x14ac:dyDescent="0.3">
      <c r="S602" s="14"/>
      <c r="T602" s="14"/>
      <c r="U602" s="14"/>
      <c r="V602" s="12"/>
      <c r="W602" s="12"/>
      <c r="X602" s="12"/>
      <c r="Y602" s="16"/>
      <c r="Z602" s="17"/>
    </row>
    <row r="603" spans="19:26" x14ac:dyDescent="0.3">
      <c r="S603" s="14"/>
      <c r="T603" s="14"/>
      <c r="U603" s="14"/>
      <c r="V603" s="12"/>
      <c r="W603" s="12"/>
      <c r="X603" s="12"/>
      <c r="Y603" s="16"/>
      <c r="Z603" s="17"/>
    </row>
    <row r="604" spans="19:26" x14ac:dyDescent="0.3">
      <c r="S604" s="14"/>
      <c r="T604" s="14"/>
      <c r="U604" s="14"/>
      <c r="V604" s="12"/>
      <c r="W604" s="12"/>
      <c r="X604" s="12"/>
      <c r="Y604" s="16"/>
      <c r="Z604" s="17"/>
    </row>
    <row r="605" spans="19:26" x14ac:dyDescent="0.3">
      <c r="S605" s="14"/>
      <c r="T605" s="14"/>
      <c r="U605" s="14"/>
      <c r="V605" s="12"/>
      <c r="W605" s="12"/>
      <c r="X605" s="12"/>
      <c r="Y605" s="16"/>
      <c r="Z605" s="17"/>
    </row>
    <row r="606" spans="19:26" x14ac:dyDescent="0.3">
      <c r="S606" s="14"/>
      <c r="T606" s="14"/>
      <c r="U606" s="14"/>
      <c r="V606" s="12"/>
      <c r="W606" s="12"/>
      <c r="X606" s="12"/>
      <c r="Y606" s="16"/>
      <c r="Z606" s="17"/>
    </row>
    <row r="607" spans="19:26" x14ac:dyDescent="0.3">
      <c r="S607" s="14"/>
      <c r="T607" s="14"/>
      <c r="U607" s="14"/>
      <c r="V607" s="12"/>
      <c r="W607" s="12"/>
      <c r="X607" s="12"/>
      <c r="Y607" s="16"/>
      <c r="Z607" s="17"/>
    </row>
    <row r="608" spans="19:26" x14ac:dyDescent="0.3">
      <c r="S608" s="14"/>
      <c r="T608" s="14"/>
      <c r="U608" s="14"/>
      <c r="V608" s="12"/>
      <c r="W608" s="12"/>
      <c r="X608" s="12"/>
      <c r="Y608" s="16"/>
      <c r="Z608" s="17"/>
    </row>
    <row r="609" spans="19:26" x14ac:dyDescent="0.3">
      <c r="S609" s="14"/>
      <c r="T609" s="14"/>
      <c r="U609" s="14"/>
      <c r="V609" s="12"/>
      <c r="W609" s="12"/>
      <c r="X609" s="12"/>
      <c r="Y609" s="16"/>
      <c r="Z609" s="17"/>
    </row>
    <row r="610" spans="19:26" x14ac:dyDescent="0.3">
      <c r="S610" s="14"/>
      <c r="T610" s="14"/>
      <c r="U610" s="14"/>
      <c r="V610" s="12"/>
      <c r="W610" s="12"/>
      <c r="X610" s="12"/>
      <c r="Y610" s="16"/>
      <c r="Z610" s="17"/>
    </row>
    <row r="611" spans="19:26" x14ac:dyDescent="0.3">
      <c r="S611" s="14"/>
      <c r="T611" s="14"/>
      <c r="U611" s="14"/>
      <c r="V611" s="12"/>
      <c r="W611" s="12"/>
      <c r="X611" s="12"/>
      <c r="Y611" s="16"/>
      <c r="Z611" s="17"/>
    </row>
    <row r="612" spans="19:26" x14ac:dyDescent="0.3">
      <c r="S612" s="14"/>
      <c r="T612" s="14"/>
      <c r="U612" s="14"/>
      <c r="V612" s="12"/>
      <c r="W612" s="12"/>
      <c r="X612" s="12"/>
      <c r="Y612" s="16"/>
      <c r="Z612" s="17"/>
    </row>
    <row r="613" spans="19:26" x14ac:dyDescent="0.3">
      <c r="S613" s="14"/>
      <c r="T613" s="14"/>
      <c r="U613" s="14"/>
      <c r="V613" s="12"/>
      <c r="W613" s="12"/>
      <c r="X613" s="12"/>
      <c r="Y613" s="16"/>
      <c r="Z613" s="17"/>
    </row>
    <row r="614" spans="19:26" x14ac:dyDescent="0.3">
      <c r="S614" s="14"/>
      <c r="T614" s="14"/>
      <c r="U614" s="14"/>
      <c r="V614" s="12"/>
      <c r="W614" s="12"/>
      <c r="X614" s="12"/>
      <c r="Y614" s="16"/>
      <c r="Z614" s="17"/>
    </row>
    <row r="615" spans="19:26" x14ac:dyDescent="0.3">
      <c r="S615" s="14"/>
      <c r="T615" s="14"/>
      <c r="U615" s="14"/>
      <c r="V615" s="12"/>
      <c r="W615" s="12"/>
      <c r="X615" s="12"/>
      <c r="Y615" s="16"/>
      <c r="Z615" s="17"/>
    </row>
    <row r="616" spans="19:26" x14ac:dyDescent="0.3">
      <c r="S616" s="14"/>
      <c r="T616" s="14"/>
      <c r="U616" s="14"/>
      <c r="V616" s="12"/>
      <c r="W616" s="12"/>
      <c r="X616" s="12"/>
      <c r="Y616" s="16"/>
      <c r="Z616" s="17"/>
    </row>
    <row r="617" spans="19:26" x14ac:dyDescent="0.3">
      <c r="S617" s="14"/>
      <c r="T617" s="14"/>
      <c r="U617" s="14"/>
      <c r="V617" s="12"/>
      <c r="W617" s="12"/>
      <c r="X617" s="12"/>
      <c r="Y617" s="16"/>
      <c r="Z617" s="17"/>
    </row>
    <row r="618" spans="19:26" x14ac:dyDescent="0.3">
      <c r="S618" s="14"/>
      <c r="T618" s="14"/>
      <c r="U618" s="14"/>
      <c r="V618" s="12"/>
      <c r="W618" s="12"/>
      <c r="X618" s="12"/>
      <c r="Y618" s="16"/>
      <c r="Z618" s="17"/>
    </row>
    <row r="619" spans="19:26" x14ac:dyDescent="0.3">
      <c r="S619" s="14"/>
      <c r="T619" s="14"/>
      <c r="U619" s="14"/>
      <c r="V619" s="12"/>
      <c r="W619" s="12"/>
      <c r="X619" s="12"/>
      <c r="Y619" s="16"/>
      <c r="Z619" s="17"/>
    </row>
    <row r="620" spans="19:26" x14ac:dyDescent="0.3">
      <c r="S620" s="14"/>
      <c r="T620" s="14"/>
      <c r="U620" s="14"/>
      <c r="V620" s="12"/>
      <c r="W620" s="12"/>
      <c r="X620" s="12"/>
      <c r="Y620" s="16"/>
      <c r="Z620" s="17"/>
    </row>
    <row r="621" spans="19:26" x14ac:dyDescent="0.3">
      <c r="S621" s="14"/>
      <c r="T621" s="14"/>
      <c r="U621" s="14"/>
      <c r="V621" s="12"/>
      <c r="W621" s="12"/>
      <c r="X621" s="12"/>
      <c r="Y621" s="16"/>
      <c r="Z621" s="17"/>
    </row>
    <row r="622" spans="19:26" x14ac:dyDescent="0.3">
      <c r="S622" s="14"/>
      <c r="T622" s="14"/>
      <c r="U622" s="14"/>
      <c r="V622" s="12"/>
      <c r="W622" s="12"/>
      <c r="X622" s="12"/>
      <c r="Y622" s="16"/>
      <c r="Z622" s="17"/>
    </row>
    <row r="623" spans="19:26" x14ac:dyDescent="0.3">
      <c r="S623" s="14"/>
      <c r="T623" s="14"/>
      <c r="U623" s="14"/>
      <c r="V623" s="12"/>
      <c r="W623" s="12"/>
      <c r="X623" s="12"/>
      <c r="Y623" s="16"/>
      <c r="Z623" s="17"/>
    </row>
    <row r="624" spans="19:26" x14ac:dyDescent="0.3">
      <c r="S624" s="14"/>
      <c r="T624" s="14"/>
      <c r="U624" s="14"/>
      <c r="V624" s="12"/>
      <c r="W624" s="12"/>
      <c r="X624" s="12"/>
      <c r="Y624" s="16"/>
      <c r="Z624" s="17"/>
    </row>
    <row r="625" spans="19:26" x14ac:dyDescent="0.3">
      <c r="S625" s="14"/>
      <c r="T625" s="14"/>
      <c r="U625" s="14"/>
      <c r="V625" s="12"/>
      <c r="W625" s="12"/>
      <c r="X625" s="12"/>
      <c r="Y625" s="16"/>
      <c r="Z625" s="17"/>
    </row>
    <row r="626" spans="19:26" x14ac:dyDescent="0.3">
      <c r="S626" s="14"/>
      <c r="T626" s="14"/>
      <c r="U626" s="14"/>
      <c r="V626" s="12"/>
      <c r="W626" s="12"/>
      <c r="X626" s="12"/>
      <c r="Y626" s="16"/>
      <c r="Z626" s="17"/>
    </row>
    <row r="627" spans="19:26" x14ac:dyDescent="0.3">
      <c r="S627" s="14"/>
      <c r="T627" s="14"/>
      <c r="U627" s="14"/>
      <c r="V627" s="12"/>
      <c r="W627" s="12"/>
      <c r="X627" s="12"/>
      <c r="Y627" s="16"/>
      <c r="Z627" s="17"/>
    </row>
    <row r="628" spans="19:26" x14ac:dyDescent="0.3">
      <c r="S628" s="14"/>
      <c r="T628" s="14"/>
      <c r="U628" s="14"/>
      <c r="V628" s="12"/>
      <c r="W628" s="12"/>
      <c r="X628" s="12"/>
      <c r="Y628" s="16"/>
      <c r="Z628" s="17"/>
    </row>
    <row r="629" spans="19:26" x14ac:dyDescent="0.3">
      <c r="S629" s="14"/>
      <c r="T629" s="14"/>
      <c r="U629" s="14"/>
      <c r="V629" s="12"/>
      <c r="W629" s="12"/>
      <c r="X629" s="12"/>
      <c r="Y629" s="16"/>
      <c r="Z629" s="17"/>
    </row>
    <row r="630" spans="19:26" x14ac:dyDescent="0.3">
      <c r="S630" s="14"/>
      <c r="T630" s="14"/>
      <c r="U630" s="14"/>
      <c r="V630" s="12"/>
      <c r="W630" s="12"/>
      <c r="X630" s="12"/>
      <c r="Y630" s="16"/>
      <c r="Z630" s="17"/>
    </row>
    <row r="631" spans="19:26" x14ac:dyDescent="0.3">
      <c r="S631" s="14"/>
      <c r="T631" s="14"/>
      <c r="U631" s="14"/>
      <c r="V631" s="12"/>
      <c r="W631" s="12"/>
      <c r="X631" s="12"/>
      <c r="Y631" s="16"/>
      <c r="Z631" s="17"/>
    </row>
    <row r="632" spans="19:26" x14ac:dyDescent="0.3">
      <c r="S632" s="14"/>
      <c r="T632" s="14"/>
      <c r="U632" s="14"/>
      <c r="V632" s="12"/>
      <c r="W632" s="12"/>
      <c r="X632" s="12"/>
      <c r="Y632" s="16"/>
      <c r="Z632" s="17"/>
    </row>
    <row r="633" spans="19:26" x14ac:dyDescent="0.3">
      <c r="S633" s="14"/>
      <c r="T633" s="14"/>
      <c r="U633" s="14"/>
      <c r="V633" s="12"/>
      <c r="W633" s="12"/>
      <c r="X633" s="12"/>
      <c r="Y633" s="16"/>
      <c r="Z633" s="17"/>
    </row>
    <row r="634" spans="19:26" x14ac:dyDescent="0.3">
      <c r="S634" s="14"/>
      <c r="T634" s="14"/>
      <c r="U634" s="14"/>
      <c r="V634" s="12"/>
      <c r="W634" s="12"/>
      <c r="X634" s="12"/>
      <c r="Y634" s="16"/>
      <c r="Z634" s="17"/>
    </row>
    <row r="635" spans="19:26" x14ac:dyDescent="0.3">
      <c r="S635" s="14"/>
      <c r="T635" s="14"/>
      <c r="U635" s="14"/>
      <c r="V635" s="12"/>
      <c r="W635" s="12"/>
      <c r="X635" s="12"/>
      <c r="Y635" s="16"/>
      <c r="Z635" s="17"/>
    </row>
    <row r="636" spans="19:26" x14ac:dyDescent="0.3">
      <c r="S636" s="14"/>
      <c r="T636" s="14"/>
      <c r="U636" s="14"/>
      <c r="V636" s="12"/>
      <c r="W636" s="12"/>
      <c r="X636" s="12"/>
      <c r="Y636" s="16"/>
      <c r="Z636" s="17"/>
    </row>
    <row r="637" spans="19:26" x14ac:dyDescent="0.3">
      <c r="S637" s="14"/>
      <c r="T637" s="14"/>
      <c r="U637" s="14"/>
      <c r="V637" s="12"/>
      <c r="W637" s="12"/>
      <c r="X637" s="12"/>
      <c r="Y637" s="16"/>
      <c r="Z637" s="17"/>
    </row>
    <row r="638" spans="19:26" x14ac:dyDescent="0.3">
      <c r="S638" s="14"/>
      <c r="T638" s="14"/>
      <c r="U638" s="14"/>
      <c r="V638" s="12"/>
      <c r="W638" s="12"/>
      <c r="X638" s="12"/>
      <c r="Y638" s="16"/>
      <c r="Z638" s="17"/>
    </row>
    <row r="639" spans="19:26" x14ac:dyDescent="0.3">
      <c r="S639" s="14"/>
      <c r="T639" s="14"/>
      <c r="U639" s="14"/>
      <c r="V639" s="12"/>
      <c r="W639" s="12"/>
      <c r="X639" s="12"/>
      <c r="Y639" s="16"/>
      <c r="Z639" s="17"/>
    </row>
    <row r="640" spans="19:26" x14ac:dyDescent="0.3">
      <c r="S640" s="14"/>
      <c r="T640" s="14"/>
      <c r="U640" s="14"/>
      <c r="V640" s="12"/>
      <c r="W640" s="12"/>
      <c r="X640" s="12"/>
      <c r="Y640" s="16"/>
      <c r="Z640" s="17"/>
    </row>
    <row r="641" spans="19:26" x14ac:dyDescent="0.3">
      <c r="S641" s="14"/>
      <c r="T641" s="14"/>
      <c r="U641" s="14"/>
      <c r="V641" s="12"/>
      <c r="W641" s="12"/>
      <c r="X641" s="12"/>
      <c r="Y641" s="16"/>
      <c r="Z641" s="17"/>
    </row>
    <row r="642" spans="19:26" x14ac:dyDescent="0.3">
      <c r="S642" s="14"/>
      <c r="T642" s="14"/>
      <c r="U642" s="14"/>
      <c r="V642" s="12"/>
      <c r="W642" s="12"/>
      <c r="X642" s="12"/>
      <c r="Y642" s="16"/>
      <c r="Z642" s="17"/>
    </row>
    <row r="643" spans="19:26" x14ac:dyDescent="0.3">
      <c r="S643" s="14"/>
      <c r="T643" s="14"/>
      <c r="U643" s="14"/>
      <c r="V643" s="12"/>
      <c r="W643" s="12"/>
      <c r="X643" s="12"/>
      <c r="Y643" s="16"/>
      <c r="Z643" s="17"/>
    </row>
    <row r="644" spans="19:26" x14ac:dyDescent="0.3">
      <c r="S644" s="14"/>
      <c r="T644" s="14"/>
      <c r="U644" s="14"/>
      <c r="V644" s="12"/>
      <c r="W644" s="12"/>
      <c r="X644" s="12"/>
      <c r="Y644" s="16"/>
      <c r="Z644" s="17"/>
    </row>
    <row r="645" spans="19:26" x14ac:dyDescent="0.3">
      <c r="S645" s="14"/>
      <c r="T645" s="14"/>
      <c r="U645" s="14"/>
      <c r="V645" s="12"/>
      <c r="W645" s="12"/>
      <c r="X645" s="12"/>
      <c r="Y645" s="16"/>
      <c r="Z645" s="17"/>
    </row>
    <row r="646" spans="19:26" x14ac:dyDescent="0.3">
      <c r="S646" s="14"/>
      <c r="T646" s="14"/>
      <c r="U646" s="14"/>
      <c r="V646" s="12"/>
      <c r="W646" s="12"/>
      <c r="X646" s="12"/>
      <c r="Y646" s="16"/>
      <c r="Z646" s="17"/>
    </row>
    <row r="647" spans="19:26" x14ac:dyDescent="0.3">
      <c r="S647" s="14"/>
      <c r="T647" s="14"/>
      <c r="U647" s="14"/>
      <c r="V647" s="12"/>
      <c r="W647" s="12"/>
      <c r="X647" s="12"/>
      <c r="Y647" s="16"/>
      <c r="Z647" s="17"/>
    </row>
    <row r="648" spans="19:26" x14ac:dyDescent="0.3">
      <c r="S648" s="14"/>
      <c r="T648" s="14"/>
      <c r="U648" s="14"/>
      <c r="V648" s="12"/>
      <c r="W648" s="12"/>
      <c r="X648" s="12"/>
      <c r="Y648" s="16"/>
      <c r="Z648" s="17"/>
    </row>
    <row r="649" spans="19:26" x14ac:dyDescent="0.3">
      <c r="S649" s="14"/>
      <c r="T649" s="14"/>
      <c r="U649" s="14"/>
      <c r="V649" s="12"/>
      <c r="W649" s="12"/>
      <c r="X649" s="12"/>
      <c r="Y649" s="16"/>
      <c r="Z649" s="17"/>
    </row>
    <row r="650" spans="19:26" x14ac:dyDescent="0.3">
      <c r="S650" s="14"/>
      <c r="T650" s="14"/>
      <c r="U650" s="14"/>
      <c r="V650" s="12"/>
      <c r="W650" s="12"/>
      <c r="X650" s="12"/>
      <c r="Y650" s="16"/>
      <c r="Z650" s="17"/>
    </row>
    <row r="651" spans="19:26" x14ac:dyDescent="0.3">
      <c r="S651" s="14"/>
      <c r="T651" s="14"/>
      <c r="U651" s="14"/>
      <c r="V651" s="12"/>
      <c r="W651" s="12"/>
      <c r="X651" s="12"/>
      <c r="Y651" s="16"/>
      <c r="Z651" s="17"/>
    </row>
    <row r="652" spans="19:26" x14ac:dyDescent="0.3">
      <c r="S652" s="14"/>
      <c r="T652" s="14"/>
      <c r="U652" s="14"/>
      <c r="V652" s="12"/>
      <c r="W652" s="12"/>
      <c r="X652" s="12"/>
      <c r="Y652" s="16"/>
      <c r="Z652" s="17"/>
    </row>
    <row r="653" spans="19:26" x14ac:dyDescent="0.3">
      <c r="S653" s="14"/>
      <c r="T653" s="14"/>
      <c r="U653" s="14"/>
      <c r="V653" s="12"/>
      <c r="W653" s="12"/>
      <c r="X653" s="12"/>
      <c r="Y653" s="16"/>
      <c r="Z653" s="17"/>
    </row>
    <row r="654" spans="19:26" x14ac:dyDescent="0.3">
      <c r="S654" s="14"/>
      <c r="T654" s="14"/>
      <c r="U654" s="14"/>
      <c r="V654" s="12"/>
      <c r="W654" s="12"/>
      <c r="X654" s="12"/>
      <c r="Y654" s="16"/>
      <c r="Z654" s="17"/>
    </row>
    <row r="655" spans="19:26" x14ac:dyDescent="0.3">
      <c r="S655" s="14"/>
      <c r="T655" s="14"/>
      <c r="U655" s="14"/>
      <c r="V655" s="12"/>
      <c r="W655" s="12"/>
      <c r="X655" s="12"/>
      <c r="Y655" s="16"/>
      <c r="Z655" s="17"/>
    </row>
    <row r="656" spans="19:26" x14ac:dyDescent="0.3">
      <c r="S656" s="14"/>
      <c r="T656" s="14"/>
      <c r="U656" s="14"/>
      <c r="V656" s="12"/>
      <c r="W656" s="12"/>
      <c r="X656" s="12"/>
      <c r="Y656" s="16"/>
      <c r="Z656" s="17"/>
    </row>
    <row r="657" spans="19:26" x14ac:dyDescent="0.3">
      <c r="S657" s="14"/>
      <c r="T657" s="14"/>
      <c r="U657" s="14"/>
      <c r="V657" s="12"/>
      <c r="W657" s="12"/>
      <c r="X657" s="12"/>
      <c r="Y657" s="16"/>
      <c r="Z657" s="17"/>
    </row>
    <row r="658" spans="19:26" x14ac:dyDescent="0.3">
      <c r="S658" s="14"/>
      <c r="T658" s="14"/>
      <c r="U658" s="14"/>
      <c r="V658" s="12"/>
      <c r="W658" s="12"/>
      <c r="X658" s="12"/>
      <c r="Y658" s="16"/>
      <c r="Z658" s="17"/>
    </row>
    <row r="659" spans="19:26" x14ac:dyDescent="0.3">
      <c r="S659" s="14"/>
      <c r="T659" s="14"/>
      <c r="U659" s="14"/>
      <c r="V659" s="12"/>
      <c r="W659" s="12"/>
      <c r="X659" s="12"/>
      <c r="Y659" s="16"/>
      <c r="Z659" s="17"/>
    </row>
    <row r="660" spans="19:26" x14ac:dyDescent="0.3">
      <c r="S660" s="14"/>
      <c r="T660" s="14"/>
      <c r="U660" s="14"/>
      <c r="V660" s="12"/>
      <c r="W660" s="12"/>
      <c r="X660" s="12"/>
      <c r="Y660" s="16"/>
      <c r="Z660" s="17"/>
    </row>
    <row r="661" spans="19:26" x14ac:dyDescent="0.3">
      <c r="S661" s="14"/>
      <c r="T661" s="14"/>
      <c r="U661" s="14"/>
      <c r="V661" s="12"/>
      <c r="W661" s="12"/>
      <c r="X661" s="12"/>
      <c r="Y661" s="16"/>
      <c r="Z661" s="17"/>
    </row>
    <row r="662" spans="19:26" x14ac:dyDescent="0.3">
      <c r="S662" s="14"/>
      <c r="T662" s="14"/>
      <c r="U662" s="14"/>
      <c r="V662" s="12"/>
      <c r="W662" s="12"/>
      <c r="X662" s="12"/>
      <c r="Y662" s="16"/>
      <c r="Z662" s="17"/>
    </row>
    <row r="663" spans="19:26" x14ac:dyDescent="0.3">
      <c r="S663" s="14"/>
      <c r="T663" s="14"/>
      <c r="U663" s="14"/>
      <c r="V663" s="12"/>
      <c r="W663" s="12"/>
      <c r="X663" s="12"/>
      <c r="Y663" s="16"/>
      <c r="Z663" s="17"/>
    </row>
    <row r="664" spans="19:26" x14ac:dyDescent="0.3">
      <c r="S664" s="14"/>
      <c r="T664" s="14"/>
      <c r="U664" s="14"/>
      <c r="V664" s="12"/>
      <c r="W664" s="12"/>
      <c r="X664" s="12"/>
      <c r="Y664" s="16"/>
      <c r="Z664" s="17"/>
    </row>
    <row r="665" spans="19:26" x14ac:dyDescent="0.3">
      <c r="S665" s="14"/>
      <c r="T665" s="14"/>
      <c r="U665" s="14"/>
      <c r="V665" s="12"/>
      <c r="W665" s="12"/>
      <c r="X665" s="12"/>
      <c r="Y665" s="16"/>
      <c r="Z665" s="17"/>
    </row>
    <row r="666" spans="19:26" x14ac:dyDescent="0.3">
      <c r="S666" s="14"/>
      <c r="T666" s="14"/>
      <c r="U666" s="14"/>
      <c r="V666" s="12"/>
      <c r="W666" s="12"/>
      <c r="X666" s="12"/>
      <c r="Y666" s="16"/>
      <c r="Z666" s="17"/>
    </row>
    <row r="667" spans="19:26" x14ac:dyDescent="0.3">
      <c r="S667" s="14"/>
      <c r="T667" s="14"/>
      <c r="U667" s="14"/>
      <c r="V667" s="12"/>
      <c r="W667" s="12"/>
      <c r="X667" s="12"/>
      <c r="Y667" s="16"/>
      <c r="Z667" s="17"/>
    </row>
    <row r="668" spans="19:26" x14ac:dyDescent="0.3">
      <c r="S668" s="14"/>
      <c r="T668" s="14"/>
      <c r="U668" s="14"/>
      <c r="V668" s="12"/>
      <c r="W668" s="12"/>
      <c r="X668" s="12"/>
      <c r="Y668" s="16"/>
      <c r="Z668" s="17"/>
    </row>
    <row r="669" spans="19:26" x14ac:dyDescent="0.3">
      <c r="S669" s="14"/>
      <c r="T669" s="14"/>
      <c r="U669" s="14"/>
      <c r="V669" s="12"/>
      <c r="W669" s="12"/>
      <c r="X669" s="12"/>
      <c r="Y669" s="16"/>
      <c r="Z669" s="17"/>
    </row>
    <row r="670" spans="19:26" x14ac:dyDescent="0.3">
      <c r="S670" s="14"/>
      <c r="T670" s="14"/>
      <c r="U670" s="14"/>
      <c r="V670" s="12"/>
      <c r="W670" s="12"/>
      <c r="X670" s="12"/>
      <c r="Y670" s="16"/>
      <c r="Z670" s="17"/>
    </row>
    <row r="671" spans="19:26" x14ac:dyDescent="0.3">
      <c r="S671" s="14"/>
      <c r="T671" s="14"/>
      <c r="U671" s="14"/>
      <c r="V671" s="12"/>
      <c r="W671" s="12"/>
      <c r="X671" s="12"/>
      <c r="Y671" s="16"/>
      <c r="Z671" s="17"/>
    </row>
    <row r="672" spans="19:26" x14ac:dyDescent="0.3">
      <c r="S672" s="14"/>
      <c r="T672" s="14"/>
      <c r="U672" s="14"/>
      <c r="V672" s="12"/>
      <c r="W672" s="12"/>
      <c r="X672" s="12"/>
      <c r="Y672" s="16"/>
      <c r="Z672" s="17"/>
    </row>
    <row r="673" spans="19:26" x14ac:dyDescent="0.3">
      <c r="S673" s="14"/>
      <c r="T673" s="14"/>
      <c r="U673" s="14"/>
      <c r="V673" s="12"/>
      <c r="W673" s="12"/>
      <c r="X673" s="12"/>
      <c r="Y673" s="16"/>
      <c r="Z673" s="17"/>
    </row>
    <row r="674" spans="19:26" x14ac:dyDescent="0.3">
      <c r="S674" s="14"/>
      <c r="T674" s="14"/>
      <c r="U674" s="14"/>
      <c r="V674" s="12"/>
      <c r="W674" s="12"/>
      <c r="X674" s="12"/>
      <c r="Y674" s="16"/>
      <c r="Z674" s="17"/>
    </row>
    <row r="675" spans="19:26" x14ac:dyDescent="0.3">
      <c r="S675" s="14"/>
      <c r="T675" s="14"/>
      <c r="U675" s="14"/>
      <c r="V675" s="12"/>
      <c r="W675" s="12"/>
      <c r="X675" s="12"/>
      <c r="Y675" s="16"/>
      <c r="Z675" s="17"/>
    </row>
    <row r="676" spans="19:26" x14ac:dyDescent="0.3">
      <c r="S676" s="14"/>
      <c r="T676" s="14"/>
      <c r="U676" s="14"/>
      <c r="V676" s="12"/>
      <c r="W676" s="12"/>
      <c r="X676" s="12"/>
      <c r="Y676" s="16"/>
      <c r="Z676" s="17"/>
    </row>
    <row r="677" spans="19:26" x14ac:dyDescent="0.3">
      <c r="S677" s="14"/>
      <c r="T677" s="14"/>
      <c r="U677" s="14"/>
      <c r="V677" s="12"/>
      <c r="W677" s="12"/>
      <c r="X677" s="12"/>
      <c r="Y677" s="16"/>
      <c r="Z677" s="17"/>
    </row>
    <row r="678" spans="19:26" x14ac:dyDescent="0.3">
      <c r="S678" s="14"/>
      <c r="T678" s="14"/>
      <c r="U678" s="14"/>
      <c r="V678" s="12"/>
      <c r="W678" s="12"/>
      <c r="X678" s="12"/>
      <c r="Y678" s="16"/>
      <c r="Z678" s="17"/>
    </row>
    <row r="679" spans="19:26" x14ac:dyDescent="0.3">
      <c r="S679" s="14"/>
      <c r="T679" s="14"/>
      <c r="U679" s="14"/>
      <c r="V679" s="12"/>
      <c r="W679" s="12"/>
      <c r="X679" s="12"/>
      <c r="Y679" s="16"/>
      <c r="Z679" s="17"/>
    </row>
    <row r="680" spans="19:26" x14ac:dyDescent="0.3">
      <c r="S680" s="14"/>
      <c r="T680" s="14"/>
      <c r="U680" s="14"/>
      <c r="V680" s="12"/>
      <c r="W680" s="12"/>
      <c r="X680" s="12"/>
      <c r="Y680" s="16"/>
      <c r="Z680" s="17"/>
    </row>
    <row r="681" spans="19:26" x14ac:dyDescent="0.3">
      <c r="S681" s="14"/>
      <c r="T681" s="14"/>
      <c r="U681" s="14"/>
      <c r="V681" s="12"/>
      <c r="W681" s="12"/>
      <c r="X681" s="12"/>
      <c r="Y681" s="16"/>
      <c r="Z681" s="17"/>
    </row>
    <row r="682" spans="19:26" x14ac:dyDescent="0.3">
      <c r="S682" s="14"/>
      <c r="T682" s="14"/>
      <c r="U682" s="14"/>
      <c r="V682" s="12"/>
      <c r="W682" s="12"/>
      <c r="X682" s="12"/>
      <c r="Y682" s="16"/>
      <c r="Z682" s="17"/>
    </row>
    <row r="683" spans="19:26" x14ac:dyDescent="0.3">
      <c r="S683" s="14"/>
      <c r="T683" s="14"/>
      <c r="U683" s="14"/>
      <c r="V683" s="12"/>
      <c r="W683" s="12"/>
      <c r="X683" s="12"/>
      <c r="Y683" s="16"/>
      <c r="Z683" s="17"/>
    </row>
    <row r="684" spans="19:26" x14ac:dyDescent="0.3">
      <c r="S684" s="14"/>
      <c r="T684" s="14"/>
      <c r="U684" s="14"/>
      <c r="V684" s="12"/>
      <c r="W684" s="12"/>
      <c r="X684" s="12"/>
      <c r="Y684" s="16"/>
      <c r="Z684" s="17"/>
    </row>
    <row r="685" spans="19:26" x14ac:dyDescent="0.3">
      <c r="S685" s="14"/>
      <c r="T685" s="14"/>
      <c r="U685" s="14"/>
      <c r="V685" s="12"/>
      <c r="W685" s="12"/>
      <c r="X685" s="12"/>
      <c r="Y685" s="16"/>
      <c r="Z685" s="17"/>
    </row>
    <row r="686" spans="19:26" x14ac:dyDescent="0.3">
      <c r="S686" s="14"/>
      <c r="T686" s="14"/>
      <c r="U686" s="14"/>
      <c r="V686" s="12"/>
      <c r="W686" s="12"/>
      <c r="X686" s="12"/>
      <c r="Y686" s="16"/>
      <c r="Z686" s="17"/>
    </row>
    <row r="687" spans="19:26" x14ac:dyDescent="0.3">
      <c r="S687" s="14"/>
      <c r="T687" s="14"/>
      <c r="U687" s="14"/>
      <c r="V687" s="12"/>
      <c r="W687" s="12"/>
      <c r="X687" s="12"/>
      <c r="Y687" s="16"/>
      <c r="Z687" s="17"/>
    </row>
    <row r="688" spans="19:26" x14ac:dyDescent="0.3">
      <c r="S688" s="14"/>
      <c r="T688" s="14"/>
      <c r="U688" s="14"/>
      <c r="V688" s="12"/>
      <c r="W688" s="12"/>
      <c r="X688" s="12"/>
      <c r="Y688" s="16"/>
      <c r="Z688" s="17"/>
    </row>
    <row r="689" spans="19:26" x14ac:dyDescent="0.3">
      <c r="S689" s="14"/>
      <c r="T689" s="14"/>
      <c r="U689" s="14"/>
      <c r="V689" s="12"/>
      <c r="W689" s="12"/>
      <c r="X689" s="12"/>
      <c r="Y689" s="16"/>
      <c r="Z689" s="17"/>
    </row>
    <row r="690" spans="19:26" x14ac:dyDescent="0.3">
      <c r="S690" s="14"/>
      <c r="T690" s="14"/>
      <c r="U690" s="14"/>
      <c r="V690" s="12"/>
      <c r="W690" s="12"/>
      <c r="X690" s="12"/>
      <c r="Y690" s="16"/>
      <c r="Z690" s="17"/>
    </row>
    <row r="691" spans="19:26" x14ac:dyDescent="0.3">
      <c r="S691" s="14"/>
      <c r="T691" s="14"/>
      <c r="U691" s="14"/>
      <c r="V691" s="12"/>
      <c r="W691" s="12"/>
      <c r="X691" s="12"/>
      <c r="Y691" s="16"/>
      <c r="Z691" s="17"/>
    </row>
    <row r="692" spans="19:26" x14ac:dyDescent="0.3">
      <c r="S692" s="14"/>
      <c r="T692" s="14"/>
      <c r="U692" s="14"/>
      <c r="V692" s="12"/>
      <c r="W692" s="12"/>
      <c r="X692" s="12"/>
      <c r="Y692" s="16"/>
      <c r="Z692" s="17"/>
    </row>
    <row r="693" spans="19:26" x14ac:dyDescent="0.3">
      <c r="S693" s="14"/>
      <c r="T693" s="14"/>
      <c r="U693" s="14"/>
      <c r="V693" s="12"/>
      <c r="W693" s="12"/>
      <c r="X693" s="12"/>
      <c r="Y693" s="16"/>
      <c r="Z693" s="17"/>
    </row>
    <row r="694" spans="19:26" x14ac:dyDescent="0.3">
      <c r="S694" s="14"/>
      <c r="T694" s="14"/>
      <c r="U694" s="14"/>
      <c r="V694" s="12"/>
      <c r="W694" s="12"/>
      <c r="X694" s="12"/>
      <c r="Y694" s="16"/>
      <c r="Z694" s="17"/>
    </row>
    <row r="695" spans="19:26" x14ac:dyDescent="0.3">
      <c r="S695" s="14"/>
      <c r="T695" s="14"/>
      <c r="U695" s="14"/>
      <c r="V695" s="12"/>
      <c r="W695" s="12"/>
      <c r="X695" s="12"/>
      <c r="Y695" s="16"/>
      <c r="Z695" s="17"/>
    </row>
    <row r="696" spans="19:26" x14ac:dyDescent="0.3">
      <c r="S696" s="14"/>
      <c r="T696" s="14"/>
      <c r="U696" s="14"/>
      <c r="V696" s="12"/>
      <c r="W696" s="12"/>
      <c r="X696" s="12"/>
      <c r="Y696" s="16"/>
      <c r="Z696" s="17"/>
    </row>
    <row r="697" spans="19:26" x14ac:dyDescent="0.3">
      <c r="S697" s="14"/>
      <c r="T697" s="14"/>
      <c r="U697" s="14"/>
      <c r="V697" s="12"/>
      <c r="W697" s="12"/>
      <c r="X697" s="12"/>
      <c r="Y697" s="16"/>
      <c r="Z697" s="17"/>
    </row>
    <row r="698" spans="19:26" x14ac:dyDescent="0.3">
      <c r="S698" s="14"/>
      <c r="T698" s="14"/>
      <c r="U698" s="14"/>
      <c r="V698" s="12"/>
      <c r="W698" s="12"/>
      <c r="X698" s="12"/>
      <c r="Y698" s="16"/>
      <c r="Z698" s="17"/>
    </row>
    <row r="699" spans="19:26" x14ac:dyDescent="0.3">
      <c r="S699" s="14"/>
      <c r="T699" s="14"/>
      <c r="U699" s="14"/>
      <c r="V699" s="12"/>
      <c r="W699" s="12"/>
      <c r="X699" s="12"/>
      <c r="Y699" s="16"/>
      <c r="Z699" s="17"/>
    </row>
    <row r="700" spans="19:26" x14ac:dyDescent="0.3">
      <c r="S700" s="14"/>
      <c r="T700" s="14"/>
      <c r="U700" s="14"/>
      <c r="V700" s="12"/>
      <c r="W700" s="12"/>
      <c r="X700" s="12"/>
      <c r="Y700" s="16"/>
      <c r="Z700" s="17"/>
    </row>
    <row r="701" spans="19:26" x14ac:dyDescent="0.3">
      <c r="S701" s="14"/>
      <c r="T701" s="14"/>
      <c r="U701" s="14"/>
      <c r="V701" s="12"/>
      <c r="W701" s="12"/>
      <c r="X701" s="12"/>
      <c r="Y701" s="16"/>
      <c r="Z701" s="17"/>
    </row>
    <row r="702" spans="19:26" x14ac:dyDescent="0.3">
      <c r="S702" s="14"/>
      <c r="T702" s="14"/>
      <c r="U702" s="14"/>
      <c r="V702" s="12"/>
      <c r="W702" s="12"/>
      <c r="X702" s="12"/>
      <c r="Y702" s="16"/>
      <c r="Z702" s="17"/>
    </row>
    <row r="703" spans="19:26" x14ac:dyDescent="0.3">
      <c r="S703" s="14"/>
      <c r="T703" s="14"/>
      <c r="U703" s="14"/>
      <c r="V703" s="12"/>
      <c r="W703" s="12"/>
      <c r="X703" s="12"/>
      <c r="Y703" s="16"/>
      <c r="Z703" s="17"/>
    </row>
    <row r="704" spans="19:26" x14ac:dyDescent="0.3">
      <c r="S704" s="14"/>
      <c r="T704" s="14"/>
      <c r="U704" s="14"/>
      <c r="V704" s="12"/>
      <c r="W704" s="12"/>
      <c r="X704" s="12"/>
      <c r="Y704" s="16"/>
      <c r="Z704" s="17"/>
    </row>
    <row r="705" spans="19:26" x14ac:dyDescent="0.3">
      <c r="S705" s="14"/>
      <c r="T705" s="14"/>
      <c r="U705" s="14"/>
      <c r="V705" s="12"/>
      <c r="W705" s="12"/>
      <c r="X705" s="12"/>
      <c r="Y705" s="16"/>
      <c r="Z705" s="17"/>
    </row>
    <row r="706" spans="19:26" x14ac:dyDescent="0.3">
      <c r="S706" s="14"/>
      <c r="T706" s="14"/>
      <c r="U706" s="14"/>
      <c r="V706" s="12"/>
      <c r="W706" s="12"/>
      <c r="X706" s="12"/>
      <c r="Y706" s="16"/>
      <c r="Z706" s="17"/>
    </row>
    <row r="707" spans="19:26" x14ac:dyDescent="0.3">
      <c r="S707" s="14"/>
      <c r="T707" s="14"/>
      <c r="U707" s="14"/>
      <c r="V707" s="12"/>
      <c r="W707" s="12"/>
      <c r="X707" s="12"/>
      <c r="Y707" s="16"/>
      <c r="Z707" s="17"/>
    </row>
    <row r="708" spans="19:26" x14ac:dyDescent="0.3">
      <c r="S708" s="14"/>
      <c r="T708" s="14"/>
      <c r="U708" s="14"/>
      <c r="V708" s="12"/>
      <c r="W708" s="12"/>
      <c r="X708" s="12"/>
      <c r="Y708" s="16"/>
      <c r="Z708" s="17"/>
    </row>
    <row r="709" spans="19:26" x14ac:dyDescent="0.3">
      <c r="S709" s="14"/>
      <c r="T709" s="14"/>
      <c r="U709" s="14"/>
      <c r="V709" s="12"/>
      <c r="W709" s="12"/>
      <c r="X709" s="12"/>
      <c r="Y709" s="16"/>
      <c r="Z709" s="17"/>
    </row>
    <row r="710" spans="19:26" x14ac:dyDescent="0.3">
      <c r="S710" s="14"/>
      <c r="T710" s="14"/>
      <c r="U710" s="14"/>
      <c r="V710" s="12"/>
      <c r="W710" s="12"/>
      <c r="X710" s="12"/>
      <c r="Y710" s="16"/>
      <c r="Z710" s="17"/>
    </row>
    <row r="711" spans="19:26" x14ac:dyDescent="0.3">
      <c r="S711" s="14"/>
      <c r="T711" s="14"/>
      <c r="U711" s="14"/>
      <c r="V711" s="12"/>
      <c r="W711" s="12"/>
      <c r="X711" s="12"/>
      <c r="Y711" s="16"/>
      <c r="Z711" s="17"/>
    </row>
    <row r="712" spans="19:26" x14ac:dyDescent="0.3">
      <c r="S712" s="14"/>
      <c r="T712" s="14"/>
      <c r="U712" s="14"/>
      <c r="V712" s="12"/>
      <c r="W712" s="12"/>
      <c r="X712" s="12"/>
      <c r="Y712" s="16"/>
      <c r="Z712" s="17"/>
    </row>
    <row r="713" spans="19:26" x14ac:dyDescent="0.3">
      <c r="S713" s="14"/>
      <c r="T713" s="14"/>
      <c r="U713" s="14"/>
      <c r="V713" s="12"/>
      <c r="W713" s="12"/>
      <c r="X713" s="12"/>
      <c r="Y713" s="16"/>
      <c r="Z713" s="17"/>
    </row>
    <row r="714" spans="19:26" x14ac:dyDescent="0.3">
      <c r="S714" s="14"/>
      <c r="T714" s="14"/>
      <c r="U714" s="14"/>
      <c r="V714" s="12"/>
      <c r="W714" s="12"/>
      <c r="X714" s="12"/>
      <c r="Y714" s="16"/>
      <c r="Z714" s="17"/>
    </row>
    <row r="715" spans="19:26" x14ac:dyDescent="0.3">
      <c r="S715" s="14"/>
      <c r="T715" s="14"/>
      <c r="U715" s="14"/>
      <c r="V715" s="12"/>
      <c r="W715" s="12"/>
      <c r="X715" s="12"/>
      <c r="Y715" s="16"/>
      <c r="Z715" s="17"/>
    </row>
    <row r="716" spans="19:26" x14ac:dyDescent="0.3">
      <c r="S716" s="14"/>
      <c r="T716" s="14"/>
      <c r="U716" s="14"/>
      <c r="V716" s="12"/>
      <c r="W716" s="12"/>
      <c r="X716" s="12"/>
      <c r="Y716" s="16"/>
      <c r="Z716" s="17"/>
    </row>
    <row r="717" spans="19:26" x14ac:dyDescent="0.3">
      <c r="S717" s="14"/>
      <c r="T717" s="14"/>
      <c r="U717" s="14"/>
      <c r="V717" s="12"/>
      <c r="W717" s="12"/>
      <c r="X717" s="12"/>
      <c r="Y717" s="16"/>
      <c r="Z717" s="17"/>
    </row>
    <row r="718" spans="19:26" x14ac:dyDescent="0.3">
      <c r="S718" s="14"/>
      <c r="T718" s="14"/>
      <c r="U718" s="14"/>
      <c r="V718" s="12"/>
      <c r="W718" s="12"/>
      <c r="X718" s="12"/>
      <c r="Y718" s="16"/>
      <c r="Z718" s="17"/>
    </row>
    <row r="719" spans="19:26" x14ac:dyDescent="0.3">
      <c r="S719" s="14"/>
      <c r="T719" s="14"/>
      <c r="U719" s="14"/>
      <c r="V719" s="12"/>
      <c r="W719" s="12"/>
      <c r="X719" s="12"/>
      <c r="Y719" s="16"/>
      <c r="Z719" s="17"/>
    </row>
    <row r="720" spans="19:26" x14ac:dyDescent="0.3">
      <c r="S720" s="14"/>
      <c r="T720" s="14"/>
      <c r="U720" s="14"/>
      <c r="V720" s="12"/>
      <c r="W720" s="12"/>
      <c r="X720" s="12"/>
      <c r="Y720" s="16"/>
      <c r="Z720" s="17"/>
    </row>
    <row r="721" spans="19:26" x14ac:dyDescent="0.3">
      <c r="S721" s="14"/>
      <c r="T721" s="14"/>
      <c r="U721" s="14"/>
      <c r="V721" s="12"/>
      <c r="W721" s="12"/>
      <c r="X721" s="12"/>
      <c r="Y721" s="16"/>
      <c r="Z721" s="17"/>
    </row>
    <row r="722" spans="19:26" x14ac:dyDescent="0.3">
      <c r="S722" s="14"/>
      <c r="T722" s="14"/>
      <c r="U722" s="14"/>
      <c r="V722" s="12"/>
      <c r="W722" s="12"/>
      <c r="X722" s="12"/>
      <c r="Y722" s="16"/>
      <c r="Z722" s="17"/>
    </row>
    <row r="723" spans="19:26" x14ac:dyDescent="0.3">
      <c r="S723" s="14"/>
      <c r="T723" s="14"/>
      <c r="U723" s="14"/>
      <c r="V723" s="12"/>
      <c r="W723" s="12"/>
      <c r="X723" s="12"/>
      <c r="Y723" s="16"/>
      <c r="Z723" s="17"/>
    </row>
    <row r="724" spans="19:26" x14ac:dyDescent="0.3">
      <c r="S724" s="14"/>
      <c r="T724" s="14"/>
      <c r="U724" s="14"/>
      <c r="V724" s="12"/>
      <c r="W724" s="12"/>
      <c r="X724" s="12"/>
      <c r="Y724" s="16"/>
      <c r="Z724" s="17"/>
    </row>
    <row r="725" spans="19:26" x14ac:dyDescent="0.3">
      <c r="S725" s="14"/>
      <c r="T725" s="14"/>
      <c r="U725" s="14"/>
      <c r="V725" s="12"/>
      <c r="W725" s="12"/>
      <c r="X725" s="12"/>
      <c r="Y725" s="16"/>
      <c r="Z725" s="17"/>
    </row>
    <row r="726" spans="19:26" x14ac:dyDescent="0.3">
      <c r="S726" s="14"/>
      <c r="T726" s="14"/>
      <c r="U726" s="14"/>
      <c r="V726" s="12"/>
      <c r="W726" s="12"/>
      <c r="X726" s="12"/>
      <c r="Y726" s="16"/>
      <c r="Z726" s="17"/>
    </row>
    <row r="727" spans="19:26" x14ac:dyDescent="0.3">
      <c r="S727" s="14"/>
      <c r="T727" s="14"/>
      <c r="U727" s="14"/>
      <c r="V727" s="12"/>
      <c r="W727" s="12"/>
      <c r="X727" s="12"/>
      <c r="Y727" s="16"/>
      <c r="Z727" s="17"/>
    </row>
    <row r="728" spans="19:26" x14ac:dyDescent="0.3">
      <c r="S728" s="14"/>
      <c r="T728" s="14"/>
      <c r="U728" s="14"/>
      <c r="V728" s="12"/>
      <c r="W728" s="12"/>
      <c r="X728" s="12"/>
      <c r="Y728" s="16"/>
      <c r="Z728" s="17"/>
    </row>
    <row r="729" spans="19:26" x14ac:dyDescent="0.3">
      <c r="S729" s="14"/>
      <c r="T729" s="14"/>
      <c r="U729" s="14"/>
      <c r="V729" s="12"/>
      <c r="W729" s="12"/>
      <c r="X729" s="12"/>
      <c r="Y729" s="16"/>
      <c r="Z729" s="17"/>
    </row>
    <row r="730" spans="19:26" x14ac:dyDescent="0.3">
      <c r="S730" s="14"/>
      <c r="T730" s="14"/>
      <c r="U730" s="14"/>
      <c r="V730" s="12"/>
      <c r="W730" s="12"/>
      <c r="X730" s="12"/>
      <c r="Y730" s="16"/>
      <c r="Z730" s="17"/>
    </row>
    <row r="731" spans="19:26" x14ac:dyDescent="0.3">
      <c r="S731" s="14"/>
      <c r="T731" s="14"/>
      <c r="U731" s="14"/>
      <c r="V731" s="12"/>
      <c r="W731" s="12"/>
      <c r="X731" s="12"/>
      <c r="Y731" s="16"/>
      <c r="Z731" s="17"/>
    </row>
    <row r="732" spans="19:26" x14ac:dyDescent="0.3">
      <c r="S732" s="14"/>
      <c r="T732" s="14"/>
      <c r="U732" s="14"/>
      <c r="V732" s="12"/>
      <c r="W732" s="12"/>
      <c r="X732" s="12"/>
      <c r="Y732" s="16"/>
      <c r="Z732" s="17"/>
    </row>
    <row r="733" spans="19:26" x14ac:dyDescent="0.3">
      <c r="S733" s="14"/>
      <c r="T733" s="14"/>
      <c r="U733" s="14"/>
      <c r="V733" s="12"/>
      <c r="W733" s="12"/>
      <c r="X733" s="12"/>
      <c r="Y733" s="16"/>
      <c r="Z733" s="17"/>
    </row>
    <row r="734" spans="19:26" x14ac:dyDescent="0.3">
      <c r="S734" s="14"/>
      <c r="T734" s="14"/>
      <c r="U734" s="14"/>
      <c r="V734" s="12"/>
      <c r="W734" s="12"/>
      <c r="X734" s="12"/>
      <c r="Y734" s="16"/>
      <c r="Z734" s="17"/>
    </row>
    <row r="735" spans="19:26" x14ac:dyDescent="0.3">
      <c r="S735" s="14"/>
      <c r="T735" s="14"/>
      <c r="U735" s="14"/>
      <c r="V735" s="12"/>
      <c r="W735" s="12"/>
      <c r="X735" s="12"/>
      <c r="Y735" s="16"/>
      <c r="Z735" s="17"/>
    </row>
    <row r="736" spans="19:26" x14ac:dyDescent="0.3">
      <c r="S736" s="14"/>
      <c r="T736" s="14"/>
      <c r="U736" s="14"/>
      <c r="V736" s="12"/>
      <c r="W736" s="12"/>
      <c r="X736" s="12"/>
      <c r="Y736" s="16"/>
      <c r="Z736" s="17"/>
    </row>
    <row r="737" spans="19:26" x14ac:dyDescent="0.3">
      <c r="S737" s="14"/>
      <c r="T737" s="14"/>
      <c r="U737" s="14"/>
      <c r="V737" s="12"/>
      <c r="W737" s="12"/>
      <c r="X737" s="12"/>
      <c r="Y737" s="16"/>
      <c r="Z737" s="17"/>
    </row>
    <row r="738" spans="19:26" x14ac:dyDescent="0.3">
      <c r="S738" s="14"/>
      <c r="T738" s="14"/>
      <c r="U738" s="14"/>
      <c r="V738" s="12"/>
      <c r="W738" s="12"/>
      <c r="X738" s="12"/>
      <c r="Y738" s="16"/>
      <c r="Z738" s="17"/>
    </row>
    <row r="739" spans="19:26" x14ac:dyDescent="0.3">
      <c r="S739" s="14"/>
      <c r="T739" s="14"/>
      <c r="U739" s="14"/>
      <c r="V739" s="12"/>
      <c r="W739" s="12"/>
      <c r="X739" s="12"/>
      <c r="Y739" s="16"/>
      <c r="Z739" s="17"/>
    </row>
    <row r="740" spans="19:26" x14ac:dyDescent="0.3">
      <c r="S740" s="14"/>
      <c r="T740" s="14"/>
      <c r="U740" s="14"/>
      <c r="V740" s="12"/>
      <c r="W740" s="12"/>
      <c r="X740" s="12"/>
      <c r="Y740" s="16"/>
      <c r="Z740" s="17"/>
    </row>
    <row r="741" spans="19:26" x14ac:dyDescent="0.3">
      <c r="S741" s="14"/>
      <c r="T741" s="14"/>
      <c r="U741" s="14"/>
      <c r="V741" s="12"/>
      <c r="W741" s="12"/>
      <c r="X741" s="12"/>
      <c r="Y741" s="16"/>
      <c r="Z741" s="17"/>
    </row>
    <row r="742" spans="19:26" x14ac:dyDescent="0.3">
      <c r="S742" s="14"/>
      <c r="T742" s="14"/>
      <c r="U742" s="14"/>
      <c r="V742" s="12"/>
      <c r="W742" s="12"/>
      <c r="X742" s="12"/>
      <c r="Y742" s="16"/>
      <c r="Z742" s="17"/>
    </row>
    <row r="743" spans="19:26" x14ac:dyDescent="0.3">
      <c r="S743" s="14"/>
      <c r="T743" s="14"/>
      <c r="U743" s="14"/>
      <c r="V743" s="12"/>
      <c r="W743" s="12"/>
      <c r="X743" s="12"/>
      <c r="Y743" s="16"/>
      <c r="Z743" s="17"/>
    </row>
    <row r="744" spans="19:26" x14ac:dyDescent="0.3">
      <c r="S744" s="14"/>
      <c r="T744" s="14"/>
      <c r="U744" s="14"/>
      <c r="V744" s="12"/>
      <c r="W744" s="12"/>
      <c r="X744" s="12"/>
      <c r="Y744" s="16"/>
      <c r="Z744" s="17"/>
    </row>
    <row r="745" spans="19:26" x14ac:dyDescent="0.3">
      <c r="S745" s="14"/>
      <c r="T745" s="14"/>
      <c r="U745" s="14"/>
      <c r="V745" s="12"/>
      <c r="W745" s="12"/>
      <c r="X745" s="12"/>
      <c r="Y745" s="16"/>
      <c r="Z745" s="17"/>
    </row>
    <row r="746" spans="19:26" x14ac:dyDescent="0.3">
      <c r="S746" s="14"/>
      <c r="T746" s="14"/>
      <c r="U746" s="14"/>
      <c r="V746" s="12"/>
      <c r="W746" s="12"/>
      <c r="X746" s="12"/>
      <c r="Y746" s="16"/>
      <c r="Z746" s="17"/>
    </row>
    <row r="747" spans="19:26" x14ac:dyDescent="0.3">
      <c r="S747" s="14"/>
      <c r="T747" s="14"/>
      <c r="U747" s="14"/>
      <c r="V747" s="12"/>
      <c r="W747" s="12"/>
      <c r="X747" s="12"/>
      <c r="Y747" s="16"/>
      <c r="Z747" s="17"/>
    </row>
    <row r="748" spans="19:26" x14ac:dyDescent="0.3">
      <c r="S748" s="14"/>
      <c r="T748" s="14"/>
      <c r="U748" s="14"/>
      <c r="V748" s="12"/>
      <c r="W748" s="12"/>
      <c r="X748" s="12"/>
      <c r="Y748" s="16"/>
      <c r="Z748" s="17"/>
    </row>
    <row r="749" spans="19:26" x14ac:dyDescent="0.3">
      <c r="S749" s="14"/>
      <c r="T749" s="14"/>
      <c r="U749" s="14"/>
      <c r="V749" s="12"/>
      <c r="W749" s="12"/>
      <c r="X749" s="12"/>
      <c r="Y749" s="16"/>
      <c r="Z749" s="17"/>
    </row>
    <row r="750" spans="19:26" x14ac:dyDescent="0.3">
      <c r="S750" s="14"/>
      <c r="T750" s="14"/>
      <c r="U750" s="14"/>
      <c r="V750" s="12"/>
      <c r="W750" s="12"/>
      <c r="X750" s="12"/>
      <c r="Y750" s="16"/>
      <c r="Z750" s="17"/>
    </row>
    <row r="751" spans="19:26" x14ac:dyDescent="0.3">
      <c r="S751" s="14"/>
      <c r="T751" s="14"/>
      <c r="U751" s="14"/>
      <c r="V751" s="12"/>
      <c r="W751" s="12"/>
      <c r="X751" s="12"/>
      <c r="Y751" s="16"/>
      <c r="Z751" s="17"/>
    </row>
    <row r="752" spans="19:26" x14ac:dyDescent="0.3">
      <c r="S752" s="14"/>
      <c r="T752" s="14"/>
      <c r="U752" s="14"/>
      <c r="V752" s="12"/>
      <c r="W752" s="12"/>
      <c r="X752" s="12"/>
      <c r="Y752" s="16"/>
      <c r="Z752" s="17"/>
    </row>
    <row r="753" spans="19:26" x14ac:dyDescent="0.3">
      <c r="S753" s="14"/>
      <c r="T753" s="14"/>
      <c r="U753" s="14"/>
      <c r="V753" s="12"/>
      <c r="W753" s="12"/>
      <c r="X753" s="12"/>
      <c r="Y753" s="16"/>
      <c r="Z753" s="17"/>
    </row>
    <row r="754" spans="19:26" x14ac:dyDescent="0.3">
      <c r="S754" s="14"/>
      <c r="T754" s="14"/>
      <c r="U754" s="14"/>
      <c r="V754" s="12"/>
      <c r="W754" s="12"/>
      <c r="X754" s="12"/>
      <c r="Y754" s="16"/>
      <c r="Z754" s="17"/>
    </row>
    <row r="755" spans="19:26" x14ac:dyDescent="0.3">
      <c r="S755" s="14"/>
      <c r="T755" s="14"/>
      <c r="U755" s="14"/>
      <c r="V755" s="12"/>
      <c r="W755" s="12"/>
      <c r="X755" s="12"/>
      <c r="Y755" s="16"/>
      <c r="Z755" s="17"/>
    </row>
    <row r="756" spans="19:26" x14ac:dyDescent="0.3">
      <c r="S756" s="14"/>
      <c r="T756" s="14"/>
      <c r="U756" s="14"/>
      <c r="V756" s="12"/>
      <c r="W756" s="12"/>
      <c r="X756" s="12"/>
      <c r="Y756" s="16"/>
      <c r="Z756" s="17"/>
    </row>
    <row r="757" spans="19:26" x14ac:dyDescent="0.3">
      <c r="S757" s="14"/>
      <c r="T757" s="14"/>
      <c r="U757" s="14"/>
      <c r="V757" s="12"/>
      <c r="W757" s="12"/>
      <c r="X757" s="12"/>
      <c r="Y757" s="16"/>
      <c r="Z757" s="17"/>
    </row>
    <row r="758" spans="19:26" x14ac:dyDescent="0.3">
      <c r="S758" s="14"/>
      <c r="T758" s="14"/>
      <c r="U758" s="14"/>
      <c r="V758" s="12"/>
      <c r="W758" s="12"/>
      <c r="X758" s="12"/>
      <c r="Y758" s="16"/>
      <c r="Z758" s="17"/>
    </row>
    <row r="759" spans="19:26" x14ac:dyDescent="0.3">
      <c r="S759" s="14"/>
      <c r="T759" s="14"/>
      <c r="U759" s="14"/>
      <c r="V759" s="12"/>
      <c r="W759" s="12"/>
      <c r="X759" s="12"/>
      <c r="Y759" s="16"/>
      <c r="Z759" s="17"/>
    </row>
    <row r="760" spans="19:26" x14ac:dyDescent="0.3">
      <c r="S760" s="14"/>
      <c r="T760" s="14"/>
      <c r="U760" s="14"/>
      <c r="V760" s="12"/>
      <c r="W760" s="12"/>
      <c r="X760" s="12"/>
      <c r="Y760" s="16"/>
      <c r="Z760" s="17"/>
    </row>
    <row r="761" spans="19:26" x14ac:dyDescent="0.3">
      <c r="S761" s="14"/>
      <c r="T761" s="14"/>
      <c r="U761" s="14"/>
      <c r="V761" s="12"/>
      <c r="W761" s="12"/>
      <c r="X761" s="12"/>
      <c r="Y761" s="16"/>
      <c r="Z761" s="17"/>
    </row>
    <row r="762" spans="19:26" x14ac:dyDescent="0.3">
      <c r="S762" s="14"/>
      <c r="T762" s="14"/>
      <c r="U762" s="14"/>
      <c r="V762" s="12"/>
      <c r="W762" s="12"/>
      <c r="X762" s="12"/>
      <c r="Y762" s="16"/>
      <c r="Z762" s="17"/>
    </row>
    <row r="763" spans="19:26" x14ac:dyDescent="0.3">
      <c r="S763" s="14"/>
      <c r="T763" s="14"/>
      <c r="U763" s="14"/>
      <c r="V763" s="12"/>
      <c r="W763" s="12"/>
      <c r="X763" s="12"/>
      <c r="Y763" s="16"/>
      <c r="Z763" s="17"/>
    </row>
    <row r="764" spans="19:26" x14ac:dyDescent="0.3">
      <c r="S764" s="14"/>
      <c r="T764" s="14"/>
      <c r="U764" s="14"/>
      <c r="V764" s="12"/>
      <c r="W764" s="12"/>
      <c r="X764" s="12"/>
      <c r="Y764" s="16"/>
      <c r="Z764" s="17"/>
    </row>
    <row r="765" spans="19:26" x14ac:dyDescent="0.3">
      <c r="S765" s="14"/>
      <c r="T765" s="14"/>
      <c r="U765" s="14"/>
      <c r="V765" s="12"/>
      <c r="W765" s="12"/>
      <c r="X765" s="12"/>
      <c r="Y765" s="16"/>
      <c r="Z765" s="17"/>
    </row>
    <row r="766" spans="19:26" x14ac:dyDescent="0.3">
      <c r="S766" s="14"/>
      <c r="T766" s="14"/>
      <c r="U766" s="14"/>
      <c r="V766" s="12"/>
      <c r="W766" s="12"/>
      <c r="X766" s="12"/>
      <c r="Y766" s="16"/>
      <c r="Z766" s="17"/>
    </row>
    <row r="767" spans="19:26" x14ac:dyDescent="0.3">
      <c r="S767" s="14"/>
      <c r="T767" s="14"/>
      <c r="U767" s="14"/>
      <c r="V767" s="12"/>
      <c r="W767" s="12"/>
      <c r="X767" s="12"/>
      <c r="Y767" s="16"/>
      <c r="Z767" s="17"/>
    </row>
    <row r="768" spans="19:26" x14ac:dyDescent="0.3">
      <c r="S768" s="14"/>
      <c r="T768" s="14"/>
      <c r="U768" s="14"/>
      <c r="V768" s="12"/>
      <c r="W768" s="12"/>
      <c r="X768" s="12"/>
      <c r="Y768" s="16"/>
      <c r="Z768" s="17"/>
    </row>
    <row r="769" spans="19:26" x14ac:dyDescent="0.3">
      <c r="S769" s="14"/>
      <c r="T769" s="14"/>
      <c r="U769" s="14"/>
      <c r="V769" s="12"/>
      <c r="W769" s="12"/>
      <c r="X769" s="12"/>
      <c r="Y769" s="16"/>
      <c r="Z769" s="17"/>
    </row>
    <row r="770" spans="19:26" x14ac:dyDescent="0.3">
      <c r="S770" s="14"/>
      <c r="T770" s="14"/>
      <c r="U770" s="14"/>
      <c r="V770" s="12"/>
      <c r="W770" s="12"/>
      <c r="X770" s="12"/>
      <c r="Y770" s="16"/>
      <c r="Z770" s="17"/>
    </row>
    <row r="771" spans="19:26" x14ac:dyDescent="0.3">
      <c r="S771" s="14"/>
      <c r="T771" s="14"/>
      <c r="U771" s="14"/>
      <c r="V771" s="12"/>
      <c r="W771" s="12"/>
      <c r="X771" s="12"/>
      <c r="Y771" s="16"/>
      <c r="Z771" s="17"/>
    </row>
    <row r="772" spans="19:26" x14ac:dyDescent="0.3">
      <c r="S772" s="14"/>
      <c r="T772" s="14"/>
      <c r="U772" s="14"/>
      <c r="V772" s="12"/>
      <c r="W772" s="12"/>
      <c r="X772" s="12"/>
      <c r="Y772" s="16"/>
      <c r="Z772" s="17"/>
    </row>
    <row r="773" spans="19:26" x14ac:dyDescent="0.3">
      <c r="S773" s="14"/>
      <c r="T773" s="14"/>
      <c r="U773" s="14"/>
      <c r="V773" s="12"/>
      <c r="W773" s="12"/>
      <c r="X773" s="12"/>
      <c r="Y773" s="16"/>
      <c r="Z773" s="17"/>
    </row>
    <row r="774" spans="19:26" x14ac:dyDescent="0.3">
      <c r="S774" s="14"/>
      <c r="T774" s="14"/>
      <c r="U774" s="14"/>
      <c r="V774" s="12"/>
      <c r="W774" s="12"/>
      <c r="X774" s="12"/>
      <c r="Y774" s="16"/>
      <c r="Z774" s="17"/>
    </row>
    <row r="775" spans="19:26" x14ac:dyDescent="0.3">
      <c r="S775" s="14"/>
      <c r="T775" s="14"/>
      <c r="U775" s="14"/>
      <c r="V775" s="12"/>
      <c r="W775" s="12"/>
      <c r="X775" s="12"/>
      <c r="Y775" s="16"/>
      <c r="Z775" s="17"/>
    </row>
    <row r="776" spans="19:26" x14ac:dyDescent="0.3">
      <c r="S776" s="14"/>
      <c r="T776" s="14"/>
      <c r="U776" s="14"/>
      <c r="V776" s="12"/>
      <c r="W776" s="12"/>
      <c r="X776" s="12"/>
      <c r="Y776" s="16"/>
      <c r="Z776" s="17"/>
    </row>
    <row r="777" spans="19:26" x14ac:dyDescent="0.3">
      <c r="S777" s="14"/>
      <c r="T777" s="14"/>
      <c r="U777" s="14"/>
      <c r="V777" s="12"/>
      <c r="W777" s="12"/>
      <c r="X777" s="12"/>
      <c r="Y777" s="16"/>
      <c r="Z777" s="17"/>
    </row>
    <row r="778" spans="19:26" x14ac:dyDescent="0.3">
      <c r="S778" s="14"/>
      <c r="T778" s="14"/>
      <c r="U778" s="14"/>
      <c r="V778" s="12"/>
      <c r="W778" s="12"/>
      <c r="X778" s="12"/>
      <c r="Y778" s="16"/>
      <c r="Z778" s="17"/>
    </row>
    <row r="779" spans="19:26" x14ac:dyDescent="0.3">
      <c r="S779" s="14"/>
      <c r="T779" s="14"/>
      <c r="U779" s="14"/>
      <c r="V779" s="12"/>
      <c r="W779" s="12"/>
      <c r="X779" s="12"/>
      <c r="Y779" s="16"/>
      <c r="Z779" s="17"/>
    </row>
    <row r="780" spans="19:26" x14ac:dyDescent="0.3">
      <c r="S780" s="14"/>
      <c r="T780" s="14"/>
      <c r="U780" s="14"/>
      <c r="V780" s="12"/>
      <c r="W780" s="12"/>
      <c r="X780" s="12"/>
      <c r="Y780" s="16"/>
      <c r="Z780" s="17"/>
    </row>
    <row r="781" spans="19:26" x14ac:dyDescent="0.3">
      <c r="S781" s="14"/>
      <c r="T781" s="14"/>
      <c r="U781" s="14"/>
      <c r="V781" s="12"/>
      <c r="W781" s="12"/>
      <c r="X781" s="12"/>
      <c r="Y781" s="16"/>
      <c r="Z781" s="17"/>
    </row>
    <row r="782" spans="19:26" x14ac:dyDescent="0.3">
      <c r="S782" s="14"/>
      <c r="T782" s="14"/>
      <c r="U782" s="14"/>
      <c r="V782" s="12"/>
      <c r="W782" s="12"/>
      <c r="X782" s="12"/>
      <c r="Y782" s="16"/>
      <c r="Z782" s="17"/>
    </row>
    <row r="783" spans="19:26" x14ac:dyDescent="0.3">
      <c r="S783" s="14"/>
      <c r="T783" s="14"/>
      <c r="U783" s="14"/>
      <c r="V783" s="12"/>
      <c r="W783" s="12"/>
      <c r="X783" s="12"/>
      <c r="Y783" s="16"/>
      <c r="Z783" s="17"/>
    </row>
    <row r="784" spans="19:26" x14ac:dyDescent="0.3">
      <c r="S784" s="14"/>
      <c r="T784" s="14"/>
      <c r="U784" s="14"/>
      <c r="V784" s="12"/>
      <c r="W784" s="12"/>
      <c r="X784" s="12"/>
      <c r="Y784" s="16"/>
      <c r="Z784" s="17"/>
    </row>
    <row r="785" spans="19:26" x14ac:dyDescent="0.3">
      <c r="S785" s="14"/>
      <c r="T785" s="14"/>
      <c r="U785" s="14"/>
      <c r="V785" s="12"/>
      <c r="W785" s="12"/>
      <c r="X785" s="12"/>
      <c r="Y785" s="16"/>
      <c r="Z785" s="17"/>
    </row>
    <row r="786" spans="19:26" x14ac:dyDescent="0.3">
      <c r="S786" s="14"/>
      <c r="T786" s="14"/>
      <c r="U786" s="14"/>
      <c r="V786" s="12"/>
      <c r="W786" s="12"/>
      <c r="X786" s="12"/>
      <c r="Y786" s="16"/>
      <c r="Z786" s="17"/>
    </row>
    <row r="787" spans="19:26" x14ac:dyDescent="0.3">
      <c r="S787" s="14"/>
      <c r="T787" s="14"/>
      <c r="U787" s="14"/>
      <c r="V787" s="12"/>
      <c r="W787" s="12"/>
      <c r="X787" s="12"/>
      <c r="Y787" s="16"/>
      <c r="Z787" s="17"/>
    </row>
    <row r="788" spans="19:26" x14ac:dyDescent="0.3">
      <c r="S788" s="14"/>
      <c r="T788" s="14"/>
      <c r="U788" s="14"/>
      <c r="V788" s="12"/>
      <c r="W788" s="12"/>
      <c r="X788" s="12"/>
      <c r="Y788" s="16"/>
      <c r="Z788" s="17"/>
    </row>
    <row r="789" spans="19:26" x14ac:dyDescent="0.3">
      <c r="S789" s="14"/>
      <c r="T789" s="14"/>
      <c r="U789" s="14"/>
      <c r="V789" s="12"/>
      <c r="W789" s="12"/>
      <c r="X789" s="12"/>
      <c r="Y789" s="16"/>
      <c r="Z789" s="17"/>
    </row>
    <row r="790" spans="19:26" x14ac:dyDescent="0.3">
      <c r="S790" s="14"/>
      <c r="T790" s="14"/>
      <c r="U790" s="14"/>
      <c r="V790" s="12"/>
      <c r="W790" s="12"/>
      <c r="X790" s="12"/>
      <c r="Y790" s="16"/>
      <c r="Z790" s="17"/>
    </row>
    <row r="791" spans="19:26" x14ac:dyDescent="0.3">
      <c r="S791" s="14"/>
      <c r="T791" s="14"/>
      <c r="U791" s="14"/>
      <c r="V791" s="12"/>
      <c r="W791" s="12"/>
      <c r="X791" s="12"/>
      <c r="Y791" s="16"/>
      <c r="Z791" s="17"/>
    </row>
    <row r="792" spans="19:26" x14ac:dyDescent="0.3">
      <c r="S792" s="14"/>
      <c r="T792" s="14"/>
      <c r="U792" s="14"/>
      <c r="V792" s="12"/>
      <c r="W792" s="12"/>
      <c r="X792" s="12"/>
      <c r="Y792" s="16"/>
      <c r="Z792" s="17"/>
    </row>
    <row r="793" spans="19:26" x14ac:dyDescent="0.3">
      <c r="S793" s="14"/>
      <c r="T793" s="14"/>
      <c r="U793" s="14"/>
      <c r="V793" s="12"/>
      <c r="W793" s="12"/>
      <c r="X793" s="12"/>
      <c r="Y793" s="16"/>
      <c r="Z793" s="17"/>
    </row>
    <row r="794" spans="19:26" x14ac:dyDescent="0.3">
      <c r="S794" s="14"/>
      <c r="T794" s="14"/>
      <c r="U794" s="14"/>
      <c r="V794" s="12"/>
      <c r="W794" s="12"/>
      <c r="X794" s="12"/>
      <c r="Y794" s="16"/>
      <c r="Z794" s="17"/>
    </row>
    <row r="795" spans="19:26" x14ac:dyDescent="0.3">
      <c r="S795" s="14"/>
      <c r="T795" s="14"/>
      <c r="U795" s="14"/>
      <c r="V795" s="12"/>
      <c r="W795" s="12"/>
      <c r="X795" s="12"/>
      <c r="Y795" s="16"/>
      <c r="Z795" s="17"/>
    </row>
    <row r="796" spans="19:26" x14ac:dyDescent="0.3">
      <c r="S796" s="14"/>
      <c r="T796" s="14"/>
      <c r="U796" s="14"/>
      <c r="V796" s="12"/>
      <c r="W796" s="12"/>
      <c r="X796" s="12"/>
      <c r="Y796" s="16"/>
      <c r="Z796" s="17"/>
    </row>
    <row r="797" spans="19:26" x14ac:dyDescent="0.3">
      <c r="S797" s="14"/>
      <c r="T797" s="14"/>
      <c r="U797" s="14"/>
      <c r="V797" s="12"/>
      <c r="W797" s="12"/>
      <c r="X797" s="12"/>
      <c r="Y797" s="16"/>
      <c r="Z797" s="17"/>
    </row>
    <row r="798" spans="19:26" x14ac:dyDescent="0.3">
      <c r="S798" s="14"/>
      <c r="T798" s="14"/>
      <c r="U798" s="14"/>
      <c r="V798" s="12"/>
      <c r="W798" s="12"/>
      <c r="X798" s="12"/>
      <c r="Y798" s="16"/>
      <c r="Z798" s="17"/>
    </row>
    <row r="799" spans="19:26" x14ac:dyDescent="0.3">
      <c r="S799" s="14"/>
      <c r="T799" s="14"/>
      <c r="U799" s="14"/>
      <c r="V799" s="12"/>
      <c r="W799" s="12"/>
      <c r="X799" s="12"/>
      <c r="Y799" s="16"/>
      <c r="Z799" s="17"/>
    </row>
    <row r="800" spans="19:26" x14ac:dyDescent="0.3">
      <c r="S800" s="14"/>
      <c r="T800" s="14"/>
      <c r="U800" s="14"/>
      <c r="V800" s="12"/>
      <c r="W800" s="12"/>
      <c r="X800" s="12"/>
      <c r="Y800" s="16"/>
      <c r="Z800" s="17"/>
    </row>
    <row r="801" spans="1:26" x14ac:dyDescent="0.3">
      <c r="S801" s="14"/>
      <c r="T801" s="14"/>
      <c r="U801" s="14"/>
      <c r="V801" s="12"/>
      <c r="W801" s="12"/>
      <c r="X801" s="12"/>
      <c r="Y801" s="16"/>
      <c r="Z801" s="17"/>
    </row>
    <row r="802" spans="1:26" x14ac:dyDescent="0.3">
      <c r="S802" s="14"/>
      <c r="T802" s="14"/>
      <c r="U802" s="14"/>
      <c r="V802" s="12"/>
      <c r="W802" s="12"/>
      <c r="X802" s="12"/>
      <c r="Y802" s="16"/>
      <c r="Z802" s="17"/>
    </row>
    <row r="803" spans="1:26" x14ac:dyDescent="0.3">
      <c r="S803" s="14"/>
      <c r="T803" s="14"/>
      <c r="U803" s="14"/>
      <c r="V803" s="12"/>
      <c r="W803" s="12"/>
      <c r="X803" s="12"/>
      <c r="Y803" s="16"/>
      <c r="Z803" s="17"/>
    </row>
    <row r="804" spans="1:26" x14ac:dyDescent="0.3">
      <c r="S804" s="14"/>
      <c r="T804" s="14"/>
      <c r="U804" s="14"/>
      <c r="V804" s="12"/>
      <c r="W804" s="12"/>
      <c r="X804" s="12"/>
      <c r="Y804" s="16"/>
      <c r="Z804" s="17"/>
    </row>
    <row r="805" spans="1:26" x14ac:dyDescent="0.3">
      <c r="A805" s="14"/>
      <c r="B805" s="14"/>
      <c r="C805" s="14"/>
      <c r="D805" s="14"/>
      <c r="E805" s="14"/>
      <c r="F805" s="14"/>
      <c r="G805" s="14"/>
      <c r="H805" s="14"/>
      <c r="I805" s="14"/>
      <c r="J805" s="14"/>
      <c r="K805" s="14"/>
      <c r="L805" s="14"/>
      <c r="M805" s="14"/>
      <c r="N805" s="14"/>
      <c r="O805" s="14"/>
      <c r="P805" s="14"/>
      <c r="Q805" s="14"/>
      <c r="R805" s="15"/>
      <c r="S805" s="14"/>
      <c r="T805" s="14"/>
      <c r="U805" s="14"/>
      <c r="V805" s="12"/>
      <c r="W805" s="12"/>
      <c r="X805" s="12"/>
      <c r="Y805" s="16"/>
      <c r="Z805" s="17"/>
    </row>
    <row r="806" spans="1:26" x14ac:dyDescent="0.3">
      <c r="S806" s="14"/>
      <c r="T806" s="14"/>
      <c r="U806" s="14"/>
      <c r="V806" s="12"/>
      <c r="W806" s="12"/>
      <c r="X806" s="12"/>
      <c r="Y806" s="16"/>
      <c r="Z806" s="17"/>
    </row>
    <row r="807" spans="1:26" x14ac:dyDescent="0.3">
      <c r="S807" s="14"/>
      <c r="T807" s="14"/>
      <c r="U807" s="14"/>
      <c r="V807" s="12"/>
      <c r="W807" s="12"/>
      <c r="X807" s="12"/>
      <c r="Y807" s="16"/>
      <c r="Z807" s="17"/>
    </row>
    <row r="808" spans="1:26" x14ac:dyDescent="0.3">
      <c r="S808" s="14"/>
      <c r="T808" s="14"/>
      <c r="U808" s="14"/>
      <c r="V808" s="12"/>
      <c r="W808" s="12"/>
      <c r="X808" s="12"/>
      <c r="Y808" s="16"/>
      <c r="Z808" s="17"/>
    </row>
    <row r="809" spans="1:26" x14ac:dyDescent="0.3">
      <c r="S809" s="14"/>
      <c r="T809" s="14"/>
      <c r="U809" s="14"/>
      <c r="V809" s="12"/>
      <c r="W809" s="12"/>
      <c r="X809" s="12"/>
      <c r="Y809" s="16"/>
      <c r="Z809" s="17"/>
    </row>
    <row r="810" spans="1:26" x14ac:dyDescent="0.3">
      <c r="S810" s="14"/>
      <c r="T810" s="14"/>
      <c r="U810" s="14"/>
      <c r="V810" s="12"/>
      <c r="W810" s="12"/>
      <c r="X810" s="12"/>
      <c r="Y810" s="16"/>
      <c r="Z810" s="17"/>
    </row>
    <row r="811" spans="1:26" x14ac:dyDescent="0.3">
      <c r="S811" s="14"/>
      <c r="T811" s="14"/>
      <c r="U811" s="14"/>
      <c r="V811" s="12"/>
      <c r="W811" s="12"/>
      <c r="X811" s="12"/>
      <c r="Y811" s="16"/>
      <c r="Z811" s="17"/>
    </row>
    <row r="812" spans="1:26" x14ac:dyDescent="0.3">
      <c r="S812" s="14"/>
      <c r="T812" s="14"/>
      <c r="U812" s="14"/>
      <c r="V812" s="12"/>
      <c r="W812" s="12"/>
      <c r="X812" s="12"/>
      <c r="Y812" s="16"/>
      <c r="Z812" s="17"/>
    </row>
    <row r="813" spans="1:26" x14ac:dyDescent="0.3">
      <c r="S813" s="14"/>
      <c r="T813" s="14"/>
      <c r="U813" s="14"/>
      <c r="V813" s="12"/>
      <c r="W813" s="12"/>
      <c r="X813" s="12"/>
      <c r="Y813" s="16"/>
      <c r="Z813" s="17"/>
    </row>
    <row r="814" spans="1:26" x14ac:dyDescent="0.3">
      <c r="S814" s="14"/>
      <c r="T814" s="14"/>
      <c r="U814" s="14"/>
      <c r="V814" s="12"/>
      <c r="W814" s="12"/>
      <c r="X814" s="12"/>
      <c r="Y814" s="16"/>
      <c r="Z814" s="17"/>
    </row>
    <row r="815" spans="1:26" x14ac:dyDescent="0.3">
      <c r="S815" s="14"/>
      <c r="T815" s="14"/>
      <c r="U815" s="14"/>
      <c r="V815" s="12"/>
      <c r="W815" s="12"/>
      <c r="X815" s="12"/>
      <c r="Y815" s="16"/>
      <c r="Z815" s="17"/>
    </row>
    <row r="816" spans="1:26" x14ac:dyDescent="0.3">
      <c r="S816" s="14"/>
      <c r="T816" s="14"/>
      <c r="U816" s="14"/>
      <c r="V816" s="12"/>
      <c r="W816" s="12"/>
      <c r="X816" s="12"/>
      <c r="Y816" s="16"/>
      <c r="Z816" s="17"/>
    </row>
    <row r="817" spans="19:26" x14ac:dyDescent="0.3">
      <c r="S817" s="14"/>
      <c r="T817" s="14"/>
      <c r="U817" s="14"/>
      <c r="V817" s="12"/>
      <c r="W817" s="12"/>
      <c r="X817" s="12"/>
      <c r="Y817" s="16"/>
      <c r="Z817" s="17"/>
    </row>
    <row r="818" spans="19:26" x14ac:dyDescent="0.3">
      <c r="S818" s="14"/>
      <c r="T818" s="14"/>
      <c r="U818" s="14"/>
      <c r="V818" s="12"/>
      <c r="W818" s="12"/>
      <c r="X818" s="12"/>
      <c r="Y818" s="16"/>
      <c r="Z818" s="17"/>
    </row>
    <row r="819" spans="19:26" x14ac:dyDescent="0.3">
      <c r="S819" s="14"/>
      <c r="T819" s="14"/>
      <c r="U819" s="14"/>
      <c r="V819" s="12"/>
      <c r="W819" s="12"/>
      <c r="X819" s="12"/>
      <c r="Y819" s="16"/>
      <c r="Z819" s="17"/>
    </row>
    <row r="820" spans="19:26" x14ac:dyDescent="0.3">
      <c r="S820" s="14"/>
      <c r="T820" s="14"/>
      <c r="U820" s="14"/>
      <c r="V820" s="12"/>
      <c r="W820" s="12"/>
      <c r="X820" s="12"/>
      <c r="Y820" s="16"/>
      <c r="Z820" s="17"/>
    </row>
    <row r="821" spans="19:26" x14ac:dyDescent="0.3">
      <c r="S821" s="14"/>
      <c r="T821" s="14"/>
      <c r="U821" s="14"/>
      <c r="V821" s="12"/>
      <c r="W821" s="12"/>
      <c r="X821" s="12"/>
      <c r="Y821" s="16"/>
      <c r="Z821" s="17"/>
    </row>
    <row r="822" spans="19:26" x14ac:dyDescent="0.3">
      <c r="S822" s="14"/>
      <c r="T822" s="14"/>
      <c r="U822" s="14"/>
      <c r="V822" s="12"/>
      <c r="W822" s="12"/>
      <c r="X822" s="12"/>
      <c r="Y822" s="16"/>
      <c r="Z822" s="17"/>
    </row>
    <row r="823" spans="19:26" x14ac:dyDescent="0.3">
      <c r="S823" s="14"/>
      <c r="T823" s="14"/>
      <c r="U823" s="14"/>
      <c r="V823" s="12"/>
      <c r="W823" s="12"/>
      <c r="X823" s="12"/>
      <c r="Y823" s="16"/>
      <c r="Z823" s="17"/>
    </row>
    <row r="824" spans="19:26" x14ac:dyDescent="0.3">
      <c r="S824" s="14"/>
      <c r="T824" s="14"/>
      <c r="U824" s="14"/>
      <c r="V824" s="12"/>
      <c r="W824" s="12"/>
      <c r="X824" s="12"/>
      <c r="Y824" s="16"/>
      <c r="Z824" s="17"/>
    </row>
    <row r="825" spans="19:26" x14ac:dyDescent="0.3">
      <c r="S825" s="14"/>
      <c r="T825" s="14"/>
      <c r="U825" s="14"/>
      <c r="V825" s="12"/>
      <c r="W825" s="12"/>
      <c r="X825" s="12"/>
      <c r="Y825" s="16"/>
      <c r="Z825" s="17"/>
    </row>
    <row r="826" spans="19:26" x14ac:dyDescent="0.3">
      <c r="S826" s="14"/>
      <c r="T826" s="14"/>
      <c r="U826" s="14"/>
      <c r="V826" s="12"/>
      <c r="W826" s="12"/>
      <c r="X826" s="12"/>
      <c r="Y826" s="16"/>
      <c r="Z826" s="17"/>
    </row>
    <row r="827" spans="19:26" x14ac:dyDescent="0.3">
      <c r="S827" s="14"/>
      <c r="T827" s="14"/>
      <c r="U827" s="14"/>
      <c r="V827" s="12"/>
      <c r="W827" s="12"/>
      <c r="X827" s="12"/>
      <c r="Y827" s="16"/>
      <c r="Z827" s="17"/>
    </row>
    <row r="828" spans="19:26" x14ac:dyDescent="0.3">
      <c r="S828" s="14"/>
      <c r="T828" s="14"/>
      <c r="U828" s="14"/>
      <c r="V828" s="12"/>
      <c r="W828" s="12"/>
      <c r="X828" s="12"/>
      <c r="Y828" s="16"/>
      <c r="Z828" s="17"/>
    </row>
    <row r="829" spans="19:26" x14ac:dyDescent="0.3">
      <c r="S829" s="14"/>
      <c r="T829" s="14"/>
      <c r="U829" s="14"/>
      <c r="V829" s="12"/>
      <c r="W829" s="12"/>
      <c r="X829" s="12"/>
      <c r="Y829" s="16"/>
      <c r="Z829" s="17"/>
    </row>
    <row r="830" spans="19:26" x14ac:dyDescent="0.3">
      <c r="S830" s="14"/>
      <c r="T830" s="14"/>
      <c r="U830" s="14"/>
      <c r="V830" s="12"/>
      <c r="W830" s="12"/>
      <c r="X830" s="12"/>
      <c r="Y830" s="16"/>
      <c r="Z830" s="17"/>
    </row>
    <row r="831" spans="19:26" x14ac:dyDescent="0.3">
      <c r="S831" s="14"/>
      <c r="T831" s="14"/>
      <c r="U831" s="14"/>
      <c r="V831" s="12"/>
      <c r="W831" s="12"/>
      <c r="X831" s="12"/>
      <c r="Y831" s="16"/>
      <c r="Z831" s="17"/>
    </row>
    <row r="832" spans="19:26" x14ac:dyDescent="0.3">
      <c r="S832" s="14"/>
      <c r="T832" s="14"/>
      <c r="U832" s="14"/>
      <c r="V832" s="12"/>
      <c r="W832" s="12"/>
      <c r="X832" s="12"/>
      <c r="Y832" s="16"/>
      <c r="Z832" s="17"/>
    </row>
    <row r="833" spans="19:26" x14ac:dyDescent="0.3">
      <c r="S833" s="14"/>
      <c r="T833" s="14"/>
      <c r="U833" s="14"/>
      <c r="V833" s="12"/>
      <c r="W833" s="12"/>
      <c r="X833" s="12"/>
      <c r="Y833" s="16"/>
      <c r="Z833" s="17"/>
    </row>
    <row r="834" spans="19:26" x14ac:dyDescent="0.3">
      <c r="S834" s="14"/>
      <c r="T834" s="14"/>
      <c r="U834" s="14"/>
      <c r="V834" s="12"/>
      <c r="W834" s="12"/>
      <c r="X834" s="12"/>
      <c r="Y834" s="16"/>
      <c r="Z834" s="17"/>
    </row>
    <row r="835" spans="19:26" x14ac:dyDescent="0.3">
      <c r="S835" s="14"/>
      <c r="T835" s="14"/>
      <c r="U835" s="14"/>
      <c r="V835" s="12"/>
      <c r="W835" s="12"/>
      <c r="X835" s="12"/>
      <c r="Y835" s="16"/>
      <c r="Z835" s="17"/>
    </row>
    <row r="836" spans="19:26" x14ac:dyDescent="0.3">
      <c r="S836" s="14"/>
      <c r="T836" s="14"/>
      <c r="U836" s="14"/>
      <c r="V836" s="12"/>
      <c r="W836" s="12"/>
      <c r="X836" s="12"/>
      <c r="Y836" s="16"/>
      <c r="Z836" s="17"/>
    </row>
    <row r="837" spans="19:26" x14ac:dyDescent="0.3">
      <c r="S837" s="14"/>
      <c r="T837" s="14"/>
      <c r="U837" s="14"/>
      <c r="V837" s="12"/>
      <c r="W837" s="12"/>
      <c r="X837" s="12"/>
      <c r="Y837" s="16"/>
      <c r="Z837" s="17"/>
    </row>
    <row r="838" spans="19:26" x14ac:dyDescent="0.3">
      <c r="S838" s="14"/>
      <c r="T838" s="14"/>
      <c r="U838" s="14"/>
      <c r="V838" s="12"/>
      <c r="W838" s="12"/>
      <c r="X838" s="12"/>
      <c r="Y838" s="16"/>
      <c r="Z838" s="17"/>
    </row>
    <row r="839" spans="19:26" x14ac:dyDescent="0.3">
      <c r="S839" s="14"/>
      <c r="T839" s="14"/>
      <c r="U839" s="14"/>
      <c r="V839" s="12"/>
      <c r="W839" s="12"/>
      <c r="X839" s="12"/>
      <c r="Y839" s="16"/>
      <c r="Z839" s="17"/>
    </row>
    <row r="840" spans="19:26" x14ac:dyDescent="0.3">
      <c r="S840" s="14"/>
      <c r="T840" s="14"/>
      <c r="U840" s="14"/>
      <c r="V840" s="12"/>
      <c r="W840" s="12"/>
      <c r="X840" s="12"/>
      <c r="Y840" s="16"/>
      <c r="Z840" s="17"/>
    </row>
    <row r="841" spans="19:26" x14ac:dyDescent="0.3">
      <c r="S841" s="14"/>
      <c r="T841" s="14"/>
      <c r="U841" s="14"/>
      <c r="V841" s="12"/>
      <c r="W841" s="12"/>
      <c r="X841" s="12"/>
      <c r="Y841" s="16"/>
      <c r="Z841" s="17"/>
    </row>
    <row r="842" spans="19:26" x14ac:dyDescent="0.3">
      <c r="S842" s="14"/>
      <c r="T842" s="14"/>
      <c r="U842" s="14"/>
      <c r="V842" s="12"/>
      <c r="W842" s="12"/>
      <c r="X842" s="12"/>
      <c r="Y842" s="16"/>
      <c r="Z842" s="17"/>
    </row>
    <row r="843" spans="19:26" x14ac:dyDescent="0.3">
      <c r="S843" s="14"/>
      <c r="T843" s="14"/>
      <c r="U843" s="14"/>
      <c r="V843" s="12"/>
      <c r="W843" s="12"/>
      <c r="X843" s="12"/>
      <c r="Y843" s="16"/>
      <c r="Z843" s="17"/>
    </row>
    <row r="844" spans="19:26" x14ac:dyDescent="0.3">
      <c r="S844" s="14"/>
      <c r="T844" s="14"/>
      <c r="U844" s="14"/>
      <c r="V844" s="12"/>
      <c r="W844" s="12"/>
      <c r="X844" s="12"/>
      <c r="Y844" s="16"/>
      <c r="Z844" s="17"/>
    </row>
    <row r="845" spans="19:26" x14ac:dyDescent="0.3">
      <c r="S845" s="14"/>
      <c r="T845" s="14"/>
      <c r="U845" s="14"/>
      <c r="V845" s="12"/>
      <c r="W845" s="12"/>
      <c r="X845" s="12"/>
      <c r="Y845" s="16"/>
      <c r="Z845" s="17"/>
    </row>
    <row r="846" spans="19:26" x14ac:dyDescent="0.3">
      <c r="S846" s="14"/>
      <c r="T846" s="14"/>
      <c r="U846" s="14"/>
      <c r="V846" s="12"/>
      <c r="W846" s="12"/>
      <c r="X846" s="12"/>
      <c r="Y846" s="16"/>
      <c r="Z846" s="17"/>
    </row>
    <row r="847" spans="19:26" x14ac:dyDescent="0.3">
      <c r="S847" s="14"/>
      <c r="T847" s="14"/>
      <c r="U847" s="14"/>
      <c r="V847" s="12"/>
      <c r="W847" s="12"/>
      <c r="X847" s="12"/>
      <c r="Y847" s="16"/>
      <c r="Z847" s="17"/>
    </row>
    <row r="848" spans="19:26" x14ac:dyDescent="0.3">
      <c r="S848" s="14"/>
      <c r="T848" s="14"/>
      <c r="U848" s="14"/>
      <c r="V848" s="12"/>
      <c r="W848" s="12"/>
      <c r="X848" s="12"/>
      <c r="Y848" s="16"/>
      <c r="Z848" s="17"/>
    </row>
    <row r="849" spans="19:26" x14ac:dyDescent="0.3">
      <c r="S849" s="14"/>
      <c r="T849" s="14"/>
      <c r="U849" s="14"/>
      <c r="V849" s="12"/>
      <c r="W849" s="12"/>
      <c r="X849" s="12"/>
      <c r="Y849" s="16"/>
      <c r="Z849" s="17"/>
    </row>
    <row r="850" spans="19:26" x14ac:dyDescent="0.3">
      <c r="S850" s="14"/>
      <c r="T850" s="14"/>
      <c r="U850" s="14"/>
      <c r="V850" s="12"/>
      <c r="W850" s="12"/>
      <c r="X850" s="12"/>
      <c r="Y850" s="16"/>
      <c r="Z850" s="17"/>
    </row>
    <row r="851" spans="19:26" x14ac:dyDescent="0.3">
      <c r="S851" s="14"/>
      <c r="T851" s="14"/>
      <c r="U851" s="14"/>
      <c r="V851" s="12"/>
      <c r="W851" s="12"/>
      <c r="X851" s="12"/>
      <c r="Y851" s="16"/>
      <c r="Z851" s="17"/>
    </row>
    <row r="852" spans="19:26" x14ac:dyDescent="0.3">
      <c r="S852" s="14"/>
      <c r="T852" s="14"/>
      <c r="U852" s="14"/>
      <c r="V852" s="12"/>
      <c r="W852" s="12"/>
      <c r="X852" s="12"/>
      <c r="Y852" s="16"/>
      <c r="Z852" s="17"/>
    </row>
    <row r="853" spans="19:26" x14ac:dyDescent="0.3">
      <c r="S853" s="14"/>
      <c r="T853" s="14"/>
      <c r="U853" s="14"/>
      <c r="V853" s="12"/>
      <c r="W853" s="12"/>
      <c r="X853" s="12"/>
      <c r="Y853" s="16"/>
      <c r="Z853" s="17"/>
    </row>
    <row r="854" spans="19:26" x14ac:dyDescent="0.3">
      <c r="S854" s="14"/>
      <c r="T854" s="14"/>
      <c r="U854" s="14"/>
      <c r="V854" s="12"/>
      <c r="W854" s="12"/>
      <c r="X854" s="12"/>
      <c r="Y854" s="16"/>
      <c r="Z854" s="17"/>
    </row>
    <row r="855" spans="19:26" x14ac:dyDescent="0.3">
      <c r="S855" s="14"/>
      <c r="T855" s="14"/>
      <c r="U855" s="14"/>
      <c r="V855" s="12"/>
      <c r="W855" s="12"/>
      <c r="X855" s="12"/>
      <c r="Y855" s="16"/>
      <c r="Z855" s="17"/>
    </row>
    <row r="856" spans="19:26" x14ac:dyDescent="0.3">
      <c r="S856" s="14"/>
      <c r="T856" s="14"/>
      <c r="U856" s="14"/>
      <c r="V856" s="12"/>
      <c r="W856" s="12"/>
      <c r="X856" s="12"/>
      <c r="Y856" s="16"/>
      <c r="Z856" s="17"/>
    </row>
    <row r="857" spans="19:26" x14ac:dyDescent="0.3">
      <c r="S857" s="14"/>
      <c r="T857" s="14"/>
      <c r="U857" s="14"/>
      <c r="V857" s="12"/>
      <c r="W857" s="12"/>
      <c r="X857" s="12"/>
      <c r="Y857" s="16"/>
      <c r="Z857" s="17"/>
    </row>
    <row r="858" spans="19:26" x14ac:dyDescent="0.3">
      <c r="S858" s="14"/>
      <c r="T858" s="14"/>
      <c r="U858" s="14"/>
      <c r="V858" s="12"/>
      <c r="W858" s="12"/>
      <c r="X858" s="12"/>
      <c r="Y858" s="16"/>
      <c r="Z858" s="17"/>
    </row>
    <row r="859" spans="19:26" x14ac:dyDescent="0.3">
      <c r="S859" s="14"/>
      <c r="T859" s="14"/>
      <c r="U859" s="14"/>
      <c r="V859" s="12"/>
      <c r="W859" s="12"/>
      <c r="X859" s="12"/>
      <c r="Y859" s="16"/>
      <c r="Z859" s="17"/>
    </row>
    <row r="860" spans="19:26" x14ac:dyDescent="0.3">
      <c r="S860" s="14"/>
      <c r="T860" s="14"/>
      <c r="U860" s="14"/>
      <c r="V860" s="12"/>
      <c r="W860" s="12"/>
      <c r="X860" s="12"/>
      <c r="Y860" s="16"/>
      <c r="Z860" s="17"/>
    </row>
    <row r="861" spans="19:26" x14ac:dyDescent="0.3">
      <c r="S861" s="14"/>
      <c r="T861" s="14"/>
      <c r="U861" s="14"/>
      <c r="V861" s="12"/>
      <c r="W861" s="12"/>
      <c r="X861" s="12"/>
      <c r="Y861" s="16"/>
      <c r="Z861" s="17"/>
    </row>
    <row r="862" spans="19:26" x14ac:dyDescent="0.3">
      <c r="S862" s="14"/>
      <c r="T862" s="14"/>
      <c r="U862" s="14"/>
      <c r="V862" s="12"/>
      <c r="W862" s="12"/>
      <c r="X862" s="12"/>
      <c r="Y862" s="16"/>
      <c r="Z862" s="17"/>
    </row>
    <row r="863" spans="19:26" x14ac:dyDescent="0.3">
      <c r="S863" s="14"/>
      <c r="T863" s="14"/>
      <c r="U863" s="14"/>
      <c r="V863" s="12"/>
      <c r="W863" s="12"/>
      <c r="X863" s="12"/>
      <c r="Y863" s="16"/>
      <c r="Z863" s="17"/>
    </row>
    <row r="864" spans="19:26" x14ac:dyDescent="0.3">
      <c r="S864" s="14"/>
      <c r="T864" s="14"/>
      <c r="U864" s="14"/>
      <c r="V864" s="12"/>
      <c r="W864" s="12"/>
      <c r="X864" s="12"/>
      <c r="Y864" s="16"/>
      <c r="Z864" s="17"/>
    </row>
    <row r="865" spans="19:26" x14ac:dyDescent="0.3">
      <c r="S865" s="14"/>
      <c r="T865" s="14"/>
      <c r="U865" s="14"/>
      <c r="V865" s="12"/>
      <c r="W865" s="12"/>
      <c r="X865" s="12"/>
      <c r="Y865" s="16"/>
      <c r="Z865" s="17"/>
    </row>
    <row r="866" spans="19:26" x14ac:dyDescent="0.3">
      <c r="S866" s="14"/>
      <c r="T866" s="14"/>
      <c r="U866" s="14"/>
      <c r="V866" s="12"/>
      <c r="W866" s="12"/>
      <c r="X866" s="12"/>
      <c r="Y866" s="16"/>
      <c r="Z866" s="17"/>
    </row>
    <row r="867" spans="19:26" x14ac:dyDescent="0.3">
      <c r="S867" s="14"/>
      <c r="T867" s="14"/>
      <c r="U867" s="14"/>
      <c r="V867" s="12"/>
      <c r="W867" s="12"/>
      <c r="X867" s="12"/>
      <c r="Y867" s="16"/>
      <c r="Z867" s="17"/>
    </row>
    <row r="868" spans="19:26" x14ac:dyDescent="0.3">
      <c r="S868" s="14"/>
      <c r="T868" s="14"/>
      <c r="U868" s="14"/>
      <c r="V868" s="12"/>
      <c r="W868" s="12"/>
      <c r="X868" s="12"/>
      <c r="Y868" s="16"/>
      <c r="Z868" s="17"/>
    </row>
    <row r="869" spans="19:26" x14ac:dyDescent="0.3">
      <c r="S869" s="14"/>
      <c r="T869" s="14"/>
      <c r="U869" s="14"/>
      <c r="V869" s="12"/>
      <c r="W869" s="12"/>
      <c r="X869" s="12"/>
      <c r="Y869" s="16"/>
      <c r="Z869" s="17"/>
    </row>
    <row r="870" spans="19:26" x14ac:dyDescent="0.3">
      <c r="S870" s="14"/>
      <c r="T870" s="14"/>
      <c r="U870" s="14"/>
      <c r="V870" s="12"/>
      <c r="W870" s="12"/>
      <c r="X870" s="12"/>
      <c r="Y870" s="16"/>
      <c r="Z870" s="17"/>
    </row>
    <row r="871" spans="19:26" x14ac:dyDescent="0.3">
      <c r="S871" s="14"/>
      <c r="T871" s="14"/>
      <c r="U871" s="14"/>
      <c r="V871" s="12"/>
      <c r="W871" s="12"/>
      <c r="X871" s="12"/>
      <c r="Y871" s="16"/>
      <c r="Z871" s="17"/>
    </row>
    <row r="872" spans="19:26" x14ac:dyDescent="0.3">
      <c r="S872" s="14"/>
      <c r="T872" s="14"/>
      <c r="U872" s="14"/>
      <c r="V872" s="12"/>
      <c r="W872" s="12"/>
      <c r="X872" s="12"/>
      <c r="Y872" s="16"/>
      <c r="Z872" s="17"/>
    </row>
    <row r="873" spans="19:26" x14ac:dyDescent="0.3">
      <c r="S873" s="14"/>
      <c r="T873" s="14"/>
      <c r="U873" s="14"/>
      <c r="V873" s="12"/>
      <c r="W873" s="12"/>
      <c r="X873" s="12"/>
      <c r="Y873" s="16"/>
      <c r="Z873" s="17"/>
    </row>
    <row r="874" spans="19:26" x14ac:dyDescent="0.3">
      <c r="S874" s="14"/>
      <c r="T874" s="14"/>
      <c r="U874" s="14"/>
      <c r="V874" s="12"/>
      <c r="W874" s="12"/>
      <c r="X874" s="12"/>
      <c r="Y874" s="16"/>
      <c r="Z874" s="17"/>
    </row>
    <row r="875" spans="19:26" x14ac:dyDescent="0.3">
      <c r="S875" s="14"/>
      <c r="T875" s="14"/>
      <c r="U875" s="14"/>
      <c r="V875" s="12"/>
      <c r="W875" s="12"/>
      <c r="X875" s="12"/>
      <c r="Y875" s="16"/>
      <c r="Z875" s="17"/>
    </row>
    <row r="876" spans="19:26" x14ac:dyDescent="0.3">
      <c r="S876" s="14"/>
      <c r="T876" s="14"/>
      <c r="U876" s="14"/>
      <c r="V876" s="12"/>
      <c r="W876" s="12"/>
      <c r="X876" s="12"/>
      <c r="Y876" s="16"/>
      <c r="Z876" s="17"/>
    </row>
    <row r="877" spans="19:26" x14ac:dyDescent="0.3">
      <c r="S877" s="14"/>
      <c r="T877" s="14"/>
      <c r="U877" s="14"/>
      <c r="V877" s="12"/>
      <c r="W877" s="12"/>
      <c r="X877" s="12"/>
      <c r="Y877" s="16"/>
      <c r="Z877" s="17"/>
    </row>
    <row r="878" spans="19:26" x14ac:dyDescent="0.3">
      <c r="S878" s="14"/>
      <c r="T878" s="14"/>
      <c r="U878" s="14"/>
      <c r="V878" s="12"/>
      <c r="W878" s="12"/>
      <c r="X878" s="12"/>
      <c r="Y878" s="16"/>
      <c r="Z878" s="17"/>
    </row>
    <row r="879" spans="19:26" x14ac:dyDescent="0.3">
      <c r="S879" s="14"/>
      <c r="T879" s="14"/>
      <c r="U879" s="14"/>
      <c r="V879" s="12"/>
      <c r="W879" s="12"/>
      <c r="X879" s="12"/>
      <c r="Y879" s="16"/>
      <c r="Z879" s="17"/>
    </row>
    <row r="880" spans="19:26" x14ac:dyDescent="0.3">
      <c r="S880" s="14"/>
      <c r="T880" s="14"/>
      <c r="U880" s="14"/>
      <c r="V880" s="12"/>
      <c r="W880" s="12"/>
      <c r="X880" s="12"/>
      <c r="Y880" s="16"/>
      <c r="Z880" s="17"/>
    </row>
    <row r="881" spans="19:26" x14ac:dyDescent="0.3">
      <c r="S881" s="14"/>
      <c r="T881" s="14"/>
      <c r="U881" s="14"/>
      <c r="V881" s="12"/>
      <c r="W881" s="12"/>
      <c r="X881" s="12"/>
      <c r="Y881" s="16"/>
      <c r="Z881" s="17"/>
    </row>
    <row r="882" spans="19:26" x14ac:dyDescent="0.3">
      <c r="S882" s="14"/>
      <c r="T882" s="14"/>
      <c r="U882" s="14"/>
      <c r="V882" s="12"/>
      <c r="W882" s="12"/>
      <c r="X882" s="12"/>
      <c r="Y882" s="16"/>
      <c r="Z882" s="17"/>
    </row>
    <row r="883" spans="19:26" x14ac:dyDescent="0.3">
      <c r="S883" s="14"/>
      <c r="T883" s="14"/>
      <c r="U883" s="14"/>
      <c r="V883" s="12"/>
      <c r="W883" s="12"/>
      <c r="X883" s="12"/>
      <c r="Y883" s="16"/>
      <c r="Z883" s="17"/>
    </row>
    <row r="884" spans="19:26" x14ac:dyDescent="0.3">
      <c r="S884" s="14"/>
      <c r="T884" s="14"/>
      <c r="U884" s="14"/>
      <c r="V884" s="12"/>
      <c r="W884" s="12"/>
      <c r="X884" s="12"/>
      <c r="Y884" s="16"/>
      <c r="Z884" s="17"/>
    </row>
    <row r="885" spans="19:26" x14ac:dyDescent="0.3">
      <c r="S885" s="14"/>
      <c r="T885" s="14"/>
      <c r="U885" s="14"/>
      <c r="V885" s="12"/>
      <c r="W885" s="12"/>
      <c r="X885" s="12"/>
      <c r="Y885" s="16"/>
      <c r="Z885" s="17"/>
    </row>
    <row r="886" spans="19:26" x14ac:dyDescent="0.3">
      <c r="S886" s="14"/>
      <c r="T886" s="14"/>
      <c r="U886" s="14"/>
      <c r="V886" s="12"/>
      <c r="W886" s="12"/>
      <c r="X886" s="12"/>
      <c r="Y886" s="16"/>
      <c r="Z886" s="17"/>
    </row>
    <row r="887" spans="19:26" x14ac:dyDescent="0.3">
      <c r="S887" s="14"/>
      <c r="T887" s="14"/>
      <c r="U887" s="14"/>
      <c r="V887" s="12"/>
      <c r="W887" s="12"/>
      <c r="X887" s="12"/>
      <c r="Y887" s="16"/>
      <c r="Z887" s="17"/>
    </row>
    <row r="888" spans="19:26" x14ac:dyDescent="0.3">
      <c r="S888" s="14"/>
      <c r="T888" s="14"/>
      <c r="U888" s="14"/>
      <c r="V888" s="12"/>
      <c r="W888" s="12"/>
      <c r="X888" s="12"/>
      <c r="Y888" s="16"/>
      <c r="Z888" s="17"/>
    </row>
    <row r="889" spans="19:26" x14ac:dyDescent="0.3">
      <c r="S889" s="14"/>
      <c r="T889" s="14"/>
      <c r="U889" s="14"/>
      <c r="V889" s="12"/>
      <c r="W889" s="12"/>
      <c r="X889" s="12"/>
      <c r="Y889" s="16"/>
      <c r="Z889" s="17"/>
    </row>
    <row r="890" spans="19:26" x14ac:dyDescent="0.3">
      <c r="S890" s="14"/>
      <c r="T890" s="14"/>
      <c r="U890" s="14"/>
      <c r="V890" s="12"/>
      <c r="W890" s="12"/>
      <c r="X890" s="12"/>
      <c r="Y890" s="16"/>
      <c r="Z890" s="17"/>
    </row>
    <row r="891" spans="19:26" x14ac:dyDescent="0.3">
      <c r="S891" s="14"/>
      <c r="T891" s="14"/>
      <c r="U891" s="14"/>
      <c r="V891" s="12"/>
      <c r="W891" s="12"/>
      <c r="X891" s="12"/>
      <c r="Y891" s="16"/>
      <c r="Z891" s="17"/>
    </row>
    <row r="892" spans="19:26" x14ac:dyDescent="0.3">
      <c r="S892" s="14"/>
      <c r="T892" s="14"/>
      <c r="U892" s="14"/>
      <c r="V892" s="12"/>
      <c r="W892" s="12"/>
      <c r="X892" s="12"/>
      <c r="Y892" s="16"/>
      <c r="Z892" s="17"/>
    </row>
    <row r="893" spans="19:26" x14ac:dyDescent="0.3">
      <c r="S893" s="14"/>
      <c r="T893" s="14"/>
      <c r="U893" s="14"/>
      <c r="V893" s="12"/>
      <c r="W893" s="12"/>
      <c r="X893" s="12"/>
      <c r="Y893" s="16"/>
      <c r="Z893" s="17"/>
    </row>
    <row r="894" spans="19:26" x14ac:dyDescent="0.3">
      <c r="S894" s="14"/>
      <c r="T894" s="14"/>
      <c r="U894" s="14"/>
      <c r="V894" s="12"/>
      <c r="W894" s="12"/>
      <c r="X894" s="12"/>
      <c r="Y894" s="16"/>
      <c r="Z894" s="17"/>
    </row>
    <row r="895" spans="19:26" x14ac:dyDescent="0.3">
      <c r="S895" s="14"/>
      <c r="T895" s="14"/>
      <c r="U895" s="14"/>
      <c r="V895" s="12"/>
      <c r="W895" s="12"/>
      <c r="X895" s="12"/>
      <c r="Y895" s="16"/>
      <c r="Z895" s="17"/>
    </row>
    <row r="896" spans="19:26" x14ac:dyDescent="0.3">
      <c r="S896" s="14"/>
      <c r="T896" s="14"/>
      <c r="U896" s="14"/>
      <c r="V896" s="12"/>
      <c r="W896" s="12"/>
      <c r="X896" s="12"/>
      <c r="Y896" s="16"/>
      <c r="Z896" s="17"/>
    </row>
    <row r="897" spans="19:26" x14ac:dyDescent="0.3">
      <c r="S897" s="14"/>
      <c r="T897" s="14"/>
      <c r="U897" s="14"/>
      <c r="V897" s="12"/>
      <c r="W897" s="12"/>
      <c r="X897" s="12"/>
      <c r="Y897" s="16"/>
      <c r="Z897" s="17"/>
    </row>
    <row r="898" spans="19:26" x14ac:dyDescent="0.3">
      <c r="S898" s="14"/>
      <c r="T898" s="14"/>
      <c r="U898" s="14"/>
      <c r="V898" s="12"/>
      <c r="W898" s="12"/>
      <c r="X898" s="12"/>
      <c r="Y898" s="16"/>
      <c r="Z898" s="17"/>
    </row>
    <row r="899" spans="19:26" x14ac:dyDescent="0.3">
      <c r="S899" s="14"/>
      <c r="T899" s="14"/>
      <c r="U899" s="14"/>
      <c r="V899" s="12"/>
      <c r="W899" s="12"/>
      <c r="X899" s="12"/>
      <c r="Y899" s="16"/>
      <c r="Z899" s="17"/>
    </row>
    <row r="900" spans="19:26" x14ac:dyDescent="0.3">
      <c r="S900" s="14"/>
      <c r="T900" s="14"/>
      <c r="U900" s="14"/>
      <c r="V900" s="12"/>
      <c r="W900" s="12"/>
      <c r="X900" s="12"/>
      <c r="Y900" s="16"/>
      <c r="Z900" s="17"/>
    </row>
    <row r="901" spans="19:26" x14ac:dyDescent="0.3">
      <c r="S901" s="14"/>
      <c r="T901" s="14"/>
      <c r="U901" s="14"/>
      <c r="V901" s="12"/>
      <c r="W901" s="12"/>
      <c r="X901" s="12"/>
      <c r="Y901" s="16"/>
      <c r="Z901" s="17"/>
    </row>
    <row r="902" spans="19:26" x14ac:dyDescent="0.3">
      <c r="S902" s="14"/>
      <c r="T902" s="14"/>
      <c r="U902" s="14"/>
      <c r="V902" s="12"/>
      <c r="W902" s="12"/>
      <c r="X902" s="12"/>
      <c r="Y902" s="16"/>
      <c r="Z902" s="17"/>
    </row>
    <row r="903" spans="19:26" x14ac:dyDescent="0.3">
      <c r="S903" s="14"/>
      <c r="T903" s="14"/>
      <c r="U903" s="14"/>
      <c r="V903" s="12"/>
      <c r="W903" s="12"/>
      <c r="X903" s="12"/>
      <c r="Y903" s="16"/>
      <c r="Z903" s="17"/>
    </row>
    <row r="904" spans="19:26" x14ac:dyDescent="0.3">
      <c r="S904" s="14"/>
      <c r="T904" s="14"/>
      <c r="U904" s="14"/>
      <c r="V904" s="12"/>
      <c r="W904" s="12"/>
      <c r="X904" s="12"/>
      <c r="Y904" s="16"/>
      <c r="Z904" s="17"/>
    </row>
    <row r="905" spans="19:26" x14ac:dyDescent="0.3">
      <c r="S905" s="14"/>
      <c r="T905" s="14"/>
      <c r="U905" s="14"/>
      <c r="V905" s="12"/>
      <c r="W905" s="12"/>
      <c r="X905" s="12"/>
      <c r="Y905" s="16"/>
      <c r="Z905" s="17"/>
    </row>
    <row r="906" spans="19:26" x14ac:dyDescent="0.3">
      <c r="S906" s="14"/>
      <c r="T906" s="14"/>
      <c r="U906" s="14"/>
      <c r="V906" s="12"/>
      <c r="W906" s="12"/>
      <c r="X906" s="12"/>
      <c r="Y906" s="16"/>
      <c r="Z906" s="17"/>
    </row>
    <row r="907" spans="19:26" x14ac:dyDescent="0.3">
      <c r="S907" s="14"/>
      <c r="T907" s="14"/>
      <c r="U907" s="14"/>
      <c r="V907" s="12"/>
      <c r="W907" s="12"/>
      <c r="X907" s="12"/>
      <c r="Y907" s="16"/>
      <c r="Z907" s="17"/>
    </row>
    <row r="908" spans="19:26" x14ac:dyDescent="0.3">
      <c r="S908" s="14"/>
      <c r="T908" s="14"/>
      <c r="U908" s="14"/>
      <c r="V908" s="12"/>
      <c r="W908" s="12"/>
      <c r="X908" s="12"/>
      <c r="Y908" s="16"/>
      <c r="Z908" s="17"/>
    </row>
    <row r="909" spans="19:26" x14ac:dyDescent="0.3">
      <c r="S909" s="14"/>
      <c r="T909" s="14"/>
      <c r="U909" s="14"/>
      <c r="V909" s="12"/>
      <c r="W909" s="12"/>
      <c r="X909" s="12"/>
      <c r="Y909" s="16"/>
      <c r="Z909" s="17"/>
    </row>
    <row r="910" spans="19:26" x14ac:dyDescent="0.3">
      <c r="S910" s="14"/>
      <c r="T910" s="14"/>
      <c r="U910" s="14"/>
      <c r="V910" s="12"/>
      <c r="W910" s="12"/>
      <c r="X910" s="12"/>
      <c r="Y910" s="16"/>
      <c r="Z910" s="17"/>
    </row>
    <row r="911" spans="19:26" x14ac:dyDescent="0.3">
      <c r="S911" s="14"/>
      <c r="T911" s="14"/>
      <c r="U911" s="14"/>
      <c r="V911" s="12"/>
      <c r="W911" s="12"/>
      <c r="X911" s="12"/>
      <c r="Y911" s="16"/>
      <c r="Z911" s="1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92"/>
  <sheetViews>
    <sheetView workbookViewId="0">
      <selection sqref="A1:Z92"/>
    </sheetView>
  </sheetViews>
  <sheetFormatPr defaultRowHeight="14.4" x14ac:dyDescent="0.3"/>
  <cols>
    <col min="1" max="1" width="18.88671875" customWidth="1"/>
    <col min="2" max="2" width="12.33203125" customWidth="1"/>
    <col min="3" max="3" width="17.33203125" customWidth="1"/>
    <col min="4" max="4" width="19.6640625" customWidth="1"/>
    <col min="5" max="5" width="9.77734375" customWidth="1"/>
    <col min="6" max="6" width="16.109375" customWidth="1"/>
    <col min="7" max="7" width="9" customWidth="1"/>
    <col min="8" max="8" width="10.33203125" customWidth="1"/>
    <col min="9" max="9" width="16.77734375" customWidth="1"/>
    <col min="10" max="10" width="11.44140625" customWidth="1"/>
    <col min="11" max="11" width="10.44140625" customWidth="1"/>
    <col min="12" max="12" width="16.44140625" customWidth="1"/>
    <col min="13" max="13" width="12" customWidth="1"/>
    <col min="14" max="14" width="13" customWidth="1"/>
    <col min="15" max="15" width="13.88671875" customWidth="1"/>
    <col min="16" max="16" width="10.5546875" customWidth="1"/>
    <col min="18" max="18" width="10.88671875" style="1" customWidth="1"/>
    <col min="20" max="20" width="10.21875" customWidth="1"/>
    <col min="21" max="21" width="10.44140625" customWidth="1"/>
    <col min="22" max="22" width="14" customWidth="1"/>
    <col min="25" max="25" width="10.77734375" style="1" customWidth="1"/>
    <col min="26" max="26" width="13.33203125" style="1" customWidth="1"/>
  </cols>
  <sheetData>
    <row r="1" spans="1:26"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row>
    <row r="2" spans="1:26" x14ac:dyDescent="0.3">
      <c r="A2" t="s">
        <v>53</v>
      </c>
      <c r="B2" t="s">
        <v>129</v>
      </c>
      <c r="C2" t="s">
        <v>130</v>
      </c>
      <c r="D2">
        <v>7607</v>
      </c>
      <c r="E2">
        <v>1</v>
      </c>
      <c r="F2">
        <v>228306</v>
      </c>
      <c r="G2" t="s">
        <v>131</v>
      </c>
      <c r="H2" t="s">
        <v>132</v>
      </c>
      <c r="I2" t="s">
        <v>133</v>
      </c>
      <c r="J2" t="s">
        <v>22</v>
      </c>
      <c r="K2">
        <v>5606</v>
      </c>
      <c r="L2" t="s">
        <v>23</v>
      </c>
      <c r="M2">
        <v>800</v>
      </c>
      <c r="N2" t="s">
        <v>24</v>
      </c>
      <c r="O2" t="s">
        <v>23</v>
      </c>
      <c r="P2">
        <v>27</v>
      </c>
      <c r="Q2">
        <v>10</v>
      </c>
      <c r="R2" s="1">
        <f>A2-6+2</f>
        <v>43373</v>
      </c>
      <c r="S2">
        <f>P2*Q2</f>
        <v>270</v>
      </c>
      <c r="T2">
        <f>DAY(R2)</f>
        <v>30</v>
      </c>
      <c r="U2">
        <f>WEEKDAY(R2)</f>
        <v>1</v>
      </c>
      <c r="V2">
        <f>WEEKNUM(R2)</f>
        <v>40</v>
      </c>
      <c r="W2">
        <f>MONTH(R2)</f>
        <v>9</v>
      </c>
      <c r="X2">
        <f>YEAR(R2)</f>
        <v>2018</v>
      </c>
      <c r="Y2" s="1" t="str">
        <f t="shared" ref="Y2:Y33" si="0">VLOOKUP(U2,dayname,2)</f>
        <v>Monday</v>
      </c>
      <c r="Z2" s="1" t="str">
        <f t="shared" ref="Z2:Z33" si="1">VLOOKUP(W2,mesnome,2)</f>
        <v>September</v>
      </c>
    </row>
    <row r="3" spans="1:26" x14ac:dyDescent="0.3">
      <c r="A3" t="s">
        <v>53</v>
      </c>
      <c r="B3" t="s">
        <v>129</v>
      </c>
      <c r="C3" t="s">
        <v>130</v>
      </c>
      <c r="D3">
        <v>7607</v>
      </c>
      <c r="E3">
        <v>1</v>
      </c>
      <c r="F3">
        <v>228306</v>
      </c>
      <c r="G3" t="s">
        <v>131</v>
      </c>
      <c r="H3" t="s">
        <v>132</v>
      </c>
      <c r="I3" t="s">
        <v>133</v>
      </c>
      <c r="J3" t="s">
        <v>22</v>
      </c>
      <c r="K3">
        <v>5606</v>
      </c>
      <c r="L3" t="s">
        <v>23</v>
      </c>
      <c r="M3">
        <v>800</v>
      </c>
      <c r="N3" t="s">
        <v>24</v>
      </c>
      <c r="O3" t="s">
        <v>23</v>
      </c>
      <c r="P3">
        <v>27</v>
      </c>
      <c r="Q3">
        <v>0</v>
      </c>
      <c r="R3" s="1">
        <f>A3-6+3</f>
        <v>43374</v>
      </c>
      <c r="S3">
        <f t="shared" ref="S3:S66" si="2">P3*Q3</f>
        <v>0</v>
      </c>
      <c r="T3">
        <f t="shared" ref="T3:T66" si="3">DAY(R3)</f>
        <v>1</v>
      </c>
      <c r="U3">
        <f t="shared" ref="U3:U66" si="4">WEEKDAY(R3)</f>
        <v>2</v>
      </c>
      <c r="V3">
        <f t="shared" ref="V3:V66" si="5">WEEKNUM(R3)</f>
        <v>40</v>
      </c>
      <c r="W3">
        <f t="shared" ref="W3:W66" si="6">MONTH(R3)</f>
        <v>10</v>
      </c>
      <c r="X3">
        <f t="shared" ref="X3:X66" si="7">YEAR(R3)</f>
        <v>2018</v>
      </c>
      <c r="Y3" s="1" t="str">
        <f t="shared" si="0"/>
        <v>Tuesday</v>
      </c>
      <c r="Z3" s="1" t="str">
        <f t="shared" si="1"/>
        <v>October</v>
      </c>
    </row>
    <row r="4" spans="1:26" x14ac:dyDescent="0.3">
      <c r="A4" t="s">
        <v>53</v>
      </c>
      <c r="B4" t="s">
        <v>129</v>
      </c>
      <c r="C4" t="s">
        <v>130</v>
      </c>
      <c r="D4">
        <v>7607</v>
      </c>
      <c r="E4">
        <v>1</v>
      </c>
      <c r="F4">
        <v>228306</v>
      </c>
      <c r="G4" t="s">
        <v>131</v>
      </c>
      <c r="H4" t="s">
        <v>132</v>
      </c>
      <c r="I4" t="s">
        <v>133</v>
      </c>
      <c r="J4" t="s">
        <v>22</v>
      </c>
      <c r="K4">
        <v>5606</v>
      </c>
      <c r="L4" t="s">
        <v>23</v>
      </c>
      <c r="M4">
        <v>800</v>
      </c>
      <c r="N4" t="s">
        <v>24</v>
      </c>
      <c r="O4" t="s">
        <v>23</v>
      </c>
      <c r="P4">
        <v>27</v>
      </c>
      <c r="Q4">
        <v>0</v>
      </c>
      <c r="R4" s="1">
        <f>A4-6+4</f>
        <v>43375</v>
      </c>
      <c r="S4">
        <f t="shared" si="2"/>
        <v>0</v>
      </c>
      <c r="T4">
        <f t="shared" si="3"/>
        <v>2</v>
      </c>
      <c r="U4">
        <f t="shared" si="4"/>
        <v>3</v>
      </c>
      <c r="V4">
        <f t="shared" si="5"/>
        <v>40</v>
      </c>
      <c r="W4">
        <f t="shared" si="6"/>
        <v>10</v>
      </c>
      <c r="X4">
        <f t="shared" si="7"/>
        <v>2018</v>
      </c>
      <c r="Y4" s="1" t="str">
        <f t="shared" si="0"/>
        <v>Wednesday</v>
      </c>
      <c r="Z4" s="1" t="str">
        <f t="shared" si="1"/>
        <v>October</v>
      </c>
    </row>
    <row r="5" spans="1:26" x14ac:dyDescent="0.3">
      <c r="A5" t="s">
        <v>53</v>
      </c>
      <c r="B5" t="s">
        <v>129</v>
      </c>
      <c r="C5" t="s">
        <v>130</v>
      </c>
      <c r="D5">
        <v>7607</v>
      </c>
      <c r="E5">
        <v>1</v>
      </c>
      <c r="F5">
        <v>228306</v>
      </c>
      <c r="G5" t="s">
        <v>131</v>
      </c>
      <c r="H5" t="s">
        <v>132</v>
      </c>
      <c r="I5" t="s">
        <v>133</v>
      </c>
      <c r="J5" t="s">
        <v>22</v>
      </c>
      <c r="K5">
        <v>5606</v>
      </c>
      <c r="L5" t="s">
        <v>23</v>
      </c>
      <c r="M5">
        <v>800</v>
      </c>
      <c r="N5" t="s">
        <v>24</v>
      </c>
      <c r="O5" t="s">
        <v>23</v>
      </c>
      <c r="P5">
        <v>27</v>
      </c>
      <c r="Q5">
        <v>10</v>
      </c>
      <c r="R5" s="1">
        <f>A5-6+5</f>
        <v>43376</v>
      </c>
      <c r="S5">
        <f t="shared" si="2"/>
        <v>270</v>
      </c>
      <c r="T5">
        <f t="shared" si="3"/>
        <v>3</v>
      </c>
      <c r="U5">
        <f t="shared" si="4"/>
        <v>4</v>
      </c>
      <c r="V5">
        <f t="shared" si="5"/>
        <v>40</v>
      </c>
      <c r="W5">
        <f t="shared" si="6"/>
        <v>10</v>
      </c>
      <c r="X5">
        <f t="shared" si="7"/>
        <v>2018</v>
      </c>
      <c r="Y5" s="1" t="str">
        <f t="shared" si="0"/>
        <v>Thursday</v>
      </c>
      <c r="Z5" s="1" t="str">
        <f t="shared" si="1"/>
        <v>October</v>
      </c>
    </row>
    <row r="6" spans="1:26" x14ac:dyDescent="0.3">
      <c r="A6" t="s">
        <v>53</v>
      </c>
      <c r="B6" t="s">
        <v>129</v>
      </c>
      <c r="C6" t="s">
        <v>130</v>
      </c>
      <c r="D6">
        <v>7607</v>
      </c>
      <c r="E6">
        <v>1</v>
      </c>
      <c r="F6">
        <v>228306</v>
      </c>
      <c r="G6" t="s">
        <v>131</v>
      </c>
      <c r="H6" t="s">
        <v>132</v>
      </c>
      <c r="I6" t="s">
        <v>133</v>
      </c>
      <c r="J6" t="s">
        <v>22</v>
      </c>
      <c r="K6">
        <v>5606</v>
      </c>
      <c r="L6" t="s">
        <v>23</v>
      </c>
      <c r="M6">
        <v>800</v>
      </c>
      <c r="N6" t="s">
        <v>24</v>
      </c>
      <c r="O6" t="s">
        <v>23</v>
      </c>
      <c r="P6">
        <v>27</v>
      </c>
      <c r="Q6">
        <v>10</v>
      </c>
      <c r="R6" s="1">
        <f>A6-6+6</f>
        <v>43377</v>
      </c>
      <c r="S6">
        <f t="shared" si="2"/>
        <v>270</v>
      </c>
      <c r="T6">
        <f t="shared" si="3"/>
        <v>4</v>
      </c>
      <c r="U6">
        <f t="shared" si="4"/>
        <v>5</v>
      </c>
      <c r="V6">
        <f t="shared" si="5"/>
        <v>40</v>
      </c>
      <c r="W6">
        <f t="shared" si="6"/>
        <v>10</v>
      </c>
      <c r="X6">
        <f t="shared" si="7"/>
        <v>2018</v>
      </c>
      <c r="Y6" s="1" t="str">
        <f t="shared" si="0"/>
        <v>Friday</v>
      </c>
      <c r="Z6" s="1" t="str">
        <f t="shared" si="1"/>
        <v>October</v>
      </c>
    </row>
    <row r="7" spans="1:26" x14ac:dyDescent="0.3">
      <c r="A7" t="s">
        <v>53</v>
      </c>
      <c r="B7" t="s">
        <v>129</v>
      </c>
      <c r="C7" t="s">
        <v>130</v>
      </c>
      <c r="D7">
        <v>7607</v>
      </c>
      <c r="E7">
        <v>1</v>
      </c>
      <c r="F7">
        <v>228306</v>
      </c>
      <c r="G7" t="s">
        <v>131</v>
      </c>
      <c r="H7" t="s">
        <v>132</v>
      </c>
      <c r="I7" t="s">
        <v>133</v>
      </c>
      <c r="J7" t="s">
        <v>22</v>
      </c>
      <c r="K7">
        <v>5606</v>
      </c>
      <c r="L7" t="s">
        <v>23</v>
      </c>
      <c r="M7">
        <v>800</v>
      </c>
      <c r="N7" t="s">
        <v>24</v>
      </c>
      <c r="O7" t="s">
        <v>23</v>
      </c>
      <c r="P7">
        <v>27</v>
      </c>
      <c r="Q7">
        <v>10</v>
      </c>
      <c r="R7" s="1">
        <f>R2-2</f>
        <v>43371</v>
      </c>
      <c r="S7">
        <f t="shared" si="2"/>
        <v>270</v>
      </c>
      <c r="T7">
        <f t="shared" si="3"/>
        <v>28</v>
      </c>
      <c r="U7">
        <f t="shared" si="4"/>
        <v>6</v>
      </c>
      <c r="V7">
        <f t="shared" si="5"/>
        <v>39</v>
      </c>
      <c r="W7">
        <f t="shared" si="6"/>
        <v>9</v>
      </c>
      <c r="X7">
        <f t="shared" si="7"/>
        <v>2018</v>
      </c>
      <c r="Y7" s="1" t="str">
        <f t="shared" si="0"/>
        <v>Saturday</v>
      </c>
      <c r="Z7" s="1" t="str">
        <f t="shared" si="1"/>
        <v>September</v>
      </c>
    </row>
    <row r="8" spans="1:26" x14ac:dyDescent="0.3">
      <c r="A8" t="s">
        <v>53</v>
      </c>
      <c r="B8" t="s">
        <v>129</v>
      </c>
      <c r="C8" t="s">
        <v>130</v>
      </c>
      <c r="D8">
        <v>7607</v>
      </c>
      <c r="E8">
        <v>1</v>
      </c>
      <c r="F8">
        <v>228306</v>
      </c>
      <c r="G8" t="s">
        <v>131</v>
      </c>
      <c r="H8" t="s">
        <v>132</v>
      </c>
      <c r="I8" t="s">
        <v>133</v>
      </c>
      <c r="J8" t="s">
        <v>22</v>
      </c>
      <c r="K8">
        <v>5606</v>
      </c>
      <c r="L8" t="s">
        <v>23</v>
      </c>
      <c r="M8">
        <v>800</v>
      </c>
      <c r="N8" t="s">
        <v>24</v>
      </c>
      <c r="O8" t="s">
        <v>23</v>
      </c>
      <c r="P8">
        <v>27</v>
      </c>
      <c r="Q8">
        <v>10</v>
      </c>
      <c r="R8" s="1">
        <f>R2-1</f>
        <v>43372</v>
      </c>
      <c r="S8">
        <f t="shared" si="2"/>
        <v>270</v>
      </c>
      <c r="T8">
        <f t="shared" si="3"/>
        <v>29</v>
      </c>
      <c r="U8">
        <f t="shared" si="4"/>
        <v>7</v>
      </c>
      <c r="V8">
        <f t="shared" si="5"/>
        <v>39</v>
      </c>
      <c r="W8">
        <f t="shared" si="6"/>
        <v>9</v>
      </c>
      <c r="X8">
        <f t="shared" si="7"/>
        <v>2018</v>
      </c>
      <c r="Y8" s="1" t="str">
        <f t="shared" si="0"/>
        <v>Sunday</v>
      </c>
      <c r="Z8" s="1" t="str">
        <f t="shared" si="1"/>
        <v>September</v>
      </c>
    </row>
    <row r="9" spans="1:26" x14ac:dyDescent="0.3">
      <c r="A9" t="s">
        <v>32</v>
      </c>
      <c r="B9" t="s">
        <v>134</v>
      </c>
      <c r="C9" t="s">
        <v>135</v>
      </c>
      <c r="D9">
        <v>9082</v>
      </c>
      <c r="E9">
        <v>1</v>
      </c>
      <c r="F9">
        <v>235178</v>
      </c>
      <c r="G9" t="s">
        <v>131</v>
      </c>
      <c r="H9" t="s">
        <v>132</v>
      </c>
      <c r="I9" t="s">
        <v>136</v>
      </c>
      <c r="J9" t="s">
        <v>27</v>
      </c>
      <c r="K9">
        <v>5507</v>
      </c>
      <c r="L9" t="s">
        <v>23</v>
      </c>
      <c r="M9">
        <v>200</v>
      </c>
      <c r="N9" t="s">
        <v>24</v>
      </c>
      <c r="O9" t="s">
        <v>23</v>
      </c>
      <c r="P9">
        <v>15.5</v>
      </c>
      <c r="Q9">
        <v>2</v>
      </c>
      <c r="R9" s="1">
        <f>A9-6+2</f>
        <v>43457</v>
      </c>
      <c r="S9">
        <f t="shared" si="2"/>
        <v>31</v>
      </c>
      <c r="T9">
        <f t="shared" si="3"/>
        <v>23</v>
      </c>
      <c r="U9">
        <f t="shared" si="4"/>
        <v>1</v>
      </c>
      <c r="V9">
        <f t="shared" si="5"/>
        <v>52</v>
      </c>
      <c r="W9">
        <f t="shared" si="6"/>
        <v>12</v>
      </c>
      <c r="X9">
        <f t="shared" si="7"/>
        <v>2018</v>
      </c>
      <c r="Y9" s="1" t="str">
        <f t="shared" si="0"/>
        <v>Monday</v>
      </c>
      <c r="Z9" s="1" t="str">
        <f t="shared" si="1"/>
        <v>December</v>
      </c>
    </row>
    <row r="10" spans="1:26" x14ac:dyDescent="0.3">
      <c r="A10" t="s">
        <v>32</v>
      </c>
      <c r="B10" t="s">
        <v>134</v>
      </c>
      <c r="C10" t="s">
        <v>135</v>
      </c>
      <c r="D10">
        <v>9082</v>
      </c>
      <c r="E10">
        <v>1</v>
      </c>
      <c r="F10">
        <v>235178</v>
      </c>
      <c r="G10" t="s">
        <v>131</v>
      </c>
      <c r="H10" t="s">
        <v>132</v>
      </c>
      <c r="I10" t="s">
        <v>136</v>
      </c>
      <c r="J10" t="s">
        <v>27</v>
      </c>
      <c r="K10">
        <v>5507</v>
      </c>
      <c r="L10" t="s">
        <v>23</v>
      </c>
      <c r="M10">
        <v>200</v>
      </c>
      <c r="N10" t="s">
        <v>24</v>
      </c>
      <c r="O10" t="s">
        <v>23</v>
      </c>
      <c r="P10">
        <v>15.5</v>
      </c>
      <c r="Q10">
        <v>0</v>
      </c>
      <c r="R10" s="1">
        <f>A10-6+3</f>
        <v>43458</v>
      </c>
      <c r="S10">
        <f t="shared" si="2"/>
        <v>0</v>
      </c>
      <c r="T10">
        <f t="shared" si="3"/>
        <v>24</v>
      </c>
      <c r="U10">
        <f t="shared" si="4"/>
        <v>2</v>
      </c>
      <c r="V10">
        <f t="shared" si="5"/>
        <v>52</v>
      </c>
      <c r="W10">
        <f t="shared" si="6"/>
        <v>12</v>
      </c>
      <c r="X10">
        <f t="shared" si="7"/>
        <v>2018</v>
      </c>
      <c r="Y10" s="1" t="str">
        <f t="shared" si="0"/>
        <v>Tuesday</v>
      </c>
      <c r="Z10" s="1" t="str">
        <f t="shared" si="1"/>
        <v>December</v>
      </c>
    </row>
    <row r="11" spans="1:26" x14ac:dyDescent="0.3">
      <c r="A11" t="s">
        <v>32</v>
      </c>
      <c r="B11" t="s">
        <v>134</v>
      </c>
      <c r="C11" t="s">
        <v>135</v>
      </c>
      <c r="D11">
        <v>9082</v>
      </c>
      <c r="E11">
        <v>1</v>
      </c>
      <c r="F11">
        <v>235178</v>
      </c>
      <c r="G11" t="s">
        <v>131</v>
      </c>
      <c r="H11" t="s">
        <v>132</v>
      </c>
      <c r="I11" t="s">
        <v>136</v>
      </c>
      <c r="J11" t="s">
        <v>27</v>
      </c>
      <c r="K11">
        <v>5507</v>
      </c>
      <c r="L11" t="s">
        <v>23</v>
      </c>
      <c r="M11">
        <v>200</v>
      </c>
      <c r="N11" t="s">
        <v>24</v>
      </c>
      <c r="O11" t="s">
        <v>23</v>
      </c>
      <c r="P11">
        <v>15.5</v>
      </c>
      <c r="Q11">
        <v>0</v>
      </c>
      <c r="R11" s="1">
        <f>A11-6+4</f>
        <v>43459</v>
      </c>
      <c r="S11">
        <f t="shared" si="2"/>
        <v>0</v>
      </c>
      <c r="T11">
        <f t="shared" si="3"/>
        <v>25</v>
      </c>
      <c r="U11">
        <f t="shared" si="4"/>
        <v>3</v>
      </c>
      <c r="V11">
        <f t="shared" si="5"/>
        <v>52</v>
      </c>
      <c r="W11">
        <f t="shared" si="6"/>
        <v>12</v>
      </c>
      <c r="X11">
        <f t="shared" si="7"/>
        <v>2018</v>
      </c>
      <c r="Y11" s="1" t="str">
        <f t="shared" si="0"/>
        <v>Wednesday</v>
      </c>
      <c r="Z11" s="1" t="str">
        <f t="shared" si="1"/>
        <v>December</v>
      </c>
    </row>
    <row r="12" spans="1:26" x14ac:dyDescent="0.3">
      <c r="A12" t="s">
        <v>32</v>
      </c>
      <c r="B12" t="s">
        <v>134</v>
      </c>
      <c r="C12" t="s">
        <v>135</v>
      </c>
      <c r="D12">
        <v>9082</v>
      </c>
      <c r="E12">
        <v>1</v>
      </c>
      <c r="F12">
        <v>235178</v>
      </c>
      <c r="G12" t="s">
        <v>131</v>
      </c>
      <c r="H12" t="s">
        <v>132</v>
      </c>
      <c r="I12" t="s">
        <v>136</v>
      </c>
      <c r="J12" t="s">
        <v>27</v>
      </c>
      <c r="K12">
        <v>5507</v>
      </c>
      <c r="L12" t="s">
        <v>23</v>
      </c>
      <c r="M12">
        <v>200</v>
      </c>
      <c r="N12" t="s">
        <v>24</v>
      </c>
      <c r="O12" t="s">
        <v>23</v>
      </c>
      <c r="P12">
        <v>15.5</v>
      </c>
      <c r="Q12">
        <v>0</v>
      </c>
      <c r="R12" s="1">
        <f>A12-6+5</f>
        <v>43460</v>
      </c>
      <c r="S12">
        <f t="shared" si="2"/>
        <v>0</v>
      </c>
      <c r="T12">
        <f t="shared" si="3"/>
        <v>26</v>
      </c>
      <c r="U12">
        <f t="shared" si="4"/>
        <v>4</v>
      </c>
      <c r="V12">
        <f t="shared" si="5"/>
        <v>52</v>
      </c>
      <c r="W12">
        <f t="shared" si="6"/>
        <v>12</v>
      </c>
      <c r="X12">
        <f t="shared" si="7"/>
        <v>2018</v>
      </c>
      <c r="Y12" s="1" t="str">
        <f t="shared" si="0"/>
        <v>Thursday</v>
      </c>
      <c r="Z12" s="1" t="str">
        <f t="shared" si="1"/>
        <v>December</v>
      </c>
    </row>
    <row r="13" spans="1:26" x14ac:dyDescent="0.3">
      <c r="A13" t="s">
        <v>32</v>
      </c>
      <c r="B13" t="s">
        <v>134</v>
      </c>
      <c r="C13" t="s">
        <v>135</v>
      </c>
      <c r="D13">
        <v>9082</v>
      </c>
      <c r="E13">
        <v>1</v>
      </c>
      <c r="F13">
        <v>235178</v>
      </c>
      <c r="G13" t="s">
        <v>131</v>
      </c>
      <c r="H13" t="s">
        <v>132</v>
      </c>
      <c r="I13" t="s">
        <v>136</v>
      </c>
      <c r="J13" t="s">
        <v>27</v>
      </c>
      <c r="K13">
        <v>5507</v>
      </c>
      <c r="L13" t="s">
        <v>23</v>
      </c>
      <c r="M13">
        <v>200</v>
      </c>
      <c r="N13" t="s">
        <v>24</v>
      </c>
      <c r="O13" t="s">
        <v>23</v>
      </c>
      <c r="P13">
        <v>15.5</v>
      </c>
      <c r="Q13">
        <v>0</v>
      </c>
      <c r="R13" s="1">
        <f>A13-6+6</f>
        <v>43461</v>
      </c>
      <c r="S13">
        <f t="shared" si="2"/>
        <v>0</v>
      </c>
      <c r="T13">
        <f t="shared" si="3"/>
        <v>27</v>
      </c>
      <c r="U13">
        <f t="shared" si="4"/>
        <v>5</v>
      </c>
      <c r="V13">
        <f t="shared" si="5"/>
        <v>52</v>
      </c>
      <c r="W13">
        <f t="shared" si="6"/>
        <v>12</v>
      </c>
      <c r="X13">
        <f t="shared" si="7"/>
        <v>2018</v>
      </c>
      <c r="Y13" s="1" t="str">
        <f t="shared" si="0"/>
        <v>Friday</v>
      </c>
      <c r="Z13" s="1" t="str">
        <f t="shared" si="1"/>
        <v>December</v>
      </c>
    </row>
    <row r="14" spans="1:26" x14ac:dyDescent="0.3">
      <c r="A14" t="s">
        <v>32</v>
      </c>
      <c r="B14" t="s">
        <v>134</v>
      </c>
      <c r="C14" t="s">
        <v>135</v>
      </c>
      <c r="D14">
        <v>9082</v>
      </c>
      <c r="E14">
        <v>1</v>
      </c>
      <c r="F14">
        <v>235178</v>
      </c>
      <c r="G14" t="s">
        <v>131</v>
      </c>
      <c r="H14" t="s">
        <v>132</v>
      </c>
      <c r="I14" t="s">
        <v>136</v>
      </c>
      <c r="J14" t="s">
        <v>27</v>
      </c>
      <c r="K14">
        <v>5507</v>
      </c>
      <c r="L14" t="s">
        <v>23</v>
      </c>
      <c r="M14">
        <v>200</v>
      </c>
      <c r="N14" t="s">
        <v>24</v>
      </c>
      <c r="O14" t="s">
        <v>23</v>
      </c>
      <c r="P14">
        <v>15.5</v>
      </c>
      <c r="Q14">
        <v>0</v>
      </c>
      <c r="R14" s="1">
        <f>R9-2</f>
        <v>43455</v>
      </c>
      <c r="S14">
        <f t="shared" si="2"/>
        <v>0</v>
      </c>
      <c r="T14">
        <f t="shared" si="3"/>
        <v>21</v>
      </c>
      <c r="U14">
        <f t="shared" si="4"/>
        <v>6</v>
      </c>
      <c r="V14">
        <f t="shared" si="5"/>
        <v>51</v>
      </c>
      <c r="W14">
        <f t="shared" si="6"/>
        <v>12</v>
      </c>
      <c r="X14">
        <f t="shared" si="7"/>
        <v>2018</v>
      </c>
      <c r="Y14" s="1" t="str">
        <f t="shared" si="0"/>
        <v>Saturday</v>
      </c>
      <c r="Z14" s="1" t="str">
        <f t="shared" si="1"/>
        <v>December</v>
      </c>
    </row>
    <row r="15" spans="1:26" x14ac:dyDescent="0.3">
      <c r="A15" t="s">
        <v>32</v>
      </c>
      <c r="B15" t="s">
        <v>134</v>
      </c>
      <c r="C15" t="s">
        <v>135</v>
      </c>
      <c r="D15">
        <v>9082</v>
      </c>
      <c r="E15">
        <v>1</v>
      </c>
      <c r="F15">
        <v>235178</v>
      </c>
      <c r="G15" t="s">
        <v>131</v>
      </c>
      <c r="H15" t="s">
        <v>132</v>
      </c>
      <c r="I15" t="s">
        <v>136</v>
      </c>
      <c r="J15" t="s">
        <v>27</v>
      </c>
      <c r="K15">
        <v>5507</v>
      </c>
      <c r="L15" t="s">
        <v>23</v>
      </c>
      <c r="M15">
        <v>200</v>
      </c>
      <c r="N15" t="s">
        <v>24</v>
      </c>
      <c r="O15" t="s">
        <v>23</v>
      </c>
      <c r="P15">
        <v>15.5</v>
      </c>
      <c r="Q15">
        <v>0</v>
      </c>
      <c r="R15" s="1">
        <f>R9-1</f>
        <v>43456</v>
      </c>
      <c r="S15">
        <f t="shared" si="2"/>
        <v>0</v>
      </c>
      <c r="T15">
        <f t="shared" si="3"/>
        <v>22</v>
      </c>
      <c r="U15">
        <f t="shared" si="4"/>
        <v>7</v>
      </c>
      <c r="V15">
        <f t="shared" si="5"/>
        <v>51</v>
      </c>
      <c r="W15">
        <f t="shared" si="6"/>
        <v>12</v>
      </c>
      <c r="X15">
        <f t="shared" si="7"/>
        <v>2018</v>
      </c>
      <c r="Y15" s="1" t="str">
        <f t="shared" si="0"/>
        <v>Sunday</v>
      </c>
      <c r="Z15" s="1" t="str">
        <f t="shared" si="1"/>
        <v>December</v>
      </c>
    </row>
    <row r="16" spans="1:26" x14ac:dyDescent="0.3">
      <c r="A16" t="s">
        <v>40</v>
      </c>
      <c r="B16" t="s">
        <v>137</v>
      </c>
      <c r="C16" t="s">
        <v>138</v>
      </c>
      <c r="D16">
        <v>4617</v>
      </c>
      <c r="E16">
        <v>1</v>
      </c>
      <c r="F16">
        <v>229235</v>
      </c>
      <c r="G16" t="s">
        <v>131</v>
      </c>
      <c r="H16" t="s">
        <v>132</v>
      </c>
      <c r="I16" t="s">
        <v>139</v>
      </c>
      <c r="J16" t="s">
        <v>27</v>
      </c>
      <c r="K16">
        <v>5507</v>
      </c>
      <c r="L16" t="s">
        <v>23</v>
      </c>
      <c r="M16">
        <v>100</v>
      </c>
      <c r="N16" t="s">
        <v>24</v>
      </c>
      <c r="O16" t="s">
        <v>23</v>
      </c>
      <c r="P16">
        <v>15</v>
      </c>
      <c r="Q16">
        <v>0</v>
      </c>
      <c r="R16" s="1">
        <f>A16-6+2</f>
        <v>43387</v>
      </c>
      <c r="S16">
        <f t="shared" si="2"/>
        <v>0</v>
      </c>
      <c r="T16">
        <f t="shared" si="3"/>
        <v>14</v>
      </c>
      <c r="U16">
        <f t="shared" si="4"/>
        <v>1</v>
      </c>
      <c r="V16">
        <f t="shared" si="5"/>
        <v>42</v>
      </c>
      <c r="W16">
        <f t="shared" si="6"/>
        <v>10</v>
      </c>
      <c r="X16">
        <f t="shared" si="7"/>
        <v>2018</v>
      </c>
      <c r="Y16" s="1" t="str">
        <f t="shared" si="0"/>
        <v>Monday</v>
      </c>
      <c r="Z16" s="1" t="str">
        <f t="shared" si="1"/>
        <v>October</v>
      </c>
    </row>
    <row r="17" spans="1:26" x14ac:dyDescent="0.3">
      <c r="A17" t="s">
        <v>40</v>
      </c>
      <c r="B17" t="s">
        <v>137</v>
      </c>
      <c r="C17" t="s">
        <v>138</v>
      </c>
      <c r="D17">
        <v>4617</v>
      </c>
      <c r="E17">
        <v>1</v>
      </c>
      <c r="F17">
        <v>229235</v>
      </c>
      <c r="G17" t="s">
        <v>131</v>
      </c>
      <c r="H17" t="s">
        <v>132</v>
      </c>
      <c r="I17" t="s">
        <v>139</v>
      </c>
      <c r="J17" t="s">
        <v>27</v>
      </c>
      <c r="K17">
        <v>5507</v>
      </c>
      <c r="L17" t="s">
        <v>23</v>
      </c>
      <c r="M17">
        <v>100</v>
      </c>
      <c r="N17" t="s">
        <v>24</v>
      </c>
      <c r="O17" t="s">
        <v>23</v>
      </c>
      <c r="P17">
        <v>15</v>
      </c>
      <c r="Q17">
        <v>0</v>
      </c>
      <c r="R17" s="1">
        <f>A17-6+3</f>
        <v>43388</v>
      </c>
      <c r="S17">
        <f t="shared" si="2"/>
        <v>0</v>
      </c>
      <c r="T17">
        <f t="shared" si="3"/>
        <v>15</v>
      </c>
      <c r="U17">
        <f t="shared" si="4"/>
        <v>2</v>
      </c>
      <c r="V17">
        <f t="shared" si="5"/>
        <v>42</v>
      </c>
      <c r="W17">
        <f t="shared" si="6"/>
        <v>10</v>
      </c>
      <c r="X17">
        <f t="shared" si="7"/>
        <v>2018</v>
      </c>
      <c r="Y17" s="1" t="str">
        <f t="shared" si="0"/>
        <v>Tuesday</v>
      </c>
      <c r="Z17" s="1" t="str">
        <f t="shared" si="1"/>
        <v>October</v>
      </c>
    </row>
    <row r="18" spans="1:26" x14ac:dyDescent="0.3">
      <c r="A18" t="s">
        <v>40</v>
      </c>
      <c r="B18" t="s">
        <v>137</v>
      </c>
      <c r="C18" t="s">
        <v>138</v>
      </c>
      <c r="D18">
        <v>4617</v>
      </c>
      <c r="E18">
        <v>1</v>
      </c>
      <c r="F18">
        <v>229235</v>
      </c>
      <c r="G18" t="s">
        <v>131</v>
      </c>
      <c r="H18" t="s">
        <v>132</v>
      </c>
      <c r="I18" t="s">
        <v>139</v>
      </c>
      <c r="J18" t="s">
        <v>27</v>
      </c>
      <c r="K18">
        <v>5507</v>
      </c>
      <c r="L18" t="s">
        <v>23</v>
      </c>
      <c r="M18">
        <v>100</v>
      </c>
      <c r="N18" t="s">
        <v>24</v>
      </c>
      <c r="O18" t="s">
        <v>23</v>
      </c>
      <c r="P18">
        <v>15</v>
      </c>
      <c r="Q18">
        <v>11</v>
      </c>
      <c r="R18" s="1">
        <f>A18-6+4</f>
        <v>43389</v>
      </c>
      <c r="S18">
        <f t="shared" si="2"/>
        <v>165</v>
      </c>
      <c r="T18">
        <f t="shared" si="3"/>
        <v>16</v>
      </c>
      <c r="U18">
        <f t="shared" si="4"/>
        <v>3</v>
      </c>
      <c r="V18">
        <f t="shared" si="5"/>
        <v>42</v>
      </c>
      <c r="W18">
        <f t="shared" si="6"/>
        <v>10</v>
      </c>
      <c r="X18">
        <f t="shared" si="7"/>
        <v>2018</v>
      </c>
      <c r="Y18" s="1" t="str">
        <f t="shared" si="0"/>
        <v>Wednesday</v>
      </c>
      <c r="Z18" s="1" t="str">
        <f t="shared" si="1"/>
        <v>October</v>
      </c>
    </row>
    <row r="19" spans="1:26" x14ac:dyDescent="0.3">
      <c r="A19" t="s">
        <v>40</v>
      </c>
      <c r="B19" t="s">
        <v>137</v>
      </c>
      <c r="C19" t="s">
        <v>138</v>
      </c>
      <c r="D19">
        <v>4617</v>
      </c>
      <c r="E19">
        <v>1</v>
      </c>
      <c r="F19">
        <v>229235</v>
      </c>
      <c r="G19" t="s">
        <v>131</v>
      </c>
      <c r="H19" t="s">
        <v>132</v>
      </c>
      <c r="I19" t="s">
        <v>139</v>
      </c>
      <c r="J19" t="s">
        <v>27</v>
      </c>
      <c r="K19">
        <v>5507</v>
      </c>
      <c r="L19" t="s">
        <v>23</v>
      </c>
      <c r="M19">
        <v>100</v>
      </c>
      <c r="N19" t="s">
        <v>24</v>
      </c>
      <c r="O19" t="s">
        <v>23</v>
      </c>
      <c r="P19">
        <v>15</v>
      </c>
      <c r="Q19">
        <v>12</v>
      </c>
      <c r="R19" s="1">
        <f>A19-6+5</f>
        <v>43390</v>
      </c>
      <c r="S19">
        <f t="shared" si="2"/>
        <v>180</v>
      </c>
      <c r="T19">
        <f t="shared" si="3"/>
        <v>17</v>
      </c>
      <c r="U19">
        <f t="shared" si="4"/>
        <v>4</v>
      </c>
      <c r="V19">
        <f t="shared" si="5"/>
        <v>42</v>
      </c>
      <c r="W19">
        <f t="shared" si="6"/>
        <v>10</v>
      </c>
      <c r="X19">
        <f t="shared" si="7"/>
        <v>2018</v>
      </c>
      <c r="Y19" s="1" t="str">
        <f t="shared" si="0"/>
        <v>Thursday</v>
      </c>
      <c r="Z19" s="1" t="str">
        <f t="shared" si="1"/>
        <v>October</v>
      </c>
    </row>
    <row r="20" spans="1:26" x14ac:dyDescent="0.3">
      <c r="A20" t="s">
        <v>40</v>
      </c>
      <c r="B20" t="s">
        <v>137</v>
      </c>
      <c r="C20" t="s">
        <v>138</v>
      </c>
      <c r="D20">
        <v>4617</v>
      </c>
      <c r="E20">
        <v>1</v>
      </c>
      <c r="F20">
        <v>229235</v>
      </c>
      <c r="G20" t="s">
        <v>131</v>
      </c>
      <c r="H20" t="s">
        <v>132</v>
      </c>
      <c r="I20" t="s">
        <v>139</v>
      </c>
      <c r="J20" t="s">
        <v>27</v>
      </c>
      <c r="K20">
        <v>5507</v>
      </c>
      <c r="L20" t="s">
        <v>23</v>
      </c>
      <c r="M20">
        <v>100</v>
      </c>
      <c r="N20" t="s">
        <v>24</v>
      </c>
      <c r="O20" t="s">
        <v>23</v>
      </c>
      <c r="P20">
        <v>15</v>
      </c>
      <c r="Q20">
        <v>0</v>
      </c>
      <c r="R20" s="1">
        <f>A20-6+6</f>
        <v>43391</v>
      </c>
      <c r="S20">
        <f t="shared" si="2"/>
        <v>0</v>
      </c>
      <c r="T20">
        <f t="shared" si="3"/>
        <v>18</v>
      </c>
      <c r="U20">
        <f t="shared" si="4"/>
        <v>5</v>
      </c>
      <c r="V20">
        <f t="shared" si="5"/>
        <v>42</v>
      </c>
      <c r="W20">
        <f t="shared" si="6"/>
        <v>10</v>
      </c>
      <c r="X20">
        <f t="shared" si="7"/>
        <v>2018</v>
      </c>
      <c r="Y20" s="1" t="str">
        <f t="shared" si="0"/>
        <v>Friday</v>
      </c>
      <c r="Z20" s="1" t="str">
        <f t="shared" si="1"/>
        <v>October</v>
      </c>
    </row>
    <row r="21" spans="1:26" x14ac:dyDescent="0.3">
      <c r="A21" t="s">
        <v>40</v>
      </c>
      <c r="B21" t="s">
        <v>137</v>
      </c>
      <c r="C21" t="s">
        <v>138</v>
      </c>
      <c r="D21">
        <v>4617</v>
      </c>
      <c r="E21">
        <v>1</v>
      </c>
      <c r="F21">
        <v>229235</v>
      </c>
      <c r="G21" t="s">
        <v>131</v>
      </c>
      <c r="H21" t="s">
        <v>132</v>
      </c>
      <c r="I21" t="s">
        <v>139</v>
      </c>
      <c r="J21" t="s">
        <v>27</v>
      </c>
      <c r="K21">
        <v>5507</v>
      </c>
      <c r="L21" t="s">
        <v>23</v>
      </c>
      <c r="M21">
        <v>100</v>
      </c>
      <c r="N21" t="s">
        <v>24</v>
      </c>
      <c r="O21" t="s">
        <v>23</v>
      </c>
      <c r="P21">
        <v>15</v>
      </c>
      <c r="Q21">
        <v>0</v>
      </c>
      <c r="R21" s="1">
        <f>R16-2</f>
        <v>43385</v>
      </c>
      <c r="S21">
        <f t="shared" si="2"/>
        <v>0</v>
      </c>
      <c r="T21">
        <f t="shared" si="3"/>
        <v>12</v>
      </c>
      <c r="U21">
        <f t="shared" si="4"/>
        <v>6</v>
      </c>
      <c r="V21">
        <f t="shared" si="5"/>
        <v>41</v>
      </c>
      <c r="W21">
        <f t="shared" si="6"/>
        <v>10</v>
      </c>
      <c r="X21">
        <f t="shared" si="7"/>
        <v>2018</v>
      </c>
      <c r="Y21" s="1" t="str">
        <f t="shared" si="0"/>
        <v>Saturday</v>
      </c>
      <c r="Z21" s="1" t="str">
        <f t="shared" si="1"/>
        <v>October</v>
      </c>
    </row>
    <row r="22" spans="1:26" x14ac:dyDescent="0.3">
      <c r="A22" t="s">
        <v>40</v>
      </c>
      <c r="B22" t="s">
        <v>137</v>
      </c>
      <c r="C22" t="s">
        <v>138</v>
      </c>
      <c r="D22">
        <v>4617</v>
      </c>
      <c r="E22">
        <v>1</v>
      </c>
      <c r="F22">
        <v>229235</v>
      </c>
      <c r="G22" t="s">
        <v>131</v>
      </c>
      <c r="H22" t="s">
        <v>132</v>
      </c>
      <c r="I22" t="s">
        <v>139</v>
      </c>
      <c r="J22" t="s">
        <v>27</v>
      </c>
      <c r="K22">
        <v>5507</v>
      </c>
      <c r="L22" t="s">
        <v>23</v>
      </c>
      <c r="M22">
        <v>100</v>
      </c>
      <c r="N22" t="s">
        <v>24</v>
      </c>
      <c r="O22" t="s">
        <v>23</v>
      </c>
      <c r="P22">
        <v>15</v>
      </c>
      <c r="Q22">
        <v>0</v>
      </c>
      <c r="R22" s="1">
        <f>R16-1</f>
        <v>43386</v>
      </c>
      <c r="S22">
        <f t="shared" si="2"/>
        <v>0</v>
      </c>
      <c r="T22">
        <f t="shared" si="3"/>
        <v>13</v>
      </c>
      <c r="U22">
        <f t="shared" si="4"/>
        <v>7</v>
      </c>
      <c r="V22">
        <f t="shared" si="5"/>
        <v>41</v>
      </c>
      <c r="W22">
        <f t="shared" si="6"/>
        <v>10</v>
      </c>
      <c r="X22">
        <f t="shared" si="7"/>
        <v>2018</v>
      </c>
      <c r="Y22" s="1" t="str">
        <f t="shared" si="0"/>
        <v>Sunday</v>
      </c>
      <c r="Z22" s="1" t="str">
        <f t="shared" si="1"/>
        <v>October</v>
      </c>
    </row>
    <row r="23" spans="1:26" x14ac:dyDescent="0.3">
      <c r="A23" t="s">
        <v>50</v>
      </c>
      <c r="B23" t="s">
        <v>140</v>
      </c>
      <c r="C23" t="s">
        <v>141</v>
      </c>
      <c r="D23">
        <v>1659</v>
      </c>
      <c r="E23">
        <v>1</v>
      </c>
      <c r="F23">
        <v>235316</v>
      </c>
      <c r="G23" t="s">
        <v>131</v>
      </c>
      <c r="H23" t="s">
        <v>132</v>
      </c>
      <c r="I23" t="s">
        <v>133</v>
      </c>
      <c r="J23" t="s">
        <v>22</v>
      </c>
      <c r="K23">
        <v>5606</v>
      </c>
      <c r="L23" t="s">
        <v>23</v>
      </c>
      <c r="M23">
        <v>800</v>
      </c>
      <c r="N23" t="s">
        <v>24</v>
      </c>
      <c r="O23" t="s">
        <v>33</v>
      </c>
      <c r="P23">
        <v>40.341000000000001</v>
      </c>
      <c r="Q23">
        <v>0</v>
      </c>
      <c r="R23" s="1">
        <f>A23-6+2</f>
        <v>43464</v>
      </c>
      <c r="S23">
        <f t="shared" si="2"/>
        <v>0</v>
      </c>
      <c r="T23">
        <f t="shared" si="3"/>
        <v>30</v>
      </c>
      <c r="U23">
        <f t="shared" si="4"/>
        <v>1</v>
      </c>
      <c r="V23">
        <f t="shared" si="5"/>
        <v>53</v>
      </c>
      <c r="W23">
        <f t="shared" si="6"/>
        <v>12</v>
      </c>
      <c r="X23">
        <f t="shared" si="7"/>
        <v>2018</v>
      </c>
      <c r="Y23" s="1" t="str">
        <f t="shared" si="0"/>
        <v>Monday</v>
      </c>
      <c r="Z23" s="1" t="str">
        <f t="shared" si="1"/>
        <v>December</v>
      </c>
    </row>
    <row r="24" spans="1:26" x14ac:dyDescent="0.3">
      <c r="A24" t="s">
        <v>50</v>
      </c>
      <c r="B24" t="s">
        <v>140</v>
      </c>
      <c r="C24" t="s">
        <v>141</v>
      </c>
      <c r="D24">
        <v>1659</v>
      </c>
      <c r="E24">
        <v>1</v>
      </c>
      <c r="F24">
        <v>235316</v>
      </c>
      <c r="G24" t="s">
        <v>131</v>
      </c>
      <c r="H24" t="s">
        <v>132</v>
      </c>
      <c r="I24" t="s">
        <v>133</v>
      </c>
      <c r="J24" t="s">
        <v>22</v>
      </c>
      <c r="K24">
        <v>5606</v>
      </c>
      <c r="L24" t="s">
        <v>23</v>
      </c>
      <c r="M24">
        <v>800</v>
      </c>
      <c r="N24" t="s">
        <v>24</v>
      </c>
      <c r="O24" t="s">
        <v>33</v>
      </c>
      <c r="P24">
        <v>40.341000000000001</v>
      </c>
      <c r="Q24">
        <v>0</v>
      </c>
      <c r="R24" s="1">
        <f>A24-6+3</f>
        <v>43465</v>
      </c>
      <c r="S24">
        <f t="shared" si="2"/>
        <v>0</v>
      </c>
      <c r="T24">
        <f t="shared" si="3"/>
        <v>31</v>
      </c>
      <c r="U24">
        <f t="shared" si="4"/>
        <v>2</v>
      </c>
      <c r="V24">
        <f t="shared" si="5"/>
        <v>53</v>
      </c>
      <c r="W24">
        <f t="shared" si="6"/>
        <v>12</v>
      </c>
      <c r="X24">
        <f t="shared" si="7"/>
        <v>2018</v>
      </c>
      <c r="Y24" s="1" t="str">
        <f t="shared" si="0"/>
        <v>Tuesday</v>
      </c>
      <c r="Z24" s="1" t="str">
        <f t="shared" si="1"/>
        <v>December</v>
      </c>
    </row>
    <row r="25" spans="1:26" x14ac:dyDescent="0.3">
      <c r="A25" t="s">
        <v>50</v>
      </c>
      <c r="B25" t="s">
        <v>140</v>
      </c>
      <c r="C25" t="s">
        <v>141</v>
      </c>
      <c r="D25">
        <v>1659</v>
      </c>
      <c r="E25">
        <v>1</v>
      </c>
      <c r="F25">
        <v>235316</v>
      </c>
      <c r="G25" t="s">
        <v>131</v>
      </c>
      <c r="H25" t="s">
        <v>132</v>
      </c>
      <c r="I25" t="s">
        <v>133</v>
      </c>
      <c r="J25" t="s">
        <v>22</v>
      </c>
      <c r="K25">
        <v>5606</v>
      </c>
      <c r="L25" t="s">
        <v>23</v>
      </c>
      <c r="M25">
        <v>800</v>
      </c>
      <c r="N25" t="s">
        <v>24</v>
      </c>
      <c r="O25" t="s">
        <v>33</v>
      </c>
      <c r="P25">
        <v>40.341000000000001</v>
      </c>
      <c r="Q25">
        <v>0</v>
      </c>
      <c r="R25" s="1">
        <f>A25-6+4</f>
        <v>43466</v>
      </c>
      <c r="S25">
        <f t="shared" si="2"/>
        <v>0</v>
      </c>
      <c r="T25">
        <f t="shared" si="3"/>
        <v>1</v>
      </c>
      <c r="U25">
        <f t="shared" si="4"/>
        <v>3</v>
      </c>
      <c r="V25">
        <f t="shared" si="5"/>
        <v>1</v>
      </c>
      <c r="W25">
        <f t="shared" si="6"/>
        <v>1</v>
      </c>
      <c r="X25">
        <f t="shared" si="7"/>
        <v>2019</v>
      </c>
      <c r="Y25" s="1" t="str">
        <f t="shared" si="0"/>
        <v>Wednesday</v>
      </c>
      <c r="Z25" s="1" t="str">
        <f t="shared" si="1"/>
        <v>January</v>
      </c>
    </row>
    <row r="26" spans="1:26" x14ac:dyDescent="0.3">
      <c r="A26" t="s">
        <v>50</v>
      </c>
      <c r="B26" t="s">
        <v>140</v>
      </c>
      <c r="C26" t="s">
        <v>141</v>
      </c>
      <c r="D26">
        <v>1659</v>
      </c>
      <c r="E26">
        <v>1</v>
      </c>
      <c r="F26">
        <v>235316</v>
      </c>
      <c r="G26" t="s">
        <v>131</v>
      </c>
      <c r="H26" t="s">
        <v>132</v>
      </c>
      <c r="I26" t="s">
        <v>133</v>
      </c>
      <c r="J26" t="s">
        <v>22</v>
      </c>
      <c r="K26">
        <v>5606</v>
      </c>
      <c r="L26" t="s">
        <v>23</v>
      </c>
      <c r="M26">
        <v>800</v>
      </c>
      <c r="N26" t="s">
        <v>24</v>
      </c>
      <c r="O26" t="s">
        <v>33</v>
      </c>
      <c r="P26">
        <v>40.341000000000001</v>
      </c>
      <c r="Q26">
        <v>0</v>
      </c>
      <c r="R26" s="1">
        <f>A26-6+5</f>
        <v>43467</v>
      </c>
      <c r="S26">
        <f t="shared" si="2"/>
        <v>0</v>
      </c>
      <c r="T26">
        <f t="shared" si="3"/>
        <v>2</v>
      </c>
      <c r="U26">
        <f t="shared" si="4"/>
        <v>4</v>
      </c>
      <c r="V26">
        <f t="shared" si="5"/>
        <v>1</v>
      </c>
      <c r="W26">
        <f t="shared" si="6"/>
        <v>1</v>
      </c>
      <c r="X26">
        <f t="shared" si="7"/>
        <v>2019</v>
      </c>
      <c r="Y26" s="1" t="str">
        <f t="shared" si="0"/>
        <v>Thursday</v>
      </c>
      <c r="Z26" s="1" t="str">
        <f t="shared" si="1"/>
        <v>January</v>
      </c>
    </row>
    <row r="27" spans="1:26" x14ac:dyDescent="0.3">
      <c r="A27" t="s">
        <v>50</v>
      </c>
      <c r="B27" t="s">
        <v>140</v>
      </c>
      <c r="C27" t="s">
        <v>141</v>
      </c>
      <c r="D27">
        <v>1659</v>
      </c>
      <c r="E27">
        <v>1</v>
      </c>
      <c r="F27">
        <v>235316</v>
      </c>
      <c r="G27" t="s">
        <v>131</v>
      </c>
      <c r="H27" t="s">
        <v>132</v>
      </c>
      <c r="I27" t="s">
        <v>133</v>
      </c>
      <c r="J27" t="s">
        <v>22</v>
      </c>
      <c r="K27">
        <v>5606</v>
      </c>
      <c r="L27" t="s">
        <v>23</v>
      </c>
      <c r="M27">
        <v>800</v>
      </c>
      <c r="N27" t="s">
        <v>24</v>
      </c>
      <c r="O27" t="s">
        <v>33</v>
      </c>
      <c r="P27">
        <v>40.341000000000001</v>
      </c>
      <c r="Q27">
        <v>0</v>
      </c>
      <c r="R27" s="1">
        <f>A27-6+6</f>
        <v>43468</v>
      </c>
      <c r="S27">
        <f t="shared" si="2"/>
        <v>0</v>
      </c>
      <c r="T27">
        <f t="shared" si="3"/>
        <v>3</v>
      </c>
      <c r="U27">
        <f t="shared" si="4"/>
        <v>5</v>
      </c>
      <c r="V27">
        <f t="shared" si="5"/>
        <v>1</v>
      </c>
      <c r="W27">
        <f t="shared" si="6"/>
        <v>1</v>
      </c>
      <c r="X27">
        <f t="shared" si="7"/>
        <v>2019</v>
      </c>
      <c r="Y27" s="1" t="str">
        <f t="shared" si="0"/>
        <v>Friday</v>
      </c>
      <c r="Z27" s="1" t="str">
        <f t="shared" si="1"/>
        <v>January</v>
      </c>
    </row>
    <row r="28" spans="1:26" x14ac:dyDescent="0.3">
      <c r="A28" t="s">
        <v>50</v>
      </c>
      <c r="B28" t="s">
        <v>140</v>
      </c>
      <c r="C28" t="s">
        <v>141</v>
      </c>
      <c r="D28">
        <v>1659</v>
      </c>
      <c r="E28">
        <v>1</v>
      </c>
      <c r="F28">
        <v>235316</v>
      </c>
      <c r="G28" t="s">
        <v>131</v>
      </c>
      <c r="H28" t="s">
        <v>132</v>
      </c>
      <c r="I28" t="s">
        <v>133</v>
      </c>
      <c r="J28" t="s">
        <v>22</v>
      </c>
      <c r="K28">
        <v>5606</v>
      </c>
      <c r="L28" t="s">
        <v>23</v>
      </c>
      <c r="M28">
        <v>800</v>
      </c>
      <c r="N28" t="s">
        <v>24</v>
      </c>
      <c r="O28" t="s">
        <v>33</v>
      </c>
      <c r="P28">
        <v>40.341000000000001</v>
      </c>
      <c r="Q28">
        <v>8</v>
      </c>
      <c r="R28" s="1">
        <f>R23-2</f>
        <v>43462</v>
      </c>
      <c r="S28">
        <f t="shared" si="2"/>
        <v>322.72800000000001</v>
      </c>
      <c r="T28">
        <f t="shared" si="3"/>
        <v>28</v>
      </c>
      <c r="U28">
        <f t="shared" si="4"/>
        <v>6</v>
      </c>
      <c r="V28">
        <f t="shared" si="5"/>
        <v>52</v>
      </c>
      <c r="W28">
        <f t="shared" si="6"/>
        <v>12</v>
      </c>
      <c r="X28">
        <f t="shared" si="7"/>
        <v>2018</v>
      </c>
      <c r="Y28" s="1" t="str">
        <f t="shared" si="0"/>
        <v>Saturday</v>
      </c>
      <c r="Z28" s="1" t="str">
        <f t="shared" si="1"/>
        <v>December</v>
      </c>
    </row>
    <row r="29" spans="1:26" x14ac:dyDescent="0.3">
      <c r="A29" t="s">
        <v>50</v>
      </c>
      <c r="B29" t="s">
        <v>140</v>
      </c>
      <c r="C29" t="s">
        <v>141</v>
      </c>
      <c r="D29">
        <v>1659</v>
      </c>
      <c r="E29">
        <v>1</v>
      </c>
      <c r="F29">
        <v>235316</v>
      </c>
      <c r="G29" t="s">
        <v>131</v>
      </c>
      <c r="H29" t="s">
        <v>132</v>
      </c>
      <c r="I29" t="s">
        <v>133</v>
      </c>
      <c r="J29" t="s">
        <v>22</v>
      </c>
      <c r="K29">
        <v>5606</v>
      </c>
      <c r="L29" t="s">
        <v>23</v>
      </c>
      <c r="M29">
        <v>800</v>
      </c>
      <c r="N29" t="s">
        <v>24</v>
      </c>
      <c r="O29" t="s">
        <v>33</v>
      </c>
      <c r="P29">
        <v>40.341000000000001</v>
      </c>
      <c r="Q29">
        <v>8</v>
      </c>
      <c r="R29" s="1">
        <f>R23-1</f>
        <v>43463</v>
      </c>
      <c r="S29">
        <f t="shared" si="2"/>
        <v>322.72800000000001</v>
      </c>
      <c r="T29">
        <f t="shared" si="3"/>
        <v>29</v>
      </c>
      <c r="U29">
        <f t="shared" si="4"/>
        <v>7</v>
      </c>
      <c r="V29">
        <f t="shared" si="5"/>
        <v>52</v>
      </c>
      <c r="W29">
        <f t="shared" si="6"/>
        <v>12</v>
      </c>
      <c r="X29">
        <f t="shared" si="7"/>
        <v>2018</v>
      </c>
      <c r="Y29" s="1" t="str">
        <f t="shared" si="0"/>
        <v>Sunday</v>
      </c>
      <c r="Z29" s="1" t="str">
        <f t="shared" si="1"/>
        <v>December</v>
      </c>
    </row>
    <row r="30" spans="1:26" x14ac:dyDescent="0.3">
      <c r="A30" t="s">
        <v>34</v>
      </c>
      <c r="B30" t="s">
        <v>142</v>
      </c>
      <c r="C30" t="s">
        <v>143</v>
      </c>
      <c r="D30">
        <v>6579</v>
      </c>
      <c r="E30">
        <v>1</v>
      </c>
      <c r="F30">
        <v>235944</v>
      </c>
      <c r="G30" t="s">
        <v>131</v>
      </c>
      <c r="H30" t="s">
        <v>132</v>
      </c>
      <c r="I30" t="s">
        <v>144</v>
      </c>
      <c r="J30" t="s">
        <v>27</v>
      </c>
      <c r="K30">
        <v>5507</v>
      </c>
      <c r="L30" t="s">
        <v>23</v>
      </c>
      <c r="M30">
        <v>300</v>
      </c>
      <c r="N30" t="s">
        <v>49</v>
      </c>
      <c r="O30" t="s">
        <v>23</v>
      </c>
      <c r="P30">
        <v>33</v>
      </c>
      <c r="Q30">
        <v>0</v>
      </c>
      <c r="R30" s="1">
        <f>A30-6+2</f>
        <v>43471</v>
      </c>
      <c r="S30">
        <f t="shared" si="2"/>
        <v>0</v>
      </c>
      <c r="T30">
        <f t="shared" si="3"/>
        <v>6</v>
      </c>
      <c r="U30">
        <f t="shared" si="4"/>
        <v>1</v>
      </c>
      <c r="V30">
        <f t="shared" si="5"/>
        <v>2</v>
      </c>
      <c r="W30">
        <f t="shared" si="6"/>
        <v>1</v>
      </c>
      <c r="X30">
        <f t="shared" si="7"/>
        <v>2019</v>
      </c>
      <c r="Y30" s="1" t="str">
        <f t="shared" si="0"/>
        <v>Monday</v>
      </c>
      <c r="Z30" s="1" t="str">
        <f t="shared" si="1"/>
        <v>January</v>
      </c>
    </row>
    <row r="31" spans="1:26" x14ac:dyDescent="0.3">
      <c r="A31" t="s">
        <v>34</v>
      </c>
      <c r="B31" t="s">
        <v>142</v>
      </c>
      <c r="C31" t="s">
        <v>143</v>
      </c>
      <c r="D31">
        <v>6579</v>
      </c>
      <c r="E31">
        <v>1</v>
      </c>
      <c r="F31">
        <v>235944</v>
      </c>
      <c r="G31" t="s">
        <v>131</v>
      </c>
      <c r="H31" t="s">
        <v>132</v>
      </c>
      <c r="I31" t="s">
        <v>144</v>
      </c>
      <c r="J31" t="s">
        <v>27</v>
      </c>
      <c r="K31">
        <v>5507</v>
      </c>
      <c r="L31" t="s">
        <v>23</v>
      </c>
      <c r="M31">
        <v>300</v>
      </c>
      <c r="N31" t="s">
        <v>49</v>
      </c>
      <c r="O31" t="s">
        <v>23</v>
      </c>
      <c r="P31">
        <v>33</v>
      </c>
      <c r="Q31">
        <v>0</v>
      </c>
      <c r="R31" s="1">
        <f>A31-6+3</f>
        <v>43472</v>
      </c>
      <c r="S31">
        <f t="shared" si="2"/>
        <v>0</v>
      </c>
      <c r="T31">
        <f t="shared" si="3"/>
        <v>7</v>
      </c>
      <c r="U31">
        <f t="shared" si="4"/>
        <v>2</v>
      </c>
      <c r="V31">
        <f t="shared" si="5"/>
        <v>2</v>
      </c>
      <c r="W31">
        <f t="shared" si="6"/>
        <v>1</v>
      </c>
      <c r="X31">
        <f t="shared" si="7"/>
        <v>2019</v>
      </c>
      <c r="Y31" s="1" t="str">
        <f t="shared" si="0"/>
        <v>Tuesday</v>
      </c>
      <c r="Z31" s="1" t="str">
        <f t="shared" si="1"/>
        <v>January</v>
      </c>
    </row>
    <row r="32" spans="1:26" x14ac:dyDescent="0.3">
      <c r="A32" t="s">
        <v>34</v>
      </c>
      <c r="B32" t="s">
        <v>142</v>
      </c>
      <c r="C32" t="s">
        <v>143</v>
      </c>
      <c r="D32">
        <v>6579</v>
      </c>
      <c r="E32">
        <v>1</v>
      </c>
      <c r="F32">
        <v>235944</v>
      </c>
      <c r="G32" t="s">
        <v>131</v>
      </c>
      <c r="H32" t="s">
        <v>132</v>
      </c>
      <c r="I32" t="s">
        <v>144</v>
      </c>
      <c r="J32" t="s">
        <v>27</v>
      </c>
      <c r="K32">
        <v>5507</v>
      </c>
      <c r="L32" t="s">
        <v>23</v>
      </c>
      <c r="M32">
        <v>300</v>
      </c>
      <c r="N32" t="s">
        <v>49</v>
      </c>
      <c r="O32" t="s">
        <v>23</v>
      </c>
      <c r="P32">
        <v>33</v>
      </c>
      <c r="Q32">
        <v>0</v>
      </c>
      <c r="R32" s="1">
        <f>A32-6+4</f>
        <v>43473</v>
      </c>
      <c r="S32">
        <f t="shared" si="2"/>
        <v>0</v>
      </c>
      <c r="T32">
        <f t="shared" si="3"/>
        <v>8</v>
      </c>
      <c r="U32">
        <f t="shared" si="4"/>
        <v>3</v>
      </c>
      <c r="V32">
        <f t="shared" si="5"/>
        <v>2</v>
      </c>
      <c r="W32">
        <f t="shared" si="6"/>
        <v>1</v>
      </c>
      <c r="X32">
        <f t="shared" si="7"/>
        <v>2019</v>
      </c>
      <c r="Y32" s="1" t="str">
        <f t="shared" si="0"/>
        <v>Wednesday</v>
      </c>
      <c r="Z32" s="1" t="str">
        <f t="shared" si="1"/>
        <v>January</v>
      </c>
    </row>
    <row r="33" spans="1:26" x14ac:dyDescent="0.3">
      <c r="A33" t="s">
        <v>34</v>
      </c>
      <c r="B33" t="s">
        <v>142</v>
      </c>
      <c r="C33" t="s">
        <v>143</v>
      </c>
      <c r="D33">
        <v>6579</v>
      </c>
      <c r="E33">
        <v>1</v>
      </c>
      <c r="F33">
        <v>235944</v>
      </c>
      <c r="G33" t="s">
        <v>131</v>
      </c>
      <c r="H33" t="s">
        <v>132</v>
      </c>
      <c r="I33" t="s">
        <v>144</v>
      </c>
      <c r="J33" t="s">
        <v>27</v>
      </c>
      <c r="K33">
        <v>5507</v>
      </c>
      <c r="L33" t="s">
        <v>23</v>
      </c>
      <c r="M33">
        <v>300</v>
      </c>
      <c r="N33" t="s">
        <v>49</v>
      </c>
      <c r="O33" t="s">
        <v>23</v>
      </c>
      <c r="P33">
        <v>33</v>
      </c>
      <c r="Q33">
        <v>0</v>
      </c>
      <c r="R33" s="1">
        <f>A33-6+5</f>
        <v>43474</v>
      </c>
      <c r="S33">
        <f t="shared" si="2"/>
        <v>0</v>
      </c>
      <c r="T33">
        <f t="shared" si="3"/>
        <v>9</v>
      </c>
      <c r="U33">
        <f t="shared" si="4"/>
        <v>4</v>
      </c>
      <c r="V33">
        <f t="shared" si="5"/>
        <v>2</v>
      </c>
      <c r="W33">
        <f t="shared" si="6"/>
        <v>1</v>
      </c>
      <c r="X33">
        <f t="shared" si="7"/>
        <v>2019</v>
      </c>
      <c r="Y33" s="1" t="str">
        <f t="shared" si="0"/>
        <v>Thursday</v>
      </c>
      <c r="Z33" s="1" t="str">
        <f t="shared" si="1"/>
        <v>January</v>
      </c>
    </row>
    <row r="34" spans="1:26" x14ac:dyDescent="0.3">
      <c r="A34" t="s">
        <v>34</v>
      </c>
      <c r="B34" t="s">
        <v>142</v>
      </c>
      <c r="C34" t="s">
        <v>143</v>
      </c>
      <c r="D34">
        <v>6579</v>
      </c>
      <c r="E34">
        <v>1</v>
      </c>
      <c r="F34">
        <v>235944</v>
      </c>
      <c r="G34" t="s">
        <v>131</v>
      </c>
      <c r="H34" t="s">
        <v>132</v>
      </c>
      <c r="I34" t="s">
        <v>144</v>
      </c>
      <c r="J34" t="s">
        <v>27</v>
      </c>
      <c r="K34">
        <v>5507</v>
      </c>
      <c r="L34" t="s">
        <v>23</v>
      </c>
      <c r="M34">
        <v>300</v>
      </c>
      <c r="N34" t="s">
        <v>49</v>
      </c>
      <c r="O34" t="s">
        <v>23</v>
      </c>
      <c r="P34">
        <v>33</v>
      </c>
      <c r="Q34">
        <v>0</v>
      </c>
      <c r="R34" s="1">
        <f>A34-6+6</f>
        <v>43475</v>
      </c>
      <c r="S34">
        <f t="shared" si="2"/>
        <v>0</v>
      </c>
      <c r="T34">
        <f t="shared" si="3"/>
        <v>10</v>
      </c>
      <c r="U34">
        <f t="shared" si="4"/>
        <v>5</v>
      </c>
      <c r="V34">
        <f t="shared" si="5"/>
        <v>2</v>
      </c>
      <c r="W34">
        <f t="shared" si="6"/>
        <v>1</v>
      </c>
      <c r="X34">
        <f t="shared" si="7"/>
        <v>2019</v>
      </c>
      <c r="Y34" s="1" t="str">
        <f t="shared" ref="Y34:Y65" si="8">VLOOKUP(U34,dayname,2)</f>
        <v>Friday</v>
      </c>
      <c r="Z34" s="1" t="str">
        <f t="shared" ref="Z34:Z65" si="9">VLOOKUP(W34,mesnome,2)</f>
        <v>January</v>
      </c>
    </row>
    <row r="35" spans="1:26" x14ac:dyDescent="0.3">
      <c r="A35" t="s">
        <v>34</v>
      </c>
      <c r="B35" t="s">
        <v>142</v>
      </c>
      <c r="C35" t="s">
        <v>143</v>
      </c>
      <c r="D35">
        <v>6579</v>
      </c>
      <c r="E35">
        <v>1</v>
      </c>
      <c r="F35">
        <v>235944</v>
      </c>
      <c r="G35" t="s">
        <v>131</v>
      </c>
      <c r="H35" t="s">
        <v>132</v>
      </c>
      <c r="I35" t="s">
        <v>144</v>
      </c>
      <c r="J35" t="s">
        <v>27</v>
      </c>
      <c r="K35">
        <v>5507</v>
      </c>
      <c r="L35" t="s">
        <v>23</v>
      </c>
      <c r="M35">
        <v>300</v>
      </c>
      <c r="N35" t="s">
        <v>49</v>
      </c>
      <c r="O35" t="s">
        <v>23</v>
      </c>
      <c r="P35">
        <v>33</v>
      </c>
      <c r="Q35">
        <v>3.5</v>
      </c>
      <c r="R35" s="1">
        <f>R30-2</f>
        <v>43469</v>
      </c>
      <c r="S35">
        <f t="shared" si="2"/>
        <v>115.5</v>
      </c>
      <c r="T35">
        <f t="shared" si="3"/>
        <v>4</v>
      </c>
      <c r="U35">
        <f t="shared" si="4"/>
        <v>6</v>
      </c>
      <c r="V35">
        <f t="shared" si="5"/>
        <v>1</v>
      </c>
      <c r="W35">
        <f t="shared" si="6"/>
        <v>1</v>
      </c>
      <c r="X35">
        <f t="shared" si="7"/>
        <v>2019</v>
      </c>
      <c r="Y35" s="1" t="str">
        <f t="shared" si="8"/>
        <v>Saturday</v>
      </c>
      <c r="Z35" s="1" t="str">
        <f t="shared" si="9"/>
        <v>January</v>
      </c>
    </row>
    <row r="36" spans="1:26" x14ac:dyDescent="0.3">
      <c r="A36" t="s">
        <v>34</v>
      </c>
      <c r="B36" t="s">
        <v>142</v>
      </c>
      <c r="C36" t="s">
        <v>143</v>
      </c>
      <c r="D36">
        <v>6579</v>
      </c>
      <c r="E36">
        <v>1</v>
      </c>
      <c r="F36">
        <v>235944</v>
      </c>
      <c r="G36" t="s">
        <v>131</v>
      </c>
      <c r="H36" t="s">
        <v>132</v>
      </c>
      <c r="I36" t="s">
        <v>144</v>
      </c>
      <c r="J36" t="s">
        <v>27</v>
      </c>
      <c r="K36">
        <v>5507</v>
      </c>
      <c r="L36" t="s">
        <v>23</v>
      </c>
      <c r="M36">
        <v>300</v>
      </c>
      <c r="N36" t="s">
        <v>49</v>
      </c>
      <c r="O36" t="s">
        <v>23</v>
      </c>
      <c r="P36">
        <v>33</v>
      </c>
      <c r="Q36">
        <v>10</v>
      </c>
      <c r="R36" s="1">
        <f>R30-1</f>
        <v>43470</v>
      </c>
      <c r="S36">
        <f t="shared" si="2"/>
        <v>330</v>
      </c>
      <c r="T36">
        <f t="shared" si="3"/>
        <v>5</v>
      </c>
      <c r="U36">
        <f t="shared" si="4"/>
        <v>7</v>
      </c>
      <c r="V36">
        <f t="shared" si="5"/>
        <v>1</v>
      </c>
      <c r="W36">
        <f t="shared" si="6"/>
        <v>1</v>
      </c>
      <c r="X36">
        <f t="shared" si="7"/>
        <v>2019</v>
      </c>
      <c r="Y36" s="1" t="str">
        <f t="shared" si="8"/>
        <v>Sunday</v>
      </c>
      <c r="Z36" s="1" t="str">
        <f t="shared" si="9"/>
        <v>January</v>
      </c>
    </row>
    <row r="37" spans="1:26" x14ac:dyDescent="0.3">
      <c r="A37" t="s">
        <v>35</v>
      </c>
      <c r="B37" t="s">
        <v>145</v>
      </c>
      <c r="C37" t="s">
        <v>146</v>
      </c>
      <c r="D37">
        <v>8089</v>
      </c>
      <c r="E37">
        <v>1</v>
      </c>
      <c r="F37">
        <v>240657</v>
      </c>
      <c r="G37" t="s">
        <v>131</v>
      </c>
      <c r="H37" t="s">
        <v>132</v>
      </c>
      <c r="I37" t="s">
        <v>136</v>
      </c>
      <c r="J37" t="s">
        <v>27</v>
      </c>
      <c r="K37">
        <v>5507</v>
      </c>
      <c r="L37" t="s">
        <v>23</v>
      </c>
      <c r="M37">
        <v>300</v>
      </c>
      <c r="N37" t="s">
        <v>24</v>
      </c>
      <c r="O37" t="s">
        <v>23</v>
      </c>
      <c r="P37">
        <v>19</v>
      </c>
      <c r="Q37">
        <v>0</v>
      </c>
      <c r="R37" s="1">
        <f>A37-6+2</f>
        <v>43527</v>
      </c>
      <c r="S37">
        <f t="shared" si="2"/>
        <v>0</v>
      </c>
      <c r="T37">
        <f t="shared" si="3"/>
        <v>3</v>
      </c>
      <c r="U37">
        <f t="shared" si="4"/>
        <v>1</v>
      </c>
      <c r="V37">
        <f t="shared" si="5"/>
        <v>10</v>
      </c>
      <c r="W37">
        <f t="shared" si="6"/>
        <v>3</v>
      </c>
      <c r="X37">
        <f t="shared" si="7"/>
        <v>2019</v>
      </c>
      <c r="Y37" s="1" t="str">
        <f t="shared" si="8"/>
        <v>Monday</v>
      </c>
      <c r="Z37" s="1" t="str">
        <f t="shared" si="9"/>
        <v>March</v>
      </c>
    </row>
    <row r="38" spans="1:26" x14ac:dyDescent="0.3">
      <c r="A38" t="s">
        <v>35</v>
      </c>
      <c r="B38" t="s">
        <v>145</v>
      </c>
      <c r="C38" t="s">
        <v>146</v>
      </c>
      <c r="D38">
        <v>8089</v>
      </c>
      <c r="E38">
        <v>1</v>
      </c>
      <c r="F38">
        <v>240657</v>
      </c>
      <c r="G38" t="s">
        <v>131</v>
      </c>
      <c r="H38" t="s">
        <v>132</v>
      </c>
      <c r="I38" t="s">
        <v>136</v>
      </c>
      <c r="J38" t="s">
        <v>27</v>
      </c>
      <c r="K38">
        <v>5507</v>
      </c>
      <c r="L38" t="s">
        <v>23</v>
      </c>
      <c r="M38">
        <v>300</v>
      </c>
      <c r="N38" t="s">
        <v>24</v>
      </c>
      <c r="O38" t="s">
        <v>23</v>
      </c>
      <c r="P38">
        <v>19</v>
      </c>
      <c r="Q38">
        <v>0</v>
      </c>
      <c r="R38" s="1">
        <f>A38-6+3</f>
        <v>43528</v>
      </c>
      <c r="S38">
        <f t="shared" si="2"/>
        <v>0</v>
      </c>
      <c r="T38">
        <f t="shared" si="3"/>
        <v>4</v>
      </c>
      <c r="U38">
        <f t="shared" si="4"/>
        <v>2</v>
      </c>
      <c r="V38">
        <f t="shared" si="5"/>
        <v>10</v>
      </c>
      <c r="W38">
        <f t="shared" si="6"/>
        <v>3</v>
      </c>
      <c r="X38">
        <f t="shared" si="7"/>
        <v>2019</v>
      </c>
      <c r="Y38" s="1" t="str">
        <f t="shared" si="8"/>
        <v>Tuesday</v>
      </c>
      <c r="Z38" s="1" t="str">
        <f t="shared" si="9"/>
        <v>March</v>
      </c>
    </row>
    <row r="39" spans="1:26" x14ac:dyDescent="0.3">
      <c r="A39" t="s">
        <v>35</v>
      </c>
      <c r="B39" t="s">
        <v>145</v>
      </c>
      <c r="C39" t="s">
        <v>146</v>
      </c>
      <c r="D39">
        <v>8089</v>
      </c>
      <c r="E39">
        <v>1</v>
      </c>
      <c r="F39">
        <v>240657</v>
      </c>
      <c r="G39" t="s">
        <v>131</v>
      </c>
      <c r="H39" t="s">
        <v>132</v>
      </c>
      <c r="I39" t="s">
        <v>136</v>
      </c>
      <c r="J39" t="s">
        <v>27</v>
      </c>
      <c r="K39">
        <v>5507</v>
      </c>
      <c r="L39" t="s">
        <v>23</v>
      </c>
      <c r="M39">
        <v>300</v>
      </c>
      <c r="N39" t="s">
        <v>24</v>
      </c>
      <c r="O39" t="s">
        <v>23</v>
      </c>
      <c r="P39">
        <v>19</v>
      </c>
      <c r="Q39">
        <v>0</v>
      </c>
      <c r="R39" s="1">
        <f>A39-6+4</f>
        <v>43529</v>
      </c>
      <c r="S39">
        <f t="shared" si="2"/>
        <v>0</v>
      </c>
      <c r="T39">
        <f t="shared" si="3"/>
        <v>5</v>
      </c>
      <c r="U39">
        <f t="shared" si="4"/>
        <v>3</v>
      </c>
      <c r="V39">
        <f t="shared" si="5"/>
        <v>10</v>
      </c>
      <c r="W39">
        <f t="shared" si="6"/>
        <v>3</v>
      </c>
      <c r="X39">
        <f t="shared" si="7"/>
        <v>2019</v>
      </c>
      <c r="Y39" s="1" t="str">
        <f t="shared" si="8"/>
        <v>Wednesday</v>
      </c>
      <c r="Z39" s="1" t="str">
        <f t="shared" si="9"/>
        <v>March</v>
      </c>
    </row>
    <row r="40" spans="1:26" x14ac:dyDescent="0.3">
      <c r="A40" t="s">
        <v>35</v>
      </c>
      <c r="B40" t="s">
        <v>145</v>
      </c>
      <c r="C40" t="s">
        <v>146</v>
      </c>
      <c r="D40">
        <v>8089</v>
      </c>
      <c r="E40">
        <v>1</v>
      </c>
      <c r="F40">
        <v>240657</v>
      </c>
      <c r="G40" t="s">
        <v>131</v>
      </c>
      <c r="H40" t="s">
        <v>132</v>
      </c>
      <c r="I40" t="s">
        <v>136</v>
      </c>
      <c r="J40" t="s">
        <v>27</v>
      </c>
      <c r="K40">
        <v>5507</v>
      </c>
      <c r="L40" t="s">
        <v>23</v>
      </c>
      <c r="M40">
        <v>300</v>
      </c>
      <c r="N40" t="s">
        <v>24</v>
      </c>
      <c r="O40" t="s">
        <v>23</v>
      </c>
      <c r="P40">
        <v>19</v>
      </c>
      <c r="Q40">
        <v>0</v>
      </c>
      <c r="R40" s="1">
        <f>A40-6+5</f>
        <v>43530</v>
      </c>
      <c r="S40">
        <f t="shared" si="2"/>
        <v>0</v>
      </c>
      <c r="T40">
        <f t="shared" si="3"/>
        <v>6</v>
      </c>
      <c r="U40">
        <f t="shared" si="4"/>
        <v>4</v>
      </c>
      <c r="V40">
        <f t="shared" si="5"/>
        <v>10</v>
      </c>
      <c r="W40">
        <f t="shared" si="6"/>
        <v>3</v>
      </c>
      <c r="X40">
        <f t="shared" si="7"/>
        <v>2019</v>
      </c>
      <c r="Y40" s="1" t="str">
        <f t="shared" si="8"/>
        <v>Thursday</v>
      </c>
      <c r="Z40" s="1" t="str">
        <f t="shared" si="9"/>
        <v>March</v>
      </c>
    </row>
    <row r="41" spans="1:26" x14ac:dyDescent="0.3">
      <c r="A41" t="s">
        <v>35</v>
      </c>
      <c r="B41" t="s">
        <v>145</v>
      </c>
      <c r="C41" t="s">
        <v>146</v>
      </c>
      <c r="D41">
        <v>8089</v>
      </c>
      <c r="E41">
        <v>1</v>
      </c>
      <c r="F41">
        <v>240657</v>
      </c>
      <c r="G41" t="s">
        <v>131</v>
      </c>
      <c r="H41" t="s">
        <v>132</v>
      </c>
      <c r="I41" t="s">
        <v>136</v>
      </c>
      <c r="J41" t="s">
        <v>27</v>
      </c>
      <c r="K41">
        <v>5507</v>
      </c>
      <c r="L41" t="s">
        <v>23</v>
      </c>
      <c r="M41">
        <v>300</v>
      </c>
      <c r="N41" t="s">
        <v>24</v>
      </c>
      <c r="O41" t="s">
        <v>23</v>
      </c>
      <c r="P41">
        <v>19</v>
      </c>
      <c r="Q41">
        <v>0</v>
      </c>
      <c r="R41" s="1">
        <f>A41-6+6</f>
        <v>43531</v>
      </c>
      <c r="S41">
        <f t="shared" si="2"/>
        <v>0</v>
      </c>
      <c r="T41">
        <f t="shared" si="3"/>
        <v>7</v>
      </c>
      <c r="U41">
        <f t="shared" si="4"/>
        <v>5</v>
      </c>
      <c r="V41">
        <f t="shared" si="5"/>
        <v>10</v>
      </c>
      <c r="W41">
        <f t="shared" si="6"/>
        <v>3</v>
      </c>
      <c r="X41">
        <f t="shared" si="7"/>
        <v>2019</v>
      </c>
      <c r="Y41" s="1" t="str">
        <f t="shared" si="8"/>
        <v>Friday</v>
      </c>
      <c r="Z41" s="1" t="str">
        <f t="shared" si="9"/>
        <v>March</v>
      </c>
    </row>
    <row r="42" spans="1:26" x14ac:dyDescent="0.3">
      <c r="A42" t="s">
        <v>35</v>
      </c>
      <c r="B42" t="s">
        <v>145</v>
      </c>
      <c r="C42" t="s">
        <v>146</v>
      </c>
      <c r="D42">
        <v>8089</v>
      </c>
      <c r="E42">
        <v>1</v>
      </c>
      <c r="F42">
        <v>240657</v>
      </c>
      <c r="G42" t="s">
        <v>131</v>
      </c>
      <c r="H42" t="s">
        <v>132</v>
      </c>
      <c r="I42" t="s">
        <v>136</v>
      </c>
      <c r="J42" t="s">
        <v>27</v>
      </c>
      <c r="K42">
        <v>5507</v>
      </c>
      <c r="L42" t="s">
        <v>23</v>
      </c>
      <c r="M42">
        <v>300</v>
      </c>
      <c r="N42" t="s">
        <v>24</v>
      </c>
      <c r="O42" t="s">
        <v>23</v>
      </c>
      <c r="P42">
        <v>19</v>
      </c>
      <c r="Q42">
        <v>3</v>
      </c>
      <c r="R42" s="1">
        <f>R37-2</f>
        <v>43525</v>
      </c>
      <c r="S42">
        <f t="shared" si="2"/>
        <v>57</v>
      </c>
      <c r="T42">
        <f t="shared" si="3"/>
        <v>1</v>
      </c>
      <c r="U42">
        <f t="shared" si="4"/>
        <v>6</v>
      </c>
      <c r="V42">
        <f t="shared" si="5"/>
        <v>9</v>
      </c>
      <c r="W42">
        <f t="shared" si="6"/>
        <v>3</v>
      </c>
      <c r="X42">
        <f t="shared" si="7"/>
        <v>2019</v>
      </c>
      <c r="Y42" s="1" t="str">
        <f t="shared" si="8"/>
        <v>Saturday</v>
      </c>
      <c r="Z42" s="1" t="str">
        <f t="shared" si="9"/>
        <v>March</v>
      </c>
    </row>
    <row r="43" spans="1:26" x14ac:dyDescent="0.3">
      <c r="A43" t="s">
        <v>35</v>
      </c>
      <c r="B43" t="s">
        <v>145</v>
      </c>
      <c r="C43" t="s">
        <v>146</v>
      </c>
      <c r="D43">
        <v>8089</v>
      </c>
      <c r="E43">
        <v>1</v>
      </c>
      <c r="F43">
        <v>240657</v>
      </c>
      <c r="G43" t="s">
        <v>131</v>
      </c>
      <c r="H43" t="s">
        <v>132</v>
      </c>
      <c r="I43" t="s">
        <v>136</v>
      </c>
      <c r="J43" t="s">
        <v>27</v>
      </c>
      <c r="K43">
        <v>5507</v>
      </c>
      <c r="L43" t="s">
        <v>23</v>
      </c>
      <c r="M43">
        <v>300</v>
      </c>
      <c r="N43" t="s">
        <v>24</v>
      </c>
      <c r="O43" t="s">
        <v>23</v>
      </c>
      <c r="P43">
        <v>19</v>
      </c>
      <c r="Q43">
        <v>0</v>
      </c>
      <c r="R43" s="1">
        <f>R37-1</f>
        <v>43526</v>
      </c>
      <c r="S43">
        <f t="shared" si="2"/>
        <v>0</v>
      </c>
      <c r="T43">
        <f t="shared" si="3"/>
        <v>2</v>
      </c>
      <c r="U43">
        <f t="shared" si="4"/>
        <v>7</v>
      </c>
      <c r="V43">
        <f t="shared" si="5"/>
        <v>9</v>
      </c>
      <c r="W43">
        <f t="shared" si="6"/>
        <v>3</v>
      </c>
      <c r="X43">
        <f t="shared" si="7"/>
        <v>2019</v>
      </c>
      <c r="Y43" s="1" t="str">
        <f t="shared" si="8"/>
        <v>Sunday</v>
      </c>
      <c r="Z43" s="1" t="str">
        <f t="shared" si="9"/>
        <v>March</v>
      </c>
    </row>
    <row r="44" spans="1:26" x14ac:dyDescent="0.3">
      <c r="A44" t="s">
        <v>46</v>
      </c>
      <c r="B44" t="s">
        <v>147</v>
      </c>
      <c r="C44" t="s">
        <v>148</v>
      </c>
      <c r="D44">
        <v>6593</v>
      </c>
      <c r="E44">
        <v>1</v>
      </c>
      <c r="F44">
        <v>237109</v>
      </c>
      <c r="G44" t="s">
        <v>131</v>
      </c>
      <c r="H44" t="s">
        <v>132</v>
      </c>
      <c r="I44" t="s">
        <v>149</v>
      </c>
      <c r="J44" t="s">
        <v>27</v>
      </c>
      <c r="K44">
        <v>5507</v>
      </c>
      <c r="L44" t="s">
        <v>23</v>
      </c>
      <c r="M44">
        <v>600</v>
      </c>
      <c r="N44" t="s">
        <v>24</v>
      </c>
      <c r="O44" t="s">
        <v>23</v>
      </c>
      <c r="P44">
        <v>37.5</v>
      </c>
      <c r="Q44">
        <v>0</v>
      </c>
      <c r="R44" s="1">
        <f>A44-6+2</f>
        <v>43485</v>
      </c>
      <c r="S44">
        <f t="shared" si="2"/>
        <v>0</v>
      </c>
      <c r="T44">
        <f t="shared" si="3"/>
        <v>20</v>
      </c>
      <c r="U44">
        <f t="shared" si="4"/>
        <v>1</v>
      </c>
      <c r="V44">
        <f t="shared" si="5"/>
        <v>4</v>
      </c>
      <c r="W44">
        <f t="shared" si="6"/>
        <v>1</v>
      </c>
      <c r="X44">
        <f t="shared" si="7"/>
        <v>2019</v>
      </c>
      <c r="Y44" s="1" t="str">
        <f t="shared" si="8"/>
        <v>Monday</v>
      </c>
      <c r="Z44" s="1" t="str">
        <f t="shared" si="9"/>
        <v>January</v>
      </c>
    </row>
    <row r="45" spans="1:26" x14ac:dyDescent="0.3">
      <c r="A45" t="s">
        <v>46</v>
      </c>
      <c r="B45" t="s">
        <v>147</v>
      </c>
      <c r="C45" t="s">
        <v>148</v>
      </c>
      <c r="D45">
        <v>6593</v>
      </c>
      <c r="E45">
        <v>1</v>
      </c>
      <c r="F45">
        <v>237109</v>
      </c>
      <c r="G45" t="s">
        <v>131</v>
      </c>
      <c r="H45" t="s">
        <v>132</v>
      </c>
      <c r="I45" t="s">
        <v>149</v>
      </c>
      <c r="J45" t="s">
        <v>27</v>
      </c>
      <c r="K45">
        <v>5507</v>
      </c>
      <c r="L45" t="s">
        <v>23</v>
      </c>
      <c r="M45">
        <v>600</v>
      </c>
      <c r="N45" t="s">
        <v>24</v>
      </c>
      <c r="O45" t="s">
        <v>23</v>
      </c>
      <c r="P45">
        <v>37.5</v>
      </c>
      <c r="Q45">
        <v>0</v>
      </c>
      <c r="R45" s="1">
        <f>A45-6+3</f>
        <v>43486</v>
      </c>
      <c r="S45">
        <f t="shared" si="2"/>
        <v>0</v>
      </c>
      <c r="T45">
        <f t="shared" si="3"/>
        <v>21</v>
      </c>
      <c r="U45">
        <f t="shared" si="4"/>
        <v>2</v>
      </c>
      <c r="V45">
        <f t="shared" si="5"/>
        <v>4</v>
      </c>
      <c r="W45">
        <f t="shared" si="6"/>
        <v>1</v>
      </c>
      <c r="X45">
        <f t="shared" si="7"/>
        <v>2019</v>
      </c>
      <c r="Y45" s="1" t="str">
        <f t="shared" si="8"/>
        <v>Tuesday</v>
      </c>
      <c r="Z45" s="1" t="str">
        <f t="shared" si="9"/>
        <v>January</v>
      </c>
    </row>
    <row r="46" spans="1:26" x14ac:dyDescent="0.3">
      <c r="A46" t="s">
        <v>46</v>
      </c>
      <c r="B46" t="s">
        <v>147</v>
      </c>
      <c r="C46" t="s">
        <v>148</v>
      </c>
      <c r="D46">
        <v>6593</v>
      </c>
      <c r="E46">
        <v>1</v>
      </c>
      <c r="F46">
        <v>237109</v>
      </c>
      <c r="G46" t="s">
        <v>131</v>
      </c>
      <c r="H46" t="s">
        <v>132</v>
      </c>
      <c r="I46" t="s">
        <v>149</v>
      </c>
      <c r="J46" t="s">
        <v>27</v>
      </c>
      <c r="K46">
        <v>5507</v>
      </c>
      <c r="L46" t="s">
        <v>23</v>
      </c>
      <c r="M46">
        <v>600</v>
      </c>
      <c r="N46" t="s">
        <v>24</v>
      </c>
      <c r="O46" t="s">
        <v>23</v>
      </c>
      <c r="P46">
        <v>37.5</v>
      </c>
      <c r="Q46">
        <v>0</v>
      </c>
      <c r="R46" s="1">
        <f>A46-6+4</f>
        <v>43487</v>
      </c>
      <c r="S46">
        <f t="shared" si="2"/>
        <v>0</v>
      </c>
      <c r="T46">
        <f t="shared" si="3"/>
        <v>22</v>
      </c>
      <c r="U46">
        <f t="shared" si="4"/>
        <v>3</v>
      </c>
      <c r="V46">
        <f t="shared" si="5"/>
        <v>4</v>
      </c>
      <c r="W46">
        <f t="shared" si="6"/>
        <v>1</v>
      </c>
      <c r="X46">
        <f t="shared" si="7"/>
        <v>2019</v>
      </c>
      <c r="Y46" s="1" t="str">
        <f t="shared" si="8"/>
        <v>Wednesday</v>
      </c>
      <c r="Z46" s="1" t="str">
        <f t="shared" si="9"/>
        <v>January</v>
      </c>
    </row>
    <row r="47" spans="1:26" x14ac:dyDescent="0.3">
      <c r="A47" t="s">
        <v>46</v>
      </c>
      <c r="B47" t="s">
        <v>147</v>
      </c>
      <c r="C47" t="s">
        <v>148</v>
      </c>
      <c r="D47">
        <v>6593</v>
      </c>
      <c r="E47">
        <v>1</v>
      </c>
      <c r="F47">
        <v>237109</v>
      </c>
      <c r="G47" t="s">
        <v>131</v>
      </c>
      <c r="H47" t="s">
        <v>132</v>
      </c>
      <c r="I47" t="s">
        <v>149</v>
      </c>
      <c r="J47" t="s">
        <v>27</v>
      </c>
      <c r="K47">
        <v>5507</v>
      </c>
      <c r="L47" t="s">
        <v>23</v>
      </c>
      <c r="M47">
        <v>600</v>
      </c>
      <c r="N47" t="s">
        <v>24</v>
      </c>
      <c r="O47" t="s">
        <v>23</v>
      </c>
      <c r="P47">
        <v>37.5</v>
      </c>
      <c r="Q47">
        <v>0</v>
      </c>
      <c r="R47" s="1">
        <f>A47-6+5</f>
        <v>43488</v>
      </c>
      <c r="S47">
        <f t="shared" si="2"/>
        <v>0</v>
      </c>
      <c r="T47">
        <f t="shared" si="3"/>
        <v>23</v>
      </c>
      <c r="U47">
        <f t="shared" si="4"/>
        <v>4</v>
      </c>
      <c r="V47">
        <f t="shared" si="5"/>
        <v>4</v>
      </c>
      <c r="W47">
        <f t="shared" si="6"/>
        <v>1</v>
      </c>
      <c r="X47">
        <f t="shared" si="7"/>
        <v>2019</v>
      </c>
      <c r="Y47" s="1" t="str">
        <f t="shared" si="8"/>
        <v>Thursday</v>
      </c>
      <c r="Z47" s="1" t="str">
        <f t="shared" si="9"/>
        <v>January</v>
      </c>
    </row>
    <row r="48" spans="1:26" x14ac:dyDescent="0.3">
      <c r="A48" t="s">
        <v>46</v>
      </c>
      <c r="B48" t="s">
        <v>147</v>
      </c>
      <c r="C48" t="s">
        <v>148</v>
      </c>
      <c r="D48">
        <v>6593</v>
      </c>
      <c r="E48">
        <v>1</v>
      </c>
      <c r="F48">
        <v>237109</v>
      </c>
      <c r="G48" t="s">
        <v>131</v>
      </c>
      <c r="H48" t="s">
        <v>132</v>
      </c>
      <c r="I48" t="s">
        <v>149</v>
      </c>
      <c r="J48" t="s">
        <v>27</v>
      </c>
      <c r="K48">
        <v>5507</v>
      </c>
      <c r="L48" t="s">
        <v>23</v>
      </c>
      <c r="M48">
        <v>600</v>
      </c>
      <c r="N48" t="s">
        <v>24</v>
      </c>
      <c r="O48" t="s">
        <v>23</v>
      </c>
      <c r="P48">
        <v>37.5</v>
      </c>
      <c r="Q48">
        <v>3</v>
      </c>
      <c r="R48" s="1">
        <f>A48-6+6</f>
        <v>43489</v>
      </c>
      <c r="S48">
        <f t="shared" si="2"/>
        <v>112.5</v>
      </c>
      <c r="T48">
        <f t="shared" si="3"/>
        <v>24</v>
      </c>
      <c r="U48">
        <f t="shared" si="4"/>
        <v>5</v>
      </c>
      <c r="V48">
        <f t="shared" si="5"/>
        <v>4</v>
      </c>
      <c r="W48">
        <f t="shared" si="6"/>
        <v>1</v>
      </c>
      <c r="X48">
        <f t="shared" si="7"/>
        <v>2019</v>
      </c>
      <c r="Y48" s="1" t="str">
        <f t="shared" si="8"/>
        <v>Friday</v>
      </c>
      <c r="Z48" s="1" t="str">
        <f t="shared" si="9"/>
        <v>January</v>
      </c>
    </row>
    <row r="49" spans="1:26" x14ac:dyDescent="0.3">
      <c r="A49" t="s">
        <v>46</v>
      </c>
      <c r="B49" t="s">
        <v>147</v>
      </c>
      <c r="C49" t="s">
        <v>148</v>
      </c>
      <c r="D49">
        <v>6593</v>
      </c>
      <c r="E49">
        <v>1</v>
      </c>
      <c r="F49">
        <v>237109</v>
      </c>
      <c r="G49" t="s">
        <v>131</v>
      </c>
      <c r="H49" t="s">
        <v>132</v>
      </c>
      <c r="I49" t="s">
        <v>149</v>
      </c>
      <c r="J49" t="s">
        <v>27</v>
      </c>
      <c r="K49">
        <v>5507</v>
      </c>
      <c r="L49" t="s">
        <v>23</v>
      </c>
      <c r="M49">
        <v>600</v>
      </c>
      <c r="N49" t="s">
        <v>24</v>
      </c>
      <c r="O49" t="s">
        <v>23</v>
      </c>
      <c r="P49">
        <v>37.5</v>
      </c>
      <c r="Q49">
        <v>0</v>
      </c>
      <c r="R49" s="1">
        <f>R44-2</f>
        <v>43483</v>
      </c>
      <c r="S49">
        <f t="shared" si="2"/>
        <v>0</v>
      </c>
      <c r="T49">
        <f t="shared" si="3"/>
        <v>18</v>
      </c>
      <c r="U49">
        <f t="shared" si="4"/>
        <v>6</v>
      </c>
      <c r="V49">
        <f t="shared" si="5"/>
        <v>3</v>
      </c>
      <c r="W49">
        <f t="shared" si="6"/>
        <v>1</v>
      </c>
      <c r="X49">
        <f t="shared" si="7"/>
        <v>2019</v>
      </c>
      <c r="Y49" s="1" t="str">
        <f t="shared" si="8"/>
        <v>Saturday</v>
      </c>
      <c r="Z49" s="1" t="str">
        <f t="shared" si="9"/>
        <v>January</v>
      </c>
    </row>
    <row r="50" spans="1:26" x14ac:dyDescent="0.3">
      <c r="A50" t="s">
        <v>46</v>
      </c>
      <c r="B50" t="s">
        <v>147</v>
      </c>
      <c r="C50" t="s">
        <v>148</v>
      </c>
      <c r="D50">
        <v>6593</v>
      </c>
      <c r="E50">
        <v>1</v>
      </c>
      <c r="F50">
        <v>237109</v>
      </c>
      <c r="G50" t="s">
        <v>131</v>
      </c>
      <c r="H50" t="s">
        <v>132</v>
      </c>
      <c r="I50" t="s">
        <v>149</v>
      </c>
      <c r="J50" t="s">
        <v>27</v>
      </c>
      <c r="K50">
        <v>5507</v>
      </c>
      <c r="L50" t="s">
        <v>23</v>
      </c>
      <c r="M50">
        <v>600</v>
      </c>
      <c r="N50" t="s">
        <v>24</v>
      </c>
      <c r="O50" t="s">
        <v>23</v>
      </c>
      <c r="P50">
        <v>37.5</v>
      </c>
      <c r="Q50">
        <v>0</v>
      </c>
      <c r="R50" s="1">
        <f>R44-1</f>
        <v>43484</v>
      </c>
      <c r="S50">
        <f t="shared" si="2"/>
        <v>0</v>
      </c>
      <c r="T50">
        <f t="shared" si="3"/>
        <v>19</v>
      </c>
      <c r="U50">
        <f t="shared" si="4"/>
        <v>7</v>
      </c>
      <c r="V50">
        <f t="shared" si="5"/>
        <v>3</v>
      </c>
      <c r="W50">
        <f t="shared" si="6"/>
        <v>1</v>
      </c>
      <c r="X50">
        <f t="shared" si="7"/>
        <v>2019</v>
      </c>
      <c r="Y50" s="1" t="str">
        <f t="shared" si="8"/>
        <v>Sunday</v>
      </c>
      <c r="Z50" s="1" t="str">
        <f t="shared" si="9"/>
        <v>January</v>
      </c>
    </row>
    <row r="51" spans="1:26" x14ac:dyDescent="0.3">
      <c r="A51" t="s">
        <v>44</v>
      </c>
      <c r="B51" t="s">
        <v>150</v>
      </c>
      <c r="C51" t="s">
        <v>151</v>
      </c>
      <c r="D51">
        <v>7566</v>
      </c>
      <c r="E51">
        <v>1</v>
      </c>
      <c r="F51">
        <v>233169</v>
      </c>
      <c r="G51" t="s">
        <v>131</v>
      </c>
      <c r="H51" t="s">
        <v>132</v>
      </c>
      <c r="I51" t="s">
        <v>152</v>
      </c>
      <c r="J51" t="s">
        <v>27</v>
      </c>
      <c r="K51">
        <v>5222</v>
      </c>
      <c r="L51" t="s">
        <v>23</v>
      </c>
      <c r="M51">
        <v>600</v>
      </c>
      <c r="N51" t="s">
        <v>24</v>
      </c>
      <c r="O51" t="s">
        <v>23</v>
      </c>
      <c r="P51">
        <v>32</v>
      </c>
      <c r="Q51">
        <v>0</v>
      </c>
      <c r="R51" s="1">
        <f>A51-6+2</f>
        <v>43436</v>
      </c>
      <c r="S51">
        <f t="shared" si="2"/>
        <v>0</v>
      </c>
      <c r="T51">
        <f t="shared" si="3"/>
        <v>2</v>
      </c>
      <c r="U51">
        <f t="shared" si="4"/>
        <v>1</v>
      </c>
      <c r="V51">
        <f t="shared" si="5"/>
        <v>49</v>
      </c>
      <c r="W51">
        <f t="shared" si="6"/>
        <v>12</v>
      </c>
      <c r="X51">
        <f t="shared" si="7"/>
        <v>2018</v>
      </c>
      <c r="Y51" s="1" t="str">
        <f t="shared" si="8"/>
        <v>Monday</v>
      </c>
      <c r="Z51" s="1" t="str">
        <f t="shared" si="9"/>
        <v>December</v>
      </c>
    </row>
    <row r="52" spans="1:26" x14ac:dyDescent="0.3">
      <c r="A52" t="s">
        <v>44</v>
      </c>
      <c r="B52" t="s">
        <v>150</v>
      </c>
      <c r="C52" t="s">
        <v>151</v>
      </c>
      <c r="D52">
        <v>7566</v>
      </c>
      <c r="E52">
        <v>1</v>
      </c>
      <c r="F52">
        <v>233169</v>
      </c>
      <c r="G52" t="s">
        <v>131</v>
      </c>
      <c r="H52" t="s">
        <v>132</v>
      </c>
      <c r="I52" t="s">
        <v>152</v>
      </c>
      <c r="J52" t="s">
        <v>27</v>
      </c>
      <c r="K52">
        <v>5222</v>
      </c>
      <c r="L52" t="s">
        <v>23</v>
      </c>
      <c r="M52">
        <v>600</v>
      </c>
      <c r="N52" t="s">
        <v>24</v>
      </c>
      <c r="O52" t="s">
        <v>23</v>
      </c>
      <c r="P52">
        <v>32</v>
      </c>
      <c r="Q52">
        <v>0</v>
      </c>
      <c r="R52" s="1">
        <f>A52-6+3</f>
        <v>43437</v>
      </c>
      <c r="S52">
        <f t="shared" si="2"/>
        <v>0</v>
      </c>
      <c r="T52">
        <f t="shared" si="3"/>
        <v>3</v>
      </c>
      <c r="U52">
        <f t="shared" si="4"/>
        <v>2</v>
      </c>
      <c r="V52">
        <f t="shared" si="5"/>
        <v>49</v>
      </c>
      <c r="W52">
        <f t="shared" si="6"/>
        <v>12</v>
      </c>
      <c r="X52">
        <f t="shared" si="7"/>
        <v>2018</v>
      </c>
      <c r="Y52" s="1" t="str">
        <f t="shared" si="8"/>
        <v>Tuesday</v>
      </c>
      <c r="Z52" s="1" t="str">
        <f t="shared" si="9"/>
        <v>December</v>
      </c>
    </row>
    <row r="53" spans="1:26" x14ac:dyDescent="0.3">
      <c r="A53" t="s">
        <v>44</v>
      </c>
      <c r="B53" t="s">
        <v>150</v>
      </c>
      <c r="C53" t="s">
        <v>151</v>
      </c>
      <c r="D53">
        <v>7566</v>
      </c>
      <c r="E53">
        <v>1</v>
      </c>
      <c r="F53">
        <v>233169</v>
      </c>
      <c r="G53" t="s">
        <v>131</v>
      </c>
      <c r="H53" t="s">
        <v>132</v>
      </c>
      <c r="I53" t="s">
        <v>152</v>
      </c>
      <c r="J53" t="s">
        <v>27</v>
      </c>
      <c r="K53">
        <v>5222</v>
      </c>
      <c r="L53" t="s">
        <v>23</v>
      </c>
      <c r="M53">
        <v>600</v>
      </c>
      <c r="N53" t="s">
        <v>24</v>
      </c>
      <c r="O53" t="s">
        <v>23</v>
      </c>
      <c r="P53">
        <v>32</v>
      </c>
      <c r="Q53">
        <v>0</v>
      </c>
      <c r="R53" s="1">
        <f>A53-6+4</f>
        <v>43438</v>
      </c>
      <c r="S53">
        <f t="shared" si="2"/>
        <v>0</v>
      </c>
      <c r="T53">
        <f t="shared" si="3"/>
        <v>4</v>
      </c>
      <c r="U53">
        <f t="shared" si="4"/>
        <v>3</v>
      </c>
      <c r="V53">
        <f t="shared" si="5"/>
        <v>49</v>
      </c>
      <c r="W53">
        <f t="shared" si="6"/>
        <v>12</v>
      </c>
      <c r="X53">
        <f t="shared" si="7"/>
        <v>2018</v>
      </c>
      <c r="Y53" s="1" t="str">
        <f t="shared" si="8"/>
        <v>Wednesday</v>
      </c>
      <c r="Z53" s="1" t="str">
        <f t="shared" si="9"/>
        <v>December</v>
      </c>
    </row>
    <row r="54" spans="1:26" x14ac:dyDescent="0.3">
      <c r="A54" t="s">
        <v>44</v>
      </c>
      <c r="B54" t="s">
        <v>150</v>
      </c>
      <c r="C54" t="s">
        <v>151</v>
      </c>
      <c r="D54">
        <v>7566</v>
      </c>
      <c r="E54">
        <v>1</v>
      </c>
      <c r="F54">
        <v>233169</v>
      </c>
      <c r="G54" t="s">
        <v>131</v>
      </c>
      <c r="H54" t="s">
        <v>132</v>
      </c>
      <c r="I54" t="s">
        <v>152</v>
      </c>
      <c r="J54" t="s">
        <v>27</v>
      </c>
      <c r="K54">
        <v>5222</v>
      </c>
      <c r="L54" t="s">
        <v>23</v>
      </c>
      <c r="M54">
        <v>600</v>
      </c>
      <c r="N54" t="s">
        <v>24</v>
      </c>
      <c r="O54" t="s">
        <v>23</v>
      </c>
      <c r="P54">
        <v>32</v>
      </c>
      <c r="Q54">
        <v>10</v>
      </c>
      <c r="R54" s="1">
        <f>A54-6+5</f>
        <v>43439</v>
      </c>
      <c r="S54">
        <f t="shared" si="2"/>
        <v>320</v>
      </c>
      <c r="T54">
        <f t="shared" si="3"/>
        <v>5</v>
      </c>
      <c r="U54">
        <f t="shared" si="4"/>
        <v>4</v>
      </c>
      <c r="V54">
        <f t="shared" si="5"/>
        <v>49</v>
      </c>
      <c r="W54">
        <f t="shared" si="6"/>
        <v>12</v>
      </c>
      <c r="X54">
        <f t="shared" si="7"/>
        <v>2018</v>
      </c>
      <c r="Y54" s="1" t="str">
        <f t="shared" si="8"/>
        <v>Thursday</v>
      </c>
      <c r="Z54" s="1" t="str">
        <f t="shared" si="9"/>
        <v>December</v>
      </c>
    </row>
    <row r="55" spans="1:26" x14ac:dyDescent="0.3">
      <c r="A55" t="s">
        <v>44</v>
      </c>
      <c r="B55" t="s">
        <v>150</v>
      </c>
      <c r="C55" t="s">
        <v>151</v>
      </c>
      <c r="D55">
        <v>7566</v>
      </c>
      <c r="E55">
        <v>1</v>
      </c>
      <c r="F55">
        <v>233169</v>
      </c>
      <c r="G55" t="s">
        <v>131</v>
      </c>
      <c r="H55" t="s">
        <v>132</v>
      </c>
      <c r="I55" t="s">
        <v>152</v>
      </c>
      <c r="J55" t="s">
        <v>27</v>
      </c>
      <c r="K55">
        <v>5222</v>
      </c>
      <c r="L55" t="s">
        <v>23</v>
      </c>
      <c r="M55">
        <v>600</v>
      </c>
      <c r="N55" t="s">
        <v>24</v>
      </c>
      <c r="O55" t="s">
        <v>23</v>
      </c>
      <c r="P55">
        <v>32</v>
      </c>
      <c r="Q55">
        <v>10</v>
      </c>
      <c r="R55" s="1">
        <f>A55-6+6</f>
        <v>43440</v>
      </c>
      <c r="S55">
        <f t="shared" si="2"/>
        <v>320</v>
      </c>
      <c r="T55">
        <f t="shared" si="3"/>
        <v>6</v>
      </c>
      <c r="U55">
        <f t="shared" si="4"/>
        <v>5</v>
      </c>
      <c r="V55">
        <f t="shared" si="5"/>
        <v>49</v>
      </c>
      <c r="W55">
        <f t="shared" si="6"/>
        <v>12</v>
      </c>
      <c r="X55">
        <f t="shared" si="7"/>
        <v>2018</v>
      </c>
      <c r="Y55" s="1" t="str">
        <f t="shared" si="8"/>
        <v>Friday</v>
      </c>
      <c r="Z55" s="1" t="str">
        <f t="shared" si="9"/>
        <v>December</v>
      </c>
    </row>
    <row r="56" spans="1:26" x14ac:dyDescent="0.3">
      <c r="A56" t="s">
        <v>44</v>
      </c>
      <c r="B56" t="s">
        <v>150</v>
      </c>
      <c r="C56" t="s">
        <v>151</v>
      </c>
      <c r="D56">
        <v>7566</v>
      </c>
      <c r="E56">
        <v>1</v>
      </c>
      <c r="F56">
        <v>233169</v>
      </c>
      <c r="G56" t="s">
        <v>131</v>
      </c>
      <c r="H56" t="s">
        <v>132</v>
      </c>
      <c r="I56" t="s">
        <v>152</v>
      </c>
      <c r="J56" t="s">
        <v>27</v>
      </c>
      <c r="K56">
        <v>5222</v>
      </c>
      <c r="L56" t="s">
        <v>23</v>
      </c>
      <c r="M56">
        <v>600</v>
      </c>
      <c r="N56" t="s">
        <v>24</v>
      </c>
      <c r="O56" t="s">
        <v>23</v>
      </c>
      <c r="P56">
        <v>32</v>
      </c>
      <c r="Q56">
        <v>10</v>
      </c>
      <c r="R56" s="1">
        <f>R51-2</f>
        <v>43434</v>
      </c>
      <c r="S56">
        <f t="shared" si="2"/>
        <v>320</v>
      </c>
      <c r="T56">
        <f t="shared" si="3"/>
        <v>30</v>
      </c>
      <c r="U56">
        <f t="shared" si="4"/>
        <v>6</v>
      </c>
      <c r="V56">
        <f t="shared" si="5"/>
        <v>48</v>
      </c>
      <c r="W56">
        <f t="shared" si="6"/>
        <v>11</v>
      </c>
      <c r="X56">
        <f t="shared" si="7"/>
        <v>2018</v>
      </c>
      <c r="Y56" s="1" t="str">
        <f t="shared" si="8"/>
        <v>Saturday</v>
      </c>
      <c r="Z56" s="1" t="str">
        <f t="shared" si="9"/>
        <v>November</v>
      </c>
    </row>
    <row r="57" spans="1:26" x14ac:dyDescent="0.3">
      <c r="A57" t="s">
        <v>44</v>
      </c>
      <c r="B57" t="s">
        <v>150</v>
      </c>
      <c r="C57" t="s">
        <v>151</v>
      </c>
      <c r="D57">
        <v>7566</v>
      </c>
      <c r="E57">
        <v>1</v>
      </c>
      <c r="F57">
        <v>233169</v>
      </c>
      <c r="G57" t="s">
        <v>131</v>
      </c>
      <c r="H57" t="s">
        <v>132</v>
      </c>
      <c r="I57" t="s">
        <v>152</v>
      </c>
      <c r="J57" t="s">
        <v>27</v>
      </c>
      <c r="K57">
        <v>5222</v>
      </c>
      <c r="L57" t="s">
        <v>23</v>
      </c>
      <c r="M57">
        <v>600</v>
      </c>
      <c r="N57" t="s">
        <v>24</v>
      </c>
      <c r="O57" t="s">
        <v>23</v>
      </c>
      <c r="P57">
        <v>32</v>
      </c>
      <c r="Q57">
        <v>10</v>
      </c>
      <c r="R57" s="1">
        <f>R51-1</f>
        <v>43435</v>
      </c>
      <c r="S57">
        <f t="shared" si="2"/>
        <v>320</v>
      </c>
      <c r="T57">
        <f t="shared" si="3"/>
        <v>1</v>
      </c>
      <c r="U57">
        <f t="shared" si="4"/>
        <v>7</v>
      </c>
      <c r="V57">
        <f t="shared" si="5"/>
        <v>48</v>
      </c>
      <c r="W57">
        <f t="shared" si="6"/>
        <v>12</v>
      </c>
      <c r="X57">
        <f t="shared" si="7"/>
        <v>2018</v>
      </c>
      <c r="Y57" s="1" t="str">
        <f t="shared" si="8"/>
        <v>Sunday</v>
      </c>
      <c r="Z57" s="1" t="str">
        <f t="shared" si="9"/>
        <v>December</v>
      </c>
    </row>
    <row r="58" spans="1:26" x14ac:dyDescent="0.3">
      <c r="A58" t="s">
        <v>51</v>
      </c>
      <c r="B58" t="s">
        <v>153</v>
      </c>
      <c r="C58" t="s">
        <v>154</v>
      </c>
      <c r="D58">
        <v>7895</v>
      </c>
      <c r="E58">
        <v>1</v>
      </c>
      <c r="F58">
        <v>237788</v>
      </c>
      <c r="G58" t="s">
        <v>131</v>
      </c>
      <c r="H58" t="s">
        <v>132</v>
      </c>
      <c r="I58" t="s">
        <v>155</v>
      </c>
      <c r="J58" t="s">
        <v>27</v>
      </c>
      <c r="K58">
        <v>5507</v>
      </c>
      <c r="L58" t="s">
        <v>23</v>
      </c>
      <c r="M58">
        <v>300</v>
      </c>
      <c r="N58" t="s">
        <v>24</v>
      </c>
      <c r="O58" t="s">
        <v>23</v>
      </c>
      <c r="P58">
        <v>19</v>
      </c>
      <c r="Q58">
        <v>6.5</v>
      </c>
      <c r="R58" s="1">
        <f>A58-6+2</f>
        <v>43492</v>
      </c>
      <c r="S58">
        <f t="shared" si="2"/>
        <v>123.5</v>
      </c>
      <c r="T58">
        <f t="shared" si="3"/>
        <v>27</v>
      </c>
      <c r="U58">
        <f t="shared" si="4"/>
        <v>1</v>
      </c>
      <c r="V58">
        <f t="shared" si="5"/>
        <v>5</v>
      </c>
      <c r="W58">
        <f t="shared" si="6"/>
        <v>1</v>
      </c>
      <c r="X58">
        <f t="shared" si="7"/>
        <v>2019</v>
      </c>
      <c r="Y58" s="1" t="str">
        <f t="shared" si="8"/>
        <v>Monday</v>
      </c>
      <c r="Z58" s="1" t="str">
        <f t="shared" si="9"/>
        <v>January</v>
      </c>
    </row>
    <row r="59" spans="1:26" x14ac:dyDescent="0.3">
      <c r="A59" t="s">
        <v>51</v>
      </c>
      <c r="B59" t="s">
        <v>153</v>
      </c>
      <c r="C59" t="s">
        <v>154</v>
      </c>
      <c r="D59">
        <v>7895</v>
      </c>
      <c r="E59">
        <v>1</v>
      </c>
      <c r="F59">
        <v>237788</v>
      </c>
      <c r="G59" t="s">
        <v>131</v>
      </c>
      <c r="H59" t="s">
        <v>132</v>
      </c>
      <c r="I59" t="s">
        <v>155</v>
      </c>
      <c r="J59" t="s">
        <v>27</v>
      </c>
      <c r="K59">
        <v>5507</v>
      </c>
      <c r="L59" t="s">
        <v>23</v>
      </c>
      <c r="M59">
        <v>300</v>
      </c>
      <c r="N59" t="s">
        <v>24</v>
      </c>
      <c r="O59" t="s">
        <v>23</v>
      </c>
      <c r="P59">
        <v>19</v>
      </c>
      <c r="Q59">
        <v>0</v>
      </c>
      <c r="R59" s="1">
        <f>A59-6+3</f>
        <v>43493</v>
      </c>
      <c r="S59">
        <f t="shared" si="2"/>
        <v>0</v>
      </c>
      <c r="T59">
        <f t="shared" si="3"/>
        <v>28</v>
      </c>
      <c r="U59">
        <f t="shared" si="4"/>
        <v>2</v>
      </c>
      <c r="V59">
        <f t="shared" si="5"/>
        <v>5</v>
      </c>
      <c r="W59">
        <f t="shared" si="6"/>
        <v>1</v>
      </c>
      <c r="X59">
        <f t="shared" si="7"/>
        <v>2019</v>
      </c>
      <c r="Y59" s="1" t="str">
        <f t="shared" si="8"/>
        <v>Tuesday</v>
      </c>
      <c r="Z59" s="1" t="str">
        <f t="shared" si="9"/>
        <v>January</v>
      </c>
    </row>
    <row r="60" spans="1:26" x14ac:dyDescent="0.3">
      <c r="A60" t="s">
        <v>51</v>
      </c>
      <c r="B60" t="s">
        <v>153</v>
      </c>
      <c r="C60" t="s">
        <v>154</v>
      </c>
      <c r="D60">
        <v>7895</v>
      </c>
      <c r="E60">
        <v>1</v>
      </c>
      <c r="F60">
        <v>237788</v>
      </c>
      <c r="G60" t="s">
        <v>131</v>
      </c>
      <c r="H60" t="s">
        <v>132</v>
      </c>
      <c r="I60" t="s">
        <v>155</v>
      </c>
      <c r="J60" t="s">
        <v>27</v>
      </c>
      <c r="K60">
        <v>5507</v>
      </c>
      <c r="L60" t="s">
        <v>23</v>
      </c>
      <c r="M60">
        <v>300</v>
      </c>
      <c r="N60" t="s">
        <v>24</v>
      </c>
      <c r="O60" t="s">
        <v>23</v>
      </c>
      <c r="P60">
        <v>19</v>
      </c>
      <c r="Q60">
        <v>0</v>
      </c>
      <c r="R60" s="1">
        <f>A60-6+4</f>
        <v>43494</v>
      </c>
      <c r="S60">
        <f t="shared" si="2"/>
        <v>0</v>
      </c>
      <c r="T60">
        <f t="shared" si="3"/>
        <v>29</v>
      </c>
      <c r="U60">
        <f t="shared" si="4"/>
        <v>3</v>
      </c>
      <c r="V60">
        <f t="shared" si="5"/>
        <v>5</v>
      </c>
      <c r="W60">
        <f t="shared" si="6"/>
        <v>1</v>
      </c>
      <c r="X60">
        <f t="shared" si="7"/>
        <v>2019</v>
      </c>
      <c r="Y60" s="1" t="str">
        <f t="shared" si="8"/>
        <v>Wednesday</v>
      </c>
      <c r="Z60" s="1" t="str">
        <f t="shared" si="9"/>
        <v>January</v>
      </c>
    </row>
    <row r="61" spans="1:26" x14ac:dyDescent="0.3">
      <c r="A61" t="s">
        <v>51</v>
      </c>
      <c r="B61" t="s">
        <v>153</v>
      </c>
      <c r="C61" t="s">
        <v>154</v>
      </c>
      <c r="D61">
        <v>7895</v>
      </c>
      <c r="E61">
        <v>1</v>
      </c>
      <c r="F61">
        <v>237788</v>
      </c>
      <c r="G61" t="s">
        <v>131</v>
      </c>
      <c r="H61" t="s">
        <v>132</v>
      </c>
      <c r="I61" t="s">
        <v>155</v>
      </c>
      <c r="J61" t="s">
        <v>27</v>
      </c>
      <c r="K61">
        <v>5507</v>
      </c>
      <c r="L61" t="s">
        <v>23</v>
      </c>
      <c r="M61">
        <v>300</v>
      </c>
      <c r="N61" t="s">
        <v>24</v>
      </c>
      <c r="O61" t="s">
        <v>23</v>
      </c>
      <c r="P61">
        <v>19</v>
      </c>
      <c r="Q61">
        <v>5</v>
      </c>
      <c r="R61" s="1">
        <f>A61-6+5</f>
        <v>43495</v>
      </c>
      <c r="S61">
        <f t="shared" si="2"/>
        <v>95</v>
      </c>
      <c r="T61">
        <f t="shared" si="3"/>
        <v>30</v>
      </c>
      <c r="U61">
        <f t="shared" si="4"/>
        <v>4</v>
      </c>
      <c r="V61">
        <f t="shared" si="5"/>
        <v>5</v>
      </c>
      <c r="W61">
        <f t="shared" si="6"/>
        <v>1</v>
      </c>
      <c r="X61">
        <f t="shared" si="7"/>
        <v>2019</v>
      </c>
      <c r="Y61" s="1" t="str">
        <f t="shared" si="8"/>
        <v>Thursday</v>
      </c>
      <c r="Z61" s="1" t="str">
        <f t="shared" si="9"/>
        <v>January</v>
      </c>
    </row>
    <row r="62" spans="1:26" x14ac:dyDescent="0.3">
      <c r="A62" t="s">
        <v>51</v>
      </c>
      <c r="B62" t="s">
        <v>153</v>
      </c>
      <c r="C62" t="s">
        <v>154</v>
      </c>
      <c r="D62">
        <v>7895</v>
      </c>
      <c r="E62">
        <v>1</v>
      </c>
      <c r="F62">
        <v>237788</v>
      </c>
      <c r="G62" t="s">
        <v>131</v>
      </c>
      <c r="H62" t="s">
        <v>132</v>
      </c>
      <c r="I62" t="s">
        <v>155</v>
      </c>
      <c r="J62" t="s">
        <v>27</v>
      </c>
      <c r="K62">
        <v>5507</v>
      </c>
      <c r="L62" t="s">
        <v>23</v>
      </c>
      <c r="M62">
        <v>300</v>
      </c>
      <c r="N62" t="s">
        <v>24</v>
      </c>
      <c r="O62" t="s">
        <v>23</v>
      </c>
      <c r="P62">
        <v>19</v>
      </c>
      <c r="Q62">
        <v>0</v>
      </c>
      <c r="R62" s="1">
        <f>A62-6+6</f>
        <v>43496</v>
      </c>
      <c r="S62">
        <f t="shared" si="2"/>
        <v>0</v>
      </c>
      <c r="T62">
        <f t="shared" si="3"/>
        <v>31</v>
      </c>
      <c r="U62">
        <f t="shared" si="4"/>
        <v>5</v>
      </c>
      <c r="V62">
        <f t="shared" si="5"/>
        <v>5</v>
      </c>
      <c r="W62">
        <f t="shared" si="6"/>
        <v>1</v>
      </c>
      <c r="X62">
        <f t="shared" si="7"/>
        <v>2019</v>
      </c>
      <c r="Y62" s="1" t="str">
        <f t="shared" si="8"/>
        <v>Friday</v>
      </c>
      <c r="Z62" s="1" t="str">
        <f t="shared" si="9"/>
        <v>January</v>
      </c>
    </row>
    <row r="63" spans="1:26" x14ac:dyDescent="0.3">
      <c r="A63" t="s">
        <v>51</v>
      </c>
      <c r="B63" t="s">
        <v>153</v>
      </c>
      <c r="C63" t="s">
        <v>154</v>
      </c>
      <c r="D63">
        <v>7895</v>
      </c>
      <c r="E63">
        <v>1</v>
      </c>
      <c r="F63">
        <v>237788</v>
      </c>
      <c r="G63" t="s">
        <v>131</v>
      </c>
      <c r="H63" t="s">
        <v>132</v>
      </c>
      <c r="I63" t="s">
        <v>155</v>
      </c>
      <c r="J63" t="s">
        <v>27</v>
      </c>
      <c r="K63">
        <v>5507</v>
      </c>
      <c r="L63" t="s">
        <v>23</v>
      </c>
      <c r="M63">
        <v>300</v>
      </c>
      <c r="N63" t="s">
        <v>24</v>
      </c>
      <c r="O63" t="s">
        <v>23</v>
      </c>
      <c r="P63">
        <v>19</v>
      </c>
      <c r="Q63">
        <v>4</v>
      </c>
      <c r="R63" s="1">
        <f>R58-2</f>
        <v>43490</v>
      </c>
      <c r="S63">
        <f t="shared" si="2"/>
        <v>76</v>
      </c>
      <c r="T63">
        <f t="shared" si="3"/>
        <v>25</v>
      </c>
      <c r="U63">
        <f t="shared" si="4"/>
        <v>6</v>
      </c>
      <c r="V63">
        <f t="shared" si="5"/>
        <v>4</v>
      </c>
      <c r="W63">
        <f t="shared" si="6"/>
        <v>1</v>
      </c>
      <c r="X63">
        <f t="shared" si="7"/>
        <v>2019</v>
      </c>
      <c r="Y63" s="1" t="str">
        <f t="shared" si="8"/>
        <v>Saturday</v>
      </c>
      <c r="Z63" s="1" t="str">
        <f t="shared" si="9"/>
        <v>January</v>
      </c>
    </row>
    <row r="64" spans="1:26" x14ac:dyDescent="0.3">
      <c r="A64" t="s">
        <v>51</v>
      </c>
      <c r="B64" t="s">
        <v>153</v>
      </c>
      <c r="C64" t="s">
        <v>154</v>
      </c>
      <c r="D64">
        <v>7895</v>
      </c>
      <c r="E64">
        <v>1</v>
      </c>
      <c r="F64">
        <v>237788</v>
      </c>
      <c r="G64" t="s">
        <v>131</v>
      </c>
      <c r="H64" t="s">
        <v>132</v>
      </c>
      <c r="I64" t="s">
        <v>155</v>
      </c>
      <c r="J64" t="s">
        <v>27</v>
      </c>
      <c r="K64">
        <v>5507</v>
      </c>
      <c r="L64" t="s">
        <v>23</v>
      </c>
      <c r="M64">
        <v>300</v>
      </c>
      <c r="N64" t="s">
        <v>24</v>
      </c>
      <c r="O64" t="s">
        <v>23</v>
      </c>
      <c r="P64">
        <v>19</v>
      </c>
      <c r="Q64">
        <v>0</v>
      </c>
      <c r="R64" s="1">
        <f>R58-1</f>
        <v>43491</v>
      </c>
      <c r="S64">
        <f t="shared" si="2"/>
        <v>0</v>
      </c>
      <c r="T64">
        <f t="shared" si="3"/>
        <v>26</v>
      </c>
      <c r="U64">
        <f t="shared" si="4"/>
        <v>7</v>
      </c>
      <c r="V64">
        <f t="shared" si="5"/>
        <v>4</v>
      </c>
      <c r="W64">
        <f t="shared" si="6"/>
        <v>1</v>
      </c>
      <c r="X64">
        <f t="shared" si="7"/>
        <v>2019</v>
      </c>
      <c r="Y64" s="1" t="str">
        <f t="shared" si="8"/>
        <v>Sunday</v>
      </c>
      <c r="Z64" s="1" t="str">
        <f t="shared" si="9"/>
        <v>January</v>
      </c>
    </row>
    <row r="65" spans="1:26" x14ac:dyDescent="0.3">
      <c r="A65" t="s">
        <v>47</v>
      </c>
      <c r="B65" t="s">
        <v>59</v>
      </c>
      <c r="C65" t="s">
        <v>156</v>
      </c>
      <c r="D65">
        <v>8840</v>
      </c>
      <c r="E65">
        <v>1</v>
      </c>
      <c r="F65">
        <v>240227</v>
      </c>
      <c r="G65" t="s">
        <v>131</v>
      </c>
      <c r="H65" t="s">
        <v>132</v>
      </c>
      <c r="I65" t="s">
        <v>152</v>
      </c>
      <c r="J65" t="s">
        <v>27</v>
      </c>
      <c r="K65">
        <v>5507</v>
      </c>
      <c r="L65" t="s">
        <v>23</v>
      </c>
      <c r="M65">
        <v>100</v>
      </c>
      <c r="N65" t="s">
        <v>24</v>
      </c>
      <c r="O65" t="s">
        <v>23</v>
      </c>
      <c r="P65">
        <v>19.75</v>
      </c>
      <c r="Q65">
        <v>8</v>
      </c>
      <c r="R65" s="1">
        <f>A65-6+2</f>
        <v>43520</v>
      </c>
      <c r="S65">
        <f t="shared" si="2"/>
        <v>158</v>
      </c>
      <c r="T65">
        <f t="shared" si="3"/>
        <v>24</v>
      </c>
      <c r="U65">
        <f t="shared" si="4"/>
        <v>1</v>
      </c>
      <c r="V65">
        <f t="shared" si="5"/>
        <v>9</v>
      </c>
      <c r="W65">
        <f t="shared" si="6"/>
        <v>2</v>
      </c>
      <c r="X65">
        <f t="shared" si="7"/>
        <v>2019</v>
      </c>
      <c r="Y65" s="1" t="str">
        <f t="shared" si="8"/>
        <v>Monday</v>
      </c>
      <c r="Z65" s="1" t="str">
        <f t="shared" si="9"/>
        <v>February</v>
      </c>
    </row>
    <row r="66" spans="1:26" x14ac:dyDescent="0.3">
      <c r="A66" t="s">
        <v>47</v>
      </c>
      <c r="B66" t="s">
        <v>59</v>
      </c>
      <c r="C66" t="s">
        <v>156</v>
      </c>
      <c r="D66">
        <v>8840</v>
      </c>
      <c r="E66">
        <v>1</v>
      </c>
      <c r="F66">
        <v>240227</v>
      </c>
      <c r="G66" t="s">
        <v>131</v>
      </c>
      <c r="H66" t="s">
        <v>132</v>
      </c>
      <c r="I66" t="s">
        <v>152</v>
      </c>
      <c r="J66" t="s">
        <v>27</v>
      </c>
      <c r="K66">
        <v>5507</v>
      </c>
      <c r="L66" t="s">
        <v>23</v>
      </c>
      <c r="M66">
        <v>100</v>
      </c>
      <c r="N66" t="s">
        <v>24</v>
      </c>
      <c r="O66" t="s">
        <v>23</v>
      </c>
      <c r="P66">
        <v>19.75</v>
      </c>
      <c r="Q66">
        <v>0</v>
      </c>
      <c r="R66" s="1">
        <f>A66-6+3</f>
        <v>43521</v>
      </c>
      <c r="S66">
        <f t="shared" si="2"/>
        <v>0</v>
      </c>
      <c r="T66">
        <f t="shared" si="3"/>
        <v>25</v>
      </c>
      <c r="U66">
        <f t="shared" si="4"/>
        <v>2</v>
      </c>
      <c r="V66">
        <f t="shared" si="5"/>
        <v>9</v>
      </c>
      <c r="W66">
        <f t="shared" si="6"/>
        <v>2</v>
      </c>
      <c r="X66">
        <f t="shared" si="7"/>
        <v>2019</v>
      </c>
      <c r="Y66" s="1" t="str">
        <f t="shared" ref="Y66:Y92" si="10">VLOOKUP(U66,dayname,2)</f>
        <v>Tuesday</v>
      </c>
      <c r="Z66" s="1" t="str">
        <f t="shared" ref="Z66:Z92" si="11">VLOOKUP(W66,mesnome,2)</f>
        <v>February</v>
      </c>
    </row>
    <row r="67" spans="1:26" x14ac:dyDescent="0.3">
      <c r="A67" t="s">
        <v>47</v>
      </c>
      <c r="B67" t="s">
        <v>59</v>
      </c>
      <c r="C67" t="s">
        <v>156</v>
      </c>
      <c r="D67">
        <v>8840</v>
      </c>
      <c r="E67">
        <v>1</v>
      </c>
      <c r="F67">
        <v>240227</v>
      </c>
      <c r="G67" t="s">
        <v>131</v>
      </c>
      <c r="H67" t="s">
        <v>132</v>
      </c>
      <c r="I67" t="s">
        <v>152</v>
      </c>
      <c r="J67" t="s">
        <v>27</v>
      </c>
      <c r="K67">
        <v>5507</v>
      </c>
      <c r="L67" t="s">
        <v>23</v>
      </c>
      <c r="M67">
        <v>100</v>
      </c>
      <c r="N67" t="s">
        <v>24</v>
      </c>
      <c r="O67" t="s">
        <v>23</v>
      </c>
      <c r="P67">
        <v>19.75</v>
      </c>
      <c r="Q67">
        <v>0</v>
      </c>
      <c r="R67" s="1">
        <f>A67-6+4</f>
        <v>43522</v>
      </c>
      <c r="S67">
        <f t="shared" ref="S67:S92" si="12">P67*Q67</f>
        <v>0</v>
      </c>
      <c r="T67">
        <f t="shared" ref="T67:T92" si="13">DAY(R67)</f>
        <v>26</v>
      </c>
      <c r="U67">
        <f t="shared" ref="U67:U92" si="14">WEEKDAY(R67)</f>
        <v>3</v>
      </c>
      <c r="V67">
        <f t="shared" ref="V67:V92" si="15">WEEKNUM(R67)</f>
        <v>9</v>
      </c>
      <c r="W67">
        <f t="shared" ref="W67:W92" si="16">MONTH(R67)</f>
        <v>2</v>
      </c>
      <c r="X67">
        <f t="shared" ref="X67:X92" si="17">YEAR(R67)</f>
        <v>2019</v>
      </c>
      <c r="Y67" s="1" t="str">
        <f t="shared" si="10"/>
        <v>Wednesday</v>
      </c>
      <c r="Z67" s="1" t="str">
        <f t="shared" si="11"/>
        <v>February</v>
      </c>
    </row>
    <row r="68" spans="1:26" x14ac:dyDescent="0.3">
      <c r="A68" t="s">
        <v>47</v>
      </c>
      <c r="B68" t="s">
        <v>59</v>
      </c>
      <c r="C68" t="s">
        <v>156</v>
      </c>
      <c r="D68">
        <v>8840</v>
      </c>
      <c r="E68">
        <v>1</v>
      </c>
      <c r="F68">
        <v>240227</v>
      </c>
      <c r="G68" t="s">
        <v>131</v>
      </c>
      <c r="H68" t="s">
        <v>132</v>
      </c>
      <c r="I68" t="s">
        <v>152</v>
      </c>
      <c r="J68" t="s">
        <v>27</v>
      </c>
      <c r="K68">
        <v>5507</v>
      </c>
      <c r="L68" t="s">
        <v>23</v>
      </c>
      <c r="M68">
        <v>100</v>
      </c>
      <c r="N68" t="s">
        <v>24</v>
      </c>
      <c r="O68" t="s">
        <v>23</v>
      </c>
      <c r="P68">
        <v>19.75</v>
      </c>
      <c r="Q68">
        <v>6</v>
      </c>
      <c r="R68" s="1">
        <f>A68-6+5</f>
        <v>43523</v>
      </c>
      <c r="S68">
        <f t="shared" si="12"/>
        <v>118.5</v>
      </c>
      <c r="T68">
        <f t="shared" si="13"/>
        <v>27</v>
      </c>
      <c r="U68">
        <f t="shared" si="14"/>
        <v>4</v>
      </c>
      <c r="V68">
        <f t="shared" si="15"/>
        <v>9</v>
      </c>
      <c r="W68">
        <f t="shared" si="16"/>
        <v>2</v>
      </c>
      <c r="X68">
        <f t="shared" si="17"/>
        <v>2019</v>
      </c>
      <c r="Y68" s="1" t="str">
        <f t="shared" si="10"/>
        <v>Thursday</v>
      </c>
      <c r="Z68" s="1" t="str">
        <f t="shared" si="11"/>
        <v>February</v>
      </c>
    </row>
    <row r="69" spans="1:26" x14ac:dyDescent="0.3">
      <c r="A69" t="s">
        <v>47</v>
      </c>
      <c r="B69" t="s">
        <v>59</v>
      </c>
      <c r="C69" t="s">
        <v>156</v>
      </c>
      <c r="D69">
        <v>8840</v>
      </c>
      <c r="E69">
        <v>1</v>
      </c>
      <c r="F69">
        <v>240227</v>
      </c>
      <c r="G69" t="s">
        <v>131</v>
      </c>
      <c r="H69" t="s">
        <v>132</v>
      </c>
      <c r="I69" t="s">
        <v>152</v>
      </c>
      <c r="J69" t="s">
        <v>27</v>
      </c>
      <c r="K69">
        <v>5507</v>
      </c>
      <c r="L69" t="s">
        <v>23</v>
      </c>
      <c r="M69">
        <v>100</v>
      </c>
      <c r="N69" t="s">
        <v>24</v>
      </c>
      <c r="O69" t="s">
        <v>23</v>
      </c>
      <c r="P69">
        <v>19.75</v>
      </c>
      <c r="Q69">
        <v>6</v>
      </c>
      <c r="R69" s="1">
        <f>A69-6+6</f>
        <v>43524</v>
      </c>
      <c r="S69">
        <f t="shared" si="12"/>
        <v>118.5</v>
      </c>
      <c r="T69">
        <f t="shared" si="13"/>
        <v>28</v>
      </c>
      <c r="U69">
        <f t="shared" si="14"/>
        <v>5</v>
      </c>
      <c r="V69">
        <f t="shared" si="15"/>
        <v>9</v>
      </c>
      <c r="W69">
        <f t="shared" si="16"/>
        <v>2</v>
      </c>
      <c r="X69">
        <f t="shared" si="17"/>
        <v>2019</v>
      </c>
      <c r="Y69" s="1" t="str">
        <f t="shared" si="10"/>
        <v>Friday</v>
      </c>
      <c r="Z69" s="1" t="str">
        <f t="shared" si="11"/>
        <v>February</v>
      </c>
    </row>
    <row r="70" spans="1:26" x14ac:dyDescent="0.3">
      <c r="A70" t="s">
        <v>47</v>
      </c>
      <c r="B70" t="s">
        <v>59</v>
      </c>
      <c r="C70" t="s">
        <v>156</v>
      </c>
      <c r="D70">
        <v>8840</v>
      </c>
      <c r="E70">
        <v>1</v>
      </c>
      <c r="F70">
        <v>240227</v>
      </c>
      <c r="G70" t="s">
        <v>131</v>
      </c>
      <c r="H70" t="s">
        <v>132</v>
      </c>
      <c r="I70" t="s">
        <v>152</v>
      </c>
      <c r="J70" t="s">
        <v>27</v>
      </c>
      <c r="K70">
        <v>5507</v>
      </c>
      <c r="L70" t="s">
        <v>23</v>
      </c>
      <c r="M70">
        <v>100</v>
      </c>
      <c r="N70" t="s">
        <v>24</v>
      </c>
      <c r="O70" t="s">
        <v>23</v>
      </c>
      <c r="P70">
        <v>19.75</v>
      </c>
      <c r="Q70">
        <v>6</v>
      </c>
      <c r="R70" s="1">
        <f>R65-2</f>
        <v>43518</v>
      </c>
      <c r="S70">
        <f t="shared" si="12"/>
        <v>118.5</v>
      </c>
      <c r="T70">
        <f t="shared" si="13"/>
        <v>22</v>
      </c>
      <c r="U70">
        <f t="shared" si="14"/>
        <v>6</v>
      </c>
      <c r="V70">
        <f t="shared" si="15"/>
        <v>8</v>
      </c>
      <c r="W70">
        <f t="shared" si="16"/>
        <v>2</v>
      </c>
      <c r="X70">
        <f t="shared" si="17"/>
        <v>2019</v>
      </c>
      <c r="Y70" s="1" t="str">
        <f t="shared" si="10"/>
        <v>Saturday</v>
      </c>
      <c r="Z70" s="1" t="str">
        <f t="shared" si="11"/>
        <v>February</v>
      </c>
    </row>
    <row r="71" spans="1:26" x14ac:dyDescent="0.3">
      <c r="A71" t="s">
        <v>47</v>
      </c>
      <c r="B71" t="s">
        <v>59</v>
      </c>
      <c r="C71" t="s">
        <v>156</v>
      </c>
      <c r="D71">
        <v>8840</v>
      </c>
      <c r="E71">
        <v>1</v>
      </c>
      <c r="F71">
        <v>240227</v>
      </c>
      <c r="G71" t="s">
        <v>131</v>
      </c>
      <c r="H71" t="s">
        <v>132</v>
      </c>
      <c r="I71" t="s">
        <v>152</v>
      </c>
      <c r="J71" t="s">
        <v>27</v>
      </c>
      <c r="K71">
        <v>5507</v>
      </c>
      <c r="L71" t="s">
        <v>23</v>
      </c>
      <c r="M71">
        <v>100</v>
      </c>
      <c r="N71" t="s">
        <v>24</v>
      </c>
      <c r="O71" t="s">
        <v>23</v>
      </c>
      <c r="P71">
        <v>19.75</v>
      </c>
      <c r="Q71">
        <v>4</v>
      </c>
      <c r="R71" s="1">
        <f>R65-1</f>
        <v>43519</v>
      </c>
      <c r="S71">
        <f t="shared" si="12"/>
        <v>79</v>
      </c>
      <c r="T71">
        <f t="shared" si="13"/>
        <v>23</v>
      </c>
      <c r="U71">
        <f t="shared" si="14"/>
        <v>7</v>
      </c>
      <c r="V71">
        <f t="shared" si="15"/>
        <v>8</v>
      </c>
      <c r="W71">
        <f t="shared" si="16"/>
        <v>2</v>
      </c>
      <c r="X71">
        <f t="shared" si="17"/>
        <v>2019</v>
      </c>
      <c r="Y71" s="1" t="str">
        <f t="shared" si="10"/>
        <v>Sunday</v>
      </c>
      <c r="Z71" s="1" t="str">
        <f t="shared" si="11"/>
        <v>February</v>
      </c>
    </row>
    <row r="72" spans="1:26" x14ac:dyDescent="0.3">
      <c r="A72" t="s">
        <v>47</v>
      </c>
      <c r="B72" t="s">
        <v>57</v>
      </c>
      <c r="C72" t="s">
        <v>58</v>
      </c>
      <c r="D72">
        <v>8666</v>
      </c>
      <c r="E72">
        <v>1</v>
      </c>
      <c r="F72">
        <v>240187</v>
      </c>
      <c r="G72" t="s">
        <v>131</v>
      </c>
      <c r="H72" t="s">
        <v>132</v>
      </c>
      <c r="I72" t="s">
        <v>157</v>
      </c>
      <c r="J72" t="s">
        <v>27</v>
      </c>
      <c r="K72">
        <v>5606</v>
      </c>
      <c r="L72" t="s">
        <v>23</v>
      </c>
      <c r="M72">
        <v>700</v>
      </c>
      <c r="N72" t="s">
        <v>24</v>
      </c>
      <c r="O72" t="s">
        <v>23</v>
      </c>
      <c r="P72">
        <v>31.5</v>
      </c>
      <c r="Q72">
        <v>0</v>
      </c>
      <c r="R72" s="1">
        <f>A72-6+2</f>
        <v>43520</v>
      </c>
      <c r="S72">
        <f t="shared" si="12"/>
        <v>0</v>
      </c>
      <c r="T72">
        <f t="shared" si="13"/>
        <v>24</v>
      </c>
      <c r="U72">
        <f t="shared" si="14"/>
        <v>1</v>
      </c>
      <c r="V72">
        <f t="shared" si="15"/>
        <v>9</v>
      </c>
      <c r="W72">
        <f t="shared" si="16"/>
        <v>2</v>
      </c>
      <c r="X72">
        <f t="shared" si="17"/>
        <v>2019</v>
      </c>
      <c r="Y72" s="1" t="str">
        <f t="shared" si="10"/>
        <v>Monday</v>
      </c>
      <c r="Z72" s="1" t="str">
        <f t="shared" si="11"/>
        <v>February</v>
      </c>
    </row>
    <row r="73" spans="1:26" x14ac:dyDescent="0.3">
      <c r="A73" t="s">
        <v>47</v>
      </c>
      <c r="B73" t="s">
        <v>57</v>
      </c>
      <c r="C73" t="s">
        <v>58</v>
      </c>
      <c r="D73">
        <v>8666</v>
      </c>
      <c r="E73">
        <v>1</v>
      </c>
      <c r="F73">
        <v>240187</v>
      </c>
      <c r="G73" t="s">
        <v>131</v>
      </c>
      <c r="H73" t="s">
        <v>132</v>
      </c>
      <c r="I73" t="s">
        <v>157</v>
      </c>
      <c r="J73" t="s">
        <v>27</v>
      </c>
      <c r="K73">
        <v>5606</v>
      </c>
      <c r="L73" t="s">
        <v>23</v>
      </c>
      <c r="M73">
        <v>700</v>
      </c>
      <c r="N73" t="s">
        <v>24</v>
      </c>
      <c r="O73" t="s">
        <v>23</v>
      </c>
      <c r="P73">
        <v>31.5</v>
      </c>
      <c r="Q73">
        <v>0</v>
      </c>
      <c r="R73" s="1">
        <f>A73-6+3</f>
        <v>43521</v>
      </c>
      <c r="S73">
        <f t="shared" si="12"/>
        <v>0</v>
      </c>
      <c r="T73">
        <f t="shared" si="13"/>
        <v>25</v>
      </c>
      <c r="U73">
        <f t="shared" si="14"/>
        <v>2</v>
      </c>
      <c r="V73">
        <f t="shared" si="15"/>
        <v>9</v>
      </c>
      <c r="W73">
        <f t="shared" si="16"/>
        <v>2</v>
      </c>
      <c r="X73">
        <f t="shared" si="17"/>
        <v>2019</v>
      </c>
      <c r="Y73" s="1" t="str">
        <f t="shared" si="10"/>
        <v>Tuesday</v>
      </c>
      <c r="Z73" s="1" t="str">
        <f t="shared" si="11"/>
        <v>February</v>
      </c>
    </row>
    <row r="74" spans="1:26" x14ac:dyDescent="0.3">
      <c r="A74" t="s">
        <v>47</v>
      </c>
      <c r="B74" t="s">
        <v>57</v>
      </c>
      <c r="C74" t="s">
        <v>58</v>
      </c>
      <c r="D74">
        <v>8666</v>
      </c>
      <c r="E74">
        <v>1</v>
      </c>
      <c r="F74">
        <v>240187</v>
      </c>
      <c r="G74" t="s">
        <v>131</v>
      </c>
      <c r="H74" t="s">
        <v>132</v>
      </c>
      <c r="I74" t="s">
        <v>157</v>
      </c>
      <c r="J74" t="s">
        <v>27</v>
      </c>
      <c r="K74">
        <v>5606</v>
      </c>
      <c r="L74" t="s">
        <v>23</v>
      </c>
      <c r="M74">
        <v>700</v>
      </c>
      <c r="N74" t="s">
        <v>24</v>
      </c>
      <c r="O74" t="s">
        <v>23</v>
      </c>
      <c r="P74">
        <v>31.5</v>
      </c>
      <c r="Q74">
        <v>0</v>
      </c>
      <c r="R74" s="1">
        <f>A74-6+4</f>
        <v>43522</v>
      </c>
      <c r="S74">
        <f t="shared" si="12"/>
        <v>0</v>
      </c>
      <c r="T74">
        <f t="shared" si="13"/>
        <v>26</v>
      </c>
      <c r="U74">
        <f t="shared" si="14"/>
        <v>3</v>
      </c>
      <c r="V74">
        <f t="shared" si="15"/>
        <v>9</v>
      </c>
      <c r="W74">
        <f t="shared" si="16"/>
        <v>2</v>
      </c>
      <c r="X74">
        <f t="shared" si="17"/>
        <v>2019</v>
      </c>
      <c r="Y74" s="1" t="str">
        <f t="shared" si="10"/>
        <v>Wednesday</v>
      </c>
      <c r="Z74" s="1" t="str">
        <f t="shared" si="11"/>
        <v>February</v>
      </c>
    </row>
    <row r="75" spans="1:26" x14ac:dyDescent="0.3">
      <c r="A75" t="s">
        <v>47</v>
      </c>
      <c r="B75" t="s">
        <v>57</v>
      </c>
      <c r="C75" t="s">
        <v>58</v>
      </c>
      <c r="D75">
        <v>8666</v>
      </c>
      <c r="E75">
        <v>1</v>
      </c>
      <c r="F75">
        <v>240187</v>
      </c>
      <c r="G75" t="s">
        <v>131</v>
      </c>
      <c r="H75" t="s">
        <v>132</v>
      </c>
      <c r="I75" t="s">
        <v>157</v>
      </c>
      <c r="J75" t="s">
        <v>27</v>
      </c>
      <c r="K75">
        <v>5606</v>
      </c>
      <c r="L75" t="s">
        <v>23</v>
      </c>
      <c r="M75">
        <v>700</v>
      </c>
      <c r="N75" t="s">
        <v>24</v>
      </c>
      <c r="O75" t="s">
        <v>23</v>
      </c>
      <c r="P75">
        <v>31.5</v>
      </c>
      <c r="Q75">
        <v>3</v>
      </c>
      <c r="R75" s="1">
        <f>A75-6+5</f>
        <v>43523</v>
      </c>
      <c r="S75">
        <f t="shared" si="12"/>
        <v>94.5</v>
      </c>
      <c r="T75">
        <f t="shared" si="13"/>
        <v>27</v>
      </c>
      <c r="U75">
        <f t="shared" si="14"/>
        <v>4</v>
      </c>
      <c r="V75">
        <f t="shared" si="15"/>
        <v>9</v>
      </c>
      <c r="W75">
        <f t="shared" si="16"/>
        <v>2</v>
      </c>
      <c r="X75">
        <f t="shared" si="17"/>
        <v>2019</v>
      </c>
      <c r="Y75" s="1" t="str">
        <f t="shared" si="10"/>
        <v>Thursday</v>
      </c>
      <c r="Z75" s="1" t="str">
        <f t="shared" si="11"/>
        <v>February</v>
      </c>
    </row>
    <row r="76" spans="1:26" x14ac:dyDescent="0.3">
      <c r="A76" t="s">
        <v>47</v>
      </c>
      <c r="B76" t="s">
        <v>57</v>
      </c>
      <c r="C76" t="s">
        <v>58</v>
      </c>
      <c r="D76">
        <v>8666</v>
      </c>
      <c r="E76">
        <v>1</v>
      </c>
      <c r="F76">
        <v>240187</v>
      </c>
      <c r="G76" t="s">
        <v>131</v>
      </c>
      <c r="H76" t="s">
        <v>132</v>
      </c>
      <c r="I76" t="s">
        <v>157</v>
      </c>
      <c r="J76" t="s">
        <v>27</v>
      </c>
      <c r="K76">
        <v>5606</v>
      </c>
      <c r="L76" t="s">
        <v>23</v>
      </c>
      <c r="M76">
        <v>700</v>
      </c>
      <c r="N76" t="s">
        <v>24</v>
      </c>
      <c r="O76" t="s">
        <v>23</v>
      </c>
      <c r="P76">
        <v>31.5</v>
      </c>
      <c r="Q76">
        <v>0</v>
      </c>
      <c r="R76" s="1">
        <f>A76-6+6</f>
        <v>43524</v>
      </c>
      <c r="S76">
        <f t="shared" si="12"/>
        <v>0</v>
      </c>
      <c r="T76">
        <f t="shared" si="13"/>
        <v>28</v>
      </c>
      <c r="U76">
        <f t="shared" si="14"/>
        <v>5</v>
      </c>
      <c r="V76">
        <f t="shared" si="15"/>
        <v>9</v>
      </c>
      <c r="W76">
        <f t="shared" si="16"/>
        <v>2</v>
      </c>
      <c r="X76">
        <f t="shared" si="17"/>
        <v>2019</v>
      </c>
      <c r="Y76" s="1" t="str">
        <f t="shared" si="10"/>
        <v>Friday</v>
      </c>
      <c r="Z76" s="1" t="str">
        <f t="shared" si="11"/>
        <v>February</v>
      </c>
    </row>
    <row r="77" spans="1:26" x14ac:dyDescent="0.3">
      <c r="A77" t="s">
        <v>47</v>
      </c>
      <c r="B77" t="s">
        <v>57</v>
      </c>
      <c r="C77" t="s">
        <v>58</v>
      </c>
      <c r="D77">
        <v>8666</v>
      </c>
      <c r="E77">
        <v>1</v>
      </c>
      <c r="F77">
        <v>240187</v>
      </c>
      <c r="G77" t="s">
        <v>131</v>
      </c>
      <c r="H77" t="s">
        <v>132</v>
      </c>
      <c r="I77" t="s">
        <v>157</v>
      </c>
      <c r="J77" t="s">
        <v>27</v>
      </c>
      <c r="K77">
        <v>5606</v>
      </c>
      <c r="L77" t="s">
        <v>23</v>
      </c>
      <c r="M77">
        <v>700</v>
      </c>
      <c r="N77" t="s">
        <v>24</v>
      </c>
      <c r="O77" t="s">
        <v>23</v>
      </c>
      <c r="P77">
        <v>31.5</v>
      </c>
      <c r="Q77">
        <v>0</v>
      </c>
      <c r="R77" s="1">
        <f>R72-2</f>
        <v>43518</v>
      </c>
      <c r="S77">
        <f t="shared" si="12"/>
        <v>0</v>
      </c>
      <c r="T77">
        <f t="shared" si="13"/>
        <v>22</v>
      </c>
      <c r="U77">
        <f t="shared" si="14"/>
        <v>6</v>
      </c>
      <c r="V77">
        <f t="shared" si="15"/>
        <v>8</v>
      </c>
      <c r="W77">
        <f t="shared" si="16"/>
        <v>2</v>
      </c>
      <c r="X77">
        <f t="shared" si="17"/>
        <v>2019</v>
      </c>
      <c r="Y77" s="1" t="str">
        <f t="shared" si="10"/>
        <v>Saturday</v>
      </c>
      <c r="Z77" s="1" t="str">
        <f t="shared" si="11"/>
        <v>February</v>
      </c>
    </row>
    <row r="78" spans="1:26" x14ac:dyDescent="0.3">
      <c r="A78" t="s">
        <v>47</v>
      </c>
      <c r="B78" t="s">
        <v>57</v>
      </c>
      <c r="C78" t="s">
        <v>58</v>
      </c>
      <c r="D78">
        <v>8666</v>
      </c>
      <c r="E78">
        <v>1</v>
      </c>
      <c r="F78">
        <v>240187</v>
      </c>
      <c r="G78" t="s">
        <v>131</v>
      </c>
      <c r="H78" t="s">
        <v>132</v>
      </c>
      <c r="I78" t="s">
        <v>157</v>
      </c>
      <c r="J78" t="s">
        <v>27</v>
      </c>
      <c r="K78">
        <v>5606</v>
      </c>
      <c r="L78" t="s">
        <v>23</v>
      </c>
      <c r="M78">
        <v>700</v>
      </c>
      <c r="N78" t="s">
        <v>24</v>
      </c>
      <c r="O78" t="s">
        <v>23</v>
      </c>
      <c r="P78">
        <v>31.5</v>
      </c>
      <c r="Q78">
        <v>0</v>
      </c>
      <c r="R78" s="1">
        <f>R72-1</f>
        <v>43519</v>
      </c>
      <c r="S78">
        <f t="shared" si="12"/>
        <v>0</v>
      </c>
      <c r="T78">
        <f t="shared" si="13"/>
        <v>23</v>
      </c>
      <c r="U78">
        <f t="shared" si="14"/>
        <v>7</v>
      </c>
      <c r="V78">
        <f t="shared" si="15"/>
        <v>8</v>
      </c>
      <c r="W78">
        <f t="shared" si="16"/>
        <v>2</v>
      </c>
      <c r="X78">
        <f t="shared" si="17"/>
        <v>2019</v>
      </c>
      <c r="Y78" s="1" t="str">
        <f t="shared" si="10"/>
        <v>Sunday</v>
      </c>
      <c r="Z78" s="1" t="str">
        <f t="shared" si="11"/>
        <v>February</v>
      </c>
    </row>
    <row r="79" spans="1:26" x14ac:dyDescent="0.3">
      <c r="A79" t="s">
        <v>48</v>
      </c>
      <c r="B79" t="s">
        <v>158</v>
      </c>
      <c r="C79" t="s">
        <v>159</v>
      </c>
      <c r="D79">
        <v>9254</v>
      </c>
      <c r="E79">
        <v>1</v>
      </c>
      <c r="F79">
        <v>241559</v>
      </c>
      <c r="G79" t="s">
        <v>131</v>
      </c>
      <c r="H79" t="s">
        <v>132</v>
      </c>
      <c r="I79" t="s">
        <v>160</v>
      </c>
      <c r="J79" t="s">
        <v>27</v>
      </c>
      <c r="K79">
        <v>5507</v>
      </c>
      <c r="L79" t="s">
        <v>23</v>
      </c>
      <c r="M79">
        <v>200</v>
      </c>
      <c r="N79" t="s">
        <v>24</v>
      </c>
      <c r="O79" t="s">
        <v>23</v>
      </c>
      <c r="P79">
        <v>13</v>
      </c>
      <c r="Q79">
        <v>8</v>
      </c>
      <c r="R79" s="1">
        <f>A79-6+2</f>
        <v>43534</v>
      </c>
      <c r="S79">
        <f t="shared" si="12"/>
        <v>104</v>
      </c>
      <c r="T79">
        <f t="shared" si="13"/>
        <v>10</v>
      </c>
      <c r="U79">
        <f t="shared" si="14"/>
        <v>1</v>
      </c>
      <c r="V79">
        <f t="shared" si="15"/>
        <v>11</v>
      </c>
      <c r="W79">
        <f t="shared" si="16"/>
        <v>3</v>
      </c>
      <c r="X79">
        <f t="shared" si="17"/>
        <v>2019</v>
      </c>
      <c r="Y79" s="1" t="str">
        <f t="shared" si="10"/>
        <v>Monday</v>
      </c>
      <c r="Z79" s="1" t="str">
        <f t="shared" si="11"/>
        <v>March</v>
      </c>
    </row>
    <row r="80" spans="1:26" x14ac:dyDescent="0.3">
      <c r="A80" t="s">
        <v>48</v>
      </c>
      <c r="B80" t="s">
        <v>158</v>
      </c>
      <c r="C80" t="s">
        <v>159</v>
      </c>
      <c r="D80">
        <v>9254</v>
      </c>
      <c r="E80">
        <v>1</v>
      </c>
      <c r="F80">
        <v>241559</v>
      </c>
      <c r="G80" t="s">
        <v>131</v>
      </c>
      <c r="H80" t="s">
        <v>132</v>
      </c>
      <c r="I80" t="s">
        <v>160</v>
      </c>
      <c r="J80" t="s">
        <v>27</v>
      </c>
      <c r="K80">
        <v>5507</v>
      </c>
      <c r="L80" t="s">
        <v>23</v>
      </c>
      <c r="M80">
        <v>200</v>
      </c>
      <c r="N80" t="s">
        <v>24</v>
      </c>
      <c r="O80" t="s">
        <v>23</v>
      </c>
      <c r="P80">
        <v>13</v>
      </c>
      <c r="Q80">
        <v>0</v>
      </c>
      <c r="R80" s="1">
        <f>A80-6+3</f>
        <v>43535</v>
      </c>
      <c r="S80">
        <f t="shared" si="12"/>
        <v>0</v>
      </c>
      <c r="T80">
        <f t="shared" si="13"/>
        <v>11</v>
      </c>
      <c r="U80">
        <f t="shared" si="14"/>
        <v>2</v>
      </c>
      <c r="V80">
        <f t="shared" si="15"/>
        <v>11</v>
      </c>
      <c r="W80">
        <f t="shared" si="16"/>
        <v>3</v>
      </c>
      <c r="X80">
        <f t="shared" si="17"/>
        <v>2019</v>
      </c>
      <c r="Y80" s="1" t="str">
        <f t="shared" si="10"/>
        <v>Tuesday</v>
      </c>
      <c r="Z80" s="1" t="str">
        <f t="shared" si="11"/>
        <v>March</v>
      </c>
    </row>
    <row r="81" spans="1:26" x14ac:dyDescent="0.3">
      <c r="A81" t="s">
        <v>48</v>
      </c>
      <c r="B81" t="s">
        <v>158</v>
      </c>
      <c r="C81" t="s">
        <v>159</v>
      </c>
      <c r="D81">
        <v>9254</v>
      </c>
      <c r="E81">
        <v>1</v>
      </c>
      <c r="F81">
        <v>241559</v>
      </c>
      <c r="G81" t="s">
        <v>131</v>
      </c>
      <c r="H81" t="s">
        <v>132</v>
      </c>
      <c r="I81" t="s">
        <v>160</v>
      </c>
      <c r="J81" t="s">
        <v>27</v>
      </c>
      <c r="K81">
        <v>5507</v>
      </c>
      <c r="L81" t="s">
        <v>23</v>
      </c>
      <c r="M81">
        <v>200</v>
      </c>
      <c r="N81" t="s">
        <v>24</v>
      </c>
      <c r="O81" t="s">
        <v>23</v>
      </c>
      <c r="P81">
        <v>13</v>
      </c>
      <c r="Q81">
        <v>0</v>
      </c>
      <c r="R81" s="1">
        <f>A81-6+4</f>
        <v>43536</v>
      </c>
      <c r="S81">
        <f t="shared" si="12"/>
        <v>0</v>
      </c>
      <c r="T81">
        <f t="shared" si="13"/>
        <v>12</v>
      </c>
      <c r="U81">
        <f t="shared" si="14"/>
        <v>3</v>
      </c>
      <c r="V81">
        <f t="shared" si="15"/>
        <v>11</v>
      </c>
      <c r="W81">
        <f t="shared" si="16"/>
        <v>3</v>
      </c>
      <c r="X81">
        <f t="shared" si="17"/>
        <v>2019</v>
      </c>
      <c r="Y81" s="1" t="str">
        <f t="shared" si="10"/>
        <v>Wednesday</v>
      </c>
      <c r="Z81" s="1" t="str">
        <f t="shared" si="11"/>
        <v>March</v>
      </c>
    </row>
    <row r="82" spans="1:26" x14ac:dyDescent="0.3">
      <c r="A82" t="s">
        <v>48</v>
      </c>
      <c r="B82" t="s">
        <v>158</v>
      </c>
      <c r="C82" t="s">
        <v>159</v>
      </c>
      <c r="D82">
        <v>9254</v>
      </c>
      <c r="E82">
        <v>1</v>
      </c>
      <c r="F82">
        <v>241559</v>
      </c>
      <c r="G82" t="s">
        <v>131</v>
      </c>
      <c r="H82" t="s">
        <v>132</v>
      </c>
      <c r="I82" t="s">
        <v>160</v>
      </c>
      <c r="J82" t="s">
        <v>27</v>
      </c>
      <c r="K82">
        <v>5507</v>
      </c>
      <c r="L82" t="s">
        <v>23</v>
      </c>
      <c r="M82">
        <v>200</v>
      </c>
      <c r="N82" t="s">
        <v>24</v>
      </c>
      <c r="O82" t="s">
        <v>23</v>
      </c>
      <c r="P82">
        <v>13</v>
      </c>
      <c r="Q82">
        <v>1</v>
      </c>
      <c r="R82" s="1">
        <f>A82-6+5</f>
        <v>43537</v>
      </c>
      <c r="S82">
        <f t="shared" si="12"/>
        <v>13</v>
      </c>
      <c r="T82">
        <f t="shared" si="13"/>
        <v>13</v>
      </c>
      <c r="U82">
        <f t="shared" si="14"/>
        <v>4</v>
      </c>
      <c r="V82">
        <f t="shared" si="15"/>
        <v>11</v>
      </c>
      <c r="W82">
        <f t="shared" si="16"/>
        <v>3</v>
      </c>
      <c r="X82">
        <f t="shared" si="17"/>
        <v>2019</v>
      </c>
      <c r="Y82" s="1" t="str">
        <f t="shared" si="10"/>
        <v>Thursday</v>
      </c>
      <c r="Z82" s="1" t="str">
        <f t="shared" si="11"/>
        <v>March</v>
      </c>
    </row>
    <row r="83" spans="1:26" x14ac:dyDescent="0.3">
      <c r="A83" t="s">
        <v>48</v>
      </c>
      <c r="B83" t="s">
        <v>158</v>
      </c>
      <c r="C83" t="s">
        <v>159</v>
      </c>
      <c r="D83">
        <v>9254</v>
      </c>
      <c r="E83">
        <v>1</v>
      </c>
      <c r="F83">
        <v>241559</v>
      </c>
      <c r="G83" t="s">
        <v>131</v>
      </c>
      <c r="H83" t="s">
        <v>132</v>
      </c>
      <c r="I83" t="s">
        <v>160</v>
      </c>
      <c r="J83" t="s">
        <v>27</v>
      </c>
      <c r="K83">
        <v>5507</v>
      </c>
      <c r="L83" t="s">
        <v>23</v>
      </c>
      <c r="M83">
        <v>200</v>
      </c>
      <c r="N83" t="s">
        <v>24</v>
      </c>
      <c r="O83" t="s">
        <v>23</v>
      </c>
      <c r="P83">
        <v>13</v>
      </c>
      <c r="Q83">
        <v>0</v>
      </c>
      <c r="R83" s="1">
        <f>A83-6+6</f>
        <v>43538</v>
      </c>
      <c r="S83">
        <f t="shared" si="12"/>
        <v>0</v>
      </c>
      <c r="T83">
        <f t="shared" si="13"/>
        <v>14</v>
      </c>
      <c r="U83">
        <f t="shared" si="14"/>
        <v>5</v>
      </c>
      <c r="V83">
        <f t="shared" si="15"/>
        <v>11</v>
      </c>
      <c r="W83">
        <f t="shared" si="16"/>
        <v>3</v>
      </c>
      <c r="X83">
        <f t="shared" si="17"/>
        <v>2019</v>
      </c>
      <c r="Y83" s="1" t="str">
        <f t="shared" si="10"/>
        <v>Friday</v>
      </c>
      <c r="Z83" s="1" t="str">
        <f t="shared" si="11"/>
        <v>March</v>
      </c>
    </row>
    <row r="84" spans="1:26" x14ac:dyDescent="0.3">
      <c r="A84" t="s">
        <v>48</v>
      </c>
      <c r="B84" t="s">
        <v>158</v>
      </c>
      <c r="C84" t="s">
        <v>159</v>
      </c>
      <c r="D84">
        <v>9254</v>
      </c>
      <c r="E84">
        <v>1</v>
      </c>
      <c r="F84">
        <v>241559</v>
      </c>
      <c r="G84" t="s">
        <v>131</v>
      </c>
      <c r="H84" t="s">
        <v>132</v>
      </c>
      <c r="I84" t="s">
        <v>160</v>
      </c>
      <c r="J84" t="s">
        <v>27</v>
      </c>
      <c r="K84">
        <v>5507</v>
      </c>
      <c r="L84" t="s">
        <v>23</v>
      </c>
      <c r="M84">
        <v>200</v>
      </c>
      <c r="N84" t="s">
        <v>24</v>
      </c>
      <c r="O84" t="s">
        <v>23</v>
      </c>
      <c r="P84">
        <v>13</v>
      </c>
      <c r="Q84">
        <v>0</v>
      </c>
      <c r="R84" s="1">
        <f>R79-2</f>
        <v>43532</v>
      </c>
      <c r="S84">
        <f t="shared" si="12"/>
        <v>0</v>
      </c>
      <c r="T84">
        <f t="shared" si="13"/>
        <v>8</v>
      </c>
      <c r="U84">
        <f t="shared" si="14"/>
        <v>6</v>
      </c>
      <c r="V84">
        <f t="shared" si="15"/>
        <v>10</v>
      </c>
      <c r="W84">
        <f t="shared" si="16"/>
        <v>3</v>
      </c>
      <c r="X84">
        <f t="shared" si="17"/>
        <v>2019</v>
      </c>
      <c r="Y84" s="1" t="str">
        <f t="shared" si="10"/>
        <v>Saturday</v>
      </c>
      <c r="Z84" s="1" t="str">
        <f t="shared" si="11"/>
        <v>March</v>
      </c>
    </row>
    <row r="85" spans="1:26" x14ac:dyDescent="0.3">
      <c r="A85" t="s">
        <v>48</v>
      </c>
      <c r="B85" t="s">
        <v>158</v>
      </c>
      <c r="C85" t="s">
        <v>159</v>
      </c>
      <c r="D85">
        <v>9254</v>
      </c>
      <c r="E85">
        <v>1</v>
      </c>
      <c r="F85">
        <v>241559</v>
      </c>
      <c r="G85" t="s">
        <v>131</v>
      </c>
      <c r="H85" t="s">
        <v>132</v>
      </c>
      <c r="I85" t="s">
        <v>160</v>
      </c>
      <c r="J85" t="s">
        <v>27</v>
      </c>
      <c r="K85">
        <v>5507</v>
      </c>
      <c r="L85" t="s">
        <v>23</v>
      </c>
      <c r="M85">
        <v>200</v>
      </c>
      <c r="N85" t="s">
        <v>24</v>
      </c>
      <c r="O85" t="s">
        <v>23</v>
      </c>
      <c r="P85">
        <v>13</v>
      </c>
      <c r="Q85">
        <v>0</v>
      </c>
      <c r="R85" s="1">
        <f>R79-1</f>
        <v>43533</v>
      </c>
      <c r="S85">
        <f t="shared" si="12"/>
        <v>0</v>
      </c>
      <c r="T85">
        <f t="shared" si="13"/>
        <v>9</v>
      </c>
      <c r="U85">
        <f t="shared" si="14"/>
        <v>7</v>
      </c>
      <c r="V85">
        <f t="shared" si="15"/>
        <v>10</v>
      </c>
      <c r="W85">
        <f t="shared" si="16"/>
        <v>3</v>
      </c>
      <c r="X85">
        <f t="shared" si="17"/>
        <v>2019</v>
      </c>
      <c r="Y85" s="1" t="str">
        <f t="shared" si="10"/>
        <v>Sunday</v>
      </c>
      <c r="Z85" s="1" t="str">
        <f t="shared" si="11"/>
        <v>March</v>
      </c>
    </row>
    <row r="86" spans="1:26" x14ac:dyDescent="0.3">
      <c r="A86" t="s">
        <v>47</v>
      </c>
      <c r="B86" t="s">
        <v>161</v>
      </c>
      <c r="C86" t="s">
        <v>162</v>
      </c>
      <c r="D86">
        <v>9135</v>
      </c>
      <c r="E86">
        <v>1</v>
      </c>
      <c r="F86">
        <v>240341</v>
      </c>
      <c r="G86" t="s">
        <v>131</v>
      </c>
      <c r="H86" t="s">
        <v>132</v>
      </c>
      <c r="I86" t="s">
        <v>163</v>
      </c>
      <c r="J86" t="s">
        <v>27</v>
      </c>
      <c r="K86">
        <v>5507</v>
      </c>
      <c r="L86" t="s">
        <v>23</v>
      </c>
      <c r="M86">
        <v>500</v>
      </c>
      <c r="N86" t="s">
        <v>24</v>
      </c>
      <c r="O86" t="s">
        <v>23</v>
      </c>
      <c r="P86">
        <v>14.5</v>
      </c>
      <c r="Q86">
        <v>0</v>
      </c>
      <c r="R86" s="1">
        <f>A86-6+2</f>
        <v>43520</v>
      </c>
      <c r="S86">
        <f t="shared" si="12"/>
        <v>0</v>
      </c>
      <c r="T86">
        <f t="shared" si="13"/>
        <v>24</v>
      </c>
      <c r="U86">
        <f t="shared" si="14"/>
        <v>1</v>
      </c>
      <c r="V86">
        <f t="shared" si="15"/>
        <v>9</v>
      </c>
      <c r="W86">
        <f t="shared" si="16"/>
        <v>2</v>
      </c>
      <c r="X86">
        <f t="shared" si="17"/>
        <v>2019</v>
      </c>
      <c r="Y86" s="1" t="str">
        <f t="shared" si="10"/>
        <v>Monday</v>
      </c>
      <c r="Z86" s="1" t="str">
        <f t="shared" si="11"/>
        <v>February</v>
      </c>
    </row>
    <row r="87" spans="1:26" x14ac:dyDescent="0.3">
      <c r="A87" t="s">
        <v>47</v>
      </c>
      <c r="B87" t="s">
        <v>161</v>
      </c>
      <c r="C87" t="s">
        <v>162</v>
      </c>
      <c r="D87">
        <v>9135</v>
      </c>
      <c r="E87">
        <v>1</v>
      </c>
      <c r="F87">
        <v>240341</v>
      </c>
      <c r="G87" t="s">
        <v>131</v>
      </c>
      <c r="H87" t="s">
        <v>132</v>
      </c>
      <c r="I87" t="s">
        <v>163</v>
      </c>
      <c r="J87" t="s">
        <v>27</v>
      </c>
      <c r="K87">
        <v>5507</v>
      </c>
      <c r="L87" t="s">
        <v>23</v>
      </c>
      <c r="M87">
        <v>500</v>
      </c>
      <c r="N87" t="s">
        <v>24</v>
      </c>
      <c r="O87" t="s">
        <v>23</v>
      </c>
      <c r="P87">
        <v>14.5</v>
      </c>
      <c r="Q87">
        <v>0</v>
      </c>
      <c r="R87" s="1">
        <f>A87-6+3</f>
        <v>43521</v>
      </c>
      <c r="S87">
        <f t="shared" si="12"/>
        <v>0</v>
      </c>
      <c r="T87">
        <f t="shared" si="13"/>
        <v>25</v>
      </c>
      <c r="U87">
        <f t="shared" si="14"/>
        <v>2</v>
      </c>
      <c r="V87">
        <f t="shared" si="15"/>
        <v>9</v>
      </c>
      <c r="W87">
        <f t="shared" si="16"/>
        <v>2</v>
      </c>
      <c r="X87">
        <f t="shared" si="17"/>
        <v>2019</v>
      </c>
      <c r="Y87" s="1" t="str">
        <f t="shared" si="10"/>
        <v>Tuesday</v>
      </c>
      <c r="Z87" s="1" t="str">
        <f t="shared" si="11"/>
        <v>February</v>
      </c>
    </row>
    <row r="88" spans="1:26" x14ac:dyDescent="0.3">
      <c r="A88" t="s">
        <v>47</v>
      </c>
      <c r="B88" t="s">
        <v>161</v>
      </c>
      <c r="C88" t="s">
        <v>162</v>
      </c>
      <c r="D88">
        <v>9135</v>
      </c>
      <c r="E88">
        <v>1</v>
      </c>
      <c r="F88">
        <v>240341</v>
      </c>
      <c r="G88" t="s">
        <v>131</v>
      </c>
      <c r="H88" t="s">
        <v>132</v>
      </c>
      <c r="I88" t="s">
        <v>163</v>
      </c>
      <c r="J88" t="s">
        <v>27</v>
      </c>
      <c r="K88">
        <v>5507</v>
      </c>
      <c r="L88" t="s">
        <v>23</v>
      </c>
      <c r="M88">
        <v>500</v>
      </c>
      <c r="N88" t="s">
        <v>24</v>
      </c>
      <c r="O88" t="s">
        <v>23</v>
      </c>
      <c r="P88">
        <v>14.5</v>
      </c>
      <c r="Q88">
        <v>0</v>
      </c>
      <c r="R88" s="1">
        <f>A88-6+4</f>
        <v>43522</v>
      </c>
      <c r="S88">
        <f t="shared" si="12"/>
        <v>0</v>
      </c>
      <c r="T88">
        <f t="shared" si="13"/>
        <v>26</v>
      </c>
      <c r="U88">
        <f t="shared" si="14"/>
        <v>3</v>
      </c>
      <c r="V88">
        <f t="shared" si="15"/>
        <v>9</v>
      </c>
      <c r="W88">
        <f t="shared" si="16"/>
        <v>2</v>
      </c>
      <c r="X88">
        <f t="shared" si="17"/>
        <v>2019</v>
      </c>
      <c r="Y88" s="1" t="str">
        <f t="shared" si="10"/>
        <v>Wednesday</v>
      </c>
      <c r="Z88" s="1" t="str">
        <f t="shared" si="11"/>
        <v>February</v>
      </c>
    </row>
    <row r="89" spans="1:26" x14ac:dyDescent="0.3">
      <c r="A89" t="s">
        <v>47</v>
      </c>
      <c r="B89" t="s">
        <v>161</v>
      </c>
      <c r="C89" t="s">
        <v>162</v>
      </c>
      <c r="D89">
        <v>9135</v>
      </c>
      <c r="E89">
        <v>1</v>
      </c>
      <c r="F89">
        <v>240341</v>
      </c>
      <c r="G89" t="s">
        <v>131</v>
      </c>
      <c r="H89" t="s">
        <v>132</v>
      </c>
      <c r="I89" t="s">
        <v>163</v>
      </c>
      <c r="J89" t="s">
        <v>27</v>
      </c>
      <c r="K89">
        <v>5507</v>
      </c>
      <c r="L89" t="s">
        <v>23</v>
      </c>
      <c r="M89">
        <v>500</v>
      </c>
      <c r="N89" t="s">
        <v>24</v>
      </c>
      <c r="O89" t="s">
        <v>23</v>
      </c>
      <c r="P89">
        <v>14.5</v>
      </c>
      <c r="Q89">
        <v>0</v>
      </c>
      <c r="R89" s="1">
        <f>A89-6+5</f>
        <v>43523</v>
      </c>
      <c r="S89">
        <f t="shared" si="12"/>
        <v>0</v>
      </c>
      <c r="T89">
        <f t="shared" si="13"/>
        <v>27</v>
      </c>
      <c r="U89">
        <f t="shared" si="14"/>
        <v>4</v>
      </c>
      <c r="V89">
        <f t="shared" si="15"/>
        <v>9</v>
      </c>
      <c r="W89">
        <f t="shared" si="16"/>
        <v>2</v>
      </c>
      <c r="X89">
        <f t="shared" si="17"/>
        <v>2019</v>
      </c>
      <c r="Y89" s="1" t="str">
        <f t="shared" si="10"/>
        <v>Thursday</v>
      </c>
      <c r="Z89" s="1" t="str">
        <f t="shared" si="11"/>
        <v>February</v>
      </c>
    </row>
    <row r="90" spans="1:26" x14ac:dyDescent="0.3">
      <c r="A90" t="s">
        <v>47</v>
      </c>
      <c r="B90" t="s">
        <v>161</v>
      </c>
      <c r="C90" t="s">
        <v>162</v>
      </c>
      <c r="D90">
        <v>9135</v>
      </c>
      <c r="E90">
        <v>1</v>
      </c>
      <c r="F90">
        <v>240341</v>
      </c>
      <c r="G90" t="s">
        <v>131</v>
      </c>
      <c r="H90" t="s">
        <v>132</v>
      </c>
      <c r="I90" t="s">
        <v>163</v>
      </c>
      <c r="J90" t="s">
        <v>27</v>
      </c>
      <c r="K90">
        <v>5507</v>
      </c>
      <c r="L90" t="s">
        <v>23</v>
      </c>
      <c r="M90">
        <v>500</v>
      </c>
      <c r="N90" t="s">
        <v>24</v>
      </c>
      <c r="O90" t="s">
        <v>23</v>
      </c>
      <c r="P90">
        <v>14.5</v>
      </c>
      <c r="Q90">
        <v>0</v>
      </c>
      <c r="R90" s="1">
        <f>A90-6+6</f>
        <v>43524</v>
      </c>
      <c r="S90">
        <f t="shared" si="12"/>
        <v>0</v>
      </c>
      <c r="T90">
        <f t="shared" si="13"/>
        <v>28</v>
      </c>
      <c r="U90">
        <f t="shared" si="14"/>
        <v>5</v>
      </c>
      <c r="V90">
        <f t="shared" si="15"/>
        <v>9</v>
      </c>
      <c r="W90">
        <f t="shared" si="16"/>
        <v>2</v>
      </c>
      <c r="X90">
        <f t="shared" si="17"/>
        <v>2019</v>
      </c>
      <c r="Y90" s="1" t="str">
        <f t="shared" si="10"/>
        <v>Friday</v>
      </c>
      <c r="Z90" s="1" t="str">
        <f t="shared" si="11"/>
        <v>February</v>
      </c>
    </row>
    <row r="91" spans="1:26" x14ac:dyDescent="0.3">
      <c r="A91" t="s">
        <v>47</v>
      </c>
      <c r="B91" t="s">
        <v>161</v>
      </c>
      <c r="C91" t="s">
        <v>162</v>
      </c>
      <c r="D91">
        <v>9135</v>
      </c>
      <c r="E91">
        <v>1</v>
      </c>
      <c r="F91">
        <v>240341</v>
      </c>
      <c r="G91" t="s">
        <v>131</v>
      </c>
      <c r="H91" t="s">
        <v>132</v>
      </c>
      <c r="I91" t="s">
        <v>163</v>
      </c>
      <c r="J91" t="s">
        <v>27</v>
      </c>
      <c r="K91">
        <v>5507</v>
      </c>
      <c r="L91" t="s">
        <v>23</v>
      </c>
      <c r="M91">
        <v>500</v>
      </c>
      <c r="N91" t="s">
        <v>24</v>
      </c>
      <c r="O91" t="s">
        <v>23</v>
      </c>
      <c r="P91">
        <v>14.5</v>
      </c>
      <c r="Q91">
        <v>2</v>
      </c>
      <c r="R91" s="1">
        <f>R86-2</f>
        <v>43518</v>
      </c>
      <c r="S91">
        <f t="shared" si="12"/>
        <v>29</v>
      </c>
      <c r="T91">
        <f t="shared" si="13"/>
        <v>22</v>
      </c>
      <c r="U91">
        <f t="shared" si="14"/>
        <v>6</v>
      </c>
      <c r="V91">
        <f t="shared" si="15"/>
        <v>8</v>
      </c>
      <c r="W91">
        <f t="shared" si="16"/>
        <v>2</v>
      </c>
      <c r="X91">
        <f t="shared" si="17"/>
        <v>2019</v>
      </c>
      <c r="Y91" s="1" t="str">
        <f t="shared" si="10"/>
        <v>Saturday</v>
      </c>
      <c r="Z91" s="1" t="str">
        <f t="shared" si="11"/>
        <v>February</v>
      </c>
    </row>
    <row r="92" spans="1:26" x14ac:dyDescent="0.3">
      <c r="A92" t="s">
        <v>47</v>
      </c>
      <c r="B92" t="s">
        <v>161</v>
      </c>
      <c r="C92" t="s">
        <v>162</v>
      </c>
      <c r="D92">
        <v>9135</v>
      </c>
      <c r="E92">
        <v>1</v>
      </c>
      <c r="F92">
        <v>240341</v>
      </c>
      <c r="G92" t="s">
        <v>131</v>
      </c>
      <c r="H92" t="s">
        <v>132</v>
      </c>
      <c r="I92" t="s">
        <v>163</v>
      </c>
      <c r="J92" t="s">
        <v>27</v>
      </c>
      <c r="K92">
        <v>5507</v>
      </c>
      <c r="L92" t="s">
        <v>23</v>
      </c>
      <c r="M92">
        <v>500</v>
      </c>
      <c r="N92" t="s">
        <v>24</v>
      </c>
      <c r="O92" t="s">
        <v>23</v>
      </c>
      <c r="P92">
        <v>14.5</v>
      </c>
      <c r="Q92">
        <v>4</v>
      </c>
      <c r="R92" s="1">
        <f>R86-1</f>
        <v>43519</v>
      </c>
      <c r="S92">
        <f t="shared" si="12"/>
        <v>58</v>
      </c>
      <c r="T92">
        <f t="shared" si="13"/>
        <v>23</v>
      </c>
      <c r="U92">
        <f t="shared" si="14"/>
        <v>7</v>
      </c>
      <c r="V92">
        <f t="shared" si="15"/>
        <v>8</v>
      </c>
      <c r="W92">
        <f t="shared" si="16"/>
        <v>2</v>
      </c>
      <c r="X92">
        <f t="shared" si="17"/>
        <v>2019</v>
      </c>
      <c r="Y92" s="1" t="str">
        <f t="shared" si="10"/>
        <v>Sunday</v>
      </c>
      <c r="Z92" s="1" t="str">
        <f t="shared" si="11"/>
        <v>February</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92"/>
  <sheetViews>
    <sheetView workbookViewId="0">
      <selection sqref="A1:XFD1"/>
    </sheetView>
  </sheetViews>
  <sheetFormatPr defaultRowHeight="14.4" x14ac:dyDescent="0.3"/>
  <cols>
    <col min="1" max="1" width="18.88671875" customWidth="1"/>
    <col min="2" max="2" width="12.33203125" customWidth="1"/>
    <col min="3" max="3" width="17.33203125" customWidth="1"/>
    <col min="4" max="4" width="19.6640625" customWidth="1"/>
    <col min="5" max="5" width="9.77734375" customWidth="1"/>
    <col min="6" max="6" width="16.109375" customWidth="1"/>
    <col min="7" max="7" width="9" customWidth="1"/>
    <col min="8" max="8" width="10.33203125" customWidth="1"/>
    <col min="9" max="9" width="16.77734375" customWidth="1"/>
    <col min="10" max="10" width="11.44140625" customWidth="1"/>
    <col min="11" max="11" width="10.44140625" customWidth="1"/>
    <col min="12" max="12" width="16.44140625" customWidth="1"/>
    <col min="13" max="13" width="12" customWidth="1"/>
    <col min="14" max="14" width="13" customWidth="1"/>
    <col min="15" max="15" width="13.88671875" customWidth="1"/>
    <col min="16" max="16" width="10.5546875" customWidth="1"/>
    <col min="18" max="18" width="10.88671875" customWidth="1"/>
    <col min="20" max="20" width="10.21875" customWidth="1"/>
    <col min="21" max="21" width="10.44140625" customWidth="1"/>
    <col min="22" max="22" width="14" customWidth="1"/>
    <col min="25" max="25" width="10.77734375" customWidth="1"/>
    <col min="26" max="26" width="13.33203125" customWidth="1"/>
  </cols>
  <sheetData>
    <row r="1" spans="1:26"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row>
    <row r="2" spans="1:26" x14ac:dyDescent="0.3">
      <c r="A2" t="s">
        <v>53</v>
      </c>
      <c r="B2" t="s">
        <v>129</v>
      </c>
      <c r="C2" t="s">
        <v>130</v>
      </c>
      <c r="D2">
        <v>7607</v>
      </c>
      <c r="E2">
        <v>1</v>
      </c>
      <c r="F2">
        <v>228306</v>
      </c>
      <c r="G2" t="s">
        <v>131</v>
      </c>
      <c r="H2" t="s">
        <v>132</v>
      </c>
      <c r="I2" t="s">
        <v>133</v>
      </c>
      <c r="J2" t="s">
        <v>22</v>
      </c>
      <c r="K2">
        <v>5606</v>
      </c>
      <c r="L2" t="s">
        <v>23</v>
      </c>
      <c r="M2">
        <v>800</v>
      </c>
      <c r="N2" t="s">
        <v>24</v>
      </c>
      <c r="O2" t="s">
        <v>23</v>
      </c>
      <c r="P2">
        <v>27</v>
      </c>
      <c r="Q2">
        <v>10</v>
      </c>
      <c r="R2">
        <f>A2-6+2</f>
        <v>43373</v>
      </c>
      <c r="S2">
        <f>P2*Q2</f>
        <v>270</v>
      </c>
      <c r="T2">
        <f>DAY(R2)</f>
        <v>30</v>
      </c>
      <c r="U2">
        <f>WEEKDAY(R2)</f>
        <v>1</v>
      </c>
      <c r="V2">
        <f>WEEKNUM(R2)</f>
        <v>40</v>
      </c>
      <c r="W2">
        <f>MONTH(R2)</f>
        <v>9</v>
      </c>
      <c r="X2">
        <f>YEAR(R2)</f>
        <v>2018</v>
      </c>
      <c r="Y2" t="str">
        <f t="shared" ref="Y2:Y33" si="0">VLOOKUP(U2,dayname,2)</f>
        <v>Monday</v>
      </c>
      <c r="Z2" t="str">
        <f t="shared" ref="Z2:Z33" si="1">VLOOKUP(W2,mesnome,2)</f>
        <v>September</v>
      </c>
    </row>
    <row r="3" spans="1:26" x14ac:dyDescent="0.3">
      <c r="A3" t="s">
        <v>53</v>
      </c>
      <c r="B3" t="s">
        <v>129</v>
      </c>
      <c r="C3" t="s">
        <v>130</v>
      </c>
      <c r="D3">
        <v>7607</v>
      </c>
      <c r="E3">
        <v>1</v>
      </c>
      <c r="F3">
        <v>228306</v>
      </c>
      <c r="G3" t="s">
        <v>131</v>
      </c>
      <c r="H3" t="s">
        <v>132</v>
      </c>
      <c r="I3" t="s">
        <v>133</v>
      </c>
      <c r="J3" t="s">
        <v>22</v>
      </c>
      <c r="K3">
        <v>5606</v>
      </c>
      <c r="L3" t="s">
        <v>23</v>
      </c>
      <c r="M3">
        <v>800</v>
      </c>
      <c r="N3" t="s">
        <v>24</v>
      </c>
      <c r="O3" t="s">
        <v>23</v>
      </c>
      <c r="P3">
        <v>27</v>
      </c>
      <c r="Q3">
        <v>0</v>
      </c>
      <c r="R3">
        <f>A3-6+3</f>
        <v>43374</v>
      </c>
      <c r="S3">
        <f t="shared" ref="S3:S66" si="2">P3*Q3</f>
        <v>0</v>
      </c>
      <c r="T3">
        <f t="shared" ref="T3:T66" si="3">DAY(R3)</f>
        <v>1</v>
      </c>
      <c r="U3">
        <f t="shared" ref="U3:U66" si="4">WEEKDAY(R3)</f>
        <v>2</v>
      </c>
      <c r="V3">
        <f t="shared" ref="V3:V66" si="5">WEEKNUM(R3)</f>
        <v>40</v>
      </c>
      <c r="W3">
        <f t="shared" ref="W3:W66" si="6">MONTH(R3)</f>
        <v>10</v>
      </c>
      <c r="X3">
        <f t="shared" ref="X3:X66" si="7">YEAR(R3)</f>
        <v>2018</v>
      </c>
      <c r="Y3" t="str">
        <f t="shared" si="0"/>
        <v>Tuesday</v>
      </c>
      <c r="Z3" t="str">
        <f t="shared" si="1"/>
        <v>October</v>
      </c>
    </row>
    <row r="4" spans="1:26" x14ac:dyDescent="0.3">
      <c r="A4" t="s">
        <v>53</v>
      </c>
      <c r="B4" t="s">
        <v>129</v>
      </c>
      <c r="C4" t="s">
        <v>130</v>
      </c>
      <c r="D4">
        <v>7607</v>
      </c>
      <c r="E4">
        <v>1</v>
      </c>
      <c r="F4">
        <v>228306</v>
      </c>
      <c r="G4" t="s">
        <v>131</v>
      </c>
      <c r="H4" t="s">
        <v>132</v>
      </c>
      <c r="I4" t="s">
        <v>133</v>
      </c>
      <c r="J4" t="s">
        <v>22</v>
      </c>
      <c r="K4">
        <v>5606</v>
      </c>
      <c r="L4" t="s">
        <v>23</v>
      </c>
      <c r="M4">
        <v>800</v>
      </c>
      <c r="N4" t="s">
        <v>24</v>
      </c>
      <c r="O4" t="s">
        <v>23</v>
      </c>
      <c r="P4">
        <v>27</v>
      </c>
      <c r="Q4">
        <v>0</v>
      </c>
      <c r="R4">
        <f>A4-6+4</f>
        <v>43375</v>
      </c>
      <c r="S4">
        <f t="shared" si="2"/>
        <v>0</v>
      </c>
      <c r="T4">
        <f t="shared" si="3"/>
        <v>2</v>
      </c>
      <c r="U4">
        <f t="shared" si="4"/>
        <v>3</v>
      </c>
      <c r="V4">
        <f t="shared" si="5"/>
        <v>40</v>
      </c>
      <c r="W4">
        <f t="shared" si="6"/>
        <v>10</v>
      </c>
      <c r="X4">
        <f t="shared" si="7"/>
        <v>2018</v>
      </c>
      <c r="Y4" t="str">
        <f t="shared" si="0"/>
        <v>Wednesday</v>
      </c>
      <c r="Z4" t="str">
        <f t="shared" si="1"/>
        <v>October</v>
      </c>
    </row>
    <row r="5" spans="1:26" x14ac:dyDescent="0.3">
      <c r="A5" t="s">
        <v>53</v>
      </c>
      <c r="B5" t="s">
        <v>129</v>
      </c>
      <c r="C5" t="s">
        <v>130</v>
      </c>
      <c r="D5">
        <v>7607</v>
      </c>
      <c r="E5">
        <v>1</v>
      </c>
      <c r="F5">
        <v>228306</v>
      </c>
      <c r="G5" t="s">
        <v>131</v>
      </c>
      <c r="H5" t="s">
        <v>132</v>
      </c>
      <c r="I5" t="s">
        <v>133</v>
      </c>
      <c r="J5" t="s">
        <v>22</v>
      </c>
      <c r="K5">
        <v>5606</v>
      </c>
      <c r="L5" t="s">
        <v>23</v>
      </c>
      <c r="M5">
        <v>800</v>
      </c>
      <c r="N5" t="s">
        <v>24</v>
      </c>
      <c r="O5" t="s">
        <v>23</v>
      </c>
      <c r="P5">
        <v>27</v>
      </c>
      <c r="Q5">
        <v>10</v>
      </c>
      <c r="R5">
        <f>A5-6+5</f>
        <v>43376</v>
      </c>
      <c r="S5">
        <f t="shared" si="2"/>
        <v>270</v>
      </c>
      <c r="T5">
        <f t="shared" si="3"/>
        <v>3</v>
      </c>
      <c r="U5">
        <f t="shared" si="4"/>
        <v>4</v>
      </c>
      <c r="V5">
        <f t="shared" si="5"/>
        <v>40</v>
      </c>
      <c r="W5">
        <f t="shared" si="6"/>
        <v>10</v>
      </c>
      <c r="X5">
        <f t="shared" si="7"/>
        <v>2018</v>
      </c>
      <c r="Y5" t="str">
        <f t="shared" si="0"/>
        <v>Thursday</v>
      </c>
      <c r="Z5" t="str">
        <f t="shared" si="1"/>
        <v>October</v>
      </c>
    </row>
    <row r="6" spans="1:26" x14ac:dyDescent="0.3">
      <c r="A6" t="s">
        <v>53</v>
      </c>
      <c r="B6" t="s">
        <v>129</v>
      </c>
      <c r="C6" t="s">
        <v>130</v>
      </c>
      <c r="D6">
        <v>7607</v>
      </c>
      <c r="E6">
        <v>1</v>
      </c>
      <c r="F6">
        <v>228306</v>
      </c>
      <c r="G6" t="s">
        <v>131</v>
      </c>
      <c r="H6" t="s">
        <v>132</v>
      </c>
      <c r="I6" t="s">
        <v>133</v>
      </c>
      <c r="J6" t="s">
        <v>22</v>
      </c>
      <c r="K6">
        <v>5606</v>
      </c>
      <c r="L6" t="s">
        <v>23</v>
      </c>
      <c r="M6">
        <v>800</v>
      </c>
      <c r="N6" t="s">
        <v>24</v>
      </c>
      <c r="O6" t="s">
        <v>23</v>
      </c>
      <c r="P6">
        <v>27</v>
      </c>
      <c r="Q6">
        <v>10</v>
      </c>
      <c r="R6">
        <f>A6-6+6</f>
        <v>43377</v>
      </c>
      <c r="S6">
        <f t="shared" si="2"/>
        <v>270</v>
      </c>
      <c r="T6">
        <f t="shared" si="3"/>
        <v>4</v>
      </c>
      <c r="U6">
        <f t="shared" si="4"/>
        <v>5</v>
      </c>
      <c r="V6">
        <f t="shared" si="5"/>
        <v>40</v>
      </c>
      <c r="W6">
        <f t="shared" si="6"/>
        <v>10</v>
      </c>
      <c r="X6">
        <f t="shared" si="7"/>
        <v>2018</v>
      </c>
      <c r="Y6" t="str">
        <f t="shared" si="0"/>
        <v>Friday</v>
      </c>
      <c r="Z6" t="str">
        <f t="shared" si="1"/>
        <v>October</v>
      </c>
    </row>
    <row r="7" spans="1:26" x14ac:dyDescent="0.3">
      <c r="A7" t="s">
        <v>53</v>
      </c>
      <c r="B7" t="s">
        <v>129</v>
      </c>
      <c r="C7" t="s">
        <v>130</v>
      </c>
      <c r="D7">
        <v>7607</v>
      </c>
      <c r="E7">
        <v>1</v>
      </c>
      <c r="F7">
        <v>228306</v>
      </c>
      <c r="G7" t="s">
        <v>131</v>
      </c>
      <c r="H7" t="s">
        <v>132</v>
      </c>
      <c r="I7" t="s">
        <v>133</v>
      </c>
      <c r="J7" t="s">
        <v>22</v>
      </c>
      <c r="K7">
        <v>5606</v>
      </c>
      <c r="L7" t="s">
        <v>23</v>
      </c>
      <c r="M7">
        <v>800</v>
      </c>
      <c r="N7" t="s">
        <v>24</v>
      </c>
      <c r="O7" t="s">
        <v>23</v>
      </c>
      <c r="P7">
        <v>27</v>
      </c>
      <c r="Q7">
        <v>10</v>
      </c>
      <c r="R7">
        <f>R2-2</f>
        <v>43371</v>
      </c>
      <c r="S7">
        <f t="shared" si="2"/>
        <v>270</v>
      </c>
      <c r="T7">
        <f t="shared" si="3"/>
        <v>28</v>
      </c>
      <c r="U7">
        <f t="shared" si="4"/>
        <v>6</v>
      </c>
      <c r="V7">
        <f t="shared" si="5"/>
        <v>39</v>
      </c>
      <c r="W7">
        <f t="shared" si="6"/>
        <v>9</v>
      </c>
      <c r="X7">
        <f t="shared" si="7"/>
        <v>2018</v>
      </c>
      <c r="Y7" t="str">
        <f t="shared" si="0"/>
        <v>Saturday</v>
      </c>
      <c r="Z7" t="str">
        <f t="shared" si="1"/>
        <v>September</v>
      </c>
    </row>
    <row r="8" spans="1:26" x14ac:dyDescent="0.3">
      <c r="A8" t="s">
        <v>53</v>
      </c>
      <c r="B8" t="s">
        <v>129</v>
      </c>
      <c r="C8" t="s">
        <v>130</v>
      </c>
      <c r="D8">
        <v>7607</v>
      </c>
      <c r="E8">
        <v>1</v>
      </c>
      <c r="F8">
        <v>228306</v>
      </c>
      <c r="G8" t="s">
        <v>131</v>
      </c>
      <c r="H8" t="s">
        <v>132</v>
      </c>
      <c r="I8" t="s">
        <v>133</v>
      </c>
      <c r="J8" t="s">
        <v>22</v>
      </c>
      <c r="K8">
        <v>5606</v>
      </c>
      <c r="L8" t="s">
        <v>23</v>
      </c>
      <c r="M8">
        <v>800</v>
      </c>
      <c r="N8" t="s">
        <v>24</v>
      </c>
      <c r="O8" t="s">
        <v>23</v>
      </c>
      <c r="P8">
        <v>27</v>
      </c>
      <c r="Q8">
        <v>10</v>
      </c>
      <c r="R8">
        <f>R2-1</f>
        <v>43372</v>
      </c>
      <c r="S8">
        <f t="shared" si="2"/>
        <v>270</v>
      </c>
      <c r="T8">
        <f t="shared" si="3"/>
        <v>29</v>
      </c>
      <c r="U8">
        <f t="shared" si="4"/>
        <v>7</v>
      </c>
      <c r="V8">
        <f t="shared" si="5"/>
        <v>39</v>
      </c>
      <c r="W8">
        <f t="shared" si="6"/>
        <v>9</v>
      </c>
      <c r="X8">
        <f t="shared" si="7"/>
        <v>2018</v>
      </c>
      <c r="Y8" t="str">
        <f t="shared" si="0"/>
        <v>Sunday</v>
      </c>
      <c r="Z8" t="str">
        <f t="shared" si="1"/>
        <v>September</v>
      </c>
    </row>
    <row r="9" spans="1:26" x14ac:dyDescent="0.3">
      <c r="A9" t="s">
        <v>32</v>
      </c>
      <c r="B9" t="s">
        <v>134</v>
      </c>
      <c r="C9" t="s">
        <v>135</v>
      </c>
      <c r="D9">
        <v>9082</v>
      </c>
      <c r="E9">
        <v>1</v>
      </c>
      <c r="F9">
        <v>235178</v>
      </c>
      <c r="G9" t="s">
        <v>131</v>
      </c>
      <c r="H9" t="s">
        <v>132</v>
      </c>
      <c r="I9" t="s">
        <v>136</v>
      </c>
      <c r="J9" t="s">
        <v>27</v>
      </c>
      <c r="K9">
        <v>5507</v>
      </c>
      <c r="L9" t="s">
        <v>23</v>
      </c>
      <c r="M9">
        <v>200</v>
      </c>
      <c r="N9" t="s">
        <v>24</v>
      </c>
      <c r="O9" t="s">
        <v>23</v>
      </c>
      <c r="P9">
        <v>15.5</v>
      </c>
      <c r="Q9">
        <v>2</v>
      </c>
      <c r="R9">
        <f>A9-6+2</f>
        <v>43457</v>
      </c>
      <c r="S9">
        <f t="shared" si="2"/>
        <v>31</v>
      </c>
      <c r="T9">
        <f t="shared" si="3"/>
        <v>23</v>
      </c>
      <c r="U9">
        <f t="shared" si="4"/>
        <v>1</v>
      </c>
      <c r="V9">
        <f t="shared" si="5"/>
        <v>52</v>
      </c>
      <c r="W9">
        <f t="shared" si="6"/>
        <v>12</v>
      </c>
      <c r="X9">
        <f t="shared" si="7"/>
        <v>2018</v>
      </c>
      <c r="Y9" t="str">
        <f t="shared" si="0"/>
        <v>Monday</v>
      </c>
      <c r="Z9" t="str">
        <f t="shared" si="1"/>
        <v>December</v>
      </c>
    </row>
    <row r="10" spans="1:26" x14ac:dyDescent="0.3">
      <c r="A10" t="s">
        <v>32</v>
      </c>
      <c r="B10" t="s">
        <v>134</v>
      </c>
      <c r="C10" t="s">
        <v>135</v>
      </c>
      <c r="D10">
        <v>9082</v>
      </c>
      <c r="E10">
        <v>1</v>
      </c>
      <c r="F10">
        <v>235178</v>
      </c>
      <c r="G10" t="s">
        <v>131</v>
      </c>
      <c r="H10" t="s">
        <v>132</v>
      </c>
      <c r="I10" t="s">
        <v>136</v>
      </c>
      <c r="J10" t="s">
        <v>27</v>
      </c>
      <c r="K10">
        <v>5507</v>
      </c>
      <c r="L10" t="s">
        <v>23</v>
      </c>
      <c r="M10">
        <v>200</v>
      </c>
      <c r="N10" t="s">
        <v>24</v>
      </c>
      <c r="O10" t="s">
        <v>23</v>
      </c>
      <c r="P10">
        <v>15.5</v>
      </c>
      <c r="Q10">
        <v>0</v>
      </c>
      <c r="R10">
        <f>A10-6+3</f>
        <v>43458</v>
      </c>
      <c r="S10">
        <f t="shared" si="2"/>
        <v>0</v>
      </c>
      <c r="T10">
        <f t="shared" si="3"/>
        <v>24</v>
      </c>
      <c r="U10">
        <f t="shared" si="4"/>
        <v>2</v>
      </c>
      <c r="V10">
        <f t="shared" si="5"/>
        <v>52</v>
      </c>
      <c r="W10">
        <f t="shared" si="6"/>
        <v>12</v>
      </c>
      <c r="X10">
        <f t="shared" si="7"/>
        <v>2018</v>
      </c>
      <c r="Y10" t="str">
        <f t="shared" si="0"/>
        <v>Tuesday</v>
      </c>
      <c r="Z10" t="str">
        <f t="shared" si="1"/>
        <v>December</v>
      </c>
    </row>
    <row r="11" spans="1:26" x14ac:dyDescent="0.3">
      <c r="A11" t="s">
        <v>32</v>
      </c>
      <c r="B11" t="s">
        <v>134</v>
      </c>
      <c r="C11" t="s">
        <v>135</v>
      </c>
      <c r="D11">
        <v>9082</v>
      </c>
      <c r="E11">
        <v>1</v>
      </c>
      <c r="F11">
        <v>235178</v>
      </c>
      <c r="G11" t="s">
        <v>131</v>
      </c>
      <c r="H11" t="s">
        <v>132</v>
      </c>
      <c r="I11" t="s">
        <v>136</v>
      </c>
      <c r="J11" t="s">
        <v>27</v>
      </c>
      <c r="K11">
        <v>5507</v>
      </c>
      <c r="L11" t="s">
        <v>23</v>
      </c>
      <c r="M11">
        <v>200</v>
      </c>
      <c r="N11" t="s">
        <v>24</v>
      </c>
      <c r="O11" t="s">
        <v>23</v>
      </c>
      <c r="P11">
        <v>15.5</v>
      </c>
      <c r="Q11">
        <v>0</v>
      </c>
      <c r="R11">
        <f>A11-6+4</f>
        <v>43459</v>
      </c>
      <c r="S11">
        <f t="shared" si="2"/>
        <v>0</v>
      </c>
      <c r="T11">
        <f t="shared" si="3"/>
        <v>25</v>
      </c>
      <c r="U11">
        <f t="shared" si="4"/>
        <v>3</v>
      </c>
      <c r="V11">
        <f t="shared" si="5"/>
        <v>52</v>
      </c>
      <c r="W11">
        <f t="shared" si="6"/>
        <v>12</v>
      </c>
      <c r="X11">
        <f t="shared" si="7"/>
        <v>2018</v>
      </c>
      <c r="Y11" t="str">
        <f t="shared" si="0"/>
        <v>Wednesday</v>
      </c>
      <c r="Z11" t="str">
        <f t="shared" si="1"/>
        <v>December</v>
      </c>
    </row>
    <row r="12" spans="1:26" x14ac:dyDescent="0.3">
      <c r="A12" t="s">
        <v>32</v>
      </c>
      <c r="B12" t="s">
        <v>134</v>
      </c>
      <c r="C12" t="s">
        <v>135</v>
      </c>
      <c r="D12">
        <v>9082</v>
      </c>
      <c r="E12">
        <v>1</v>
      </c>
      <c r="F12">
        <v>235178</v>
      </c>
      <c r="G12" t="s">
        <v>131</v>
      </c>
      <c r="H12" t="s">
        <v>132</v>
      </c>
      <c r="I12" t="s">
        <v>136</v>
      </c>
      <c r="J12" t="s">
        <v>27</v>
      </c>
      <c r="K12">
        <v>5507</v>
      </c>
      <c r="L12" t="s">
        <v>23</v>
      </c>
      <c r="M12">
        <v>200</v>
      </c>
      <c r="N12" t="s">
        <v>24</v>
      </c>
      <c r="O12" t="s">
        <v>23</v>
      </c>
      <c r="P12">
        <v>15.5</v>
      </c>
      <c r="Q12">
        <v>0</v>
      </c>
      <c r="R12">
        <f>A12-6+5</f>
        <v>43460</v>
      </c>
      <c r="S12">
        <f t="shared" si="2"/>
        <v>0</v>
      </c>
      <c r="T12">
        <f t="shared" si="3"/>
        <v>26</v>
      </c>
      <c r="U12">
        <f t="shared" si="4"/>
        <v>4</v>
      </c>
      <c r="V12">
        <f t="shared" si="5"/>
        <v>52</v>
      </c>
      <c r="W12">
        <f t="shared" si="6"/>
        <v>12</v>
      </c>
      <c r="X12">
        <f t="shared" si="7"/>
        <v>2018</v>
      </c>
      <c r="Y12" t="str">
        <f t="shared" si="0"/>
        <v>Thursday</v>
      </c>
      <c r="Z12" t="str">
        <f t="shared" si="1"/>
        <v>December</v>
      </c>
    </row>
    <row r="13" spans="1:26" x14ac:dyDescent="0.3">
      <c r="A13" t="s">
        <v>32</v>
      </c>
      <c r="B13" t="s">
        <v>134</v>
      </c>
      <c r="C13" t="s">
        <v>135</v>
      </c>
      <c r="D13">
        <v>9082</v>
      </c>
      <c r="E13">
        <v>1</v>
      </c>
      <c r="F13">
        <v>235178</v>
      </c>
      <c r="G13" t="s">
        <v>131</v>
      </c>
      <c r="H13" t="s">
        <v>132</v>
      </c>
      <c r="I13" t="s">
        <v>136</v>
      </c>
      <c r="J13" t="s">
        <v>27</v>
      </c>
      <c r="K13">
        <v>5507</v>
      </c>
      <c r="L13" t="s">
        <v>23</v>
      </c>
      <c r="M13">
        <v>200</v>
      </c>
      <c r="N13" t="s">
        <v>24</v>
      </c>
      <c r="O13" t="s">
        <v>23</v>
      </c>
      <c r="P13">
        <v>15.5</v>
      </c>
      <c r="Q13">
        <v>0</v>
      </c>
      <c r="R13">
        <f>A13-6+6</f>
        <v>43461</v>
      </c>
      <c r="S13">
        <f t="shared" si="2"/>
        <v>0</v>
      </c>
      <c r="T13">
        <f t="shared" si="3"/>
        <v>27</v>
      </c>
      <c r="U13">
        <f t="shared" si="4"/>
        <v>5</v>
      </c>
      <c r="V13">
        <f t="shared" si="5"/>
        <v>52</v>
      </c>
      <c r="W13">
        <f t="shared" si="6"/>
        <v>12</v>
      </c>
      <c r="X13">
        <f t="shared" si="7"/>
        <v>2018</v>
      </c>
      <c r="Y13" t="str">
        <f t="shared" si="0"/>
        <v>Friday</v>
      </c>
      <c r="Z13" t="str">
        <f t="shared" si="1"/>
        <v>December</v>
      </c>
    </row>
    <row r="14" spans="1:26" x14ac:dyDescent="0.3">
      <c r="A14" t="s">
        <v>32</v>
      </c>
      <c r="B14" t="s">
        <v>134</v>
      </c>
      <c r="C14" t="s">
        <v>135</v>
      </c>
      <c r="D14">
        <v>9082</v>
      </c>
      <c r="E14">
        <v>1</v>
      </c>
      <c r="F14">
        <v>235178</v>
      </c>
      <c r="G14" t="s">
        <v>131</v>
      </c>
      <c r="H14" t="s">
        <v>132</v>
      </c>
      <c r="I14" t="s">
        <v>136</v>
      </c>
      <c r="J14" t="s">
        <v>27</v>
      </c>
      <c r="K14">
        <v>5507</v>
      </c>
      <c r="L14" t="s">
        <v>23</v>
      </c>
      <c r="M14">
        <v>200</v>
      </c>
      <c r="N14" t="s">
        <v>24</v>
      </c>
      <c r="O14" t="s">
        <v>23</v>
      </c>
      <c r="P14">
        <v>15.5</v>
      </c>
      <c r="Q14">
        <v>0</v>
      </c>
      <c r="R14">
        <f>R9-2</f>
        <v>43455</v>
      </c>
      <c r="S14">
        <f t="shared" si="2"/>
        <v>0</v>
      </c>
      <c r="T14">
        <f t="shared" si="3"/>
        <v>21</v>
      </c>
      <c r="U14">
        <f t="shared" si="4"/>
        <v>6</v>
      </c>
      <c r="V14">
        <f t="shared" si="5"/>
        <v>51</v>
      </c>
      <c r="W14">
        <f t="shared" si="6"/>
        <v>12</v>
      </c>
      <c r="X14">
        <f t="shared" si="7"/>
        <v>2018</v>
      </c>
      <c r="Y14" t="str">
        <f t="shared" si="0"/>
        <v>Saturday</v>
      </c>
      <c r="Z14" t="str">
        <f t="shared" si="1"/>
        <v>December</v>
      </c>
    </row>
    <row r="15" spans="1:26" x14ac:dyDescent="0.3">
      <c r="A15" t="s">
        <v>32</v>
      </c>
      <c r="B15" t="s">
        <v>134</v>
      </c>
      <c r="C15" t="s">
        <v>135</v>
      </c>
      <c r="D15">
        <v>9082</v>
      </c>
      <c r="E15">
        <v>1</v>
      </c>
      <c r="F15">
        <v>235178</v>
      </c>
      <c r="G15" t="s">
        <v>131</v>
      </c>
      <c r="H15" t="s">
        <v>132</v>
      </c>
      <c r="I15" t="s">
        <v>136</v>
      </c>
      <c r="J15" t="s">
        <v>27</v>
      </c>
      <c r="K15">
        <v>5507</v>
      </c>
      <c r="L15" t="s">
        <v>23</v>
      </c>
      <c r="M15">
        <v>200</v>
      </c>
      <c r="N15" t="s">
        <v>24</v>
      </c>
      <c r="O15" t="s">
        <v>23</v>
      </c>
      <c r="P15">
        <v>15.5</v>
      </c>
      <c r="Q15">
        <v>0</v>
      </c>
      <c r="R15">
        <f>R9-1</f>
        <v>43456</v>
      </c>
      <c r="S15">
        <f t="shared" si="2"/>
        <v>0</v>
      </c>
      <c r="T15">
        <f t="shared" si="3"/>
        <v>22</v>
      </c>
      <c r="U15">
        <f t="shared" si="4"/>
        <v>7</v>
      </c>
      <c r="V15">
        <f t="shared" si="5"/>
        <v>51</v>
      </c>
      <c r="W15">
        <f t="shared" si="6"/>
        <v>12</v>
      </c>
      <c r="X15">
        <f t="shared" si="7"/>
        <v>2018</v>
      </c>
      <c r="Y15" t="str">
        <f t="shared" si="0"/>
        <v>Sunday</v>
      </c>
      <c r="Z15" t="str">
        <f t="shared" si="1"/>
        <v>December</v>
      </c>
    </row>
    <row r="16" spans="1:26" x14ac:dyDescent="0.3">
      <c r="A16" t="s">
        <v>40</v>
      </c>
      <c r="B16" t="s">
        <v>137</v>
      </c>
      <c r="C16" t="s">
        <v>138</v>
      </c>
      <c r="D16">
        <v>4617</v>
      </c>
      <c r="E16">
        <v>1</v>
      </c>
      <c r="F16">
        <v>229235</v>
      </c>
      <c r="G16" t="s">
        <v>131</v>
      </c>
      <c r="H16" t="s">
        <v>132</v>
      </c>
      <c r="I16" t="s">
        <v>139</v>
      </c>
      <c r="J16" t="s">
        <v>27</v>
      </c>
      <c r="K16">
        <v>5507</v>
      </c>
      <c r="L16" t="s">
        <v>23</v>
      </c>
      <c r="M16">
        <v>100</v>
      </c>
      <c r="N16" t="s">
        <v>24</v>
      </c>
      <c r="O16" t="s">
        <v>23</v>
      </c>
      <c r="P16">
        <v>15</v>
      </c>
      <c r="Q16">
        <v>0</v>
      </c>
      <c r="R16">
        <f>A16-6+2</f>
        <v>43387</v>
      </c>
      <c r="S16">
        <f t="shared" si="2"/>
        <v>0</v>
      </c>
      <c r="T16">
        <f t="shared" si="3"/>
        <v>14</v>
      </c>
      <c r="U16">
        <f t="shared" si="4"/>
        <v>1</v>
      </c>
      <c r="V16">
        <f t="shared" si="5"/>
        <v>42</v>
      </c>
      <c r="W16">
        <f t="shared" si="6"/>
        <v>10</v>
      </c>
      <c r="X16">
        <f t="shared" si="7"/>
        <v>2018</v>
      </c>
      <c r="Y16" t="str">
        <f t="shared" si="0"/>
        <v>Monday</v>
      </c>
      <c r="Z16" t="str">
        <f t="shared" si="1"/>
        <v>October</v>
      </c>
    </row>
    <row r="17" spans="1:26" x14ac:dyDescent="0.3">
      <c r="A17" t="s">
        <v>40</v>
      </c>
      <c r="B17" t="s">
        <v>137</v>
      </c>
      <c r="C17" t="s">
        <v>138</v>
      </c>
      <c r="D17">
        <v>4617</v>
      </c>
      <c r="E17">
        <v>1</v>
      </c>
      <c r="F17">
        <v>229235</v>
      </c>
      <c r="G17" t="s">
        <v>131</v>
      </c>
      <c r="H17" t="s">
        <v>132</v>
      </c>
      <c r="I17" t="s">
        <v>139</v>
      </c>
      <c r="J17" t="s">
        <v>27</v>
      </c>
      <c r="K17">
        <v>5507</v>
      </c>
      <c r="L17" t="s">
        <v>23</v>
      </c>
      <c r="M17">
        <v>100</v>
      </c>
      <c r="N17" t="s">
        <v>24</v>
      </c>
      <c r="O17" t="s">
        <v>23</v>
      </c>
      <c r="P17">
        <v>15</v>
      </c>
      <c r="Q17">
        <v>0</v>
      </c>
      <c r="R17">
        <f>A17-6+3</f>
        <v>43388</v>
      </c>
      <c r="S17">
        <f t="shared" si="2"/>
        <v>0</v>
      </c>
      <c r="T17">
        <f t="shared" si="3"/>
        <v>15</v>
      </c>
      <c r="U17">
        <f t="shared" si="4"/>
        <v>2</v>
      </c>
      <c r="V17">
        <f t="shared" si="5"/>
        <v>42</v>
      </c>
      <c r="W17">
        <f t="shared" si="6"/>
        <v>10</v>
      </c>
      <c r="X17">
        <f t="shared" si="7"/>
        <v>2018</v>
      </c>
      <c r="Y17" t="str">
        <f t="shared" si="0"/>
        <v>Tuesday</v>
      </c>
      <c r="Z17" t="str">
        <f t="shared" si="1"/>
        <v>October</v>
      </c>
    </row>
    <row r="18" spans="1:26" x14ac:dyDescent="0.3">
      <c r="A18" t="s">
        <v>40</v>
      </c>
      <c r="B18" t="s">
        <v>137</v>
      </c>
      <c r="C18" t="s">
        <v>138</v>
      </c>
      <c r="D18">
        <v>4617</v>
      </c>
      <c r="E18">
        <v>1</v>
      </c>
      <c r="F18">
        <v>229235</v>
      </c>
      <c r="G18" t="s">
        <v>131</v>
      </c>
      <c r="H18" t="s">
        <v>132</v>
      </c>
      <c r="I18" t="s">
        <v>139</v>
      </c>
      <c r="J18" t="s">
        <v>27</v>
      </c>
      <c r="K18">
        <v>5507</v>
      </c>
      <c r="L18" t="s">
        <v>23</v>
      </c>
      <c r="M18">
        <v>100</v>
      </c>
      <c r="N18" t="s">
        <v>24</v>
      </c>
      <c r="O18" t="s">
        <v>23</v>
      </c>
      <c r="P18">
        <v>15</v>
      </c>
      <c r="Q18">
        <v>11</v>
      </c>
      <c r="R18">
        <f>A18-6+4</f>
        <v>43389</v>
      </c>
      <c r="S18">
        <f t="shared" si="2"/>
        <v>165</v>
      </c>
      <c r="T18">
        <f t="shared" si="3"/>
        <v>16</v>
      </c>
      <c r="U18">
        <f t="shared" si="4"/>
        <v>3</v>
      </c>
      <c r="V18">
        <f t="shared" si="5"/>
        <v>42</v>
      </c>
      <c r="W18">
        <f t="shared" si="6"/>
        <v>10</v>
      </c>
      <c r="X18">
        <f t="shared" si="7"/>
        <v>2018</v>
      </c>
      <c r="Y18" t="str">
        <f t="shared" si="0"/>
        <v>Wednesday</v>
      </c>
      <c r="Z18" t="str">
        <f t="shared" si="1"/>
        <v>October</v>
      </c>
    </row>
    <row r="19" spans="1:26" x14ac:dyDescent="0.3">
      <c r="A19" t="s">
        <v>40</v>
      </c>
      <c r="B19" t="s">
        <v>137</v>
      </c>
      <c r="C19" t="s">
        <v>138</v>
      </c>
      <c r="D19">
        <v>4617</v>
      </c>
      <c r="E19">
        <v>1</v>
      </c>
      <c r="F19">
        <v>229235</v>
      </c>
      <c r="G19" t="s">
        <v>131</v>
      </c>
      <c r="H19" t="s">
        <v>132</v>
      </c>
      <c r="I19" t="s">
        <v>139</v>
      </c>
      <c r="J19" t="s">
        <v>27</v>
      </c>
      <c r="K19">
        <v>5507</v>
      </c>
      <c r="L19" t="s">
        <v>23</v>
      </c>
      <c r="M19">
        <v>100</v>
      </c>
      <c r="N19" t="s">
        <v>24</v>
      </c>
      <c r="O19" t="s">
        <v>23</v>
      </c>
      <c r="P19">
        <v>15</v>
      </c>
      <c r="Q19">
        <v>12</v>
      </c>
      <c r="R19">
        <f>A19-6+5</f>
        <v>43390</v>
      </c>
      <c r="S19">
        <f t="shared" si="2"/>
        <v>180</v>
      </c>
      <c r="T19">
        <f t="shared" si="3"/>
        <v>17</v>
      </c>
      <c r="U19">
        <f t="shared" si="4"/>
        <v>4</v>
      </c>
      <c r="V19">
        <f t="shared" si="5"/>
        <v>42</v>
      </c>
      <c r="W19">
        <f t="shared" si="6"/>
        <v>10</v>
      </c>
      <c r="X19">
        <f t="shared" si="7"/>
        <v>2018</v>
      </c>
      <c r="Y19" t="str">
        <f t="shared" si="0"/>
        <v>Thursday</v>
      </c>
      <c r="Z19" t="str">
        <f t="shared" si="1"/>
        <v>October</v>
      </c>
    </row>
    <row r="20" spans="1:26" x14ac:dyDescent="0.3">
      <c r="A20" t="s">
        <v>40</v>
      </c>
      <c r="B20" t="s">
        <v>137</v>
      </c>
      <c r="C20" t="s">
        <v>138</v>
      </c>
      <c r="D20">
        <v>4617</v>
      </c>
      <c r="E20">
        <v>1</v>
      </c>
      <c r="F20">
        <v>229235</v>
      </c>
      <c r="G20" t="s">
        <v>131</v>
      </c>
      <c r="H20" t="s">
        <v>132</v>
      </c>
      <c r="I20" t="s">
        <v>139</v>
      </c>
      <c r="J20" t="s">
        <v>27</v>
      </c>
      <c r="K20">
        <v>5507</v>
      </c>
      <c r="L20" t="s">
        <v>23</v>
      </c>
      <c r="M20">
        <v>100</v>
      </c>
      <c r="N20" t="s">
        <v>24</v>
      </c>
      <c r="O20" t="s">
        <v>23</v>
      </c>
      <c r="P20">
        <v>15</v>
      </c>
      <c r="Q20">
        <v>0</v>
      </c>
      <c r="R20">
        <f>A20-6+6</f>
        <v>43391</v>
      </c>
      <c r="S20">
        <f t="shared" si="2"/>
        <v>0</v>
      </c>
      <c r="T20">
        <f t="shared" si="3"/>
        <v>18</v>
      </c>
      <c r="U20">
        <f t="shared" si="4"/>
        <v>5</v>
      </c>
      <c r="V20">
        <f t="shared" si="5"/>
        <v>42</v>
      </c>
      <c r="W20">
        <f t="shared" si="6"/>
        <v>10</v>
      </c>
      <c r="X20">
        <f t="shared" si="7"/>
        <v>2018</v>
      </c>
      <c r="Y20" t="str">
        <f t="shared" si="0"/>
        <v>Friday</v>
      </c>
      <c r="Z20" t="str">
        <f t="shared" si="1"/>
        <v>October</v>
      </c>
    </row>
    <row r="21" spans="1:26" x14ac:dyDescent="0.3">
      <c r="A21" t="s">
        <v>40</v>
      </c>
      <c r="B21" t="s">
        <v>137</v>
      </c>
      <c r="C21" t="s">
        <v>138</v>
      </c>
      <c r="D21">
        <v>4617</v>
      </c>
      <c r="E21">
        <v>1</v>
      </c>
      <c r="F21">
        <v>229235</v>
      </c>
      <c r="G21" t="s">
        <v>131</v>
      </c>
      <c r="H21" t="s">
        <v>132</v>
      </c>
      <c r="I21" t="s">
        <v>139</v>
      </c>
      <c r="J21" t="s">
        <v>27</v>
      </c>
      <c r="K21">
        <v>5507</v>
      </c>
      <c r="L21" t="s">
        <v>23</v>
      </c>
      <c r="M21">
        <v>100</v>
      </c>
      <c r="N21" t="s">
        <v>24</v>
      </c>
      <c r="O21" t="s">
        <v>23</v>
      </c>
      <c r="P21">
        <v>15</v>
      </c>
      <c r="Q21">
        <v>0</v>
      </c>
      <c r="R21">
        <f>R16-2</f>
        <v>43385</v>
      </c>
      <c r="S21">
        <f t="shared" si="2"/>
        <v>0</v>
      </c>
      <c r="T21">
        <f t="shared" si="3"/>
        <v>12</v>
      </c>
      <c r="U21">
        <f t="shared" si="4"/>
        <v>6</v>
      </c>
      <c r="V21">
        <f t="shared" si="5"/>
        <v>41</v>
      </c>
      <c r="W21">
        <f t="shared" si="6"/>
        <v>10</v>
      </c>
      <c r="X21">
        <f t="shared" si="7"/>
        <v>2018</v>
      </c>
      <c r="Y21" t="str">
        <f t="shared" si="0"/>
        <v>Saturday</v>
      </c>
      <c r="Z21" t="str">
        <f t="shared" si="1"/>
        <v>October</v>
      </c>
    </row>
    <row r="22" spans="1:26" x14ac:dyDescent="0.3">
      <c r="A22" t="s">
        <v>40</v>
      </c>
      <c r="B22" t="s">
        <v>137</v>
      </c>
      <c r="C22" t="s">
        <v>138</v>
      </c>
      <c r="D22">
        <v>4617</v>
      </c>
      <c r="E22">
        <v>1</v>
      </c>
      <c r="F22">
        <v>229235</v>
      </c>
      <c r="G22" t="s">
        <v>131</v>
      </c>
      <c r="H22" t="s">
        <v>132</v>
      </c>
      <c r="I22" t="s">
        <v>139</v>
      </c>
      <c r="J22" t="s">
        <v>27</v>
      </c>
      <c r="K22">
        <v>5507</v>
      </c>
      <c r="L22" t="s">
        <v>23</v>
      </c>
      <c r="M22">
        <v>100</v>
      </c>
      <c r="N22" t="s">
        <v>24</v>
      </c>
      <c r="O22" t="s">
        <v>23</v>
      </c>
      <c r="P22">
        <v>15</v>
      </c>
      <c r="Q22">
        <v>0</v>
      </c>
      <c r="R22">
        <f>R16-1</f>
        <v>43386</v>
      </c>
      <c r="S22">
        <f t="shared" si="2"/>
        <v>0</v>
      </c>
      <c r="T22">
        <f t="shared" si="3"/>
        <v>13</v>
      </c>
      <c r="U22">
        <f t="shared" si="4"/>
        <v>7</v>
      </c>
      <c r="V22">
        <f t="shared" si="5"/>
        <v>41</v>
      </c>
      <c r="W22">
        <f t="shared" si="6"/>
        <v>10</v>
      </c>
      <c r="X22">
        <f t="shared" si="7"/>
        <v>2018</v>
      </c>
      <c r="Y22" t="str">
        <f t="shared" si="0"/>
        <v>Sunday</v>
      </c>
      <c r="Z22" t="str">
        <f t="shared" si="1"/>
        <v>October</v>
      </c>
    </row>
    <row r="23" spans="1:26" x14ac:dyDescent="0.3">
      <c r="A23" t="s">
        <v>50</v>
      </c>
      <c r="B23" t="s">
        <v>140</v>
      </c>
      <c r="C23" t="s">
        <v>141</v>
      </c>
      <c r="D23">
        <v>1659</v>
      </c>
      <c r="E23">
        <v>1</v>
      </c>
      <c r="F23">
        <v>235316</v>
      </c>
      <c r="G23" t="s">
        <v>131</v>
      </c>
      <c r="H23" t="s">
        <v>132</v>
      </c>
      <c r="I23" t="s">
        <v>133</v>
      </c>
      <c r="J23" t="s">
        <v>22</v>
      </c>
      <c r="K23">
        <v>5606</v>
      </c>
      <c r="L23" t="s">
        <v>23</v>
      </c>
      <c r="M23">
        <v>800</v>
      </c>
      <c r="N23" t="s">
        <v>24</v>
      </c>
      <c r="O23" t="s">
        <v>33</v>
      </c>
      <c r="P23">
        <v>40.341000000000001</v>
      </c>
      <c r="Q23">
        <v>0</v>
      </c>
      <c r="R23">
        <f>A23-6+2</f>
        <v>43464</v>
      </c>
      <c r="S23">
        <f t="shared" si="2"/>
        <v>0</v>
      </c>
      <c r="T23">
        <f t="shared" si="3"/>
        <v>30</v>
      </c>
      <c r="U23">
        <f t="shared" si="4"/>
        <v>1</v>
      </c>
      <c r="V23">
        <f t="shared" si="5"/>
        <v>53</v>
      </c>
      <c r="W23">
        <f t="shared" si="6"/>
        <v>12</v>
      </c>
      <c r="X23">
        <f t="shared" si="7"/>
        <v>2018</v>
      </c>
      <c r="Y23" t="str">
        <f t="shared" si="0"/>
        <v>Monday</v>
      </c>
      <c r="Z23" t="str">
        <f t="shared" si="1"/>
        <v>December</v>
      </c>
    </row>
    <row r="24" spans="1:26" x14ac:dyDescent="0.3">
      <c r="A24" t="s">
        <v>50</v>
      </c>
      <c r="B24" t="s">
        <v>140</v>
      </c>
      <c r="C24" t="s">
        <v>141</v>
      </c>
      <c r="D24">
        <v>1659</v>
      </c>
      <c r="E24">
        <v>1</v>
      </c>
      <c r="F24">
        <v>235316</v>
      </c>
      <c r="G24" t="s">
        <v>131</v>
      </c>
      <c r="H24" t="s">
        <v>132</v>
      </c>
      <c r="I24" t="s">
        <v>133</v>
      </c>
      <c r="J24" t="s">
        <v>22</v>
      </c>
      <c r="K24">
        <v>5606</v>
      </c>
      <c r="L24" t="s">
        <v>23</v>
      </c>
      <c r="M24">
        <v>800</v>
      </c>
      <c r="N24" t="s">
        <v>24</v>
      </c>
      <c r="O24" t="s">
        <v>33</v>
      </c>
      <c r="P24">
        <v>40.341000000000001</v>
      </c>
      <c r="Q24">
        <v>0</v>
      </c>
      <c r="R24">
        <f>A24-6+3</f>
        <v>43465</v>
      </c>
      <c r="S24">
        <f t="shared" si="2"/>
        <v>0</v>
      </c>
      <c r="T24">
        <f t="shared" si="3"/>
        <v>31</v>
      </c>
      <c r="U24">
        <f t="shared" si="4"/>
        <v>2</v>
      </c>
      <c r="V24">
        <f t="shared" si="5"/>
        <v>53</v>
      </c>
      <c r="W24">
        <f t="shared" si="6"/>
        <v>12</v>
      </c>
      <c r="X24">
        <f t="shared" si="7"/>
        <v>2018</v>
      </c>
      <c r="Y24" t="str">
        <f t="shared" si="0"/>
        <v>Tuesday</v>
      </c>
      <c r="Z24" t="str">
        <f t="shared" si="1"/>
        <v>December</v>
      </c>
    </row>
    <row r="25" spans="1:26" x14ac:dyDescent="0.3">
      <c r="A25" t="s">
        <v>50</v>
      </c>
      <c r="B25" t="s">
        <v>140</v>
      </c>
      <c r="C25" t="s">
        <v>141</v>
      </c>
      <c r="D25">
        <v>1659</v>
      </c>
      <c r="E25">
        <v>1</v>
      </c>
      <c r="F25">
        <v>235316</v>
      </c>
      <c r="G25" t="s">
        <v>131</v>
      </c>
      <c r="H25" t="s">
        <v>132</v>
      </c>
      <c r="I25" t="s">
        <v>133</v>
      </c>
      <c r="J25" t="s">
        <v>22</v>
      </c>
      <c r="K25">
        <v>5606</v>
      </c>
      <c r="L25" t="s">
        <v>23</v>
      </c>
      <c r="M25">
        <v>800</v>
      </c>
      <c r="N25" t="s">
        <v>24</v>
      </c>
      <c r="O25" t="s">
        <v>33</v>
      </c>
      <c r="P25">
        <v>40.341000000000001</v>
      </c>
      <c r="Q25">
        <v>0</v>
      </c>
      <c r="R25">
        <f>A25-6+4</f>
        <v>43466</v>
      </c>
      <c r="S25">
        <f t="shared" si="2"/>
        <v>0</v>
      </c>
      <c r="T25">
        <f t="shared" si="3"/>
        <v>1</v>
      </c>
      <c r="U25">
        <f t="shared" si="4"/>
        <v>3</v>
      </c>
      <c r="V25">
        <f t="shared" si="5"/>
        <v>1</v>
      </c>
      <c r="W25">
        <f t="shared" si="6"/>
        <v>1</v>
      </c>
      <c r="X25">
        <f t="shared" si="7"/>
        <v>2019</v>
      </c>
      <c r="Y25" t="str">
        <f t="shared" si="0"/>
        <v>Wednesday</v>
      </c>
      <c r="Z25" t="str">
        <f t="shared" si="1"/>
        <v>January</v>
      </c>
    </row>
    <row r="26" spans="1:26" x14ac:dyDescent="0.3">
      <c r="A26" t="s">
        <v>50</v>
      </c>
      <c r="B26" t="s">
        <v>140</v>
      </c>
      <c r="C26" t="s">
        <v>141</v>
      </c>
      <c r="D26">
        <v>1659</v>
      </c>
      <c r="E26">
        <v>1</v>
      </c>
      <c r="F26">
        <v>235316</v>
      </c>
      <c r="G26" t="s">
        <v>131</v>
      </c>
      <c r="H26" t="s">
        <v>132</v>
      </c>
      <c r="I26" t="s">
        <v>133</v>
      </c>
      <c r="J26" t="s">
        <v>22</v>
      </c>
      <c r="K26">
        <v>5606</v>
      </c>
      <c r="L26" t="s">
        <v>23</v>
      </c>
      <c r="M26">
        <v>800</v>
      </c>
      <c r="N26" t="s">
        <v>24</v>
      </c>
      <c r="O26" t="s">
        <v>33</v>
      </c>
      <c r="P26">
        <v>40.341000000000001</v>
      </c>
      <c r="Q26">
        <v>0</v>
      </c>
      <c r="R26">
        <f>A26-6+5</f>
        <v>43467</v>
      </c>
      <c r="S26">
        <f t="shared" si="2"/>
        <v>0</v>
      </c>
      <c r="T26">
        <f t="shared" si="3"/>
        <v>2</v>
      </c>
      <c r="U26">
        <f t="shared" si="4"/>
        <v>4</v>
      </c>
      <c r="V26">
        <f t="shared" si="5"/>
        <v>1</v>
      </c>
      <c r="W26">
        <f t="shared" si="6"/>
        <v>1</v>
      </c>
      <c r="X26">
        <f t="shared" si="7"/>
        <v>2019</v>
      </c>
      <c r="Y26" t="str">
        <f t="shared" si="0"/>
        <v>Thursday</v>
      </c>
      <c r="Z26" t="str">
        <f t="shared" si="1"/>
        <v>January</v>
      </c>
    </row>
    <row r="27" spans="1:26" x14ac:dyDescent="0.3">
      <c r="A27" t="s">
        <v>50</v>
      </c>
      <c r="B27" t="s">
        <v>140</v>
      </c>
      <c r="C27" t="s">
        <v>141</v>
      </c>
      <c r="D27">
        <v>1659</v>
      </c>
      <c r="E27">
        <v>1</v>
      </c>
      <c r="F27">
        <v>235316</v>
      </c>
      <c r="G27" t="s">
        <v>131</v>
      </c>
      <c r="H27" t="s">
        <v>132</v>
      </c>
      <c r="I27" t="s">
        <v>133</v>
      </c>
      <c r="J27" t="s">
        <v>22</v>
      </c>
      <c r="K27">
        <v>5606</v>
      </c>
      <c r="L27" t="s">
        <v>23</v>
      </c>
      <c r="M27">
        <v>800</v>
      </c>
      <c r="N27" t="s">
        <v>24</v>
      </c>
      <c r="O27" t="s">
        <v>33</v>
      </c>
      <c r="P27">
        <v>40.341000000000001</v>
      </c>
      <c r="Q27">
        <v>0</v>
      </c>
      <c r="R27">
        <f>A27-6+6</f>
        <v>43468</v>
      </c>
      <c r="S27">
        <f t="shared" si="2"/>
        <v>0</v>
      </c>
      <c r="T27">
        <f t="shared" si="3"/>
        <v>3</v>
      </c>
      <c r="U27">
        <f t="shared" si="4"/>
        <v>5</v>
      </c>
      <c r="V27">
        <f t="shared" si="5"/>
        <v>1</v>
      </c>
      <c r="W27">
        <f t="shared" si="6"/>
        <v>1</v>
      </c>
      <c r="X27">
        <f t="shared" si="7"/>
        <v>2019</v>
      </c>
      <c r="Y27" t="str">
        <f t="shared" si="0"/>
        <v>Friday</v>
      </c>
      <c r="Z27" t="str">
        <f t="shared" si="1"/>
        <v>January</v>
      </c>
    </row>
    <row r="28" spans="1:26" x14ac:dyDescent="0.3">
      <c r="A28" t="s">
        <v>50</v>
      </c>
      <c r="B28" t="s">
        <v>140</v>
      </c>
      <c r="C28" t="s">
        <v>141</v>
      </c>
      <c r="D28">
        <v>1659</v>
      </c>
      <c r="E28">
        <v>1</v>
      </c>
      <c r="F28">
        <v>235316</v>
      </c>
      <c r="G28" t="s">
        <v>131</v>
      </c>
      <c r="H28" t="s">
        <v>132</v>
      </c>
      <c r="I28" t="s">
        <v>133</v>
      </c>
      <c r="J28" t="s">
        <v>22</v>
      </c>
      <c r="K28">
        <v>5606</v>
      </c>
      <c r="L28" t="s">
        <v>23</v>
      </c>
      <c r="M28">
        <v>800</v>
      </c>
      <c r="N28" t="s">
        <v>24</v>
      </c>
      <c r="O28" t="s">
        <v>33</v>
      </c>
      <c r="P28">
        <v>40.341000000000001</v>
      </c>
      <c r="Q28">
        <v>8</v>
      </c>
      <c r="R28">
        <f>R23-2</f>
        <v>43462</v>
      </c>
      <c r="S28">
        <f t="shared" si="2"/>
        <v>322.72800000000001</v>
      </c>
      <c r="T28">
        <f t="shared" si="3"/>
        <v>28</v>
      </c>
      <c r="U28">
        <f t="shared" si="4"/>
        <v>6</v>
      </c>
      <c r="V28">
        <f t="shared" si="5"/>
        <v>52</v>
      </c>
      <c r="W28">
        <f t="shared" si="6"/>
        <v>12</v>
      </c>
      <c r="X28">
        <f t="shared" si="7"/>
        <v>2018</v>
      </c>
      <c r="Y28" t="str">
        <f t="shared" si="0"/>
        <v>Saturday</v>
      </c>
      <c r="Z28" t="str">
        <f t="shared" si="1"/>
        <v>December</v>
      </c>
    </row>
    <row r="29" spans="1:26" x14ac:dyDescent="0.3">
      <c r="A29" t="s">
        <v>50</v>
      </c>
      <c r="B29" t="s">
        <v>140</v>
      </c>
      <c r="C29" t="s">
        <v>141</v>
      </c>
      <c r="D29">
        <v>1659</v>
      </c>
      <c r="E29">
        <v>1</v>
      </c>
      <c r="F29">
        <v>235316</v>
      </c>
      <c r="G29" t="s">
        <v>131</v>
      </c>
      <c r="H29" t="s">
        <v>132</v>
      </c>
      <c r="I29" t="s">
        <v>133</v>
      </c>
      <c r="J29" t="s">
        <v>22</v>
      </c>
      <c r="K29">
        <v>5606</v>
      </c>
      <c r="L29" t="s">
        <v>23</v>
      </c>
      <c r="M29">
        <v>800</v>
      </c>
      <c r="N29" t="s">
        <v>24</v>
      </c>
      <c r="O29" t="s">
        <v>33</v>
      </c>
      <c r="P29">
        <v>40.341000000000001</v>
      </c>
      <c r="Q29">
        <v>8</v>
      </c>
      <c r="R29">
        <f>R23-1</f>
        <v>43463</v>
      </c>
      <c r="S29">
        <f t="shared" si="2"/>
        <v>322.72800000000001</v>
      </c>
      <c r="T29">
        <f t="shared" si="3"/>
        <v>29</v>
      </c>
      <c r="U29">
        <f t="shared" si="4"/>
        <v>7</v>
      </c>
      <c r="V29">
        <f t="shared" si="5"/>
        <v>52</v>
      </c>
      <c r="W29">
        <f t="shared" si="6"/>
        <v>12</v>
      </c>
      <c r="X29">
        <f t="shared" si="7"/>
        <v>2018</v>
      </c>
      <c r="Y29" t="str">
        <f t="shared" si="0"/>
        <v>Sunday</v>
      </c>
      <c r="Z29" t="str">
        <f t="shared" si="1"/>
        <v>December</v>
      </c>
    </row>
    <row r="30" spans="1:26" x14ac:dyDescent="0.3">
      <c r="A30" t="s">
        <v>34</v>
      </c>
      <c r="B30" t="s">
        <v>142</v>
      </c>
      <c r="C30" t="s">
        <v>143</v>
      </c>
      <c r="D30">
        <v>6579</v>
      </c>
      <c r="E30">
        <v>1</v>
      </c>
      <c r="F30">
        <v>235944</v>
      </c>
      <c r="G30" t="s">
        <v>131</v>
      </c>
      <c r="H30" t="s">
        <v>132</v>
      </c>
      <c r="I30" t="s">
        <v>144</v>
      </c>
      <c r="J30" t="s">
        <v>27</v>
      </c>
      <c r="K30">
        <v>5507</v>
      </c>
      <c r="L30" t="s">
        <v>23</v>
      </c>
      <c r="M30">
        <v>300</v>
      </c>
      <c r="N30" t="s">
        <v>49</v>
      </c>
      <c r="O30" t="s">
        <v>23</v>
      </c>
      <c r="P30">
        <v>33</v>
      </c>
      <c r="Q30">
        <v>0</v>
      </c>
      <c r="R30">
        <f>A30-6+2</f>
        <v>43471</v>
      </c>
      <c r="S30">
        <f t="shared" si="2"/>
        <v>0</v>
      </c>
      <c r="T30">
        <f t="shared" si="3"/>
        <v>6</v>
      </c>
      <c r="U30">
        <f t="shared" si="4"/>
        <v>1</v>
      </c>
      <c r="V30">
        <f t="shared" si="5"/>
        <v>2</v>
      </c>
      <c r="W30">
        <f t="shared" si="6"/>
        <v>1</v>
      </c>
      <c r="X30">
        <f t="shared" si="7"/>
        <v>2019</v>
      </c>
      <c r="Y30" t="str">
        <f t="shared" si="0"/>
        <v>Monday</v>
      </c>
      <c r="Z30" t="str">
        <f t="shared" si="1"/>
        <v>January</v>
      </c>
    </row>
    <row r="31" spans="1:26" x14ac:dyDescent="0.3">
      <c r="A31" t="s">
        <v>34</v>
      </c>
      <c r="B31" t="s">
        <v>142</v>
      </c>
      <c r="C31" t="s">
        <v>143</v>
      </c>
      <c r="D31">
        <v>6579</v>
      </c>
      <c r="E31">
        <v>1</v>
      </c>
      <c r="F31">
        <v>235944</v>
      </c>
      <c r="G31" t="s">
        <v>131</v>
      </c>
      <c r="H31" t="s">
        <v>132</v>
      </c>
      <c r="I31" t="s">
        <v>144</v>
      </c>
      <c r="J31" t="s">
        <v>27</v>
      </c>
      <c r="K31">
        <v>5507</v>
      </c>
      <c r="L31" t="s">
        <v>23</v>
      </c>
      <c r="M31">
        <v>300</v>
      </c>
      <c r="N31" t="s">
        <v>49</v>
      </c>
      <c r="O31" t="s">
        <v>23</v>
      </c>
      <c r="P31">
        <v>33</v>
      </c>
      <c r="Q31">
        <v>0</v>
      </c>
      <c r="R31">
        <f>A31-6+3</f>
        <v>43472</v>
      </c>
      <c r="S31">
        <f t="shared" si="2"/>
        <v>0</v>
      </c>
      <c r="T31">
        <f t="shared" si="3"/>
        <v>7</v>
      </c>
      <c r="U31">
        <f t="shared" si="4"/>
        <v>2</v>
      </c>
      <c r="V31">
        <f t="shared" si="5"/>
        <v>2</v>
      </c>
      <c r="W31">
        <f t="shared" si="6"/>
        <v>1</v>
      </c>
      <c r="X31">
        <f t="shared" si="7"/>
        <v>2019</v>
      </c>
      <c r="Y31" t="str">
        <f t="shared" si="0"/>
        <v>Tuesday</v>
      </c>
      <c r="Z31" t="str">
        <f t="shared" si="1"/>
        <v>January</v>
      </c>
    </row>
    <row r="32" spans="1:26" x14ac:dyDescent="0.3">
      <c r="A32" t="s">
        <v>34</v>
      </c>
      <c r="B32" t="s">
        <v>142</v>
      </c>
      <c r="C32" t="s">
        <v>143</v>
      </c>
      <c r="D32">
        <v>6579</v>
      </c>
      <c r="E32">
        <v>1</v>
      </c>
      <c r="F32">
        <v>235944</v>
      </c>
      <c r="G32" t="s">
        <v>131</v>
      </c>
      <c r="H32" t="s">
        <v>132</v>
      </c>
      <c r="I32" t="s">
        <v>144</v>
      </c>
      <c r="J32" t="s">
        <v>27</v>
      </c>
      <c r="K32">
        <v>5507</v>
      </c>
      <c r="L32" t="s">
        <v>23</v>
      </c>
      <c r="M32">
        <v>300</v>
      </c>
      <c r="N32" t="s">
        <v>49</v>
      </c>
      <c r="O32" t="s">
        <v>23</v>
      </c>
      <c r="P32">
        <v>33</v>
      </c>
      <c r="Q32">
        <v>0</v>
      </c>
      <c r="R32">
        <f>A32-6+4</f>
        <v>43473</v>
      </c>
      <c r="S32">
        <f t="shared" si="2"/>
        <v>0</v>
      </c>
      <c r="T32">
        <f t="shared" si="3"/>
        <v>8</v>
      </c>
      <c r="U32">
        <f t="shared" si="4"/>
        <v>3</v>
      </c>
      <c r="V32">
        <f t="shared" si="5"/>
        <v>2</v>
      </c>
      <c r="W32">
        <f t="shared" si="6"/>
        <v>1</v>
      </c>
      <c r="X32">
        <f t="shared" si="7"/>
        <v>2019</v>
      </c>
      <c r="Y32" t="str">
        <f t="shared" si="0"/>
        <v>Wednesday</v>
      </c>
      <c r="Z32" t="str">
        <f t="shared" si="1"/>
        <v>January</v>
      </c>
    </row>
    <row r="33" spans="1:26" x14ac:dyDescent="0.3">
      <c r="A33" t="s">
        <v>34</v>
      </c>
      <c r="B33" t="s">
        <v>142</v>
      </c>
      <c r="C33" t="s">
        <v>143</v>
      </c>
      <c r="D33">
        <v>6579</v>
      </c>
      <c r="E33">
        <v>1</v>
      </c>
      <c r="F33">
        <v>235944</v>
      </c>
      <c r="G33" t="s">
        <v>131</v>
      </c>
      <c r="H33" t="s">
        <v>132</v>
      </c>
      <c r="I33" t="s">
        <v>144</v>
      </c>
      <c r="J33" t="s">
        <v>27</v>
      </c>
      <c r="K33">
        <v>5507</v>
      </c>
      <c r="L33" t="s">
        <v>23</v>
      </c>
      <c r="M33">
        <v>300</v>
      </c>
      <c r="N33" t="s">
        <v>49</v>
      </c>
      <c r="O33" t="s">
        <v>23</v>
      </c>
      <c r="P33">
        <v>33</v>
      </c>
      <c r="Q33">
        <v>0</v>
      </c>
      <c r="R33">
        <f>A33-6+5</f>
        <v>43474</v>
      </c>
      <c r="S33">
        <f t="shared" si="2"/>
        <v>0</v>
      </c>
      <c r="T33">
        <f t="shared" si="3"/>
        <v>9</v>
      </c>
      <c r="U33">
        <f t="shared" si="4"/>
        <v>4</v>
      </c>
      <c r="V33">
        <f t="shared" si="5"/>
        <v>2</v>
      </c>
      <c r="W33">
        <f t="shared" si="6"/>
        <v>1</v>
      </c>
      <c r="X33">
        <f t="shared" si="7"/>
        <v>2019</v>
      </c>
      <c r="Y33" t="str">
        <f t="shared" si="0"/>
        <v>Thursday</v>
      </c>
      <c r="Z33" t="str">
        <f t="shared" si="1"/>
        <v>January</v>
      </c>
    </row>
    <row r="34" spans="1:26" x14ac:dyDescent="0.3">
      <c r="A34" t="s">
        <v>34</v>
      </c>
      <c r="B34" t="s">
        <v>142</v>
      </c>
      <c r="C34" t="s">
        <v>143</v>
      </c>
      <c r="D34">
        <v>6579</v>
      </c>
      <c r="E34">
        <v>1</v>
      </c>
      <c r="F34">
        <v>235944</v>
      </c>
      <c r="G34" t="s">
        <v>131</v>
      </c>
      <c r="H34" t="s">
        <v>132</v>
      </c>
      <c r="I34" t="s">
        <v>144</v>
      </c>
      <c r="J34" t="s">
        <v>27</v>
      </c>
      <c r="K34">
        <v>5507</v>
      </c>
      <c r="L34" t="s">
        <v>23</v>
      </c>
      <c r="M34">
        <v>300</v>
      </c>
      <c r="N34" t="s">
        <v>49</v>
      </c>
      <c r="O34" t="s">
        <v>23</v>
      </c>
      <c r="P34">
        <v>33</v>
      </c>
      <c r="Q34">
        <v>0</v>
      </c>
      <c r="R34">
        <f>A34-6+6</f>
        <v>43475</v>
      </c>
      <c r="S34">
        <f t="shared" si="2"/>
        <v>0</v>
      </c>
      <c r="T34">
        <f t="shared" si="3"/>
        <v>10</v>
      </c>
      <c r="U34">
        <f t="shared" si="4"/>
        <v>5</v>
      </c>
      <c r="V34">
        <f t="shared" si="5"/>
        <v>2</v>
      </c>
      <c r="W34">
        <f t="shared" si="6"/>
        <v>1</v>
      </c>
      <c r="X34">
        <f t="shared" si="7"/>
        <v>2019</v>
      </c>
      <c r="Y34" t="str">
        <f t="shared" ref="Y34:Y65" si="8">VLOOKUP(U34,dayname,2)</f>
        <v>Friday</v>
      </c>
      <c r="Z34" t="str">
        <f t="shared" ref="Z34:Z65" si="9">VLOOKUP(W34,mesnome,2)</f>
        <v>January</v>
      </c>
    </row>
    <row r="35" spans="1:26" x14ac:dyDescent="0.3">
      <c r="A35" t="s">
        <v>34</v>
      </c>
      <c r="B35" t="s">
        <v>142</v>
      </c>
      <c r="C35" t="s">
        <v>143</v>
      </c>
      <c r="D35">
        <v>6579</v>
      </c>
      <c r="E35">
        <v>1</v>
      </c>
      <c r="F35">
        <v>235944</v>
      </c>
      <c r="G35" t="s">
        <v>131</v>
      </c>
      <c r="H35" t="s">
        <v>132</v>
      </c>
      <c r="I35" t="s">
        <v>144</v>
      </c>
      <c r="J35" t="s">
        <v>27</v>
      </c>
      <c r="K35">
        <v>5507</v>
      </c>
      <c r="L35" t="s">
        <v>23</v>
      </c>
      <c r="M35">
        <v>300</v>
      </c>
      <c r="N35" t="s">
        <v>49</v>
      </c>
      <c r="O35" t="s">
        <v>23</v>
      </c>
      <c r="P35">
        <v>33</v>
      </c>
      <c r="Q35">
        <v>3.5</v>
      </c>
      <c r="R35">
        <f>R30-2</f>
        <v>43469</v>
      </c>
      <c r="S35">
        <f t="shared" si="2"/>
        <v>115.5</v>
      </c>
      <c r="T35">
        <f t="shared" si="3"/>
        <v>4</v>
      </c>
      <c r="U35">
        <f t="shared" si="4"/>
        <v>6</v>
      </c>
      <c r="V35">
        <f t="shared" si="5"/>
        <v>1</v>
      </c>
      <c r="W35">
        <f t="shared" si="6"/>
        <v>1</v>
      </c>
      <c r="X35">
        <f t="shared" si="7"/>
        <v>2019</v>
      </c>
      <c r="Y35" t="str">
        <f t="shared" si="8"/>
        <v>Saturday</v>
      </c>
      <c r="Z35" t="str">
        <f t="shared" si="9"/>
        <v>January</v>
      </c>
    </row>
    <row r="36" spans="1:26" x14ac:dyDescent="0.3">
      <c r="A36" t="s">
        <v>34</v>
      </c>
      <c r="B36" t="s">
        <v>142</v>
      </c>
      <c r="C36" t="s">
        <v>143</v>
      </c>
      <c r="D36">
        <v>6579</v>
      </c>
      <c r="E36">
        <v>1</v>
      </c>
      <c r="F36">
        <v>235944</v>
      </c>
      <c r="G36" t="s">
        <v>131</v>
      </c>
      <c r="H36" t="s">
        <v>132</v>
      </c>
      <c r="I36" t="s">
        <v>144</v>
      </c>
      <c r="J36" t="s">
        <v>27</v>
      </c>
      <c r="K36">
        <v>5507</v>
      </c>
      <c r="L36" t="s">
        <v>23</v>
      </c>
      <c r="M36">
        <v>300</v>
      </c>
      <c r="N36" t="s">
        <v>49</v>
      </c>
      <c r="O36" t="s">
        <v>23</v>
      </c>
      <c r="P36">
        <v>33</v>
      </c>
      <c r="Q36">
        <v>10</v>
      </c>
      <c r="R36">
        <f>R30-1</f>
        <v>43470</v>
      </c>
      <c r="S36">
        <f t="shared" si="2"/>
        <v>330</v>
      </c>
      <c r="T36">
        <f t="shared" si="3"/>
        <v>5</v>
      </c>
      <c r="U36">
        <f t="shared" si="4"/>
        <v>7</v>
      </c>
      <c r="V36">
        <f t="shared" si="5"/>
        <v>1</v>
      </c>
      <c r="W36">
        <f t="shared" si="6"/>
        <v>1</v>
      </c>
      <c r="X36">
        <f t="shared" si="7"/>
        <v>2019</v>
      </c>
      <c r="Y36" t="str">
        <f t="shared" si="8"/>
        <v>Sunday</v>
      </c>
      <c r="Z36" t="str">
        <f t="shared" si="9"/>
        <v>January</v>
      </c>
    </row>
    <row r="37" spans="1:26" x14ac:dyDescent="0.3">
      <c r="A37" t="s">
        <v>35</v>
      </c>
      <c r="B37" t="s">
        <v>145</v>
      </c>
      <c r="C37" t="s">
        <v>146</v>
      </c>
      <c r="D37">
        <v>8089</v>
      </c>
      <c r="E37">
        <v>1</v>
      </c>
      <c r="F37">
        <v>240657</v>
      </c>
      <c r="G37" t="s">
        <v>131</v>
      </c>
      <c r="H37" t="s">
        <v>132</v>
      </c>
      <c r="I37" t="s">
        <v>136</v>
      </c>
      <c r="J37" t="s">
        <v>27</v>
      </c>
      <c r="K37">
        <v>5507</v>
      </c>
      <c r="L37" t="s">
        <v>23</v>
      </c>
      <c r="M37">
        <v>300</v>
      </c>
      <c r="N37" t="s">
        <v>24</v>
      </c>
      <c r="O37" t="s">
        <v>23</v>
      </c>
      <c r="P37">
        <v>19</v>
      </c>
      <c r="Q37">
        <v>0</v>
      </c>
      <c r="R37">
        <f>A37-6+2</f>
        <v>43527</v>
      </c>
      <c r="S37">
        <f t="shared" si="2"/>
        <v>0</v>
      </c>
      <c r="T37">
        <f t="shared" si="3"/>
        <v>3</v>
      </c>
      <c r="U37">
        <f t="shared" si="4"/>
        <v>1</v>
      </c>
      <c r="V37">
        <f t="shared" si="5"/>
        <v>10</v>
      </c>
      <c r="W37">
        <f t="shared" si="6"/>
        <v>3</v>
      </c>
      <c r="X37">
        <f t="shared" si="7"/>
        <v>2019</v>
      </c>
      <c r="Y37" t="str">
        <f t="shared" si="8"/>
        <v>Monday</v>
      </c>
      <c r="Z37" t="str">
        <f t="shared" si="9"/>
        <v>March</v>
      </c>
    </row>
    <row r="38" spans="1:26" x14ac:dyDescent="0.3">
      <c r="A38" t="s">
        <v>35</v>
      </c>
      <c r="B38" t="s">
        <v>145</v>
      </c>
      <c r="C38" t="s">
        <v>146</v>
      </c>
      <c r="D38">
        <v>8089</v>
      </c>
      <c r="E38">
        <v>1</v>
      </c>
      <c r="F38">
        <v>240657</v>
      </c>
      <c r="G38" t="s">
        <v>131</v>
      </c>
      <c r="H38" t="s">
        <v>132</v>
      </c>
      <c r="I38" t="s">
        <v>136</v>
      </c>
      <c r="J38" t="s">
        <v>27</v>
      </c>
      <c r="K38">
        <v>5507</v>
      </c>
      <c r="L38" t="s">
        <v>23</v>
      </c>
      <c r="M38">
        <v>300</v>
      </c>
      <c r="N38" t="s">
        <v>24</v>
      </c>
      <c r="O38" t="s">
        <v>23</v>
      </c>
      <c r="P38">
        <v>19</v>
      </c>
      <c r="Q38">
        <v>0</v>
      </c>
      <c r="R38">
        <f>A38-6+3</f>
        <v>43528</v>
      </c>
      <c r="S38">
        <f t="shared" si="2"/>
        <v>0</v>
      </c>
      <c r="T38">
        <f t="shared" si="3"/>
        <v>4</v>
      </c>
      <c r="U38">
        <f t="shared" si="4"/>
        <v>2</v>
      </c>
      <c r="V38">
        <f t="shared" si="5"/>
        <v>10</v>
      </c>
      <c r="W38">
        <f t="shared" si="6"/>
        <v>3</v>
      </c>
      <c r="X38">
        <f t="shared" si="7"/>
        <v>2019</v>
      </c>
      <c r="Y38" t="str">
        <f t="shared" si="8"/>
        <v>Tuesday</v>
      </c>
      <c r="Z38" t="str">
        <f t="shared" si="9"/>
        <v>March</v>
      </c>
    </row>
    <row r="39" spans="1:26" x14ac:dyDescent="0.3">
      <c r="A39" t="s">
        <v>35</v>
      </c>
      <c r="B39" t="s">
        <v>145</v>
      </c>
      <c r="C39" t="s">
        <v>146</v>
      </c>
      <c r="D39">
        <v>8089</v>
      </c>
      <c r="E39">
        <v>1</v>
      </c>
      <c r="F39">
        <v>240657</v>
      </c>
      <c r="G39" t="s">
        <v>131</v>
      </c>
      <c r="H39" t="s">
        <v>132</v>
      </c>
      <c r="I39" t="s">
        <v>136</v>
      </c>
      <c r="J39" t="s">
        <v>27</v>
      </c>
      <c r="K39">
        <v>5507</v>
      </c>
      <c r="L39" t="s">
        <v>23</v>
      </c>
      <c r="M39">
        <v>300</v>
      </c>
      <c r="N39" t="s">
        <v>24</v>
      </c>
      <c r="O39" t="s">
        <v>23</v>
      </c>
      <c r="P39">
        <v>19</v>
      </c>
      <c r="Q39">
        <v>0</v>
      </c>
      <c r="R39">
        <f>A39-6+4</f>
        <v>43529</v>
      </c>
      <c r="S39">
        <f t="shared" si="2"/>
        <v>0</v>
      </c>
      <c r="T39">
        <f t="shared" si="3"/>
        <v>5</v>
      </c>
      <c r="U39">
        <f t="shared" si="4"/>
        <v>3</v>
      </c>
      <c r="V39">
        <f t="shared" si="5"/>
        <v>10</v>
      </c>
      <c r="W39">
        <f t="shared" si="6"/>
        <v>3</v>
      </c>
      <c r="X39">
        <f t="shared" si="7"/>
        <v>2019</v>
      </c>
      <c r="Y39" t="str">
        <f t="shared" si="8"/>
        <v>Wednesday</v>
      </c>
      <c r="Z39" t="str">
        <f t="shared" si="9"/>
        <v>March</v>
      </c>
    </row>
    <row r="40" spans="1:26" x14ac:dyDescent="0.3">
      <c r="A40" t="s">
        <v>35</v>
      </c>
      <c r="B40" t="s">
        <v>145</v>
      </c>
      <c r="C40" t="s">
        <v>146</v>
      </c>
      <c r="D40">
        <v>8089</v>
      </c>
      <c r="E40">
        <v>1</v>
      </c>
      <c r="F40">
        <v>240657</v>
      </c>
      <c r="G40" t="s">
        <v>131</v>
      </c>
      <c r="H40" t="s">
        <v>132</v>
      </c>
      <c r="I40" t="s">
        <v>136</v>
      </c>
      <c r="J40" t="s">
        <v>27</v>
      </c>
      <c r="K40">
        <v>5507</v>
      </c>
      <c r="L40" t="s">
        <v>23</v>
      </c>
      <c r="M40">
        <v>300</v>
      </c>
      <c r="N40" t="s">
        <v>24</v>
      </c>
      <c r="O40" t="s">
        <v>23</v>
      </c>
      <c r="P40">
        <v>19</v>
      </c>
      <c r="Q40">
        <v>0</v>
      </c>
      <c r="R40">
        <f>A40-6+5</f>
        <v>43530</v>
      </c>
      <c r="S40">
        <f t="shared" si="2"/>
        <v>0</v>
      </c>
      <c r="T40">
        <f t="shared" si="3"/>
        <v>6</v>
      </c>
      <c r="U40">
        <f t="shared" si="4"/>
        <v>4</v>
      </c>
      <c r="V40">
        <f t="shared" si="5"/>
        <v>10</v>
      </c>
      <c r="W40">
        <f t="shared" si="6"/>
        <v>3</v>
      </c>
      <c r="X40">
        <f t="shared" si="7"/>
        <v>2019</v>
      </c>
      <c r="Y40" t="str">
        <f t="shared" si="8"/>
        <v>Thursday</v>
      </c>
      <c r="Z40" t="str">
        <f t="shared" si="9"/>
        <v>March</v>
      </c>
    </row>
    <row r="41" spans="1:26" x14ac:dyDescent="0.3">
      <c r="A41" t="s">
        <v>35</v>
      </c>
      <c r="B41" t="s">
        <v>145</v>
      </c>
      <c r="C41" t="s">
        <v>146</v>
      </c>
      <c r="D41">
        <v>8089</v>
      </c>
      <c r="E41">
        <v>1</v>
      </c>
      <c r="F41">
        <v>240657</v>
      </c>
      <c r="G41" t="s">
        <v>131</v>
      </c>
      <c r="H41" t="s">
        <v>132</v>
      </c>
      <c r="I41" t="s">
        <v>136</v>
      </c>
      <c r="J41" t="s">
        <v>27</v>
      </c>
      <c r="K41">
        <v>5507</v>
      </c>
      <c r="L41" t="s">
        <v>23</v>
      </c>
      <c r="M41">
        <v>300</v>
      </c>
      <c r="N41" t="s">
        <v>24</v>
      </c>
      <c r="O41" t="s">
        <v>23</v>
      </c>
      <c r="P41">
        <v>19</v>
      </c>
      <c r="Q41">
        <v>0</v>
      </c>
      <c r="R41">
        <f>A41-6+6</f>
        <v>43531</v>
      </c>
      <c r="S41">
        <f t="shared" si="2"/>
        <v>0</v>
      </c>
      <c r="T41">
        <f t="shared" si="3"/>
        <v>7</v>
      </c>
      <c r="U41">
        <f t="shared" si="4"/>
        <v>5</v>
      </c>
      <c r="V41">
        <f t="shared" si="5"/>
        <v>10</v>
      </c>
      <c r="W41">
        <f t="shared" si="6"/>
        <v>3</v>
      </c>
      <c r="X41">
        <f t="shared" si="7"/>
        <v>2019</v>
      </c>
      <c r="Y41" t="str">
        <f t="shared" si="8"/>
        <v>Friday</v>
      </c>
      <c r="Z41" t="str">
        <f t="shared" si="9"/>
        <v>March</v>
      </c>
    </row>
    <row r="42" spans="1:26" x14ac:dyDescent="0.3">
      <c r="A42" t="s">
        <v>35</v>
      </c>
      <c r="B42" t="s">
        <v>145</v>
      </c>
      <c r="C42" t="s">
        <v>146</v>
      </c>
      <c r="D42">
        <v>8089</v>
      </c>
      <c r="E42">
        <v>1</v>
      </c>
      <c r="F42">
        <v>240657</v>
      </c>
      <c r="G42" t="s">
        <v>131</v>
      </c>
      <c r="H42" t="s">
        <v>132</v>
      </c>
      <c r="I42" t="s">
        <v>136</v>
      </c>
      <c r="J42" t="s">
        <v>27</v>
      </c>
      <c r="K42">
        <v>5507</v>
      </c>
      <c r="L42" t="s">
        <v>23</v>
      </c>
      <c r="M42">
        <v>300</v>
      </c>
      <c r="N42" t="s">
        <v>24</v>
      </c>
      <c r="O42" t="s">
        <v>23</v>
      </c>
      <c r="P42">
        <v>19</v>
      </c>
      <c r="Q42">
        <v>3</v>
      </c>
      <c r="R42">
        <f>R37-2</f>
        <v>43525</v>
      </c>
      <c r="S42">
        <f t="shared" si="2"/>
        <v>57</v>
      </c>
      <c r="T42">
        <f t="shared" si="3"/>
        <v>1</v>
      </c>
      <c r="U42">
        <f t="shared" si="4"/>
        <v>6</v>
      </c>
      <c r="V42">
        <f t="shared" si="5"/>
        <v>9</v>
      </c>
      <c r="W42">
        <f t="shared" si="6"/>
        <v>3</v>
      </c>
      <c r="X42">
        <f t="shared" si="7"/>
        <v>2019</v>
      </c>
      <c r="Y42" t="str">
        <f t="shared" si="8"/>
        <v>Saturday</v>
      </c>
      <c r="Z42" t="str">
        <f t="shared" si="9"/>
        <v>March</v>
      </c>
    </row>
    <row r="43" spans="1:26" x14ac:dyDescent="0.3">
      <c r="A43" t="s">
        <v>35</v>
      </c>
      <c r="B43" t="s">
        <v>145</v>
      </c>
      <c r="C43" t="s">
        <v>146</v>
      </c>
      <c r="D43">
        <v>8089</v>
      </c>
      <c r="E43">
        <v>1</v>
      </c>
      <c r="F43">
        <v>240657</v>
      </c>
      <c r="G43" t="s">
        <v>131</v>
      </c>
      <c r="H43" t="s">
        <v>132</v>
      </c>
      <c r="I43" t="s">
        <v>136</v>
      </c>
      <c r="J43" t="s">
        <v>27</v>
      </c>
      <c r="K43">
        <v>5507</v>
      </c>
      <c r="L43" t="s">
        <v>23</v>
      </c>
      <c r="M43">
        <v>300</v>
      </c>
      <c r="N43" t="s">
        <v>24</v>
      </c>
      <c r="O43" t="s">
        <v>23</v>
      </c>
      <c r="P43">
        <v>19</v>
      </c>
      <c r="Q43">
        <v>0</v>
      </c>
      <c r="R43">
        <f>R37-1</f>
        <v>43526</v>
      </c>
      <c r="S43">
        <f t="shared" si="2"/>
        <v>0</v>
      </c>
      <c r="T43">
        <f t="shared" si="3"/>
        <v>2</v>
      </c>
      <c r="U43">
        <f t="shared" si="4"/>
        <v>7</v>
      </c>
      <c r="V43">
        <f t="shared" si="5"/>
        <v>9</v>
      </c>
      <c r="W43">
        <f t="shared" si="6"/>
        <v>3</v>
      </c>
      <c r="X43">
        <f t="shared" si="7"/>
        <v>2019</v>
      </c>
      <c r="Y43" t="str">
        <f t="shared" si="8"/>
        <v>Sunday</v>
      </c>
      <c r="Z43" t="str">
        <f t="shared" si="9"/>
        <v>March</v>
      </c>
    </row>
    <row r="44" spans="1:26" x14ac:dyDescent="0.3">
      <c r="A44" t="s">
        <v>46</v>
      </c>
      <c r="B44" t="s">
        <v>147</v>
      </c>
      <c r="C44" t="s">
        <v>148</v>
      </c>
      <c r="D44">
        <v>6593</v>
      </c>
      <c r="E44">
        <v>1</v>
      </c>
      <c r="F44">
        <v>237109</v>
      </c>
      <c r="G44" t="s">
        <v>131</v>
      </c>
      <c r="H44" t="s">
        <v>132</v>
      </c>
      <c r="I44" t="s">
        <v>149</v>
      </c>
      <c r="J44" t="s">
        <v>27</v>
      </c>
      <c r="K44">
        <v>5507</v>
      </c>
      <c r="L44" t="s">
        <v>23</v>
      </c>
      <c r="M44">
        <v>600</v>
      </c>
      <c r="N44" t="s">
        <v>24</v>
      </c>
      <c r="O44" t="s">
        <v>23</v>
      </c>
      <c r="P44">
        <v>37.5</v>
      </c>
      <c r="Q44">
        <v>0</v>
      </c>
      <c r="R44">
        <f>A44-6+2</f>
        <v>43485</v>
      </c>
      <c r="S44">
        <f t="shared" si="2"/>
        <v>0</v>
      </c>
      <c r="T44">
        <f t="shared" si="3"/>
        <v>20</v>
      </c>
      <c r="U44">
        <f t="shared" si="4"/>
        <v>1</v>
      </c>
      <c r="V44">
        <f t="shared" si="5"/>
        <v>4</v>
      </c>
      <c r="W44">
        <f t="shared" si="6"/>
        <v>1</v>
      </c>
      <c r="X44">
        <f t="shared" si="7"/>
        <v>2019</v>
      </c>
      <c r="Y44" t="str">
        <f t="shared" si="8"/>
        <v>Monday</v>
      </c>
      <c r="Z44" t="str">
        <f t="shared" si="9"/>
        <v>January</v>
      </c>
    </row>
    <row r="45" spans="1:26" x14ac:dyDescent="0.3">
      <c r="A45" t="s">
        <v>46</v>
      </c>
      <c r="B45" t="s">
        <v>147</v>
      </c>
      <c r="C45" t="s">
        <v>148</v>
      </c>
      <c r="D45">
        <v>6593</v>
      </c>
      <c r="E45">
        <v>1</v>
      </c>
      <c r="F45">
        <v>237109</v>
      </c>
      <c r="G45" t="s">
        <v>131</v>
      </c>
      <c r="H45" t="s">
        <v>132</v>
      </c>
      <c r="I45" t="s">
        <v>149</v>
      </c>
      <c r="J45" t="s">
        <v>27</v>
      </c>
      <c r="K45">
        <v>5507</v>
      </c>
      <c r="L45" t="s">
        <v>23</v>
      </c>
      <c r="M45">
        <v>600</v>
      </c>
      <c r="N45" t="s">
        <v>24</v>
      </c>
      <c r="O45" t="s">
        <v>23</v>
      </c>
      <c r="P45">
        <v>37.5</v>
      </c>
      <c r="Q45">
        <v>0</v>
      </c>
      <c r="R45">
        <f>A45-6+3</f>
        <v>43486</v>
      </c>
      <c r="S45">
        <f t="shared" si="2"/>
        <v>0</v>
      </c>
      <c r="T45">
        <f t="shared" si="3"/>
        <v>21</v>
      </c>
      <c r="U45">
        <f t="shared" si="4"/>
        <v>2</v>
      </c>
      <c r="V45">
        <f t="shared" si="5"/>
        <v>4</v>
      </c>
      <c r="W45">
        <f t="shared" si="6"/>
        <v>1</v>
      </c>
      <c r="X45">
        <f t="shared" si="7"/>
        <v>2019</v>
      </c>
      <c r="Y45" t="str">
        <f t="shared" si="8"/>
        <v>Tuesday</v>
      </c>
      <c r="Z45" t="str">
        <f t="shared" si="9"/>
        <v>January</v>
      </c>
    </row>
    <row r="46" spans="1:26" x14ac:dyDescent="0.3">
      <c r="A46" t="s">
        <v>46</v>
      </c>
      <c r="B46" t="s">
        <v>147</v>
      </c>
      <c r="C46" t="s">
        <v>148</v>
      </c>
      <c r="D46">
        <v>6593</v>
      </c>
      <c r="E46">
        <v>1</v>
      </c>
      <c r="F46">
        <v>237109</v>
      </c>
      <c r="G46" t="s">
        <v>131</v>
      </c>
      <c r="H46" t="s">
        <v>132</v>
      </c>
      <c r="I46" t="s">
        <v>149</v>
      </c>
      <c r="J46" t="s">
        <v>27</v>
      </c>
      <c r="K46">
        <v>5507</v>
      </c>
      <c r="L46" t="s">
        <v>23</v>
      </c>
      <c r="M46">
        <v>600</v>
      </c>
      <c r="N46" t="s">
        <v>24</v>
      </c>
      <c r="O46" t="s">
        <v>23</v>
      </c>
      <c r="P46">
        <v>37.5</v>
      </c>
      <c r="Q46">
        <v>0</v>
      </c>
      <c r="R46">
        <f>A46-6+4</f>
        <v>43487</v>
      </c>
      <c r="S46">
        <f t="shared" si="2"/>
        <v>0</v>
      </c>
      <c r="T46">
        <f t="shared" si="3"/>
        <v>22</v>
      </c>
      <c r="U46">
        <f t="shared" si="4"/>
        <v>3</v>
      </c>
      <c r="V46">
        <f t="shared" si="5"/>
        <v>4</v>
      </c>
      <c r="W46">
        <f t="shared" si="6"/>
        <v>1</v>
      </c>
      <c r="X46">
        <f t="shared" si="7"/>
        <v>2019</v>
      </c>
      <c r="Y46" t="str">
        <f t="shared" si="8"/>
        <v>Wednesday</v>
      </c>
      <c r="Z46" t="str">
        <f t="shared" si="9"/>
        <v>January</v>
      </c>
    </row>
    <row r="47" spans="1:26" x14ac:dyDescent="0.3">
      <c r="A47" t="s">
        <v>46</v>
      </c>
      <c r="B47" t="s">
        <v>147</v>
      </c>
      <c r="C47" t="s">
        <v>148</v>
      </c>
      <c r="D47">
        <v>6593</v>
      </c>
      <c r="E47">
        <v>1</v>
      </c>
      <c r="F47">
        <v>237109</v>
      </c>
      <c r="G47" t="s">
        <v>131</v>
      </c>
      <c r="H47" t="s">
        <v>132</v>
      </c>
      <c r="I47" t="s">
        <v>149</v>
      </c>
      <c r="J47" t="s">
        <v>27</v>
      </c>
      <c r="K47">
        <v>5507</v>
      </c>
      <c r="L47" t="s">
        <v>23</v>
      </c>
      <c r="M47">
        <v>600</v>
      </c>
      <c r="N47" t="s">
        <v>24</v>
      </c>
      <c r="O47" t="s">
        <v>23</v>
      </c>
      <c r="P47">
        <v>37.5</v>
      </c>
      <c r="Q47">
        <v>0</v>
      </c>
      <c r="R47">
        <f>A47-6+5</f>
        <v>43488</v>
      </c>
      <c r="S47">
        <f t="shared" si="2"/>
        <v>0</v>
      </c>
      <c r="T47">
        <f t="shared" si="3"/>
        <v>23</v>
      </c>
      <c r="U47">
        <f t="shared" si="4"/>
        <v>4</v>
      </c>
      <c r="V47">
        <f t="shared" si="5"/>
        <v>4</v>
      </c>
      <c r="W47">
        <f t="shared" si="6"/>
        <v>1</v>
      </c>
      <c r="X47">
        <f t="shared" si="7"/>
        <v>2019</v>
      </c>
      <c r="Y47" t="str">
        <f t="shared" si="8"/>
        <v>Thursday</v>
      </c>
      <c r="Z47" t="str">
        <f t="shared" si="9"/>
        <v>January</v>
      </c>
    </row>
    <row r="48" spans="1:26" x14ac:dyDescent="0.3">
      <c r="A48" t="s">
        <v>46</v>
      </c>
      <c r="B48" t="s">
        <v>147</v>
      </c>
      <c r="C48" t="s">
        <v>148</v>
      </c>
      <c r="D48">
        <v>6593</v>
      </c>
      <c r="E48">
        <v>1</v>
      </c>
      <c r="F48">
        <v>237109</v>
      </c>
      <c r="G48" t="s">
        <v>131</v>
      </c>
      <c r="H48" t="s">
        <v>132</v>
      </c>
      <c r="I48" t="s">
        <v>149</v>
      </c>
      <c r="J48" t="s">
        <v>27</v>
      </c>
      <c r="K48">
        <v>5507</v>
      </c>
      <c r="L48" t="s">
        <v>23</v>
      </c>
      <c r="M48">
        <v>600</v>
      </c>
      <c r="N48" t="s">
        <v>24</v>
      </c>
      <c r="O48" t="s">
        <v>23</v>
      </c>
      <c r="P48">
        <v>37.5</v>
      </c>
      <c r="Q48">
        <v>3</v>
      </c>
      <c r="R48">
        <f>A48-6+6</f>
        <v>43489</v>
      </c>
      <c r="S48">
        <f t="shared" si="2"/>
        <v>112.5</v>
      </c>
      <c r="T48">
        <f t="shared" si="3"/>
        <v>24</v>
      </c>
      <c r="U48">
        <f t="shared" si="4"/>
        <v>5</v>
      </c>
      <c r="V48">
        <f t="shared" si="5"/>
        <v>4</v>
      </c>
      <c r="W48">
        <f t="shared" si="6"/>
        <v>1</v>
      </c>
      <c r="X48">
        <f t="shared" si="7"/>
        <v>2019</v>
      </c>
      <c r="Y48" t="str">
        <f t="shared" si="8"/>
        <v>Friday</v>
      </c>
      <c r="Z48" t="str">
        <f t="shared" si="9"/>
        <v>January</v>
      </c>
    </row>
    <row r="49" spans="1:26" x14ac:dyDescent="0.3">
      <c r="A49" t="s">
        <v>46</v>
      </c>
      <c r="B49" t="s">
        <v>147</v>
      </c>
      <c r="C49" t="s">
        <v>148</v>
      </c>
      <c r="D49">
        <v>6593</v>
      </c>
      <c r="E49">
        <v>1</v>
      </c>
      <c r="F49">
        <v>237109</v>
      </c>
      <c r="G49" t="s">
        <v>131</v>
      </c>
      <c r="H49" t="s">
        <v>132</v>
      </c>
      <c r="I49" t="s">
        <v>149</v>
      </c>
      <c r="J49" t="s">
        <v>27</v>
      </c>
      <c r="K49">
        <v>5507</v>
      </c>
      <c r="L49" t="s">
        <v>23</v>
      </c>
      <c r="M49">
        <v>600</v>
      </c>
      <c r="N49" t="s">
        <v>24</v>
      </c>
      <c r="O49" t="s">
        <v>23</v>
      </c>
      <c r="P49">
        <v>37.5</v>
      </c>
      <c r="Q49">
        <v>0</v>
      </c>
      <c r="R49">
        <f>R44-2</f>
        <v>43483</v>
      </c>
      <c r="S49">
        <f t="shared" si="2"/>
        <v>0</v>
      </c>
      <c r="T49">
        <f t="shared" si="3"/>
        <v>18</v>
      </c>
      <c r="U49">
        <f t="shared" si="4"/>
        <v>6</v>
      </c>
      <c r="V49">
        <f t="shared" si="5"/>
        <v>3</v>
      </c>
      <c r="W49">
        <f t="shared" si="6"/>
        <v>1</v>
      </c>
      <c r="X49">
        <f t="shared" si="7"/>
        <v>2019</v>
      </c>
      <c r="Y49" t="str">
        <f t="shared" si="8"/>
        <v>Saturday</v>
      </c>
      <c r="Z49" t="str">
        <f t="shared" si="9"/>
        <v>January</v>
      </c>
    </row>
    <row r="50" spans="1:26" x14ac:dyDescent="0.3">
      <c r="A50" t="s">
        <v>46</v>
      </c>
      <c r="B50" t="s">
        <v>147</v>
      </c>
      <c r="C50" t="s">
        <v>148</v>
      </c>
      <c r="D50">
        <v>6593</v>
      </c>
      <c r="E50">
        <v>1</v>
      </c>
      <c r="F50">
        <v>237109</v>
      </c>
      <c r="G50" t="s">
        <v>131</v>
      </c>
      <c r="H50" t="s">
        <v>132</v>
      </c>
      <c r="I50" t="s">
        <v>149</v>
      </c>
      <c r="J50" t="s">
        <v>27</v>
      </c>
      <c r="K50">
        <v>5507</v>
      </c>
      <c r="L50" t="s">
        <v>23</v>
      </c>
      <c r="M50">
        <v>600</v>
      </c>
      <c r="N50" t="s">
        <v>24</v>
      </c>
      <c r="O50" t="s">
        <v>23</v>
      </c>
      <c r="P50">
        <v>37.5</v>
      </c>
      <c r="Q50">
        <v>0</v>
      </c>
      <c r="R50">
        <f>R44-1</f>
        <v>43484</v>
      </c>
      <c r="S50">
        <f t="shared" si="2"/>
        <v>0</v>
      </c>
      <c r="T50">
        <f t="shared" si="3"/>
        <v>19</v>
      </c>
      <c r="U50">
        <f t="shared" si="4"/>
        <v>7</v>
      </c>
      <c r="V50">
        <f t="shared" si="5"/>
        <v>3</v>
      </c>
      <c r="W50">
        <f t="shared" si="6"/>
        <v>1</v>
      </c>
      <c r="X50">
        <f t="shared" si="7"/>
        <v>2019</v>
      </c>
      <c r="Y50" t="str">
        <f t="shared" si="8"/>
        <v>Sunday</v>
      </c>
      <c r="Z50" t="str">
        <f t="shared" si="9"/>
        <v>January</v>
      </c>
    </row>
    <row r="51" spans="1:26" x14ac:dyDescent="0.3">
      <c r="A51" t="s">
        <v>44</v>
      </c>
      <c r="B51" t="s">
        <v>150</v>
      </c>
      <c r="C51" t="s">
        <v>151</v>
      </c>
      <c r="D51">
        <v>7566</v>
      </c>
      <c r="E51">
        <v>1</v>
      </c>
      <c r="F51">
        <v>233169</v>
      </c>
      <c r="G51" t="s">
        <v>131</v>
      </c>
      <c r="H51" t="s">
        <v>132</v>
      </c>
      <c r="I51" t="s">
        <v>152</v>
      </c>
      <c r="J51" t="s">
        <v>27</v>
      </c>
      <c r="K51">
        <v>5222</v>
      </c>
      <c r="L51" t="s">
        <v>23</v>
      </c>
      <c r="M51">
        <v>600</v>
      </c>
      <c r="N51" t="s">
        <v>24</v>
      </c>
      <c r="O51" t="s">
        <v>23</v>
      </c>
      <c r="P51">
        <v>32</v>
      </c>
      <c r="Q51">
        <v>0</v>
      </c>
      <c r="R51">
        <f>A51-6+2</f>
        <v>43436</v>
      </c>
      <c r="S51">
        <f t="shared" si="2"/>
        <v>0</v>
      </c>
      <c r="T51">
        <f t="shared" si="3"/>
        <v>2</v>
      </c>
      <c r="U51">
        <f t="shared" si="4"/>
        <v>1</v>
      </c>
      <c r="V51">
        <f t="shared" si="5"/>
        <v>49</v>
      </c>
      <c r="W51">
        <f t="shared" si="6"/>
        <v>12</v>
      </c>
      <c r="X51">
        <f t="shared" si="7"/>
        <v>2018</v>
      </c>
      <c r="Y51" t="str">
        <f t="shared" si="8"/>
        <v>Monday</v>
      </c>
      <c r="Z51" t="str">
        <f t="shared" si="9"/>
        <v>December</v>
      </c>
    </row>
    <row r="52" spans="1:26" x14ac:dyDescent="0.3">
      <c r="A52" t="s">
        <v>44</v>
      </c>
      <c r="B52" t="s">
        <v>150</v>
      </c>
      <c r="C52" t="s">
        <v>151</v>
      </c>
      <c r="D52">
        <v>7566</v>
      </c>
      <c r="E52">
        <v>1</v>
      </c>
      <c r="F52">
        <v>233169</v>
      </c>
      <c r="G52" t="s">
        <v>131</v>
      </c>
      <c r="H52" t="s">
        <v>132</v>
      </c>
      <c r="I52" t="s">
        <v>152</v>
      </c>
      <c r="J52" t="s">
        <v>27</v>
      </c>
      <c r="K52">
        <v>5222</v>
      </c>
      <c r="L52" t="s">
        <v>23</v>
      </c>
      <c r="M52">
        <v>600</v>
      </c>
      <c r="N52" t="s">
        <v>24</v>
      </c>
      <c r="O52" t="s">
        <v>23</v>
      </c>
      <c r="P52">
        <v>32</v>
      </c>
      <c r="Q52">
        <v>0</v>
      </c>
      <c r="R52">
        <f>A52-6+3</f>
        <v>43437</v>
      </c>
      <c r="S52">
        <f t="shared" si="2"/>
        <v>0</v>
      </c>
      <c r="T52">
        <f t="shared" si="3"/>
        <v>3</v>
      </c>
      <c r="U52">
        <f t="shared" si="4"/>
        <v>2</v>
      </c>
      <c r="V52">
        <f t="shared" si="5"/>
        <v>49</v>
      </c>
      <c r="W52">
        <f t="shared" si="6"/>
        <v>12</v>
      </c>
      <c r="X52">
        <f t="shared" si="7"/>
        <v>2018</v>
      </c>
      <c r="Y52" t="str">
        <f t="shared" si="8"/>
        <v>Tuesday</v>
      </c>
      <c r="Z52" t="str">
        <f t="shared" si="9"/>
        <v>December</v>
      </c>
    </row>
    <row r="53" spans="1:26" x14ac:dyDescent="0.3">
      <c r="A53" t="s">
        <v>44</v>
      </c>
      <c r="B53" t="s">
        <v>150</v>
      </c>
      <c r="C53" t="s">
        <v>151</v>
      </c>
      <c r="D53">
        <v>7566</v>
      </c>
      <c r="E53">
        <v>1</v>
      </c>
      <c r="F53">
        <v>233169</v>
      </c>
      <c r="G53" t="s">
        <v>131</v>
      </c>
      <c r="H53" t="s">
        <v>132</v>
      </c>
      <c r="I53" t="s">
        <v>152</v>
      </c>
      <c r="J53" t="s">
        <v>27</v>
      </c>
      <c r="K53">
        <v>5222</v>
      </c>
      <c r="L53" t="s">
        <v>23</v>
      </c>
      <c r="M53">
        <v>600</v>
      </c>
      <c r="N53" t="s">
        <v>24</v>
      </c>
      <c r="O53" t="s">
        <v>23</v>
      </c>
      <c r="P53">
        <v>32</v>
      </c>
      <c r="Q53">
        <v>0</v>
      </c>
      <c r="R53">
        <f>A53-6+4</f>
        <v>43438</v>
      </c>
      <c r="S53">
        <f t="shared" si="2"/>
        <v>0</v>
      </c>
      <c r="T53">
        <f t="shared" si="3"/>
        <v>4</v>
      </c>
      <c r="U53">
        <f t="shared" si="4"/>
        <v>3</v>
      </c>
      <c r="V53">
        <f t="shared" si="5"/>
        <v>49</v>
      </c>
      <c r="W53">
        <f t="shared" si="6"/>
        <v>12</v>
      </c>
      <c r="X53">
        <f t="shared" si="7"/>
        <v>2018</v>
      </c>
      <c r="Y53" t="str">
        <f t="shared" si="8"/>
        <v>Wednesday</v>
      </c>
      <c r="Z53" t="str">
        <f t="shared" si="9"/>
        <v>December</v>
      </c>
    </row>
    <row r="54" spans="1:26" x14ac:dyDescent="0.3">
      <c r="A54" t="s">
        <v>44</v>
      </c>
      <c r="B54" t="s">
        <v>150</v>
      </c>
      <c r="C54" t="s">
        <v>151</v>
      </c>
      <c r="D54">
        <v>7566</v>
      </c>
      <c r="E54">
        <v>1</v>
      </c>
      <c r="F54">
        <v>233169</v>
      </c>
      <c r="G54" t="s">
        <v>131</v>
      </c>
      <c r="H54" t="s">
        <v>132</v>
      </c>
      <c r="I54" t="s">
        <v>152</v>
      </c>
      <c r="J54" t="s">
        <v>27</v>
      </c>
      <c r="K54">
        <v>5222</v>
      </c>
      <c r="L54" t="s">
        <v>23</v>
      </c>
      <c r="M54">
        <v>600</v>
      </c>
      <c r="N54" t="s">
        <v>24</v>
      </c>
      <c r="O54" t="s">
        <v>23</v>
      </c>
      <c r="P54">
        <v>32</v>
      </c>
      <c r="Q54">
        <v>10</v>
      </c>
      <c r="R54">
        <f>A54-6+5</f>
        <v>43439</v>
      </c>
      <c r="S54">
        <f t="shared" si="2"/>
        <v>320</v>
      </c>
      <c r="T54">
        <f t="shared" si="3"/>
        <v>5</v>
      </c>
      <c r="U54">
        <f t="shared" si="4"/>
        <v>4</v>
      </c>
      <c r="V54">
        <f t="shared" si="5"/>
        <v>49</v>
      </c>
      <c r="W54">
        <f t="shared" si="6"/>
        <v>12</v>
      </c>
      <c r="X54">
        <f t="shared" si="7"/>
        <v>2018</v>
      </c>
      <c r="Y54" t="str">
        <f t="shared" si="8"/>
        <v>Thursday</v>
      </c>
      <c r="Z54" t="str">
        <f t="shared" si="9"/>
        <v>December</v>
      </c>
    </row>
    <row r="55" spans="1:26" x14ac:dyDescent="0.3">
      <c r="A55" t="s">
        <v>44</v>
      </c>
      <c r="B55" t="s">
        <v>150</v>
      </c>
      <c r="C55" t="s">
        <v>151</v>
      </c>
      <c r="D55">
        <v>7566</v>
      </c>
      <c r="E55">
        <v>1</v>
      </c>
      <c r="F55">
        <v>233169</v>
      </c>
      <c r="G55" t="s">
        <v>131</v>
      </c>
      <c r="H55" t="s">
        <v>132</v>
      </c>
      <c r="I55" t="s">
        <v>152</v>
      </c>
      <c r="J55" t="s">
        <v>27</v>
      </c>
      <c r="K55">
        <v>5222</v>
      </c>
      <c r="L55" t="s">
        <v>23</v>
      </c>
      <c r="M55">
        <v>600</v>
      </c>
      <c r="N55" t="s">
        <v>24</v>
      </c>
      <c r="O55" t="s">
        <v>23</v>
      </c>
      <c r="P55">
        <v>32</v>
      </c>
      <c r="Q55">
        <v>10</v>
      </c>
      <c r="R55">
        <f>A55-6+6</f>
        <v>43440</v>
      </c>
      <c r="S55">
        <f t="shared" si="2"/>
        <v>320</v>
      </c>
      <c r="T55">
        <f t="shared" si="3"/>
        <v>6</v>
      </c>
      <c r="U55">
        <f t="shared" si="4"/>
        <v>5</v>
      </c>
      <c r="V55">
        <f t="shared" si="5"/>
        <v>49</v>
      </c>
      <c r="W55">
        <f t="shared" si="6"/>
        <v>12</v>
      </c>
      <c r="X55">
        <f t="shared" si="7"/>
        <v>2018</v>
      </c>
      <c r="Y55" t="str">
        <f t="shared" si="8"/>
        <v>Friday</v>
      </c>
      <c r="Z55" t="str">
        <f t="shared" si="9"/>
        <v>December</v>
      </c>
    </row>
    <row r="56" spans="1:26" x14ac:dyDescent="0.3">
      <c r="A56" t="s">
        <v>44</v>
      </c>
      <c r="B56" t="s">
        <v>150</v>
      </c>
      <c r="C56" t="s">
        <v>151</v>
      </c>
      <c r="D56">
        <v>7566</v>
      </c>
      <c r="E56">
        <v>1</v>
      </c>
      <c r="F56">
        <v>233169</v>
      </c>
      <c r="G56" t="s">
        <v>131</v>
      </c>
      <c r="H56" t="s">
        <v>132</v>
      </c>
      <c r="I56" t="s">
        <v>152</v>
      </c>
      <c r="J56" t="s">
        <v>27</v>
      </c>
      <c r="K56">
        <v>5222</v>
      </c>
      <c r="L56" t="s">
        <v>23</v>
      </c>
      <c r="M56">
        <v>600</v>
      </c>
      <c r="N56" t="s">
        <v>24</v>
      </c>
      <c r="O56" t="s">
        <v>23</v>
      </c>
      <c r="P56">
        <v>32</v>
      </c>
      <c r="Q56">
        <v>10</v>
      </c>
      <c r="R56">
        <f>R51-2</f>
        <v>43434</v>
      </c>
      <c r="S56">
        <f t="shared" si="2"/>
        <v>320</v>
      </c>
      <c r="T56">
        <f t="shared" si="3"/>
        <v>30</v>
      </c>
      <c r="U56">
        <f t="shared" si="4"/>
        <v>6</v>
      </c>
      <c r="V56">
        <f t="shared" si="5"/>
        <v>48</v>
      </c>
      <c r="W56">
        <f t="shared" si="6"/>
        <v>11</v>
      </c>
      <c r="X56">
        <f t="shared" si="7"/>
        <v>2018</v>
      </c>
      <c r="Y56" t="str">
        <f t="shared" si="8"/>
        <v>Saturday</v>
      </c>
      <c r="Z56" t="str">
        <f t="shared" si="9"/>
        <v>November</v>
      </c>
    </row>
    <row r="57" spans="1:26" x14ac:dyDescent="0.3">
      <c r="A57" t="s">
        <v>44</v>
      </c>
      <c r="B57" t="s">
        <v>150</v>
      </c>
      <c r="C57" t="s">
        <v>151</v>
      </c>
      <c r="D57">
        <v>7566</v>
      </c>
      <c r="E57">
        <v>1</v>
      </c>
      <c r="F57">
        <v>233169</v>
      </c>
      <c r="G57" t="s">
        <v>131</v>
      </c>
      <c r="H57" t="s">
        <v>132</v>
      </c>
      <c r="I57" t="s">
        <v>152</v>
      </c>
      <c r="J57" t="s">
        <v>27</v>
      </c>
      <c r="K57">
        <v>5222</v>
      </c>
      <c r="L57" t="s">
        <v>23</v>
      </c>
      <c r="M57">
        <v>600</v>
      </c>
      <c r="N57" t="s">
        <v>24</v>
      </c>
      <c r="O57" t="s">
        <v>23</v>
      </c>
      <c r="P57">
        <v>32</v>
      </c>
      <c r="Q57">
        <v>10</v>
      </c>
      <c r="R57">
        <f>R51-1</f>
        <v>43435</v>
      </c>
      <c r="S57">
        <f t="shared" si="2"/>
        <v>320</v>
      </c>
      <c r="T57">
        <f t="shared" si="3"/>
        <v>1</v>
      </c>
      <c r="U57">
        <f t="shared" si="4"/>
        <v>7</v>
      </c>
      <c r="V57">
        <f t="shared" si="5"/>
        <v>48</v>
      </c>
      <c r="W57">
        <f t="shared" si="6"/>
        <v>12</v>
      </c>
      <c r="X57">
        <f t="shared" si="7"/>
        <v>2018</v>
      </c>
      <c r="Y57" t="str">
        <f t="shared" si="8"/>
        <v>Sunday</v>
      </c>
      <c r="Z57" t="str">
        <f t="shared" si="9"/>
        <v>December</v>
      </c>
    </row>
    <row r="58" spans="1:26" x14ac:dyDescent="0.3">
      <c r="A58" t="s">
        <v>51</v>
      </c>
      <c r="B58" t="s">
        <v>153</v>
      </c>
      <c r="C58" t="s">
        <v>154</v>
      </c>
      <c r="D58">
        <v>7895</v>
      </c>
      <c r="E58">
        <v>1</v>
      </c>
      <c r="F58">
        <v>237788</v>
      </c>
      <c r="G58" t="s">
        <v>131</v>
      </c>
      <c r="H58" t="s">
        <v>132</v>
      </c>
      <c r="I58" t="s">
        <v>155</v>
      </c>
      <c r="J58" t="s">
        <v>27</v>
      </c>
      <c r="K58">
        <v>5507</v>
      </c>
      <c r="L58" t="s">
        <v>23</v>
      </c>
      <c r="M58">
        <v>300</v>
      </c>
      <c r="N58" t="s">
        <v>24</v>
      </c>
      <c r="O58" t="s">
        <v>23</v>
      </c>
      <c r="P58">
        <v>19</v>
      </c>
      <c r="Q58">
        <v>6.5</v>
      </c>
      <c r="R58">
        <f>A58-6+2</f>
        <v>43492</v>
      </c>
      <c r="S58">
        <f t="shared" si="2"/>
        <v>123.5</v>
      </c>
      <c r="T58">
        <f t="shared" si="3"/>
        <v>27</v>
      </c>
      <c r="U58">
        <f t="shared" si="4"/>
        <v>1</v>
      </c>
      <c r="V58">
        <f t="shared" si="5"/>
        <v>5</v>
      </c>
      <c r="W58">
        <f t="shared" si="6"/>
        <v>1</v>
      </c>
      <c r="X58">
        <f t="shared" si="7"/>
        <v>2019</v>
      </c>
      <c r="Y58" t="str">
        <f t="shared" si="8"/>
        <v>Monday</v>
      </c>
      <c r="Z58" t="str">
        <f t="shared" si="9"/>
        <v>January</v>
      </c>
    </row>
    <row r="59" spans="1:26" x14ac:dyDescent="0.3">
      <c r="A59" t="s">
        <v>51</v>
      </c>
      <c r="B59" t="s">
        <v>153</v>
      </c>
      <c r="C59" t="s">
        <v>154</v>
      </c>
      <c r="D59">
        <v>7895</v>
      </c>
      <c r="E59">
        <v>1</v>
      </c>
      <c r="F59">
        <v>237788</v>
      </c>
      <c r="G59" t="s">
        <v>131</v>
      </c>
      <c r="H59" t="s">
        <v>132</v>
      </c>
      <c r="I59" t="s">
        <v>155</v>
      </c>
      <c r="J59" t="s">
        <v>27</v>
      </c>
      <c r="K59">
        <v>5507</v>
      </c>
      <c r="L59" t="s">
        <v>23</v>
      </c>
      <c r="M59">
        <v>300</v>
      </c>
      <c r="N59" t="s">
        <v>24</v>
      </c>
      <c r="O59" t="s">
        <v>23</v>
      </c>
      <c r="P59">
        <v>19</v>
      </c>
      <c r="Q59">
        <v>0</v>
      </c>
      <c r="R59">
        <f>A59-6+3</f>
        <v>43493</v>
      </c>
      <c r="S59">
        <f t="shared" si="2"/>
        <v>0</v>
      </c>
      <c r="T59">
        <f t="shared" si="3"/>
        <v>28</v>
      </c>
      <c r="U59">
        <f t="shared" si="4"/>
        <v>2</v>
      </c>
      <c r="V59">
        <f t="shared" si="5"/>
        <v>5</v>
      </c>
      <c r="W59">
        <f t="shared" si="6"/>
        <v>1</v>
      </c>
      <c r="X59">
        <f t="shared" si="7"/>
        <v>2019</v>
      </c>
      <c r="Y59" t="str">
        <f t="shared" si="8"/>
        <v>Tuesday</v>
      </c>
      <c r="Z59" t="str">
        <f t="shared" si="9"/>
        <v>January</v>
      </c>
    </row>
    <row r="60" spans="1:26" x14ac:dyDescent="0.3">
      <c r="A60" t="s">
        <v>51</v>
      </c>
      <c r="B60" t="s">
        <v>153</v>
      </c>
      <c r="C60" t="s">
        <v>154</v>
      </c>
      <c r="D60">
        <v>7895</v>
      </c>
      <c r="E60">
        <v>1</v>
      </c>
      <c r="F60">
        <v>237788</v>
      </c>
      <c r="G60" t="s">
        <v>131</v>
      </c>
      <c r="H60" t="s">
        <v>132</v>
      </c>
      <c r="I60" t="s">
        <v>155</v>
      </c>
      <c r="J60" t="s">
        <v>27</v>
      </c>
      <c r="K60">
        <v>5507</v>
      </c>
      <c r="L60" t="s">
        <v>23</v>
      </c>
      <c r="M60">
        <v>300</v>
      </c>
      <c r="N60" t="s">
        <v>24</v>
      </c>
      <c r="O60" t="s">
        <v>23</v>
      </c>
      <c r="P60">
        <v>19</v>
      </c>
      <c r="Q60">
        <v>0</v>
      </c>
      <c r="R60">
        <f>A60-6+4</f>
        <v>43494</v>
      </c>
      <c r="S60">
        <f t="shared" si="2"/>
        <v>0</v>
      </c>
      <c r="T60">
        <f t="shared" si="3"/>
        <v>29</v>
      </c>
      <c r="U60">
        <f t="shared" si="4"/>
        <v>3</v>
      </c>
      <c r="V60">
        <f t="shared" si="5"/>
        <v>5</v>
      </c>
      <c r="W60">
        <f t="shared" si="6"/>
        <v>1</v>
      </c>
      <c r="X60">
        <f t="shared" si="7"/>
        <v>2019</v>
      </c>
      <c r="Y60" t="str">
        <f t="shared" si="8"/>
        <v>Wednesday</v>
      </c>
      <c r="Z60" t="str">
        <f t="shared" si="9"/>
        <v>January</v>
      </c>
    </row>
    <row r="61" spans="1:26" x14ac:dyDescent="0.3">
      <c r="A61" t="s">
        <v>51</v>
      </c>
      <c r="B61" t="s">
        <v>153</v>
      </c>
      <c r="C61" t="s">
        <v>154</v>
      </c>
      <c r="D61">
        <v>7895</v>
      </c>
      <c r="E61">
        <v>1</v>
      </c>
      <c r="F61">
        <v>237788</v>
      </c>
      <c r="G61" t="s">
        <v>131</v>
      </c>
      <c r="H61" t="s">
        <v>132</v>
      </c>
      <c r="I61" t="s">
        <v>155</v>
      </c>
      <c r="J61" t="s">
        <v>27</v>
      </c>
      <c r="K61">
        <v>5507</v>
      </c>
      <c r="L61" t="s">
        <v>23</v>
      </c>
      <c r="M61">
        <v>300</v>
      </c>
      <c r="N61" t="s">
        <v>24</v>
      </c>
      <c r="O61" t="s">
        <v>23</v>
      </c>
      <c r="P61">
        <v>19</v>
      </c>
      <c r="Q61">
        <v>5</v>
      </c>
      <c r="R61">
        <f>A61-6+5</f>
        <v>43495</v>
      </c>
      <c r="S61">
        <f t="shared" si="2"/>
        <v>95</v>
      </c>
      <c r="T61">
        <f t="shared" si="3"/>
        <v>30</v>
      </c>
      <c r="U61">
        <f t="shared" si="4"/>
        <v>4</v>
      </c>
      <c r="V61">
        <f t="shared" si="5"/>
        <v>5</v>
      </c>
      <c r="W61">
        <f t="shared" si="6"/>
        <v>1</v>
      </c>
      <c r="X61">
        <f t="shared" si="7"/>
        <v>2019</v>
      </c>
      <c r="Y61" t="str">
        <f t="shared" si="8"/>
        <v>Thursday</v>
      </c>
      <c r="Z61" t="str">
        <f t="shared" si="9"/>
        <v>January</v>
      </c>
    </row>
    <row r="62" spans="1:26" x14ac:dyDescent="0.3">
      <c r="A62" t="s">
        <v>51</v>
      </c>
      <c r="B62" t="s">
        <v>153</v>
      </c>
      <c r="C62" t="s">
        <v>154</v>
      </c>
      <c r="D62">
        <v>7895</v>
      </c>
      <c r="E62">
        <v>1</v>
      </c>
      <c r="F62">
        <v>237788</v>
      </c>
      <c r="G62" t="s">
        <v>131</v>
      </c>
      <c r="H62" t="s">
        <v>132</v>
      </c>
      <c r="I62" t="s">
        <v>155</v>
      </c>
      <c r="J62" t="s">
        <v>27</v>
      </c>
      <c r="K62">
        <v>5507</v>
      </c>
      <c r="L62" t="s">
        <v>23</v>
      </c>
      <c r="M62">
        <v>300</v>
      </c>
      <c r="N62" t="s">
        <v>24</v>
      </c>
      <c r="O62" t="s">
        <v>23</v>
      </c>
      <c r="P62">
        <v>19</v>
      </c>
      <c r="Q62">
        <v>0</v>
      </c>
      <c r="R62">
        <f>A62-6+6</f>
        <v>43496</v>
      </c>
      <c r="S62">
        <f t="shared" si="2"/>
        <v>0</v>
      </c>
      <c r="T62">
        <f t="shared" si="3"/>
        <v>31</v>
      </c>
      <c r="U62">
        <f t="shared" si="4"/>
        <v>5</v>
      </c>
      <c r="V62">
        <f t="shared" si="5"/>
        <v>5</v>
      </c>
      <c r="W62">
        <f t="shared" si="6"/>
        <v>1</v>
      </c>
      <c r="X62">
        <f t="shared" si="7"/>
        <v>2019</v>
      </c>
      <c r="Y62" t="str">
        <f t="shared" si="8"/>
        <v>Friday</v>
      </c>
      <c r="Z62" t="str">
        <f t="shared" si="9"/>
        <v>January</v>
      </c>
    </row>
    <row r="63" spans="1:26" x14ac:dyDescent="0.3">
      <c r="A63" t="s">
        <v>51</v>
      </c>
      <c r="B63" t="s">
        <v>153</v>
      </c>
      <c r="C63" t="s">
        <v>154</v>
      </c>
      <c r="D63">
        <v>7895</v>
      </c>
      <c r="E63">
        <v>1</v>
      </c>
      <c r="F63">
        <v>237788</v>
      </c>
      <c r="G63" t="s">
        <v>131</v>
      </c>
      <c r="H63" t="s">
        <v>132</v>
      </c>
      <c r="I63" t="s">
        <v>155</v>
      </c>
      <c r="J63" t="s">
        <v>27</v>
      </c>
      <c r="K63">
        <v>5507</v>
      </c>
      <c r="L63" t="s">
        <v>23</v>
      </c>
      <c r="M63">
        <v>300</v>
      </c>
      <c r="N63" t="s">
        <v>24</v>
      </c>
      <c r="O63" t="s">
        <v>23</v>
      </c>
      <c r="P63">
        <v>19</v>
      </c>
      <c r="Q63">
        <v>4</v>
      </c>
      <c r="R63">
        <f>R58-2</f>
        <v>43490</v>
      </c>
      <c r="S63">
        <f t="shared" si="2"/>
        <v>76</v>
      </c>
      <c r="T63">
        <f t="shared" si="3"/>
        <v>25</v>
      </c>
      <c r="U63">
        <f t="shared" si="4"/>
        <v>6</v>
      </c>
      <c r="V63">
        <f t="shared" si="5"/>
        <v>4</v>
      </c>
      <c r="W63">
        <f t="shared" si="6"/>
        <v>1</v>
      </c>
      <c r="X63">
        <f t="shared" si="7"/>
        <v>2019</v>
      </c>
      <c r="Y63" t="str">
        <f t="shared" si="8"/>
        <v>Saturday</v>
      </c>
      <c r="Z63" t="str">
        <f t="shared" si="9"/>
        <v>January</v>
      </c>
    </row>
    <row r="64" spans="1:26" x14ac:dyDescent="0.3">
      <c r="A64" t="s">
        <v>51</v>
      </c>
      <c r="B64" t="s">
        <v>153</v>
      </c>
      <c r="C64" t="s">
        <v>154</v>
      </c>
      <c r="D64">
        <v>7895</v>
      </c>
      <c r="E64">
        <v>1</v>
      </c>
      <c r="F64">
        <v>237788</v>
      </c>
      <c r="G64" t="s">
        <v>131</v>
      </c>
      <c r="H64" t="s">
        <v>132</v>
      </c>
      <c r="I64" t="s">
        <v>155</v>
      </c>
      <c r="J64" t="s">
        <v>27</v>
      </c>
      <c r="K64">
        <v>5507</v>
      </c>
      <c r="L64" t="s">
        <v>23</v>
      </c>
      <c r="M64">
        <v>300</v>
      </c>
      <c r="N64" t="s">
        <v>24</v>
      </c>
      <c r="O64" t="s">
        <v>23</v>
      </c>
      <c r="P64">
        <v>19</v>
      </c>
      <c r="Q64">
        <v>0</v>
      </c>
      <c r="R64">
        <f>R58-1</f>
        <v>43491</v>
      </c>
      <c r="S64">
        <f t="shared" si="2"/>
        <v>0</v>
      </c>
      <c r="T64">
        <f t="shared" si="3"/>
        <v>26</v>
      </c>
      <c r="U64">
        <f t="shared" si="4"/>
        <v>7</v>
      </c>
      <c r="V64">
        <f t="shared" si="5"/>
        <v>4</v>
      </c>
      <c r="W64">
        <f t="shared" si="6"/>
        <v>1</v>
      </c>
      <c r="X64">
        <f t="shared" si="7"/>
        <v>2019</v>
      </c>
      <c r="Y64" t="str">
        <f t="shared" si="8"/>
        <v>Sunday</v>
      </c>
      <c r="Z64" t="str">
        <f t="shared" si="9"/>
        <v>January</v>
      </c>
    </row>
    <row r="65" spans="1:26" x14ac:dyDescent="0.3">
      <c r="A65" t="s">
        <v>47</v>
      </c>
      <c r="B65" t="s">
        <v>59</v>
      </c>
      <c r="C65" t="s">
        <v>156</v>
      </c>
      <c r="D65">
        <v>8840</v>
      </c>
      <c r="E65">
        <v>1</v>
      </c>
      <c r="F65">
        <v>240227</v>
      </c>
      <c r="G65" t="s">
        <v>131</v>
      </c>
      <c r="H65" t="s">
        <v>132</v>
      </c>
      <c r="I65" t="s">
        <v>152</v>
      </c>
      <c r="J65" t="s">
        <v>27</v>
      </c>
      <c r="K65">
        <v>5507</v>
      </c>
      <c r="L65" t="s">
        <v>23</v>
      </c>
      <c r="M65">
        <v>100</v>
      </c>
      <c r="N65" t="s">
        <v>24</v>
      </c>
      <c r="O65" t="s">
        <v>23</v>
      </c>
      <c r="P65">
        <v>19.75</v>
      </c>
      <c r="Q65">
        <v>8</v>
      </c>
      <c r="R65">
        <f>A65-6+2</f>
        <v>43520</v>
      </c>
      <c r="S65">
        <f t="shared" si="2"/>
        <v>158</v>
      </c>
      <c r="T65">
        <f t="shared" si="3"/>
        <v>24</v>
      </c>
      <c r="U65">
        <f t="shared" si="4"/>
        <v>1</v>
      </c>
      <c r="V65">
        <f t="shared" si="5"/>
        <v>9</v>
      </c>
      <c r="W65">
        <f t="shared" si="6"/>
        <v>2</v>
      </c>
      <c r="X65">
        <f t="shared" si="7"/>
        <v>2019</v>
      </c>
      <c r="Y65" t="str">
        <f t="shared" si="8"/>
        <v>Monday</v>
      </c>
      <c r="Z65" t="str">
        <f t="shared" si="9"/>
        <v>February</v>
      </c>
    </row>
    <row r="66" spans="1:26" x14ac:dyDescent="0.3">
      <c r="A66" t="s">
        <v>47</v>
      </c>
      <c r="B66" t="s">
        <v>59</v>
      </c>
      <c r="C66" t="s">
        <v>156</v>
      </c>
      <c r="D66">
        <v>8840</v>
      </c>
      <c r="E66">
        <v>1</v>
      </c>
      <c r="F66">
        <v>240227</v>
      </c>
      <c r="G66" t="s">
        <v>131</v>
      </c>
      <c r="H66" t="s">
        <v>132</v>
      </c>
      <c r="I66" t="s">
        <v>152</v>
      </c>
      <c r="J66" t="s">
        <v>27</v>
      </c>
      <c r="K66">
        <v>5507</v>
      </c>
      <c r="L66" t="s">
        <v>23</v>
      </c>
      <c r="M66">
        <v>100</v>
      </c>
      <c r="N66" t="s">
        <v>24</v>
      </c>
      <c r="O66" t="s">
        <v>23</v>
      </c>
      <c r="P66">
        <v>19.75</v>
      </c>
      <c r="Q66">
        <v>0</v>
      </c>
      <c r="R66">
        <f>A66-6+3</f>
        <v>43521</v>
      </c>
      <c r="S66">
        <f t="shared" si="2"/>
        <v>0</v>
      </c>
      <c r="T66">
        <f t="shared" si="3"/>
        <v>25</v>
      </c>
      <c r="U66">
        <f t="shared" si="4"/>
        <v>2</v>
      </c>
      <c r="V66">
        <f t="shared" si="5"/>
        <v>9</v>
      </c>
      <c r="W66">
        <f t="shared" si="6"/>
        <v>2</v>
      </c>
      <c r="X66">
        <f t="shared" si="7"/>
        <v>2019</v>
      </c>
      <c r="Y66" t="str">
        <f t="shared" ref="Y66:Y92" si="10">VLOOKUP(U66,dayname,2)</f>
        <v>Tuesday</v>
      </c>
      <c r="Z66" t="str">
        <f t="shared" ref="Z66:Z92" si="11">VLOOKUP(W66,mesnome,2)</f>
        <v>February</v>
      </c>
    </row>
    <row r="67" spans="1:26" x14ac:dyDescent="0.3">
      <c r="A67" t="s">
        <v>47</v>
      </c>
      <c r="B67" t="s">
        <v>59</v>
      </c>
      <c r="C67" t="s">
        <v>156</v>
      </c>
      <c r="D67">
        <v>8840</v>
      </c>
      <c r="E67">
        <v>1</v>
      </c>
      <c r="F67">
        <v>240227</v>
      </c>
      <c r="G67" t="s">
        <v>131</v>
      </c>
      <c r="H67" t="s">
        <v>132</v>
      </c>
      <c r="I67" t="s">
        <v>152</v>
      </c>
      <c r="J67" t="s">
        <v>27</v>
      </c>
      <c r="K67">
        <v>5507</v>
      </c>
      <c r="L67" t="s">
        <v>23</v>
      </c>
      <c r="M67">
        <v>100</v>
      </c>
      <c r="N67" t="s">
        <v>24</v>
      </c>
      <c r="O67" t="s">
        <v>23</v>
      </c>
      <c r="P67">
        <v>19.75</v>
      </c>
      <c r="Q67">
        <v>0</v>
      </c>
      <c r="R67">
        <f>A67-6+4</f>
        <v>43522</v>
      </c>
      <c r="S67">
        <f t="shared" ref="S67:S92" si="12">P67*Q67</f>
        <v>0</v>
      </c>
      <c r="T67">
        <f t="shared" ref="T67:T92" si="13">DAY(R67)</f>
        <v>26</v>
      </c>
      <c r="U67">
        <f t="shared" ref="U67:U92" si="14">WEEKDAY(R67)</f>
        <v>3</v>
      </c>
      <c r="V67">
        <f t="shared" ref="V67:V92" si="15">WEEKNUM(R67)</f>
        <v>9</v>
      </c>
      <c r="W67">
        <f t="shared" ref="W67:W92" si="16">MONTH(R67)</f>
        <v>2</v>
      </c>
      <c r="X67">
        <f t="shared" ref="X67:X92" si="17">YEAR(R67)</f>
        <v>2019</v>
      </c>
      <c r="Y67" t="str">
        <f t="shared" si="10"/>
        <v>Wednesday</v>
      </c>
      <c r="Z67" t="str">
        <f t="shared" si="11"/>
        <v>February</v>
      </c>
    </row>
    <row r="68" spans="1:26" x14ac:dyDescent="0.3">
      <c r="A68" t="s">
        <v>47</v>
      </c>
      <c r="B68" t="s">
        <v>59</v>
      </c>
      <c r="C68" t="s">
        <v>156</v>
      </c>
      <c r="D68">
        <v>8840</v>
      </c>
      <c r="E68">
        <v>1</v>
      </c>
      <c r="F68">
        <v>240227</v>
      </c>
      <c r="G68" t="s">
        <v>131</v>
      </c>
      <c r="H68" t="s">
        <v>132</v>
      </c>
      <c r="I68" t="s">
        <v>152</v>
      </c>
      <c r="J68" t="s">
        <v>27</v>
      </c>
      <c r="K68">
        <v>5507</v>
      </c>
      <c r="L68" t="s">
        <v>23</v>
      </c>
      <c r="M68">
        <v>100</v>
      </c>
      <c r="N68" t="s">
        <v>24</v>
      </c>
      <c r="O68" t="s">
        <v>23</v>
      </c>
      <c r="P68">
        <v>19.75</v>
      </c>
      <c r="Q68">
        <v>6</v>
      </c>
      <c r="R68">
        <f>A68-6+5</f>
        <v>43523</v>
      </c>
      <c r="S68">
        <f t="shared" si="12"/>
        <v>118.5</v>
      </c>
      <c r="T68">
        <f t="shared" si="13"/>
        <v>27</v>
      </c>
      <c r="U68">
        <f t="shared" si="14"/>
        <v>4</v>
      </c>
      <c r="V68">
        <f t="shared" si="15"/>
        <v>9</v>
      </c>
      <c r="W68">
        <f t="shared" si="16"/>
        <v>2</v>
      </c>
      <c r="X68">
        <f t="shared" si="17"/>
        <v>2019</v>
      </c>
      <c r="Y68" t="str">
        <f t="shared" si="10"/>
        <v>Thursday</v>
      </c>
      <c r="Z68" t="str">
        <f t="shared" si="11"/>
        <v>February</v>
      </c>
    </row>
    <row r="69" spans="1:26" x14ac:dyDescent="0.3">
      <c r="A69" t="s">
        <v>47</v>
      </c>
      <c r="B69" t="s">
        <v>59</v>
      </c>
      <c r="C69" t="s">
        <v>156</v>
      </c>
      <c r="D69">
        <v>8840</v>
      </c>
      <c r="E69">
        <v>1</v>
      </c>
      <c r="F69">
        <v>240227</v>
      </c>
      <c r="G69" t="s">
        <v>131</v>
      </c>
      <c r="H69" t="s">
        <v>132</v>
      </c>
      <c r="I69" t="s">
        <v>152</v>
      </c>
      <c r="J69" t="s">
        <v>27</v>
      </c>
      <c r="K69">
        <v>5507</v>
      </c>
      <c r="L69" t="s">
        <v>23</v>
      </c>
      <c r="M69">
        <v>100</v>
      </c>
      <c r="N69" t="s">
        <v>24</v>
      </c>
      <c r="O69" t="s">
        <v>23</v>
      </c>
      <c r="P69">
        <v>19.75</v>
      </c>
      <c r="Q69">
        <v>6</v>
      </c>
      <c r="R69">
        <f>A69-6+6</f>
        <v>43524</v>
      </c>
      <c r="S69">
        <f t="shared" si="12"/>
        <v>118.5</v>
      </c>
      <c r="T69">
        <f t="shared" si="13"/>
        <v>28</v>
      </c>
      <c r="U69">
        <f t="shared" si="14"/>
        <v>5</v>
      </c>
      <c r="V69">
        <f t="shared" si="15"/>
        <v>9</v>
      </c>
      <c r="W69">
        <f t="shared" si="16"/>
        <v>2</v>
      </c>
      <c r="X69">
        <f t="shared" si="17"/>
        <v>2019</v>
      </c>
      <c r="Y69" t="str">
        <f t="shared" si="10"/>
        <v>Friday</v>
      </c>
      <c r="Z69" t="str">
        <f t="shared" si="11"/>
        <v>February</v>
      </c>
    </row>
    <row r="70" spans="1:26" x14ac:dyDescent="0.3">
      <c r="A70" t="s">
        <v>47</v>
      </c>
      <c r="B70" t="s">
        <v>59</v>
      </c>
      <c r="C70" t="s">
        <v>156</v>
      </c>
      <c r="D70">
        <v>8840</v>
      </c>
      <c r="E70">
        <v>1</v>
      </c>
      <c r="F70">
        <v>240227</v>
      </c>
      <c r="G70" t="s">
        <v>131</v>
      </c>
      <c r="H70" t="s">
        <v>132</v>
      </c>
      <c r="I70" t="s">
        <v>152</v>
      </c>
      <c r="J70" t="s">
        <v>27</v>
      </c>
      <c r="K70">
        <v>5507</v>
      </c>
      <c r="L70" t="s">
        <v>23</v>
      </c>
      <c r="M70">
        <v>100</v>
      </c>
      <c r="N70" t="s">
        <v>24</v>
      </c>
      <c r="O70" t="s">
        <v>23</v>
      </c>
      <c r="P70">
        <v>19.75</v>
      </c>
      <c r="Q70">
        <v>6</v>
      </c>
      <c r="R70">
        <f>R65-2</f>
        <v>43518</v>
      </c>
      <c r="S70">
        <f t="shared" si="12"/>
        <v>118.5</v>
      </c>
      <c r="T70">
        <f t="shared" si="13"/>
        <v>22</v>
      </c>
      <c r="U70">
        <f t="shared" si="14"/>
        <v>6</v>
      </c>
      <c r="V70">
        <f t="shared" si="15"/>
        <v>8</v>
      </c>
      <c r="W70">
        <f t="shared" si="16"/>
        <v>2</v>
      </c>
      <c r="X70">
        <f t="shared" si="17"/>
        <v>2019</v>
      </c>
      <c r="Y70" t="str">
        <f t="shared" si="10"/>
        <v>Saturday</v>
      </c>
      <c r="Z70" t="str">
        <f t="shared" si="11"/>
        <v>February</v>
      </c>
    </row>
    <row r="71" spans="1:26" x14ac:dyDescent="0.3">
      <c r="A71" t="s">
        <v>47</v>
      </c>
      <c r="B71" t="s">
        <v>59</v>
      </c>
      <c r="C71" t="s">
        <v>156</v>
      </c>
      <c r="D71">
        <v>8840</v>
      </c>
      <c r="E71">
        <v>1</v>
      </c>
      <c r="F71">
        <v>240227</v>
      </c>
      <c r="G71" t="s">
        <v>131</v>
      </c>
      <c r="H71" t="s">
        <v>132</v>
      </c>
      <c r="I71" t="s">
        <v>152</v>
      </c>
      <c r="J71" t="s">
        <v>27</v>
      </c>
      <c r="K71">
        <v>5507</v>
      </c>
      <c r="L71" t="s">
        <v>23</v>
      </c>
      <c r="M71">
        <v>100</v>
      </c>
      <c r="N71" t="s">
        <v>24</v>
      </c>
      <c r="O71" t="s">
        <v>23</v>
      </c>
      <c r="P71">
        <v>19.75</v>
      </c>
      <c r="Q71">
        <v>4</v>
      </c>
      <c r="R71">
        <f>R65-1</f>
        <v>43519</v>
      </c>
      <c r="S71">
        <f t="shared" si="12"/>
        <v>79</v>
      </c>
      <c r="T71">
        <f t="shared" si="13"/>
        <v>23</v>
      </c>
      <c r="U71">
        <f t="shared" si="14"/>
        <v>7</v>
      </c>
      <c r="V71">
        <f t="shared" si="15"/>
        <v>8</v>
      </c>
      <c r="W71">
        <f t="shared" si="16"/>
        <v>2</v>
      </c>
      <c r="X71">
        <f t="shared" si="17"/>
        <v>2019</v>
      </c>
      <c r="Y71" t="str">
        <f t="shared" si="10"/>
        <v>Sunday</v>
      </c>
      <c r="Z71" t="str">
        <f t="shared" si="11"/>
        <v>February</v>
      </c>
    </row>
    <row r="72" spans="1:26" x14ac:dyDescent="0.3">
      <c r="A72" t="s">
        <v>47</v>
      </c>
      <c r="B72" t="s">
        <v>57</v>
      </c>
      <c r="C72" t="s">
        <v>58</v>
      </c>
      <c r="D72">
        <v>8666</v>
      </c>
      <c r="E72">
        <v>1</v>
      </c>
      <c r="F72">
        <v>240187</v>
      </c>
      <c r="G72" t="s">
        <v>131</v>
      </c>
      <c r="H72" t="s">
        <v>132</v>
      </c>
      <c r="I72" t="s">
        <v>157</v>
      </c>
      <c r="J72" t="s">
        <v>27</v>
      </c>
      <c r="K72">
        <v>5606</v>
      </c>
      <c r="L72" t="s">
        <v>23</v>
      </c>
      <c r="M72">
        <v>700</v>
      </c>
      <c r="N72" t="s">
        <v>24</v>
      </c>
      <c r="O72" t="s">
        <v>23</v>
      </c>
      <c r="P72">
        <v>31.5</v>
      </c>
      <c r="Q72">
        <v>0</v>
      </c>
      <c r="R72">
        <f>A72-6+2</f>
        <v>43520</v>
      </c>
      <c r="S72">
        <f t="shared" si="12"/>
        <v>0</v>
      </c>
      <c r="T72">
        <f t="shared" si="13"/>
        <v>24</v>
      </c>
      <c r="U72">
        <f t="shared" si="14"/>
        <v>1</v>
      </c>
      <c r="V72">
        <f t="shared" si="15"/>
        <v>9</v>
      </c>
      <c r="W72">
        <f t="shared" si="16"/>
        <v>2</v>
      </c>
      <c r="X72">
        <f t="shared" si="17"/>
        <v>2019</v>
      </c>
      <c r="Y72" t="str">
        <f t="shared" si="10"/>
        <v>Monday</v>
      </c>
      <c r="Z72" t="str">
        <f t="shared" si="11"/>
        <v>February</v>
      </c>
    </row>
    <row r="73" spans="1:26" x14ac:dyDescent="0.3">
      <c r="A73" t="s">
        <v>47</v>
      </c>
      <c r="B73" t="s">
        <v>57</v>
      </c>
      <c r="C73" t="s">
        <v>58</v>
      </c>
      <c r="D73">
        <v>8666</v>
      </c>
      <c r="E73">
        <v>1</v>
      </c>
      <c r="F73">
        <v>240187</v>
      </c>
      <c r="G73" t="s">
        <v>131</v>
      </c>
      <c r="H73" t="s">
        <v>132</v>
      </c>
      <c r="I73" t="s">
        <v>157</v>
      </c>
      <c r="J73" t="s">
        <v>27</v>
      </c>
      <c r="K73">
        <v>5606</v>
      </c>
      <c r="L73" t="s">
        <v>23</v>
      </c>
      <c r="M73">
        <v>700</v>
      </c>
      <c r="N73" t="s">
        <v>24</v>
      </c>
      <c r="O73" t="s">
        <v>23</v>
      </c>
      <c r="P73">
        <v>31.5</v>
      </c>
      <c r="Q73">
        <v>0</v>
      </c>
      <c r="R73">
        <f>A73-6+3</f>
        <v>43521</v>
      </c>
      <c r="S73">
        <f t="shared" si="12"/>
        <v>0</v>
      </c>
      <c r="T73">
        <f t="shared" si="13"/>
        <v>25</v>
      </c>
      <c r="U73">
        <f t="shared" si="14"/>
        <v>2</v>
      </c>
      <c r="V73">
        <f t="shared" si="15"/>
        <v>9</v>
      </c>
      <c r="W73">
        <f t="shared" si="16"/>
        <v>2</v>
      </c>
      <c r="X73">
        <f t="shared" si="17"/>
        <v>2019</v>
      </c>
      <c r="Y73" t="str">
        <f t="shared" si="10"/>
        <v>Tuesday</v>
      </c>
      <c r="Z73" t="str">
        <f t="shared" si="11"/>
        <v>February</v>
      </c>
    </row>
    <row r="74" spans="1:26" x14ac:dyDescent="0.3">
      <c r="A74" t="s">
        <v>47</v>
      </c>
      <c r="B74" t="s">
        <v>57</v>
      </c>
      <c r="C74" t="s">
        <v>58</v>
      </c>
      <c r="D74">
        <v>8666</v>
      </c>
      <c r="E74">
        <v>1</v>
      </c>
      <c r="F74">
        <v>240187</v>
      </c>
      <c r="G74" t="s">
        <v>131</v>
      </c>
      <c r="H74" t="s">
        <v>132</v>
      </c>
      <c r="I74" t="s">
        <v>157</v>
      </c>
      <c r="J74" t="s">
        <v>27</v>
      </c>
      <c r="K74">
        <v>5606</v>
      </c>
      <c r="L74" t="s">
        <v>23</v>
      </c>
      <c r="M74">
        <v>700</v>
      </c>
      <c r="N74" t="s">
        <v>24</v>
      </c>
      <c r="O74" t="s">
        <v>23</v>
      </c>
      <c r="P74">
        <v>31.5</v>
      </c>
      <c r="Q74">
        <v>0</v>
      </c>
      <c r="R74">
        <f>A74-6+4</f>
        <v>43522</v>
      </c>
      <c r="S74">
        <f t="shared" si="12"/>
        <v>0</v>
      </c>
      <c r="T74">
        <f t="shared" si="13"/>
        <v>26</v>
      </c>
      <c r="U74">
        <f t="shared" si="14"/>
        <v>3</v>
      </c>
      <c r="V74">
        <f t="shared" si="15"/>
        <v>9</v>
      </c>
      <c r="W74">
        <f t="shared" si="16"/>
        <v>2</v>
      </c>
      <c r="X74">
        <f t="shared" si="17"/>
        <v>2019</v>
      </c>
      <c r="Y74" t="str">
        <f t="shared" si="10"/>
        <v>Wednesday</v>
      </c>
      <c r="Z74" t="str">
        <f t="shared" si="11"/>
        <v>February</v>
      </c>
    </row>
    <row r="75" spans="1:26" x14ac:dyDescent="0.3">
      <c r="A75" t="s">
        <v>47</v>
      </c>
      <c r="B75" t="s">
        <v>57</v>
      </c>
      <c r="C75" t="s">
        <v>58</v>
      </c>
      <c r="D75">
        <v>8666</v>
      </c>
      <c r="E75">
        <v>1</v>
      </c>
      <c r="F75">
        <v>240187</v>
      </c>
      <c r="G75" t="s">
        <v>131</v>
      </c>
      <c r="H75" t="s">
        <v>132</v>
      </c>
      <c r="I75" t="s">
        <v>157</v>
      </c>
      <c r="J75" t="s">
        <v>27</v>
      </c>
      <c r="K75">
        <v>5606</v>
      </c>
      <c r="L75" t="s">
        <v>23</v>
      </c>
      <c r="M75">
        <v>700</v>
      </c>
      <c r="N75" t="s">
        <v>24</v>
      </c>
      <c r="O75" t="s">
        <v>23</v>
      </c>
      <c r="P75">
        <v>31.5</v>
      </c>
      <c r="Q75">
        <v>3</v>
      </c>
      <c r="R75">
        <f>A75-6+5</f>
        <v>43523</v>
      </c>
      <c r="S75">
        <f t="shared" si="12"/>
        <v>94.5</v>
      </c>
      <c r="T75">
        <f t="shared" si="13"/>
        <v>27</v>
      </c>
      <c r="U75">
        <f t="shared" si="14"/>
        <v>4</v>
      </c>
      <c r="V75">
        <f t="shared" si="15"/>
        <v>9</v>
      </c>
      <c r="W75">
        <f t="shared" si="16"/>
        <v>2</v>
      </c>
      <c r="X75">
        <f t="shared" si="17"/>
        <v>2019</v>
      </c>
      <c r="Y75" t="str">
        <f t="shared" si="10"/>
        <v>Thursday</v>
      </c>
      <c r="Z75" t="str">
        <f t="shared" si="11"/>
        <v>February</v>
      </c>
    </row>
    <row r="76" spans="1:26" x14ac:dyDescent="0.3">
      <c r="A76" t="s">
        <v>47</v>
      </c>
      <c r="B76" t="s">
        <v>57</v>
      </c>
      <c r="C76" t="s">
        <v>58</v>
      </c>
      <c r="D76">
        <v>8666</v>
      </c>
      <c r="E76">
        <v>1</v>
      </c>
      <c r="F76">
        <v>240187</v>
      </c>
      <c r="G76" t="s">
        <v>131</v>
      </c>
      <c r="H76" t="s">
        <v>132</v>
      </c>
      <c r="I76" t="s">
        <v>157</v>
      </c>
      <c r="J76" t="s">
        <v>27</v>
      </c>
      <c r="K76">
        <v>5606</v>
      </c>
      <c r="L76" t="s">
        <v>23</v>
      </c>
      <c r="M76">
        <v>700</v>
      </c>
      <c r="N76" t="s">
        <v>24</v>
      </c>
      <c r="O76" t="s">
        <v>23</v>
      </c>
      <c r="P76">
        <v>31.5</v>
      </c>
      <c r="Q76">
        <v>0</v>
      </c>
      <c r="R76">
        <f>A76-6+6</f>
        <v>43524</v>
      </c>
      <c r="S76">
        <f t="shared" si="12"/>
        <v>0</v>
      </c>
      <c r="T76">
        <f t="shared" si="13"/>
        <v>28</v>
      </c>
      <c r="U76">
        <f t="shared" si="14"/>
        <v>5</v>
      </c>
      <c r="V76">
        <f t="shared" si="15"/>
        <v>9</v>
      </c>
      <c r="W76">
        <f t="shared" si="16"/>
        <v>2</v>
      </c>
      <c r="X76">
        <f t="shared" si="17"/>
        <v>2019</v>
      </c>
      <c r="Y76" t="str">
        <f t="shared" si="10"/>
        <v>Friday</v>
      </c>
      <c r="Z76" t="str">
        <f t="shared" si="11"/>
        <v>February</v>
      </c>
    </row>
    <row r="77" spans="1:26" x14ac:dyDescent="0.3">
      <c r="A77" t="s">
        <v>47</v>
      </c>
      <c r="B77" t="s">
        <v>57</v>
      </c>
      <c r="C77" t="s">
        <v>58</v>
      </c>
      <c r="D77">
        <v>8666</v>
      </c>
      <c r="E77">
        <v>1</v>
      </c>
      <c r="F77">
        <v>240187</v>
      </c>
      <c r="G77" t="s">
        <v>131</v>
      </c>
      <c r="H77" t="s">
        <v>132</v>
      </c>
      <c r="I77" t="s">
        <v>157</v>
      </c>
      <c r="J77" t="s">
        <v>27</v>
      </c>
      <c r="K77">
        <v>5606</v>
      </c>
      <c r="L77" t="s">
        <v>23</v>
      </c>
      <c r="M77">
        <v>700</v>
      </c>
      <c r="N77" t="s">
        <v>24</v>
      </c>
      <c r="O77" t="s">
        <v>23</v>
      </c>
      <c r="P77">
        <v>31.5</v>
      </c>
      <c r="Q77">
        <v>0</v>
      </c>
      <c r="R77">
        <f>R72-2</f>
        <v>43518</v>
      </c>
      <c r="S77">
        <f t="shared" si="12"/>
        <v>0</v>
      </c>
      <c r="T77">
        <f t="shared" si="13"/>
        <v>22</v>
      </c>
      <c r="U77">
        <f t="shared" si="14"/>
        <v>6</v>
      </c>
      <c r="V77">
        <f t="shared" si="15"/>
        <v>8</v>
      </c>
      <c r="W77">
        <f t="shared" si="16"/>
        <v>2</v>
      </c>
      <c r="X77">
        <f t="shared" si="17"/>
        <v>2019</v>
      </c>
      <c r="Y77" t="str">
        <f t="shared" si="10"/>
        <v>Saturday</v>
      </c>
      <c r="Z77" t="str">
        <f t="shared" si="11"/>
        <v>February</v>
      </c>
    </row>
    <row r="78" spans="1:26" x14ac:dyDescent="0.3">
      <c r="A78" t="s">
        <v>47</v>
      </c>
      <c r="B78" t="s">
        <v>57</v>
      </c>
      <c r="C78" t="s">
        <v>58</v>
      </c>
      <c r="D78">
        <v>8666</v>
      </c>
      <c r="E78">
        <v>1</v>
      </c>
      <c r="F78">
        <v>240187</v>
      </c>
      <c r="G78" t="s">
        <v>131</v>
      </c>
      <c r="H78" t="s">
        <v>132</v>
      </c>
      <c r="I78" t="s">
        <v>157</v>
      </c>
      <c r="J78" t="s">
        <v>27</v>
      </c>
      <c r="K78">
        <v>5606</v>
      </c>
      <c r="L78" t="s">
        <v>23</v>
      </c>
      <c r="M78">
        <v>700</v>
      </c>
      <c r="N78" t="s">
        <v>24</v>
      </c>
      <c r="O78" t="s">
        <v>23</v>
      </c>
      <c r="P78">
        <v>31.5</v>
      </c>
      <c r="Q78">
        <v>0</v>
      </c>
      <c r="R78">
        <f>R72-1</f>
        <v>43519</v>
      </c>
      <c r="S78">
        <f t="shared" si="12"/>
        <v>0</v>
      </c>
      <c r="T78">
        <f t="shared" si="13"/>
        <v>23</v>
      </c>
      <c r="U78">
        <f t="shared" si="14"/>
        <v>7</v>
      </c>
      <c r="V78">
        <f t="shared" si="15"/>
        <v>8</v>
      </c>
      <c r="W78">
        <f t="shared" si="16"/>
        <v>2</v>
      </c>
      <c r="X78">
        <f t="shared" si="17"/>
        <v>2019</v>
      </c>
      <c r="Y78" t="str">
        <f t="shared" si="10"/>
        <v>Sunday</v>
      </c>
      <c r="Z78" t="str">
        <f t="shared" si="11"/>
        <v>February</v>
      </c>
    </row>
    <row r="79" spans="1:26" x14ac:dyDescent="0.3">
      <c r="A79" t="s">
        <v>48</v>
      </c>
      <c r="B79" t="s">
        <v>158</v>
      </c>
      <c r="C79" t="s">
        <v>159</v>
      </c>
      <c r="D79">
        <v>9254</v>
      </c>
      <c r="E79">
        <v>1</v>
      </c>
      <c r="F79">
        <v>241559</v>
      </c>
      <c r="G79" t="s">
        <v>131</v>
      </c>
      <c r="H79" t="s">
        <v>132</v>
      </c>
      <c r="I79" t="s">
        <v>160</v>
      </c>
      <c r="J79" t="s">
        <v>27</v>
      </c>
      <c r="K79">
        <v>5507</v>
      </c>
      <c r="L79" t="s">
        <v>23</v>
      </c>
      <c r="M79">
        <v>200</v>
      </c>
      <c r="N79" t="s">
        <v>24</v>
      </c>
      <c r="O79" t="s">
        <v>23</v>
      </c>
      <c r="P79">
        <v>13</v>
      </c>
      <c r="Q79">
        <v>8</v>
      </c>
      <c r="R79">
        <f>A79-6+2</f>
        <v>43534</v>
      </c>
      <c r="S79">
        <f t="shared" si="12"/>
        <v>104</v>
      </c>
      <c r="T79">
        <f t="shared" si="13"/>
        <v>10</v>
      </c>
      <c r="U79">
        <f t="shared" si="14"/>
        <v>1</v>
      </c>
      <c r="V79">
        <f t="shared" si="15"/>
        <v>11</v>
      </c>
      <c r="W79">
        <f t="shared" si="16"/>
        <v>3</v>
      </c>
      <c r="X79">
        <f t="shared" si="17"/>
        <v>2019</v>
      </c>
      <c r="Y79" t="str">
        <f t="shared" si="10"/>
        <v>Monday</v>
      </c>
      <c r="Z79" t="str">
        <f t="shared" si="11"/>
        <v>March</v>
      </c>
    </row>
    <row r="80" spans="1:26" x14ac:dyDescent="0.3">
      <c r="A80" t="s">
        <v>48</v>
      </c>
      <c r="B80" t="s">
        <v>158</v>
      </c>
      <c r="C80" t="s">
        <v>159</v>
      </c>
      <c r="D80">
        <v>9254</v>
      </c>
      <c r="E80">
        <v>1</v>
      </c>
      <c r="F80">
        <v>241559</v>
      </c>
      <c r="G80" t="s">
        <v>131</v>
      </c>
      <c r="H80" t="s">
        <v>132</v>
      </c>
      <c r="I80" t="s">
        <v>160</v>
      </c>
      <c r="J80" t="s">
        <v>27</v>
      </c>
      <c r="K80">
        <v>5507</v>
      </c>
      <c r="L80" t="s">
        <v>23</v>
      </c>
      <c r="M80">
        <v>200</v>
      </c>
      <c r="N80" t="s">
        <v>24</v>
      </c>
      <c r="O80" t="s">
        <v>23</v>
      </c>
      <c r="P80">
        <v>13</v>
      </c>
      <c r="Q80">
        <v>0</v>
      </c>
      <c r="R80">
        <f>A80-6+3</f>
        <v>43535</v>
      </c>
      <c r="S80">
        <f t="shared" si="12"/>
        <v>0</v>
      </c>
      <c r="T80">
        <f t="shared" si="13"/>
        <v>11</v>
      </c>
      <c r="U80">
        <f t="shared" si="14"/>
        <v>2</v>
      </c>
      <c r="V80">
        <f t="shared" si="15"/>
        <v>11</v>
      </c>
      <c r="W80">
        <f t="shared" si="16"/>
        <v>3</v>
      </c>
      <c r="X80">
        <f t="shared" si="17"/>
        <v>2019</v>
      </c>
      <c r="Y80" t="str">
        <f t="shared" si="10"/>
        <v>Tuesday</v>
      </c>
      <c r="Z80" t="str">
        <f t="shared" si="11"/>
        <v>March</v>
      </c>
    </row>
    <row r="81" spans="1:26" x14ac:dyDescent="0.3">
      <c r="A81" t="s">
        <v>48</v>
      </c>
      <c r="B81" t="s">
        <v>158</v>
      </c>
      <c r="C81" t="s">
        <v>159</v>
      </c>
      <c r="D81">
        <v>9254</v>
      </c>
      <c r="E81">
        <v>1</v>
      </c>
      <c r="F81">
        <v>241559</v>
      </c>
      <c r="G81" t="s">
        <v>131</v>
      </c>
      <c r="H81" t="s">
        <v>132</v>
      </c>
      <c r="I81" t="s">
        <v>160</v>
      </c>
      <c r="J81" t="s">
        <v>27</v>
      </c>
      <c r="K81">
        <v>5507</v>
      </c>
      <c r="L81" t="s">
        <v>23</v>
      </c>
      <c r="M81">
        <v>200</v>
      </c>
      <c r="N81" t="s">
        <v>24</v>
      </c>
      <c r="O81" t="s">
        <v>23</v>
      </c>
      <c r="P81">
        <v>13</v>
      </c>
      <c r="Q81">
        <v>0</v>
      </c>
      <c r="R81">
        <f>A81-6+4</f>
        <v>43536</v>
      </c>
      <c r="S81">
        <f t="shared" si="12"/>
        <v>0</v>
      </c>
      <c r="T81">
        <f t="shared" si="13"/>
        <v>12</v>
      </c>
      <c r="U81">
        <f t="shared" si="14"/>
        <v>3</v>
      </c>
      <c r="V81">
        <f t="shared" si="15"/>
        <v>11</v>
      </c>
      <c r="W81">
        <f t="shared" si="16"/>
        <v>3</v>
      </c>
      <c r="X81">
        <f t="shared" si="17"/>
        <v>2019</v>
      </c>
      <c r="Y81" t="str">
        <f t="shared" si="10"/>
        <v>Wednesday</v>
      </c>
      <c r="Z81" t="str">
        <f t="shared" si="11"/>
        <v>March</v>
      </c>
    </row>
    <row r="82" spans="1:26" x14ac:dyDescent="0.3">
      <c r="A82" t="s">
        <v>48</v>
      </c>
      <c r="B82" t="s">
        <v>158</v>
      </c>
      <c r="C82" t="s">
        <v>159</v>
      </c>
      <c r="D82">
        <v>9254</v>
      </c>
      <c r="E82">
        <v>1</v>
      </c>
      <c r="F82">
        <v>241559</v>
      </c>
      <c r="G82" t="s">
        <v>131</v>
      </c>
      <c r="H82" t="s">
        <v>132</v>
      </c>
      <c r="I82" t="s">
        <v>160</v>
      </c>
      <c r="J82" t="s">
        <v>27</v>
      </c>
      <c r="K82">
        <v>5507</v>
      </c>
      <c r="L82" t="s">
        <v>23</v>
      </c>
      <c r="M82">
        <v>200</v>
      </c>
      <c r="N82" t="s">
        <v>24</v>
      </c>
      <c r="O82" t="s">
        <v>23</v>
      </c>
      <c r="P82">
        <v>13</v>
      </c>
      <c r="Q82">
        <v>1</v>
      </c>
      <c r="R82">
        <f>A82-6+5</f>
        <v>43537</v>
      </c>
      <c r="S82">
        <f t="shared" si="12"/>
        <v>13</v>
      </c>
      <c r="T82">
        <f t="shared" si="13"/>
        <v>13</v>
      </c>
      <c r="U82">
        <f t="shared" si="14"/>
        <v>4</v>
      </c>
      <c r="V82">
        <f t="shared" si="15"/>
        <v>11</v>
      </c>
      <c r="W82">
        <f t="shared" si="16"/>
        <v>3</v>
      </c>
      <c r="X82">
        <f t="shared" si="17"/>
        <v>2019</v>
      </c>
      <c r="Y82" t="str">
        <f t="shared" si="10"/>
        <v>Thursday</v>
      </c>
      <c r="Z82" t="str">
        <f t="shared" si="11"/>
        <v>March</v>
      </c>
    </row>
    <row r="83" spans="1:26" x14ac:dyDescent="0.3">
      <c r="A83" t="s">
        <v>48</v>
      </c>
      <c r="B83" t="s">
        <v>158</v>
      </c>
      <c r="C83" t="s">
        <v>159</v>
      </c>
      <c r="D83">
        <v>9254</v>
      </c>
      <c r="E83">
        <v>1</v>
      </c>
      <c r="F83">
        <v>241559</v>
      </c>
      <c r="G83" t="s">
        <v>131</v>
      </c>
      <c r="H83" t="s">
        <v>132</v>
      </c>
      <c r="I83" t="s">
        <v>160</v>
      </c>
      <c r="J83" t="s">
        <v>27</v>
      </c>
      <c r="K83">
        <v>5507</v>
      </c>
      <c r="L83" t="s">
        <v>23</v>
      </c>
      <c r="M83">
        <v>200</v>
      </c>
      <c r="N83" t="s">
        <v>24</v>
      </c>
      <c r="O83" t="s">
        <v>23</v>
      </c>
      <c r="P83">
        <v>13</v>
      </c>
      <c r="Q83">
        <v>0</v>
      </c>
      <c r="R83">
        <f>A83-6+6</f>
        <v>43538</v>
      </c>
      <c r="S83">
        <f t="shared" si="12"/>
        <v>0</v>
      </c>
      <c r="T83">
        <f t="shared" si="13"/>
        <v>14</v>
      </c>
      <c r="U83">
        <f t="shared" si="14"/>
        <v>5</v>
      </c>
      <c r="V83">
        <f t="shared" si="15"/>
        <v>11</v>
      </c>
      <c r="W83">
        <f t="shared" si="16"/>
        <v>3</v>
      </c>
      <c r="X83">
        <f t="shared" si="17"/>
        <v>2019</v>
      </c>
      <c r="Y83" t="str">
        <f t="shared" si="10"/>
        <v>Friday</v>
      </c>
      <c r="Z83" t="str">
        <f t="shared" si="11"/>
        <v>March</v>
      </c>
    </row>
    <row r="84" spans="1:26" x14ac:dyDescent="0.3">
      <c r="A84" t="s">
        <v>48</v>
      </c>
      <c r="B84" t="s">
        <v>158</v>
      </c>
      <c r="C84" t="s">
        <v>159</v>
      </c>
      <c r="D84">
        <v>9254</v>
      </c>
      <c r="E84">
        <v>1</v>
      </c>
      <c r="F84">
        <v>241559</v>
      </c>
      <c r="G84" t="s">
        <v>131</v>
      </c>
      <c r="H84" t="s">
        <v>132</v>
      </c>
      <c r="I84" t="s">
        <v>160</v>
      </c>
      <c r="J84" t="s">
        <v>27</v>
      </c>
      <c r="K84">
        <v>5507</v>
      </c>
      <c r="L84" t="s">
        <v>23</v>
      </c>
      <c r="M84">
        <v>200</v>
      </c>
      <c r="N84" t="s">
        <v>24</v>
      </c>
      <c r="O84" t="s">
        <v>23</v>
      </c>
      <c r="P84">
        <v>13</v>
      </c>
      <c r="Q84">
        <v>0</v>
      </c>
      <c r="R84">
        <f>R79-2</f>
        <v>43532</v>
      </c>
      <c r="S84">
        <f t="shared" si="12"/>
        <v>0</v>
      </c>
      <c r="T84">
        <f t="shared" si="13"/>
        <v>8</v>
      </c>
      <c r="U84">
        <f t="shared" si="14"/>
        <v>6</v>
      </c>
      <c r="V84">
        <f t="shared" si="15"/>
        <v>10</v>
      </c>
      <c r="W84">
        <f t="shared" si="16"/>
        <v>3</v>
      </c>
      <c r="X84">
        <f t="shared" si="17"/>
        <v>2019</v>
      </c>
      <c r="Y84" t="str">
        <f t="shared" si="10"/>
        <v>Saturday</v>
      </c>
      <c r="Z84" t="str">
        <f t="shared" si="11"/>
        <v>March</v>
      </c>
    </row>
    <row r="85" spans="1:26" x14ac:dyDescent="0.3">
      <c r="A85" t="s">
        <v>48</v>
      </c>
      <c r="B85" t="s">
        <v>158</v>
      </c>
      <c r="C85" t="s">
        <v>159</v>
      </c>
      <c r="D85">
        <v>9254</v>
      </c>
      <c r="E85">
        <v>1</v>
      </c>
      <c r="F85">
        <v>241559</v>
      </c>
      <c r="G85" t="s">
        <v>131</v>
      </c>
      <c r="H85" t="s">
        <v>132</v>
      </c>
      <c r="I85" t="s">
        <v>160</v>
      </c>
      <c r="J85" t="s">
        <v>27</v>
      </c>
      <c r="K85">
        <v>5507</v>
      </c>
      <c r="L85" t="s">
        <v>23</v>
      </c>
      <c r="M85">
        <v>200</v>
      </c>
      <c r="N85" t="s">
        <v>24</v>
      </c>
      <c r="O85" t="s">
        <v>23</v>
      </c>
      <c r="P85">
        <v>13</v>
      </c>
      <c r="Q85">
        <v>0</v>
      </c>
      <c r="R85">
        <f>R79-1</f>
        <v>43533</v>
      </c>
      <c r="S85">
        <f t="shared" si="12"/>
        <v>0</v>
      </c>
      <c r="T85">
        <f t="shared" si="13"/>
        <v>9</v>
      </c>
      <c r="U85">
        <f t="shared" si="14"/>
        <v>7</v>
      </c>
      <c r="V85">
        <f t="shared" si="15"/>
        <v>10</v>
      </c>
      <c r="W85">
        <f t="shared" si="16"/>
        <v>3</v>
      </c>
      <c r="X85">
        <f t="shared" si="17"/>
        <v>2019</v>
      </c>
      <c r="Y85" t="str">
        <f t="shared" si="10"/>
        <v>Sunday</v>
      </c>
      <c r="Z85" t="str">
        <f t="shared" si="11"/>
        <v>March</v>
      </c>
    </row>
    <row r="86" spans="1:26" x14ac:dyDescent="0.3">
      <c r="A86" t="s">
        <v>47</v>
      </c>
      <c r="B86" t="s">
        <v>161</v>
      </c>
      <c r="C86" t="s">
        <v>162</v>
      </c>
      <c r="D86">
        <v>9135</v>
      </c>
      <c r="E86">
        <v>1</v>
      </c>
      <c r="F86">
        <v>240341</v>
      </c>
      <c r="G86" t="s">
        <v>131</v>
      </c>
      <c r="H86" t="s">
        <v>132</v>
      </c>
      <c r="I86" t="s">
        <v>163</v>
      </c>
      <c r="J86" t="s">
        <v>27</v>
      </c>
      <c r="K86">
        <v>5507</v>
      </c>
      <c r="L86" t="s">
        <v>23</v>
      </c>
      <c r="M86">
        <v>500</v>
      </c>
      <c r="N86" t="s">
        <v>24</v>
      </c>
      <c r="O86" t="s">
        <v>23</v>
      </c>
      <c r="P86">
        <v>14.5</v>
      </c>
      <c r="Q86">
        <v>0</v>
      </c>
      <c r="R86">
        <f>A86-6+2</f>
        <v>43520</v>
      </c>
      <c r="S86">
        <f t="shared" si="12"/>
        <v>0</v>
      </c>
      <c r="T86">
        <f t="shared" si="13"/>
        <v>24</v>
      </c>
      <c r="U86">
        <f t="shared" si="14"/>
        <v>1</v>
      </c>
      <c r="V86">
        <f t="shared" si="15"/>
        <v>9</v>
      </c>
      <c r="W86">
        <f t="shared" si="16"/>
        <v>2</v>
      </c>
      <c r="X86">
        <f t="shared" si="17"/>
        <v>2019</v>
      </c>
      <c r="Y86" t="str">
        <f t="shared" si="10"/>
        <v>Monday</v>
      </c>
      <c r="Z86" t="str">
        <f t="shared" si="11"/>
        <v>February</v>
      </c>
    </row>
    <row r="87" spans="1:26" x14ac:dyDescent="0.3">
      <c r="A87" t="s">
        <v>47</v>
      </c>
      <c r="B87" t="s">
        <v>161</v>
      </c>
      <c r="C87" t="s">
        <v>162</v>
      </c>
      <c r="D87">
        <v>9135</v>
      </c>
      <c r="E87">
        <v>1</v>
      </c>
      <c r="F87">
        <v>240341</v>
      </c>
      <c r="G87" t="s">
        <v>131</v>
      </c>
      <c r="H87" t="s">
        <v>132</v>
      </c>
      <c r="I87" t="s">
        <v>163</v>
      </c>
      <c r="J87" t="s">
        <v>27</v>
      </c>
      <c r="K87">
        <v>5507</v>
      </c>
      <c r="L87" t="s">
        <v>23</v>
      </c>
      <c r="M87">
        <v>500</v>
      </c>
      <c r="N87" t="s">
        <v>24</v>
      </c>
      <c r="O87" t="s">
        <v>23</v>
      </c>
      <c r="P87">
        <v>14.5</v>
      </c>
      <c r="Q87">
        <v>0</v>
      </c>
      <c r="R87">
        <f>A87-6+3</f>
        <v>43521</v>
      </c>
      <c r="S87">
        <f t="shared" si="12"/>
        <v>0</v>
      </c>
      <c r="T87">
        <f t="shared" si="13"/>
        <v>25</v>
      </c>
      <c r="U87">
        <f t="shared" si="14"/>
        <v>2</v>
      </c>
      <c r="V87">
        <f t="shared" si="15"/>
        <v>9</v>
      </c>
      <c r="W87">
        <f t="shared" si="16"/>
        <v>2</v>
      </c>
      <c r="X87">
        <f t="shared" si="17"/>
        <v>2019</v>
      </c>
      <c r="Y87" t="str">
        <f t="shared" si="10"/>
        <v>Tuesday</v>
      </c>
      <c r="Z87" t="str">
        <f t="shared" si="11"/>
        <v>February</v>
      </c>
    </row>
    <row r="88" spans="1:26" x14ac:dyDescent="0.3">
      <c r="A88" t="s">
        <v>47</v>
      </c>
      <c r="B88" t="s">
        <v>161</v>
      </c>
      <c r="C88" t="s">
        <v>162</v>
      </c>
      <c r="D88">
        <v>9135</v>
      </c>
      <c r="E88">
        <v>1</v>
      </c>
      <c r="F88">
        <v>240341</v>
      </c>
      <c r="G88" t="s">
        <v>131</v>
      </c>
      <c r="H88" t="s">
        <v>132</v>
      </c>
      <c r="I88" t="s">
        <v>163</v>
      </c>
      <c r="J88" t="s">
        <v>27</v>
      </c>
      <c r="K88">
        <v>5507</v>
      </c>
      <c r="L88" t="s">
        <v>23</v>
      </c>
      <c r="M88">
        <v>500</v>
      </c>
      <c r="N88" t="s">
        <v>24</v>
      </c>
      <c r="O88" t="s">
        <v>23</v>
      </c>
      <c r="P88">
        <v>14.5</v>
      </c>
      <c r="Q88">
        <v>0</v>
      </c>
      <c r="R88">
        <f>A88-6+4</f>
        <v>43522</v>
      </c>
      <c r="S88">
        <f t="shared" si="12"/>
        <v>0</v>
      </c>
      <c r="T88">
        <f t="shared" si="13"/>
        <v>26</v>
      </c>
      <c r="U88">
        <f t="shared" si="14"/>
        <v>3</v>
      </c>
      <c r="V88">
        <f t="shared" si="15"/>
        <v>9</v>
      </c>
      <c r="W88">
        <f t="shared" si="16"/>
        <v>2</v>
      </c>
      <c r="X88">
        <f t="shared" si="17"/>
        <v>2019</v>
      </c>
      <c r="Y88" t="str">
        <f t="shared" si="10"/>
        <v>Wednesday</v>
      </c>
      <c r="Z88" t="str">
        <f t="shared" si="11"/>
        <v>February</v>
      </c>
    </row>
    <row r="89" spans="1:26" x14ac:dyDescent="0.3">
      <c r="A89" t="s">
        <v>47</v>
      </c>
      <c r="B89" t="s">
        <v>161</v>
      </c>
      <c r="C89" t="s">
        <v>162</v>
      </c>
      <c r="D89">
        <v>9135</v>
      </c>
      <c r="E89">
        <v>1</v>
      </c>
      <c r="F89">
        <v>240341</v>
      </c>
      <c r="G89" t="s">
        <v>131</v>
      </c>
      <c r="H89" t="s">
        <v>132</v>
      </c>
      <c r="I89" t="s">
        <v>163</v>
      </c>
      <c r="J89" t="s">
        <v>27</v>
      </c>
      <c r="K89">
        <v>5507</v>
      </c>
      <c r="L89" t="s">
        <v>23</v>
      </c>
      <c r="M89">
        <v>500</v>
      </c>
      <c r="N89" t="s">
        <v>24</v>
      </c>
      <c r="O89" t="s">
        <v>23</v>
      </c>
      <c r="P89">
        <v>14.5</v>
      </c>
      <c r="Q89">
        <v>0</v>
      </c>
      <c r="R89">
        <f>A89-6+5</f>
        <v>43523</v>
      </c>
      <c r="S89">
        <f t="shared" si="12"/>
        <v>0</v>
      </c>
      <c r="T89">
        <f t="shared" si="13"/>
        <v>27</v>
      </c>
      <c r="U89">
        <f t="shared" si="14"/>
        <v>4</v>
      </c>
      <c r="V89">
        <f t="shared" si="15"/>
        <v>9</v>
      </c>
      <c r="W89">
        <f t="shared" si="16"/>
        <v>2</v>
      </c>
      <c r="X89">
        <f t="shared" si="17"/>
        <v>2019</v>
      </c>
      <c r="Y89" t="str">
        <f t="shared" si="10"/>
        <v>Thursday</v>
      </c>
      <c r="Z89" t="str">
        <f t="shared" si="11"/>
        <v>February</v>
      </c>
    </row>
    <row r="90" spans="1:26" x14ac:dyDescent="0.3">
      <c r="A90" t="s">
        <v>47</v>
      </c>
      <c r="B90" t="s">
        <v>161</v>
      </c>
      <c r="C90" t="s">
        <v>162</v>
      </c>
      <c r="D90">
        <v>9135</v>
      </c>
      <c r="E90">
        <v>1</v>
      </c>
      <c r="F90">
        <v>240341</v>
      </c>
      <c r="G90" t="s">
        <v>131</v>
      </c>
      <c r="H90" t="s">
        <v>132</v>
      </c>
      <c r="I90" t="s">
        <v>163</v>
      </c>
      <c r="J90" t="s">
        <v>27</v>
      </c>
      <c r="K90">
        <v>5507</v>
      </c>
      <c r="L90" t="s">
        <v>23</v>
      </c>
      <c r="M90">
        <v>500</v>
      </c>
      <c r="N90" t="s">
        <v>24</v>
      </c>
      <c r="O90" t="s">
        <v>23</v>
      </c>
      <c r="P90">
        <v>14.5</v>
      </c>
      <c r="Q90">
        <v>0</v>
      </c>
      <c r="R90">
        <f>A90-6+6</f>
        <v>43524</v>
      </c>
      <c r="S90">
        <f t="shared" si="12"/>
        <v>0</v>
      </c>
      <c r="T90">
        <f t="shared" si="13"/>
        <v>28</v>
      </c>
      <c r="U90">
        <f t="shared" si="14"/>
        <v>5</v>
      </c>
      <c r="V90">
        <f t="shared" si="15"/>
        <v>9</v>
      </c>
      <c r="W90">
        <f t="shared" si="16"/>
        <v>2</v>
      </c>
      <c r="X90">
        <f t="shared" si="17"/>
        <v>2019</v>
      </c>
      <c r="Y90" t="str">
        <f t="shared" si="10"/>
        <v>Friday</v>
      </c>
      <c r="Z90" t="str">
        <f t="shared" si="11"/>
        <v>February</v>
      </c>
    </row>
    <row r="91" spans="1:26" x14ac:dyDescent="0.3">
      <c r="A91" t="s">
        <v>47</v>
      </c>
      <c r="B91" t="s">
        <v>161</v>
      </c>
      <c r="C91" t="s">
        <v>162</v>
      </c>
      <c r="D91">
        <v>9135</v>
      </c>
      <c r="E91">
        <v>1</v>
      </c>
      <c r="F91">
        <v>240341</v>
      </c>
      <c r="G91" t="s">
        <v>131</v>
      </c>
      <c r="H91" t="s">
        <v>132</v>
      </c>
      <c r="I91" t="s">
        <v>163</v>
      </c>
      <c r="J91" t="s">
        <v>27</v>
      </c>
      <c r="K91">
        <v>5507</v>
      </c>
      <c r="L91" t="s">
        <v>23</v>
      </c>
      <c r="M91">
        <v>500</v>
      </c>
      <c r="N91" t="s">
        <v>24</v>
      </c>
      <c r="O91" t="s">
        <v>23</v>
      </c>
      <c r="P91">
        <v>14.5</v>
      </c>
      <c r="Q91">
        <v>2</v>
      </c>
      <c r="R91">
        <f>R86-2</f>
        <v>43518</v>
      </c>
      <c r="S91">
        <f t="shared" si="12"/>
        <v>29</v>
      </c>
      <c r="T91">
        <f t="shared" si="13"/>
        <v>22</v>
      </c>
      <c r="U91">
        <f t="shared" si="14"/>
        <v>6</v>
      </c>
      <c r="V91">
        <f t="shared" si="15"/>
        <v>8</v>
      </c>
      <c r="W91">
        <f t="shared" si="16"/>
        <v>2</v>
      </c>
      <c r="X91">
        <f t="shared" si="17"/>
        <v>2019</v>
      </c>
      <c r="Y91" t="str">
        <f t="shared" si="10"/>
        <v>Saturday</v>
      </c>
      <c r="Z91" t="str">
        <f t="shared" si="11"/>
        <v>February</v>
      </c>
    </row>
    <row r="92" spans="1:26" x14ac:dyDescent="0.3">
      <c r="A92" t="s">
        <v>47</v>
      </c>
      <c r="B92" t="s">
        <v>161</v>
      </c>
      <c r="C92" t="s">
        <v>162</v>
      </c>
      <c r="D92">
        <v>9135</v>
      </c>
      <c r="E92">
        <v>1</v>
      </c>
      <c r="F92">
        <v>240341</v>
      </c>
      <c r="G92" t="s">
        <v>131</v>
      </c>
      <c r="H92" t="s">
        <v>132</v>
      </c>
      <c r="I92" t="s">
        <v>163</v>
      </c>
      <c r="J92" t="s">
        <v>27</v>
      </c>
      <c r="K92">
        <v>5507</v>
      </c>
      <c r="L92" t="s">
        <v>23</v>
      </c>
      <c r="M92">
        <v>500</v>
      </c>
      <c r="N92" t="s">
        <v>24</v>
      </c>
      <c r="O92" t="s">
        <v>23</v>
      </c>
      <c r="P92">
        <v>14.5</v>
      </c>
      <c r="Q92">
        <v>4</v>
      </c>
      <c r="R92">
        <f>R86-1</f>
        <v>43519</v>
      </c>
      <c r="S92">
        <f t="shared" si="12"/>
        <v>58</v>
      </c>
      <c r="T92">
        <f t="shared" si="13"/>
        <v>23</v>
      </c>
      <c r="U92">
        <f t="shared" si="14"/>
        <v>7</v>
      </c>
      <c r="V92">
        <f t="shared" si="15"/>
        <v>8</v>
      </c>
      <c r="W92">
        <f t="shared" si="16"/>
        <v>2</v>
      </c>
      <c r="X92">
        <f t="shared" si="17"/>
        <v>2019</v>
      </c>
      <c r="Y92" t="str">
        <f t="shared" si="10"/>
        <v>Sunday</v>
      </c>
      <c r="Z92" t="str">
        <f t="shared" si="11"/>
        <v>February</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92"/>
  <sheetViews>
    <sheetView topLeftCell="K1" workbookViewId="0">
      <selection activeCell="H4" sqref="H4"/>
    </sheetView>
  </sheetViews>
  <sheetFormatPr defaultRowHeight="14.4" x14ac:dyDescent="0.3"/>
  <cols>
    <col min="1" max="1" width="18.88671875" customWidth="1"/>
    <col min="2" max="2" width="12.33203125" customWidth="1"/>
    <col min="3" max="3" width="17.33203125" customWidth="1"/>
    <col min="4" max="4" width="19.6640625" customWidth="1"/>
    <col min="5" max="5" width="9.77734375" customWidth="1"/>
    <col min="6" max="6" width="16.109375" customWidth="1"/>
    <col min="7" max="7" width="9" customWidth="1"/>
    <col min="8" max="8" width="10.33203125" customWidth="1"/>
    <col min="9" max="9" width="16.77734375" customWidth="1"/>
    <col min="10" max="10" width="11.44140625" customWidth="1"/>
    <col min="11" max="11" width="10.44140625" customWidth="1"/>
    <col min="12" max="12" width="16.44140625" customWidth="1"/>
    <col min="13" max="13" width="12" customWidth="1"/>
    <col min="14" max="14" width="13" customWidth="1"/>
    <col min="15" max="15" width="13.88671875" customWidth="1"/>
    <col min="16" max="16" width="10.5546875" customWidth="1"/>
    <col min="18" max="18" width="10.88671875" customWidth="1"/>
    <col min="20" max="20" width="10.21875" customWidth="1"/>
    <col min="21" max="21" width="10.44140625" customWidth="1"/>
    <col min="22" max="22" width="14" customWidth="1"/>
    <col min="25" max="25" width="10.77734375" customWidth="1"/>
    <col min="26" max="26" width="13.33203125" customWidth="1"/>
  </cols>
  <sheetData>
    <row r="1" spans="1:26"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row>
    <row r="2" spans="1:26" x14ac:dyDescent="0.3">
      <c r="A2" t="s">
        <v>52</v>
      </c>
      <c r="B2" t="s">
        <v>170</v>
      </c>
      <c r="C2" t="s">
        <v>171</v>
      </c>
      <c r="D2">
        <v>2996</v>
      </c>
      <c r="E2">
        <v>1</v>
      </c>
      <c r="F2">
        <v>239321</v>
      </c>
      <c r="G2" t="s">
        <v>172</v>
      </c>
      <c r="H2" t="s">
        <v>173</v>
      </c>
      <c r="I2" t="s">
        <v>174</v>
      </c>
      <c r="J2" t="s">
        <v>27</v>
      </c>
      <c r="K2">
        <v>5507</v>
      </c>
      <c r="L2" t="s">
        <v>23</v>
      </c>
      <c r="M2">
        <v>100</v>
      </c>
      <c r="N2" t="s">
        <v>24</v>
      </c>
      <c r="O2" t="s">
        <v>23</v>
      </c>
      <c r="P2">
        <v>19.5</v>
      </c>
      <c r="Q2">
        <v>0</v>
      </c>
      <c r="R2">
        <f>A2-6+2</f>
        <v>43513</v>
      </c>
      <c r="S2">
        <f>P2*Q2</f>
        <v>0</v>
      </c>
      <c r="T2">
        <f>DAY(R2)</f>
        <v>17</v>
      </c>
      <c r="U2">
        <f>WEEKDAY(R2)</f>
        <v>1</v>
      </c>
      <c r="V2">
        <f>WEEKNUM(R2)</f>
        <v>8</v>
      </c>
      <c r="W2">
        <f>MONTH(R2)</f>
        <v>2</v>
      </c>
      <c r="X2">
        <f>YEAR(R2)</f>
        <v>2019</v>
      </c>
      <c r="Y2" t="str">
        <f t="shared" ref="Y2:Y33" si="0">VLOOKUP(U2,dayname,2)</f>
        <v>Monday</v>
      </c>
      <c r="Z2" t="str">
        <f t="shared" ref="Z2:Z33" si="1">VLOOKUP(W2,mesnome,2)</f>
        <v>February</v>
      </c>
    </row>
    <row r="3" spans="1:26" x14ac:dyDescent="0.3">
      <c r="A3" t="s">
        <v>52</v>
      </c>
      <c r="B3" t="s">
        <v>170</v>
      </c>
      <c r="C3" t="s">
        <v>171</v>
      </c>
      <c r="D3">
        <v>2996</v>
      </c>
      <c r="E3">
        <v>1</v>
      </c>
      <c r="F3">
        <v>239321</v>
      </c>
      <c r="G3" t="s">
        <v>172</v>
      </c>
      <c r="H3" t="s">
        <v>173</v>
      </c>
      <c r="I3" t="s">
        <v>174</v>
      </c>
      <c r="J3" t="s">
        <v>27</v>
      </c>
      <c r="K3">
        <v>5507</v>
      </c>
      <c r="L3" t="s">
        <v>23</v>
      </c>
      <c r="M3">
        <v>100</v>
      </c>
      <c r="N3" t="s">
        <v>24</v>
      </c>
      <c r="O3" t="s">
        <v>23</v>
      </c>
      <c r="P3">
        <v>19.5</v>
      </c>
      <c r="Q3">
        <v>4</v>
      </c>
      <c r="R3">
        <f>A3-6+3</f>
        <v>43514</v>
      </c>
      <c r="S3">
        <f t="shared" ref="S3:S66" si="2">P3*Q3</f>
        <v>78</v>
      </c>
      <c r="T3">
        <f t="shared" ref="T3:T66" si="3">DAY(R3)</f>
        <v>18</v>
      </c>
      <c r="U3">
        <f t="shared" ref="U3:U66" si="4">WEEKDAY(R3)</f>
        <v>2</v>
      </c>
      <c r="V3">
        <f t="shared" ref="V3:V66" si="5">WEEKNUM(R3)</f>
        <v>8</v>
      </c>
      <c r="W3">
        <f t="shared" ref="W3:W66" si="6">MONTH(R3)</f>
        <v>2</v>
      </c>
      <c r="X3">
        <f t="shared" ref="X3:X66" si="7">YEAR(R3)</f>
        <v>2019</v>
      </c>
      <c r="Y3" t="str">
        <f t="shared" si="0"/>
        <v>Tuesday</v>
      </c>
      <c r="Z3" t="str">
        <f t="shared" si="1"/>
        <v>February</v>
      </c>
    </row>
    <row r="4" spans="1:26" x14ac:dyDescent="0.3">
      <c r="A4" t="s">
        <v>52</v>
      </c>
      <c r="B4" t="s">
        <v>170</v>
      </c>
      <c r="C4" t="s">
        <v>171</v>
      </c>
      <c r="D4">
        <v>2996</v>
      </c>
      <c r="E4">
        <v>1</v>
      </c>
      <c r="F4">
        <v>239321</v>
      </c>
      <c r="G4" t="s">
        <v>172</v>
      </c>
      <c r="H4" t="s">
        <v>173</v>
      </c>
      <c r="I4" t="s">
        <v>174</v>
      </c>
      <c r="J4" t="s">
        <v>27</v>
      </c>
      <c r="K4">
        <v>5507</v>
      </c>
      <c r="L4" t="s">
        <v>23</v>
      </c>
      <c r="M4">
        <v>100</v>
      </c>
      <c r="N4" t="s">
        <v>24</v>
      </c>
      <c r="O4" t="s">
        <v>23</v>
      </c>
      <c r="P4">
        <v>19.5</v>
      </c>
      <c r="Q4">
        <v>0</v>
      </c>
      <c r="R4">
        <f>A4-6+4</f>
        <v>43515</v>
      </c>
      <c r="S4">
        <f t="shared" si="2"/>
        <v>0</v>
      </c>
      <c r="T4">
        <f t="shared" si="3"/>
        <v>19</v>
      </c>
      <c r="U4">
        <f t="shared" si="4"/>
        <v>3</v>
      </c>
      <c r="V4">
        <f t="shared" si="5"/>
        <v>8</v>
      </c>
      <c r="W4">
        <f t="shared" si="6"/>
        <v>2</v>
      </c>
      <c r="X4">
        <f t="shared" si="7"/>
        <v>2019</v>
      </c>
      <c r="Y4" t="str">
        <f t="shared" si="0"/>
        <v>Wednesday</v>
      </c>
      <c r="Z4" t="str">
        <f t="shared" si="1"/>
        <v>February</v>
      </c>
    </row>
    <row r="5" spans="1:26" x14ac:dyDescent="0.3">
      <c r="A5" t="s">
        <v>52</v>
      </c>
      <c r="B5" t="s">
        <v>170</v>
      </c>
      <c r="C5" t="s">
        <v>171</v>
      </c>
      <c r="D5">
        <v>2996</v>
      </c>
      <c r="E5">
        <v>1</v>
      </c>
      <c r="F5">
        <v>239321</v>
      </c>
      <c r="G5" t="s">
        <v>172</v>
      </c>
      <c r="H5" t="s">
        <v>173</v>
      </c>
      <c r="I5" t="s">
        <v>174</v>
      </c>
      <c r="J5" t="s">
        <v>27</v>
      </c>
      <c r="K5">
        <v>5507</v>
      </c>
      <c r="L5" t="s">
        <v>23</v>
      </c>
      <c r="M5">
        <v>100</v>
      </c>
      <c r="N5" t="s">
        <v>24</v>
      </c>
      <c r="O5" t="s">
        <v>23</v>
      </c>
      <c r="P5">
        <v>19.5</v>
      </c>
      <c r="Q5">
        <v>0</v>
      </c>
      <c r="R5">
        <f>A5-6+5</f>
        <v>43516</v>
      </c>
      <c r="S5">
        <f t="shared" si="2"/>
        <v>0</v>
      </c>
      <c r="T5">
        <f t="shared" si="3"/>
        <v>20</v>
      </c>
      <c r="U5">
        <f t="shared" si="4"/>
        <v>4</v>
      </c>
      <c r="V5">
        <f t="shared" si="5"/>
        <v>8</v>
      </c>
      <c r="W5">
        <f t="shared" si="6"/>
        <v>2</v>
      </c>
      <c r="X5">
        <f t="shared" si="7"/>
        <v>2019</v>
      </c>
      <c r="Y5" t="str">
        <f t="shared" si="0"/>
        <v>Thursday</v>
      </c>
      <c r="Z5" t="str">
        <f t="shared" si="1"/>
        <v>February</v>
      </c>
    </row>
    <row r="6" spans="1:26" x14ac:dyDescent="0.3">
      <c r="A6" t="s">
        <v>52</v>
      </c>
      <c r="B6" t="s">
        <v>170</v>
      </c>
      <c r="C6" t="s">
        <v>171</v>
      </c>
      <c r="D6">
        <v>2996</v>
      </c>
      <c r="E6">
        <v>1</v>
      </c>
      <c r="F6">
        <v>239321</v>
      </c>
      <c r="G6" t="s">
        <v>172</v>
      </c>
      <c r="H6" t="s">
        <v>173</v>
      </c>
      <c r="I6" t="s">
        <v>174</v>
      </c>
      <c r="J6" t="s">
        <v>27</v>
      </c>
      <c r="K6">
        <v>5507</v>
      </c>
      <c r="L6" t="s">
        <v>23</v>
      </c>
      <c r="M6">
        <v>100</v>
      </c>
      <c r="N6" t="s">
        <v>24</v>
      </c>
      <c r="O6" t="s">
        <v>23</v>
      </c>
      <c r="P6">
        <v>19.5</v>
      </c>
      <c r="Q6">
        <v>0</v>
      </c>
      <c r="R6">
        <f>A6-6+6</f>
        <v>43517</v>
      </c>
      <c r="S6">
        <f t="shared" si="2"/>
        <v>0</v>
      </c>
      <c r="T6">
        <f t="shared" si="3"/>
        <v>21</v>
      </c>
      <c r="U6">
        <f t="shared" si="4"/>
        <v>5</v>
      </c>
      <c r="V6">
        <f t="shared" si="5"/>
        <v>8</v>
      </c>
      <c r="W6">
        <f t="shared" si="6"/>
        <v>2</v>
      </c>
      <c r="X6">
        <f t="shared" si="7"/>
        <v>2019</v>
      </c>
      <c r="Y6" t="str">
        <f t="shared" si="0"/>
        <v>Friday</v>
      </c>
      <c r="Z6" t="str">
        <f t="shared" si="1"/>
        <v>February</v>
      </c>
    </row>
    <row r="7" spans="1:26" x14ac:dyDescent="0.3">
      <c r="A7" t="s">
        <v>52</v>
      </c>
      <c r="B7" t="s">
        <v>170</v>
      </c>
      <c r="C7" t="s">
        <v>171</v>
      </c>
      <c r="D7">
        <v>2996</v>
      </c>
      <c r="E7">
        <v>1</v>
      </c>
      <c r="F7">
        <v>239321</v>
      </c>
      <c r="G7" t="s">
        <v>172</v>
      </c>
      <c r="H7" t="s">
        <v>173</v>
      </c>
      <c r="I7" t="s">
        <v>174</v>
      </c>
      <c r="J7" t="s">
        <v>27</v>
      </c>
      <c r="K7">
        <v>5507</v>
      </c>
      <c r="L7" t="s">
        <v>23</v>
      </c>
      <c r="M7">
        <v>100</v>
      </c>
      <c r="N7" t="s">
        <v>24</v>
      </c>
      <c r="O7" t="s">
        <v>23</v>
      </c>
      <c r="P7">
        <v>19.5</v>
      </c>
      <c r="Q7">
        <v>0</v>
      </c>
      <c r="R7">
        <f>R2-2</f>
        <v>43511</v>
      </c>
      <c r="S7">
        <f t="shared" si="2"/>
        <v>0</v>
      </c>
      <c r="T7">
        <f t="shared" si="3"/>
        <v>15</v>
      </c>
      <c r="U7">
        <f t="shared" si="4"/>
        <v>6</v>
      </c>
      <c r="V7">
        <f t="shared" si="5"/>
        <v>7</v>
      </c>
      <c r="W7">
        <f t="shared" si="6"/>
        <v>2</v>
      </c>
      <c r="X7">
        <f t="shared" si="7"/>
        <v>2019</v>
      </c>
      <c r="Y7" t="str">
        <f t="shared" si="0"/>
        <v>Saturday</v>
      </c>
      <c r="Z7" t="str">
        <f t="shared" si="1"/>
        <v>February</v>
      </c>
    </row>
    <row r="8" spans="1:26" x14ac:dyDescent="0.3">
      <c r="A8" t="s">
        <v>52</v>
      </c>
      <c r="B8" t="s">
        <v>170</v>
      </c>
      <c r="C8" t="s">
        <v>171</v>
      </c>
      <c r="D8">
        <v>2996</v>
      </c>
      <c r="E8">
        <v>1</v>
      </c>
      <c r="F8">
        <v>239321</v>
      </c>
      <c r="G8" t="s">
        <v>172</v>
      </c>
      <c r="H8" t="s">
        <v>173</v>
      </c>
      <c r="I8" t="s">
        <v>174</v>
      </c>
      <c r="J8" t="s">
        <v>27</v>
      </c>
      <c r="K8">
        <v>5507</v>
      </c>
      <c r="L8" t="s">
        <v>23</v>
      </c>
      <c r="M8">
        <v>100</v>
      </c>
      <c r="N8" t="s">
        <v>24</v>
      </c>
      <c r="O8" t="s">
        <v>23</v>
      </c>
      <c r="P8">
        <v>19.5</v>
      </c>
      <c r="Q8">
        <v>0</v>
      </c>
      <c r="R8">
        <f>R2-1</f>
        <v>43512</v>
      </c>
      <c r="S8">
        <f t="shared" si="2"/>
        <v>0</v>
      </c>
      <c r="T8">
        <f t="shared" si="3"/>
        <v>16</v>
      </c>
      <c r="U8">
        <f t="shared" si="4"/>
        <v>7</v>
      </c>
      <c r="V8">
        <f t="shared" si="5"/>
        <v>7</v>
      </c>
      <c r="W8">
        <f t="shared" si="6"/>
        <v>2</v>
      </c>
      <c r="X8">
        <f t="shared" si="7"/>
        <v>2019</v>
      </c>
      <c r="Y8" t="str">
        <f t="shared" si="0"/>
        <v>Sunday</v>
      </c>
      <c r="Z8" t="str">
        <f t="shared" si="1"/>
        <v>February</v>
      </c>
    </row>
    <row r="9" spans="1:26" x14ac:dyDescent="0.3">
      <c r="A9" t="s">
        <v>47</v>
      </c>
      <c r="B9" t="s">
        <v>175</v>
      </c>
      <c r="C9" t="s">
        <v>176</v>
      </c>
      <c r="D9">
        <v>6352</v>
      </c>
      <c r="E9">
        <v>1</v>
      </c>
      <c r="F9">
        <v>239956</v>
      </c>
      <c r="G9" t="s">
        <v>172</v>
      </c>
      <c r="H9" t="s">
        <v>173</v>
      </c>
      <c r="I9" t="s">
        <v>177</v>
      </c>
      <c r="J9" t="s">
        <v>27</v>
      </c>
      <c r="K9">
        <v>5222</v>
      </c>
      <c r="L9" t="s">
        <v>23</v>
      </c>
      <c r="M9">
        <v>600</v>
      </c>
      <c r="N9" t="s">
        <v>24</v>
      </c>
      <c r="O9" t="s">
        <v>23</v>
      </c>
      <c r="P9">
        <v>30.303000000000001</v>
      </c>
      <c r="Q9">
        <v>2</v>
      </c>
      <c r="R9">
        <f>A9-6+2</f>
        <v>43520</v>
      </c>
      <c r="S9">
        <f t="shared" si="2"/>
        <v>60.606000000000002</v>
      </c>
      <c r="T9">
        <f t="shared" si="3"/>
        <v>24</v>
      </c>
      <c r="U9">
        <f t="shared" si="4"/>
        <v>1</v>
      </c>
      <c r="V9">
        <f t="shared" si="5"/>
        <v>9</v>
      </c>
      <c r="W9">
        <f t="shared" si="6"/>
        <v>2</v>
      </c>
      <c r="X9">
        <f t="shared" si="7"/>
        <v>2019</v>
      </c>
      <c r="Y9" t="str">
        <f t="shared" si="0"/>
        <v>Monday</v>
      </c>
      <c r="Z9" t="str">
        <f t="shared" si="1"/>
        <v>February</v>
      </c>
    </row>
    <row r="10" spans="1:26" x14ac:dyDescent="0.3">
      <c r="A10" t="s">
        <v>47</v>
      </c>
      <c r="B10" t="s">
        <v>175</v>
      </c>
      <c r="C10" t="s">
        <v>176</v>
      </c>
      <c r="D10">
        <v>6352</v>
      </c>
      <c r="E10">
        <v>1</v>
      </c>
      <c r="F10">
        <v>239956</v>
      </c>
      <c r="G10" t="s">
        <v>172</v>
      </c>
      <c r="H10" t="s">
        <v>173</v>
      </c>
      <c r="I10" t="s">
        <v>177</v>
      </c>
      <c r="J10" t="s">
        <v>27</v>
      </c>
      <c r="K10">
        <v>5222</v>
      </c>
      <c r="L10" t="s">
        <v>23</v>
      </c>
      <c r="M10">
        <v>600</v>
      </c>
      <c r="N10" t="s">
        <v>24</v>
      </c>
      <c r="O10" t="s">
        <v>23</v>
      </c>
      <c r="P10">
        <v>30.303000000000001</v>
      </c>
      <c r="Q10">
        <v>0</v>
      </c>
      <c r="R10">
        <f>A10-6+3</f>
        <v>43521</v>
      </c>
      <c r="S10">
        <f t="shared" si="2"/>
        <v>0</v>
      </c>
      <c r="T10">
        <f t="shared" si="3"/>
        <v>25</v>
      </c>
      <c r="U10">
        <f t="shared" si="4"/>
        <v>2</v>
      </c>
      <c r="V10">
        <f t="shared" si="5"/>
        <v>9</v>
      </c>
      <c r="W10">
        <f t="shared" si="6"/>
        <v>2</v>
      </c>
      <c r="X10">
        <f t="shared" si="7"/>
        <v>2019</v>
      </c>
      <c r="Y10" t="str">
        <f t="shared" si="0"/>
        <v>Tuesday</v>
      </c>
      <c r="Z10" t="str">
        <f t="shared" si="1"/>
        <v>February</v>
      </c>
    </row>
    <row r="11" spans="1:26" x14ac:dyDescent="0.3">
      <c r="A11" t="s">
        <v>47</v>
      </c>
      <c r="B11" t="s">
        <v>175</v>
      </c>
      <c r="C11" t="s">
        <v>176</v>
      </c>
      <c r="D11">
        <v>6352</v>
      </c>
      <c r="E11">
        <v>1</v>
      </c>
      <c r="F11">
        <v>239956</v>
      </c>
      <c r="G11" t="s">
        <v>172</v>
      </c>
      <c r="H11" t="s">
        <v>173</v>
      </c>
      <c r="I11" t="s">
        <v>177</v>
      </c>
      <c r="J11" t="s">
        <v>27</v>
      </c>
      <c r="K11">
        <v>5222</v>
      </c>
      <c r="L11" t="s">
        <v>23</v>
      </c>
      <c r="M11">
        <v>600</v>
      </c>
      <c r="N11" t="s">
        <v>24</v>
      </c>
      <c r="O11" t="s">
        <v>23</v>
      </c>
      <c r="P11">
        <v>30.303000000000001</v>
      </c>
      <c r="Q11">
        <v>0</v>
      </c>
      <c r="R11">
        <f>A11-6+4</f>
        <v>43522</v>
      </c>
      <c r="S11">
        <f t="shared" si="2"/>
        <v>0</v>
      </c>
      <c r="T11">
        <f t="shared" si="3"/>
        <v>26</v>
      </c>
      <c r="U11">
        <f t="shared" si="4"/>
        <v>3</v>
      </c>
      <c r="V11">
        <f t="shared" si="5"/>
        <v>9</v>
      </c>
      <c r="W11">
        <f t="shared" si="6"/>
        <v>2</v>
      </c>
      <c r="X11">
        <f t="shared" si="7"/>
        <v>2019</v>
      </c>
      <c r="Y11" t="str">
        <f t="shared" si="0"/>
        <v>Wednesday</v>
      </c>
      <c r="Z11" t="str">
        <f t="shared" si="1"/>
        <v>February</v>
      </c>
    </row>
    <row r="12" spans="1:26" x14ac:dyDescent="0.3">
      <c r="A12" t="s">
        <v>47</v>
      </c>
      <c r="B12" t="s">
        <v>175</v>
      </c>
      <c r="C12" t="s">
        <v>176</v>
      </c>
      <c r="D12">
        <v>6352</v>
      </c>
      <c r="E12">
        <v>1</v>
      </c>
      <c r="F12">
        <v>239956</v>
      </c>
      <c r="G12" t="s">
        <v>172</v>
      </c>
      <c r="H12" t="s">
        <v>173</v>
      </c>
      <c r="I12" t="s">
        <v>177</v>
      </c>
      <c r="J12" t="s">
        <v>27</v>
      </c>
      <c r="K12">
        <v>5222</v>
      </c>
      <c r="L12" t="s">
        <v>23</v>
      </c>
      <c r="M12">
        <v>600</v>
      </c>
      <c r="N12" t="s">
        <v>24</v>
      </c>
      <c r="O12" t="s">
        <v>23</v>
      </c>
      <c r="P12">
        <v>30.303000000000001</v>
      </c>
      <c r="Q12">
        <v>0</v>
      </c>
      <c r="R12">
        <f>A12-6+5</f>
        <v>43523</v>
      </c>
      <c r="S12">
        <f t="shared" si="2"/>
        <v>0</v>
      </c>
      <c r="T12">
        <f t="shared" si="3"/>
        <v>27</v>
      </c>
      <c r="U12">
        <f t="shared" si="4"/>
        <v>4</v>
      </c>
      <c r="V12">
        <f t="shared" si="5"/>
        <v>9</v>
      </c>
      <c r="W12">
        <f t="shared" si="6"/>
        <v>2</v>
      </c>
      <c r="X12">
        <f t="shared" si="7"/>
        <v>2019</v>
      </c>
      <c r="Y12" t="str">
        <f t="shared" si="0"/>
        <v>Thursday</v>
      </c>
      <c r="Z12" t="str">
        <f t="shared" si="1"/>
        <v>February</v>
      </c>
    </row>
    <row r="13" spans="1:26" x14ac:dyDescent="0.3">
      <c r="A13" t="s">
        <v>47</v>
      </c>
      <c r="B13" t="s">
        <v>175</v>
      </c>
      <c r="C13" t="s">
        <v>176</v>
      </c>
      <c r="D13">
        <v>6352</v>
      </c>
      <c r="E13">
        <v>1</v>
      </c>
      <c r="F13">
        <v>239956</v>
      </c>
      <c r="G13" t="s">
        <v>172</v>
      </c>
      <c r="H13" t="s">
        <v>173</v>
      </c>
      <c r="I13" t="s">
        <v>177</v>
      </c>
      <c r="J13" t="s">
        <v>27</v>
      </c>
      <c r="K13">
        <v>5222</v>
      </c>
      <c r="L13" t="s">
        <v>23</v>
      </c>
      <c r="M13">
        <v>600</v>
      </c>
      <c r="N13" t="s">
        <v>24</v>
      </c>
      <c r="O13" t="s">
        <v>23</v>
      </c>
      <c r="P13">
        <v>30.303000000000001</v>
      </c>
      <c r="Q13">
        <v>5</v>
      </c>
      <c r="R13">
        <f>A13-6+6</f>
        <v>43524</v>
      </c>
      <c r="S13">
        <f t="shared" si="2"/>
        <v>151.51500000000001</v>
      </c>
      <c r="T13">
        <f t="shared" si="3"/>
        <v>28</v>
      </c>
      <c r="U13">
        <f t="shared" si="4"/>
        <v>5</v>
      </c>
      <c r="V13">
        <f t="shared" si="5"/>
        <v>9</v>
      </c>
      <c r="W13">
        <f t="shared" si="6"/>
        <v>2</v>
      </c>
      <c r="X13">
        <f t="shared" si="7"/>
        <v>2019</v>
      </c>
      <c r="Y13" t="str">
        <f t="shared" si="0"/>
        <v>Friday</v>
      </c>
      <c r="Z13" t="str">
        <f t="shared" si="1"/>
        <v>February</v>
      </c>
    </row>
    <row r="14" spans="1:26" x14ac:dyDescent="0.3">
      <c r="A14" t="s">
        <v>47</v>
      </c>
      <c r="B14" t="s">
        <v>175</v>
      </c>
      <c r="C14" t="s">
        <v>176</v>
      </c>
      <c r="D14">
        <v>6352</v>
      </c>
      <c r="E14">
        <v>1</v>
      </c>
      <c r="F14">
        <v>239956</v>
      </c>
      <c r="G14" t="s">
        <v>172</v>
      </c>
      <c r="H14" t="s">
        <v>173</v>
      </c>
      <c r="I14" t="s">
        <v>177</v>
      </c>
      <c r="J14" t="s">
        <v>27</v>
      </c>
      <c r="K14">
        <v>5222</v>
      </c>
      <c r="L14" t="s">
        <v>23</v>
      </c>
      <c r="M14">
        <v>600</v>
      </c>
      <c r="N14" t="s">
        <v>24</v>
      </c>
      <c r="O14" t="s">
        <v>23</v>
      </c>
      <c r="P14">
        <v>30.303000000000001</v>
      </c>
      <c r="Q14">
        <v>4.5</v>
      </c>
      <c r="R14">
        <f>R9-2</f>
        <v>43518</v>
      </c>
      <c r="S14">
        <f t="shared" si="2"/>
        <v>136.36350000000002</v>
      </c>
      <c r="T14">
        <f t="shared" si="3"/>
        <v>22</v>
      </c>
      <c r="U14">
        <f t="shared" si="4"/>
        <v>6</v>
      </c>
      <c r="V14">
        <f t="shared" si="5"/>
        <v>8</v>
      </c>
      <c r="W14">
        <f t="shared" si="6"/>
        <v>2</v>
      </c>
      <c r="X14">
        <f t="shared" si="7"/>
        <v>2019</v>
      </c>
      <c r="Y14" t="str">
        <f t="shared" si="0"/>
        <v>Saturday</v>
      </c>
      <c r="Z14" t="str">
        <f t="shared" si="1"/>
        <v>February</v>
      </c>
    </row>
    <row r="15" spans="1:26" x14ac:dyDescent="0.3">
      <c r="A15" t="s">
        <v>47</v>
      </c>
      <c r="B15" t="s">
        <v>175</v>
      </c>
      <c r="C15" t="s">
        <v>176</v>
      </c>
      <c r="D15">
        <v>6352</v>
      </c>
      <c r="E15">
        <v>1</v>
      </c>
      <c r="F15">
        <v>239956</v>
      </c>
      <c r="G15" t="s">
        <v>172</v>
      </c>
      <c r="H15" t="s">
        <v>173</v>
      </c>
      <c r="I15" t="s">
        <v>177</v>
      </c>
      <c r="J15" t="s">
        <v>27</v>
      </c>
      <c r="K15">
        <v>5222</v>
      </c>
      <c r="L15" t="s">
        <v>23</v>
      </c>
      <c r="M15">
        <v>600</v>
      </c>
      <c r="N15" t="s">
        <v>24</v>
      </c>
      <c r="O15" t="s">
        <v>23</v>
      </c>
      <c r="P15">
        <v>30.303000000000001</v>
      </c>
      <c r="Q15">
        <v>2</v>
      </c>
      <c r="R15">
        <f>R9-1</f>
        <v>43519</v>
      </c>
      <c r="S15">
        <f t="shared" si="2"/>
        <v>60.606000000000002</v>
      </c>
      <c r="T15">
        <f t="shared" si="3"/>
        <v>23</v>
      </c>
      <c r="U15">
        <f t="shared" si="4"/>
        <v>7</v>
      </c>
      <c r="V15">
        <f t="shared" si="5"/>
        <v>8</v>
      </c>
      <c r="W15">
        <f t="shared" si="6"/>
        <v>2</v>
      </c>
      <c r="X15">
        <f t="shared" si="7"/>
        <v>2019</v>
      </c>
      <c r="Y15" t="str">
        <f t="shared" si="0"/>
        <v>Sunday</v>
      </c>
      <c r="Z15" t="str">
        <f t="shared" si="1"/>
        <v>February</v>
      </c>
    </row>
    <row r="16" spans="1:26" x14ac:dyDescent="0.3">
      <c r="A16" t="s">
        <v>32</v>
      </c>
      <c r="B16" t="s">
        <v>178</v>
      </c>
      <c r="C16" t="s">
        <v>179</v>
      </c>
      <c r="D16">
        <v>8503</v>
      </c>
      <c r="E16">
        <v>1</v>
      </c>
      <c r="F16">
        <v>235004</v>
      </c>
      <c r="G16" t="s">
        <v>172</v>
      </c>
      <c r="H16" t="s">
        <v>173</v>
      </c>
      <c r="I16" t="s">
        <v>174</v>
      </c>
      <c r="J16" t="s">
        <v>27</v>
      </c>
      <c r="K16">
        <v>5507</v>
      </c>
      <c r="L16" t="s">
        <v>23</v>
      </c>
      <c r="M16">
        <v>300</v>
      </c>
      <c r="N16" t="s">
        <v>24</v>
      </c>
      <c r="O16" t="s">
        <v>55</v>
      </c>
      <c r="P16">
        <v>20.6</v>
      </c>
      <c r="Q16">
        <v>0</v>
      </c>
      <c r="R16">
        <f>A16-6+2</f>
        <v>43457</v>
      </c>
      <c r="S16">
        <f t="shared" si="2"/>
        <v>0</v>
      </c>
      <c r="T16">
        <f t="shared" si="3"/>
        <v>23</v>
      </c>
      <c r="U16">
        <f t="shared" si="4"/>
        <v>1</v>
      </c>
      <c r="V16">
        <f t="shared" si="5"/>
        <v>52</v>
      </c>
      <c r="W16">
        <f t="shared" si="6"/>
        <v>12</v>
      </c>
      <c r="X16">
        <f t="shared" si="7"/>
        <v>2018</v>
      </c>
      <c r="Y16" t="str">
        <f t="shared" si="0"/>
        <v>Monday</v>
      </c>
      <c r="Z16" t="str">
        <f t="shared" si="1"/>
        <v>December</v>
      </c>
    </row>
    <row r="17" spans="1:26" x14ac:dyDescent="0.3">
      <c r="A17" t="s">
        <v>32</v>
      </c>
      <c r="B17" t="s">
        <v>178</v>
      </c>
      <c r="C17" t="s">
        <v>179</v>
      </c>
      <c r="D17">
        <v>8503</v>
      </c>
      <c r="E17">
        <v>1</v>
      </c>
      <c r="F17">
        <v>235004</v>
      </c>
      <c r="G17" t="s">
        <v>172</v>
      </c>
      <c r="H17" t="s">
        <v>173</v>
      </c>
      <c r="I17" t="s">
        <v>174</v>
      </c>
      <c r="J17" t="s">
        <v>27</v>
      </c>
      <c r="K17">
        <v>5507</v>
      </c>
      <c r="L17" t="s">
        <v>23</v>
      </c>
      <c r="M17">
        <v>300</v>
      </c>
      <c r="N17" t="s">
        <v>24</v>
      </c>
      <c r="O17" t="s">
        <v>55</v>
      </c>
      <c r="P17">
        <v>20.6</v>
      </c>
      <c r="Q17">
        <v>0</v>
      </c>
      <c r="R17">
        <f>A17-6+3</f>
        <v>43458</v>
      </c>
      <c r="S17">
        <f t="shared" si="2"/>
        <v>0</v>
      </c>
      <c r="T17">
        <f t="shared" si="3"/>
        <v>24</v>
      </c>
      <c r="U17">
        <f t="shared" si="4"/>
        <v>2</v>
      </c>
      <c r="V17">
        <f t="shared" si="5"/>
        <v>52</v>
      </c>
      <c r="W17">
        <f t="shared" si="6"/>
        <v>12</v>
      </c>
      <c r="X17">
        <f t="shared" si="7"/>
        <v>2018</v>
      </c>
      <c r="Y17" t="str">
        <f t="shared" si="0"/>
        <v>Tuesday</v>
      </c>
      <c r="Z17" t="str">
        <f t="shared" si="1"/>
        <v>December</v>
      </c>
    </row>
    <row r="18" spans="1:26" x14ac:dyDescent="0.3">
      <c r="A18" t="s">
        <v>32</v>
      </c>
      <c r="B18" t="s">
        <v>178</v>
      </c>
      <c r="C18" t="s">
        <v>179</v>
      </c>
      <c r="D18">
        <v>8503</v>
      </c>
      <c r="E18">
        <v>1</v>
      </c>
      <c r="F18">
        <v>235004</v>
      </c>
      <c r="G18" t="s">
        <v>172</v>
      </c>
      <c r="H18" t="s">
        <v>173</v>
      </c>
      <c r="I18" t="s">
        <v>174</v>
      </c>
      <c r="J18" t="s">
        <v>27</v>
      </c>
      <c r="K18">
        <v>5507</v>
      </c>
      <c r="L18" t="s">
        <v>23</v>
      </c>
      <c r="M18">
        <v>300</v>
      </c>
      <c r="N18" t="s">
        <v>24</v>
      </c>
      <c r="O18" t="s">
        <v>55</v>
      </c>
      <c r="P18">
        <v>20.6</v>
      </c>
      <c r="Q18">
        <v>0</v>
      </c>
      <c r="R18">
        <f>A18-6+4</f>
        <v>43459</v>
      </c>
      <c r="S18">
        <f t="shared" si="2"/>
        <v>0</v>
      </c>
      <c r="T18">
        <f t="shared" si="3"/>
        <v>25</v>
      </c>
      <c r="U18">
        <f t="shared" si="4"/>
        <v>3</v>
      </c>
      <c r="V18">
        <f t="shared" si="5"/>
        <v>52</v>
      </c>
      <c r="W18">
        <f t="shared" si="6"/>
        <v>12</v>
      </c>
      <c r="X18">
        <f t="shared" si="7"/>
        <v>2018</v>
      </c>
      <c r="Y18" t="str">
        <f t="shared" si="0"/>
        <v>Wednesday</v>
      </c>
      <c r="Z18" t="str">
        <f t="shared" si="1"/>
        <v>December</v>
      </c>
    </row>
    <row r="19" spans="1:26" x14ac:dyDescent="0.3">
      <c r="A19" t="s">
        <v>32</v>
      </c>
      <c r="B19" t="s">
        <v>178</v>
      </c>
      <c r="C19" t="s">
        <v>179</v>
      </c>
      <c r="D19">
        <v>8503</v>
      </c>
      <c r="E19">
        <v>1</v>
      </c>
      <c r="F19">
        <v>235004</v>
      </c>
      <c r="G19" t="s">
        <v>172</v>
      </c>
      <c r="H19" t="s">
        <v>173</v>
      </c>
      <c r="I19" t="s">
        <v>174</v>
      </c>
      <c r="J19" t="s">
        <v>27</v>
      </c>
      <c r="K19">
        <v>5507</v>
      </c>
      <c r="L19" t="s">
        <v>23</v>
      </c>
      <c r="M19">
        <v>300</v>
      </c>
      <c r="N19" t="s">
        <v>24</v>
      </c>
      <c r="O19" t="s">
        <v>55</v>
      </c>
      <c r="P19">
        <v>20.6</v>
      </c>
      <c r="Q19">
        <v>0</v>
      </c>
      <c r="R19">
        <f>A19-6+5</f>
        <v>43460</v>
      </c>
      <c r="S19">
        <f t="shared" si="2"/>
        <v>0</v>
      </c>
      <c r="T19">
        <f t="shared" si="3"/>
        <v>26</v>
      </c>
      <c r="U19">
        <f t="shared" si="4"/>
        <v>4</v>
      </c>
      <c r="V19">
        <f t="shared" si="5"/>
        <v>52</v>
      </c>
      <c r="W19">
        <f t="shared" si="6"/>
        <v>12</v>
      </c>
      <c r="X19">
        <f t="shared" si="7"/>
        <v>2018</v>
      </c>
      <c r="Y19" t="str">
        <f t="shared" si="0"/>
        <v>Thursday</v>
      </c>
      <c r="Z19" t="str">
        <f t="shared" si="1"/>
        <v>December</v>
      </c>
    </row>
    <row r="20" spans="1:26" x14ac:dyDescent="0.3">
      <c r="A20" t="s">
        <v>32</v>
      </c>
      <c r="B20" t="s">
        <v>178</v>
      </c>
      <c r="C20" t="s">
        <v>179</v>
      </c>
      <c r="D20">
        <v>8503</v>
      </c>
      <c r="E20">
        <v>1</v>
      </c>
      <c r="F20">
        <v>235004</v>
      </c>
      <c r="G20" t="s">
        <v>172</v>
      </c>
      <c r="H20" t="s">
        <v>173</v>
      </c>
      <c r="I20" t="s">
        <v>174</v>
      </c>
      <c r="J20" t="s">
        <v>27</v>
      </c>
      <c r="K20">
        <v>5507</v>
      </c>
      <c r="L20" t="s">
        <v>23</v>
      </c>
      <c r="M20">
        <v>300</v>
      </c>
      <c r="N20" t="s">
        <v>24</v>
      </c>
      <c r="O20" t="s">
        <v>55</v>
      </c>
      <c r="P20">
        <v>20.6</v>
      </c>
      <c r="Q20">
        <v>8</v>
      </c>
      <c r="R20">
        <f>A20-6+6</f>
        <v>43461</v>
      </c>
      <c r="S20">
        <f t="shared" si="2"/>
        <v>164.8</v>
      </c>
      <c r="T20">
        <f t="shared" si="3"/>
        <v>27</v>
      </c>
      <c r="U20">
        <f t="shared" si="4"/>
        <v>5</v>
      </c>
      <c r="V20">
        <f t="shared" si="5"/>
        <v>52</v>
      </c>
      <c r="W20">
        <f t="shared" si="6"/>
        <v>12</v>
      </c>
      <c r="X20">
        <f t="shared" si="7"/>
        <v>2018</v>
      </c>
      <c r="Y20" t="str">
        <f t="shared" si="0"/>
        <v>Friday</v>
      </c>
      <c r="Z20" t="str">
        <f t="shared" si="1"/>
        <v>December</v>
      </c>
    </row>
    <row r="21" spans="1:26" x14ac:dyDescent="0.3">
      <c r="A21" t="s">
        <v>32</v>
      </c>
      <c r="B21" t="s">
        <v>178</v>
      </c>
      <c r="C21" t="s">
        <v>179</v>
      </c>
      <c r="D21">
        <v>8503</v>
      </c>
      <c r="E21">
        <v>1</v>
      </c>
      <c r="F21">
        <v>235004</v>
      </c>
      <c r="G21" t="s">
        <v>172</v>
      </c>
      <c r="H21" t="s">
        <v>173</v>
      </c>
      <c r="I21" t="s">
        <v>174</v>
      </c>
      <c r="J21" t="s">
        <v>27</v>
      </c>
      <c r="K21">
        <v>5507</v>
      </c>
      <c r="L21" t="s">
        <v>23</v>
      </c>
      <c r="M21">
        <v>300</v>
      </c>
      <c r="N21" t="s">
        <v>24</v>
      </c>
      <c r="O21" t="s">
        <v>55</v>
      </c>
      <c r="P21">
        <v>20.6</v>
      </c>
      <c r="Q21">
        <v>0</v>
      </c>
      <c r="R21">
        <f>R16-2</f>
        <v>43455</v>
      </c>
      <c r="S21">
        <f t="shared" si="2"/>
        <v>0</v>
      </c>
      <c r="T21">
        <f t="shared" si="3"/>
        <v>21</v>
      </c>
      <c r="U21">
        <f t="shared" si="4"/>
        <v>6</v>
      </c>
      <c r="V21">
        <f t="shared" si="5"/>
        <v>51</v>
      </c>
      <c r="W21">
        <f t="shared" si="6"/>
        <v>12</v>
      </c>
      <c r="X21">
        <f t="shared" si="7"/>
        <v>2018</v>
      </c>
      <c r="Y21" t="str">
        <f t="shared" si="0"/>
        <v>Saturday</v>
      </c>
      <c r="Z21" t="str">
        <f t="shared" si="1"/>
        <v>December</v>
      </c>
    </row>
    <row r="22" spans="1:26" x14ac:dyDescent="0.3">
      <c r="A22" t="s">
        <v>32</v>
      </c>
      <c r="B22" t="s">
        <v>178</v>
      </c>
      <c r="C22" t="s">
        <v>179</v>
      </c>
      <c r="D22">
        <v>8503</v>
      </c>
      <c r="E22">
        <v>1</v>
      </c>
      <c r="F22">
        <v>235004</v>
      </c>
      <c r="G22" t="s">
        <v>172</v>
      </c>
      <c r="H22" t="s">
        <v>173</v>
      </c>
      <c r="I22" t="s">
        <v>174</v>
      </c>
      <c r="J22" t="s">
        <v>27</v>
      </c>
      <c r="K22">
        <v>5507</v>
      </c>
      <c r="L22" t="s">
        <v>23</v>
      </c>
      <c r="M22">
        <v>300</v>
      </c>
      <c r="N22" t="s">
        <v>24</v>
      </c>
      <c r="O22" t="s">
        <v>55</v>
      </c>
      <c r="P22">
        <v>20.6</v>
      </c>
      <c r="Q22">
        <v>0</v>
      </c>
      <c r="R22">
        <f>R16-1</f>
        <v>43456</v>
      </c>
      <c r="S22">
        <f t="shared" si="2"/>
        <v>0</v>
      </c>
      <c r="T22">
        <f t="shared" si="3"/>
        <v>22</v>
      </c>
      <c r="U22">
        <f t="shared" si="4"/>
        <v>7</v>
      </c>
      <c r="V22">
        <f t="shared" si="5"/>
        <v>51</v>
      </c>
      <c r="W22">
        <f t="shared" si="6"/>
        <v>12</v>
      </c>
      <c r="X22">
        <f t="shared" si="7"/>
        <v>2018</v>
      </c>
      <c r="Y22" t="str">
        <f t="shared" si="0"/>
        <v>Sunday</v>
      </c>
      <c r="Z22" t="str">
        <f t="shared" si="1"/>
        <v>December</v>
      </c>
    </row>
    <row r="23" spans="1:26" x14ac:dyDescent="0.3">
      <c r="A23" t="s">
        <v>43</v>
      </c>
      <c r="B23" t="s">
        <v>164</v>
      </c>
      <c r="C23" t="s">
        <v>165</v>
      </c>
      <c r="D23">
        <v>6885</v>
      </c>
      <c r="E23">
        <v>1</v>
      </c>
      <c r="F23">
        <v>232002</v>
      </c>
      <c r="G23" t="s">
        <v>172</v>
      </c>
      <c r="H23" t="s">
        <v>173</v>
      </c>
      <c r="I23" t="s">
        <v>133</v>
      </c>
      <c r="J23" t="s">
        <v>22</v>
      </c>
      <c r="K23">
        <v>5507</v>
      </c>
      <c r="L23" t="s">
        <v>23</v>
      </c>
      <c r="M23">
        <v>800</v>
      </c>
      <c r="N23" t="s">
        <v>24</v>
      </c>
      <c r="O23" t="s">
        <v>55</v>
      </c>
      <c r="P23">
        <v>29.07</v>
      </c>
      <c r="Q23">
        <v>0</v>
      </c>
      <c r="R23">
        <f>A23-6+2</f>
        <v>43422</v>
      </c>
      <c r="S23">
        <f t="shared" si="2"/>
        <v>0</v>
      </c>
      <c r="T23">
        <f t="shared" si="3"/>
        <v>18</v>
      </c>
      <c r="U23">
        <f t="shared" si="4"/>
        <v>1</v>
      </c>
      <c r="V23">
        <f t="shared" si="5"/>
        <v>47</v>
      </c>
      <c r="W23">
        <f t="shared" si="6"/>
        <v>11</v>
      </c>
      <c r="X23">
        <f t="shared" si="7"/>
        <v>2018</v>
      </c>
      <c r="Y23" t="str">
        <f t="shared" si="0"/>
        <v>Monday</v>
      </c>
      <c r="Z23" t="str">
        <f t="shared" si="1"/>
        <v>November</v>
      </c>
    </row>
    <row r="24" spans="1:26" x14ac:dyDescent="0.3">
      <c r="A24" t="s">
        <v>43</v>
      </c>
      <c r="B24" t="s">
        <v>164</v>
      </c>
      <c r="C24" t="s">
        <v>165</v>
      </c>
      <c r="D24">
        <v>6885</v>
      </c>
      <c r="E24">
        <v>1</v>
      </c>
      <c r="F24">
        <v>232002</v>
      </c>
      <c r="G24" t="s">
        <v>172</v>
      </c>
      <c r="H24" t="s">
        <v>173</v>
      </c>
      <c r="I24" t="s">
        <v>133</v>
      </c>
      <c r="J24" t="s">
        <v>22</v>
      </c>
      <c r="K24">
        <v>5507</v>
      </c>
      <c r="L24" t="s">
        <v>23</v>
      </c>
      <c r="M24">
        <v>800</v>
      </c>
      <c r="N24" t="s">
        <v>24</v>
      </c>
      <c r="O24" t="s">
        <v>55</v>
      </c>
      <c r="P24">
        <v>29.07</v>
      </c>
      <c r="Q24">
        <v>0</v>
      </c>
      <c r="R24">
        <f>A24-6+3</f>
        <v>43423</v>
      </c>
      <c r="S24">
        <f t="shared" si="2"/>
        <v>0</v>
      </c>
      <c r="T24">
        <f t="shared" si="3"/>
        <v>19</v>
      </c>
      <c r="U24">
        <f t="shared" si="4"/>
        <v>2</v>
      </c>
      <c r="V24">
        <f t="shared" si="5"/>
        <v>47</v>
      </c>
      <c r="W24">
        <f t="shared" si="6"/>
        <v>11</v>
      </c>
      <c r="X24">
        <f t="shared" si="7"/>
        <v>2018</v>
      </c>
      <c r="Y24" t="str">
        <f t="shared" si="0"/>
        <v>Tuesday</v>
      </c>
      <c r="Z24" t="str">
        <f t="shared" si="1"/>
        <v>November</v>
      </c>
    </row>
    <row r="25" spans="1:26" x14ac:dyDescent="0.3">
      <c r="A25" t="s">
        <v>43</v>
      </c>
      <c r="B25" t="s">
        <v>164</v>
      </c>
      <c r="C25" t="s">
        <v>165</v>
      </c>
      <c r="D25">
        <v>6885</v>
      </c>
      <c r="E25">
        <v>1</v>
      </c>
      <c r="F25">
        <v>232002</v>
      </c>
      <c r="G25" t="s">
        <v>172</v>
      </c>
      <c r="H25" t="s">
        <v>173</v>
      </c>
      <c r="I25" t="s">
        <v>133</v>
      </c>
      <c r="J25" t="s">
        <v>22</v>
      </c>
      <c r="K25">
        <v>5507</v>
      </c>
      <c r="L25" t="s">
        <v>23</v>
      </c>
      <c r="M25">
        <v>800</v>
      </c>
      <c r="N25" t="s">
        <v>24</v>
      </c>
      <c r="O25" t="s">
        <v>55</v>
      </c>
      <c r="P25">
        <v>29.07</v>
      </c>
      <c r="Q25">
        <v>0</v>
      </c>
      <c r="R25">
        <f>A25-6+4</f>
        <v>43424</v>
      </c>
      <c r="S25">
        <f t="shared" si="2"/>
        <v>0</v>
      </c>
      <c r="T25">
        <f t="shared" si="3"/>
        <v>20</v>
      </c>
      <c r="U25">
        <f t="shared" si="4"/>
        <v>3</v>
      </c>
      <c r="V25">
        <f t="shared" si="5"/>
        <v>47</v>
      </c>
      <c r="W25">
        <f t="shared" si="6"/>
        <v>11</v>
      </c>
      <c r="X25">
        <f t="shared" si="7"/>
        <v>2018</v>
      </c>
      <c r="Y25" t="str">
        <f t="shared" si="0"/>
        <v>Wednesday</v>
      </c>
      <c r="Z25" t="str">
        <f t="shared" si="1"/>
        <v>November</v>
      </c>
    </row>
    <row r="26" spans="1:26" x14ac:dyDescent="0.3">
      <c r="A26" t="s">
        <v>43</v>
      </c>
      <c r="B26" t="s">
        <v>164</v>
      </c>
      <c r="C26" t="s">
        <v>165</v>
      </c>
      <c r="D26">
        <v>6885</v>
      </c>
      <c r="E26">
        <v>1</v>
      </c>
      <c r="F26">
        <v>232002</v>
      </c>
      <c r="G26" t="s">
        <v>172</v>
      </c>
      <c r="H26" t="s">
        <v>173</v>
      </c>
      <c r="I26" t="s">
        <v>133</v>
      </c>
      <c r="J26" t="s">
        <v>22</v>
      </c>
      <c r="K26">
        <v>5507</v>
      </c>
      <c r="L26" t="s">
        <v>23</v>
      </c>
      <c r="M26">
        <v>800</v>
      </c>
      <c r="N26" t="s">
        <v>24</v>
      </c>
      <c r="O26" t="s">
        <v>55</v>
      </c>
      <c r="P26">
        <v>29.07</v>
      </c>
      <c r="Q26">
        <v>0</v>
      </c>
      <c r="R26">
        <f>A26-6+5</f>
        <v>43425</v>
      </c>
      <c r="S26">
        <f t="shared" si="2"/>
        <v>0</v>
      </c>
      <c r="T26">
        <f t="shared" si="3"/>
        <v>21</v>
      </c>
      <c r="U26">
        <f t="shared" si="4"/>
        <v>4</v>
      </c>
      <c r="V26">
        <f t="shared" si="5"/>
        <v>47</v>
      </c>
      <c r="W26">
        <f t="shared" si="6"/>
        <v>11</v>
      </c>
      <c r="X26">
        <f t="shared" si="7"/>
        <v>2018</v>
      </c>
      <c r="Y26" t="str">
        <f t="shared" si="0"/>
        <v>Thursday</v>
      </c>
      <c r="Z26" t="str">
        <f t="shared" si="1"/>
        <v>November</v>
      </c>
    </row>
    <row r="27" spans="1:26" x14ac:dyDescent="0.3">
      <c r="A27" t="s">
        <v>43</v>
      </c>
      <c r="B27" t="s">
        <v>164</v>
      </c>
      <c r="C27" t="s">
        <v>165</v>
      </c>
      <c r="D27">
        <v>6885</v>
      </c>
      <c r="E27">
        <v>1</v>
      </c>
      <c r="F27">
        <v>232002</v>
      </c>
      <c r="G27" t="s">
        <v>172</v>
      </c>
      <c r="H27" t="s">
        <v>173</v>
      </c>
      <c r="I27" t="s">
        <v>133</v>
      </c>
      <c r="J27" t="s">
        <v>22</v>
      </c>
      <c r="K27">
        <v>5507</v>
      </c>
      <c r="L27" t="s">
        <v>23</v>
      </c>
      <c r="M27">
        <v>800</v>
      </c>
      <c r="N27" t="s">
        <v>24</v>
      </c>
      <c r="O27" t="s">
        <v>55</v>
      </c>
      <c r="P27">
        <v>29.07</v>
      </c>
      <c r="Q27">
        <v>0</v>
      </c>
      <c r="R27">
        <f>A27-6+6</f>
        <v>43426</v>
      </c>
      <c r="S27">
        <f t="shared" si="2"/>
        <v>0</v>
      </c>
      <c r="T27">
        <f t="shared" si="3"/>
        <v>22</v>
      </c>
      <c r="U27">
        <f t="shared" si="4"/>
        <v>5</v>
      </c>
      <c r="V27">
        <f t="shared" si="5"/>
        <v>47</v>
      </c>
      <c r="W27">
        <f t="shared" si="6"/>
        <v>11</v>
      </c>
      <c r="X27">
        <f t="shared" si="7"/>
        <v>2018</v>
      </c>
      <c r="Y27" t="str">
        <f t="shared" si="0"/>
        <v>Friday</v>
      </c>
      <c r="Z27" t="str">
        <f t="shared" si="1"/>
        <v>November</v>
      </c>
    </row>
    <row r="28" spans="1:26" x14ac:dyDescent="0.3">
      <c r="A28" t="s">
        <v>43</v>
      </c>
      <c r="B28" t="s">
        <v>164</v>
      </c>
      <c r="C28" t="s">
        <v>165</v>
      </c>
      <c r="D28">
        <v>6885</v>
      </c>
      <c r="E28">
        <v>1</v>
      </c>
      <c r="F28">
        <v>232002</v>
      </c>
      <c r="G28" t="s">
        <v>172</v>
      </c>
      <c r="H28" t="s">
        <v>173</v>
      </c>
      <c r="I28" t="s">
        <v>133</v>
      </c>
      <c r="J28" t="s">
        <v>22</v>
      </c>
      <c r="K28">
        <v>5507</v>
      </c>
      <c r="L28" t="s">
        <v>23</v>
      </c>
      <c r="M28">
        <v>800</v>
      </c>
      <c r="N28" t="s">
        <v>24</v>
      </c>
      <c r="O28" t="s">
        <v>55</v>
      </c>
      <c r="P28">
        <v>29.07</v>
      </c>
      <c r="Q28">
        <v>0</v>
      </c>
      <c r="R28">
        <f>R23-2</f>
        <v>43420</v>
      </c>
      <c r="S28">
        <f t="shared" si="2"/>
        <v>0</v>
      </c>
      <c r="T28">
        <f t="shared" si="3"/>
        <v>16</v>
      </c>
      <c r="U28">
        <f t="shared" si="4"/>
        <v>6</v>
      </c>
      <c r="V28">
        <f t="shared" si="5"/>
        <v>46</v>
      </c>
      <c r="W28">
        <f t="shared" si="6"/>
        <v>11</v>
      </c>
      <c r="X28">
        <f t="shared" si="7"/>
        <v>2018</v>
      </c>
      <c r="Y28" t="str">
        <f t="shared" si="0"/>
        <v>Saturday</v>
      </c>
      <c r="Z28" t="str">
        <f t="shared" si="1"/>
        <v>November</v>
      </c>
    </row>
    <row r="29" spans="1:26" x14ac:dyDescent="0.3">
      <c r="A29" t="s">
        <v>43</v>
      </c>
      <c r="B29" t="s">
        <v>164</v>
      </c>
      <c r="C29" t="s">
        <v>165</v>
      </c>
      <c r="D29">
        <v>6885</v>
      </c>
      <c r="E29">
        <v>1</v>
      </c>
      <c r="F29">
        <v>232002</v>
      </c>
      <c r="G29" t="s">
        <v>172</v>
      </c>
      <c r="H29" t="s">
        <v>173</v>
      </c>
      <c r="I29" t="s">
        <v>133</v>
      </c>
      <c r="J29" t="s">
        <v>22</v>
      </c>
      <c r="K29">
        <v>5507</v>
      </c>
      <c r="L29" t="s">
        <v>23</v>
      </c>
      <c r="M29">
        <v>800</v>
      </c>
      <c r="N29" t="s">
        <v>24</v>
      </c>
      <c r="O29" t="s">
        <v>55</v>
      </c>
      <c r="P29">
        <v>29.07</v>
      </c>
      <c r="Q29">
        <v>4</v>
      </c>
      <c r="R29">
        <f>R23-1</f>
        <v>43421</v>
      </c>
      <c r="S29">
        <f t="shared" si="2"/>
        <v>116.28</v>
      </c>
      <c r="T29">
        <f t="shared" si="3"/>
        <v>17</v>
      </c>
      <c r="U29">
        <f t="shared" si="4"/>
        <v>7</v>
      </c>
      <c r="V29">
        <f t="shared" si="5"/>
        <v>46</v>
      </c>
      <c r="W29">
        <f t="shared" si="6"/>
        <v>11</v>
      </c>
      <c r="X29">
        <f t="shared" si="7"/>
        <v>2018</v>
      </c>
      <c r="Y29" t="str">
        <f t="shared" si="0"/>
        <v>Sunday</v>
      </c>
      <c r="Z29" t="str">
        <f t="shared" si="1"/>
        <v>November</v>
      </c>
    </row>
    <row r="30" spans="1:26" x14ac:dyDescent="0.3">
      <c r="A30" t="s">
        <v>45</v>
      </c>
      <c r="B30" t="s">
        <v>180</v>
      </c>
      <c r="C30" t="s">
        <v>181</v>
      </c>
      <c r="D30">
        <v>8448</v>
      </c>
      <c r="E30">
        <v>1</v>
      </c>
      <c r="F30">
        <v>236711</v>
      </c>
      <c r="G30" t="s">
        <v>172</v>
      </c>
      <c r="H30" t="s">
        <v>173</v>
      </c>
      <c r="I30" t="s">
        <v>182</v>
      </c>
      <c r="J30" t="s">
        <v>27</v>
      </c>
      <c r="K30">
        <v>5507</v>
      </c>
      <c r="L30" t="s">
        <v>23</v>
      </c>
      <c r="M30">
        <v>200</v>
      </c>
      <c r="N30" t="s">
        <v>24</v>
      </c>
      <c r="O30" t="s">
        <v>23</v>
      </c>
      <c r="P30">
        <v>15</v>
      </c>
      <c r="Q30">
        <v>0</v>
      </c>
      <c r="R30">
        <f>A30-6+2</f>
        <v>43478</v>
      </c>
      <c r="S30">
        <f t="shared" si="2"/>
        <v>0</v>
      </c>
      <c r="T30">
        <f t="shared" si="3"/>
        <v>13</v>
      </c>
      <c r="U30">
        <f t="shared" si="4"/>
        <v>1</v>
      </c>
      <c r="V30">
        <f t="shared" si="5"/>
        <v>3</v>
      </c>
      <c r="W30">
        <f t="shared" si="6"/>
        <v>1</v>
      </c>
      <c r="X30">
        <f t="shared" si="7"/>
        <v>2019</v>
      </c>
      <c r="Y30" t="str">
        <f t="shared" si="0"/>
        <v>Monday</v>
      </c>
      <c r="Z30" t="str">
        <f t="shared" si="1"/>
        <v>January</v>
      </c>
    </row>
    <row r="31" spans="1:26" x14ac:dyDescent="0.3">
      <c r="A31" t="s">
        <v>45</v>
      </c>
      <c r="B31" t="s">
        <v>180</v>
      </c>
      <c r="C31" t="s">
        <v>181</v>
      </c>
      <c r="D31">
        <v>8448</v>
      </c>
      <c r="E31">
        <v>1</v>
      </c>
      <c r="F31">
        <v>236711</v>
      </c>
      <c r="G31" t="s">
        <v>172</v>
      </c>
      <c r="H31" t="s">
        <v>173</v>
      </c>
      <c r="I31" t="s">
        <v>182</v>
      </c>
      <c r="J31" t="s">
        <v>27</v>
      </c>
      <c r="K31">
        <v>5507</v>
      </c>
      <c r="L31" t="s">
        <v>23</v>
      </c>
      <c r="M31">
        <v>200</v>
      </c>
      <c r="N31" t="s">
        <v>24</v>
      </c>
      <c r="O31" t="s">
        <v>23</v>
      </c>
      <c r="P31">
        <v>15</v>
      </c>
      <c r="Q31">
        <v>0</v>
      </c>
      <c r="R31">
        <f>A31-6+3</f>
        <v>43479</v>
      </c>
      <c r="S31">
        <f t="shared" si="2"/>
        <v>0</v>
      </c>
      <c r="T31">
        <f t="shared" si="3"/>
        <v>14</v>
      </c>
      <c r="U31">
        <f t="shared" si="4"/>
        <v>2</v>
      </c>
      <c r="V31">
        <f t="shared" si="5"/>
        <v>3</v>
      </c>
      <c r="W31">
        <f t="shared" si="6"/>
        <v>1</v>
      </c>
      <c r="X31">
        <f t="shared" si="7"/>
        <v>2019</v>
      </c>
      <c r="Y31" t="str">
        <f t="shared" si="0"/>
        <v>Tuesday</v>
      </c>
      <c r="Z31" t="str">
        <f t="shared" si="1"/>
        <v>January</v>
      </c>
    </row>
    <row r="32" spans="1:26" x14ac:dyDescent="0.3">
      <c r="A32" t="s">
        <v>45</v>
      </c>
      <c r="B32" t="s">
        <v>180</v>
      </c>
      <c r="C32" t="s">
        <v>181</v>
      </c>
      <c r="D32">
        <v>8448</v>
      </c>
      <c r="E32">
        <v>1</v>
      </c>
      <c r="F32">
        <v>236711</v>
      </c>
      <c r="G32" t="s">
        <v>172</v>
      </c>
      <c r="H32" t="s">
        <v>173</v>
      </c>
      <c r="I32" t="s">
        <v>182</v>
      </c>
      <c r="J32" t="s">
        <v>27</v>
      </c>
      <c r="K32">
        <v>5507</v>
      </c>
      <c r="L32" t="s">
        <v>23</v>
      </c>
      <c r="M32">
        <v>200</v>
      </c>
      <c r="N32" t="s">
        <v>24</v>
      </c>
      <c r="O32" t="s">
        <v>23</v>
      </c>
      <c r="P32">
        <v>15</v>
      </c>
      <c r="Q32">
        <v>0</v>
      </c>
      <c r="R32">
        <f>A32-6+4</f>
        <v>43480</v>
      </c>
      <c r="S32">
        <f t="shared" si="2"/>
        <v>0</v>
      </c>
      <c r="T32">
        <f t="shared" si="3"/>
        <v>15</v>
      </c>
      <c r="U32">
        <f t="shared" si="4"/>
        <v>3</v>
      </c>
      <c r="V32">
        <f t="shared" si="5"/>
        <v>3</v>
      </c>
      <c r="W32">
        <f t="shared" si="6"/>
        <v>1</v>
      </c>
      <c r="X32">
        <f t="shared" si="7"/>
        <v>2019</v>
      </c>
      <c r="Y32" t="str">
        <f t="shared" si="0"/>
        <v>Wednesday</v>
      </c>
      <c r="Z32" t="str">
        <f t="shared" si="1"/>
        <v>January</v>
      </c>
    </row>
    <row r="33" spans="1:26" x14ac:dyDescent="0.3">
      <c r="A33" t="s">
        <v>45</v>
      </c>
      <c r="B33" t="s">
        <v>180</v>
      </c>
      <c r="C33" t="s">
        <v>181</v>
      </c>
      <c r="D33">
        <v>8448</v>
      </c>
      <c r="E33">
        <v>1</v>
      </c>
      <c r="F33">
        <v>236711</v>
      </c>
      <c r="G33" t="s">
        <v>172</v>
      </c>
      <c r="H33" t="s">
        <v>173</v>
      </c>
      <c r="I33" t="s">
        <v>182</v>
      </c>
      <c r="J33" t="s">
        <v>27</v>
      </c>
      <c r="K33">
        <v>5507</v>
      </c>
      <c r="L33" t="s">
        <v>23</v>
      </c>
      <c r="M33">
        <v>200</v>
      </c>
      <c r="N33" t="s">
        <v>24</v>
      </c>
      <c r="O33" t="s">
        <v>23</v>
      </c>
      <c r="P33">
        <v>15</v>
      </c>
      <c r="Q33">
        <v>0</v>
      </c>
      <c r="R33">
        <f>A33-6+5</f>
        <v>43481</v>
      </c>
      <c r="S33">
        <f t="shared" si="2"/>
        <v>0</v>
      </c>
      <c r="T33">
        <f t="shared" si="3"/>
        <v>16</v>
      </c>
      <c r="U33">
        <f t="shared" si="4"/>
        <v>4</v>
      </c>
      <c r="V33">
        <f t="shared" si="5"/>
        <v>3</v>
      </c>
      <c r="W33">
        <f t="shared" si="6"/>
        <v>1</v>
      </c>
      <c r="X33">
        <f t="shared" si="7"/>
        <v>2019</v>
      </c>
      <c r="Y33" t="str">
        <f t="shared" si="0"/>
        <v>Thursday</v>
      </c>
      <c r="Z33" t="str">
        <f t="shared" si="1"/>
        <v>January</v>
      </c>
    </row>
    <row r="34" spans="1:26" x14ac:dyDescent="0.3">
      <c r="A34" t="s">
        <v>45</v>
      </c>
      <c r="B34" t="s">
        <v>180</v>
      </c>
      <c r="C34" t="s">
        <v>181</v>
      </c>
      <c r="D34">
        <v>8448</v>
      </c>
      <c r="E34">
        <v>1</v>
      </c>
      <c r="F34">
        <v>236711</v>
      </c>
      <c r="G34" t="s">
        <v>172</v>
      </c>
      <c r="H34" t="s">
        <v>173</v>
      </c>
      <c r="I34" t="s">
        <v>182</v>
      </c>
      <c r="J34" t="s">
        <v>27</v>
      </c>
      <c r="K34">
        <v>5507</v>
      </c>
      <c r="L34" t="s">
        <v>23</v>
      </c>
      <c r="M34">
        <v>200</v>
      </c>
      <c r="N34" t="s">
        <v>24</v>
      </c>
      <c r="O34" t="s">
        <v>23</v>
      </c>
      <c r="P34">
        <v>15</v>
      </c>
      <c r="Q34">
        <v>0</v>
      </c>
      <c r="R34">
        <f>A34-6+6</f>
        <v>43482</v>
      </c>
      <c r="S34">
        <f t="shared" si="2"/>
        <v>0</v>
      </c>
      <c r="T34">
        <f t="shared" si="3"/>
        <v>17</v>
      </c>
      <c r="U34">
        <f t="shared" si="4"/>
        <v>5</v>
      </c>
      <c r="V34">
        <f t="shared" si="5"/>
        <v>3</v>
      </c>
      <c r="W34">
        <f t="shared" si="6"/>
        <v>1</v>
      </c>
      <c r="X34">
        <f t="shared" si="7"/>
        <v>2019</v>
      </c>
      <c r="Y34" t="str">
        <f t="shared" ref="Y34:Y65" si="8">VLOOKUP(U34,dayname,2)</f>
        <v>Friday</v>
      </c>
      <c r="Z34" t="str">
        <f t="shared" ref="Z34:Z65" si="9">VLOOKUP(W34,mesnome,2)</f>
        <v>January</v>
      </c>
    </row>
    <row r="35" spans="1:26" x14ac:dyDescent="0.3">
      <c r="A35" t="s">
        <v>45</v>
      </c>
      <c r="B35" t="s">
        <v>180</v>
      </c>
      <c r="C35" t="s">
        <v>181</v>
      </c>
      <c r="D35">
        <v>8448</v>
      </c>
      <c r="E35">
        <v>1</v>
      </c>
      <c r="F35">
        <v>236711</v>
      </c>
      <c r="G35" t="s">
        <v>172</v>
      </c>
      <c r="H35" t="s">
        <v>173</v>
      </c>
      <c r="I35" t="s">
        <v>182</v>
      </c>
      <c r="J35" t="s">
        <v>27</v>
      </c>
      <c r="K35">
        <v>5507</v>
      </c>
      <c r="L35" t="s">
        <v>23</v>
      </c>
      <c r="M35">
        <v>200</v>
      </c>
      <c r="N35" t="s">
        <v>24</v>
      </c>
      <c r="O35" t="s">
        <v>23</v>
      </c>
      <c r="P35">
        <v>15</v>
      </c>
      <c r="Q35">
        <v>0</v>
      </c>
      <c r="R35">
        <f>R30-2</f>
        <v>43476</v>
      </c>
      <c r="S35">
        <f t="shared" si="2"/>
        <v>0</v>
      </c>
      <c r="T35">
        <f t="shared" si="3"/>
        <v>11</v>
      </c>
      <c r="U35">
        <f t="shared" si="4"/>
        <v>6</v>
      </c>
      <c r="V35">
        <f t="shared" si="5"/>
        <v>2</v>
      </c>
      <c r="W35">
        <f t="shared" si="6"/>
        <v>1</v>
      </c>
      <c r="X35">
        <f t="shared" si="7"/>
        <v>2019</v>
      </c>
      <c r="Y35" t="str">
        <f t="shared" si="8"/>
        <v>Saturday</v>
      </c>
      <c r="Z35" t="str">
        <f t="shared" si="9"/>
        <v>January</v>
      </c>
    </row>
    <row r="36" spans="1:26" x14ac:dyDescent="0.3">
      <c r="A36" t="s">
        <v>45</v>
      </c>
      <c r="B36" t="s">
        <v>180</v>
      </c>
      <c r="C36" t="s">
        <v>181</v>
      </c>
      <c r="D36">
        <v>8448</v>
      </c>
      <c r="E36">
        <v>1</v>
      </c>
      <c r="F36">
        <v>236711</v>
      </c>
      <c r="G36" t="s">
        <v>172</v>
      </c>
      <c r="H36" t="s">
        <v>173</v>
      </c>
      <c r="I36" t="s">
        <v>182</v>
      </c>
      <c r="J36" t="s">
        <v>27</v>
      </c>
      <c r="K36">
        <v>5507</v>
      </c>
      <c r="L36" t="s">
        <v>23</v>
      </c>
      <c r="M36">
        <v>200</v>
      </c>
      <c r="N36" t="s">
        <v>24</v>
      </c>
      <c r="O36" t="s">
        <v>23</v>
      </c>
      <c r="P36">
        <v>15</v>
      </c>
      <c r="Q36">
        <v>2</v>
      </c>
      <c r="R36">
        <f>R30-1</f>
        <v>43477</v>
      </c>
      <c r="S36">
        <f t="shared" si="2"/>
        <v>30</v>
      </c>
      <c r="T36">
        <f t="shared" si="3"/>
        <v>12</v>
      </c>
      <c r="U36">
        <f t="shared" si="4"/>
        <v>7</v>
      </c>
      <c r="V36">
        <f t="shared" si="5"/>
        <v>2</v>
      </c>
      <c r="W36">
        <f t="shared" si="6"/>
        <v>1</v>
      </c>
      <c r="X36">
        <f t="shared" si="7"/>
        <v>2019</v>
      </c>
      <c r="Y36" t="str">
        <f t="shared" si="8"/>
        <v>Sunday</v>
      </c>
      <c r="Z36" t="str">
        <f t="shared" si="9"/>
        <v>January</v>
      </c>
    </row>
    <row r="37" spans="1:26" x14ac:dyDescent="0.3">
      <c r="A37" t="s">
        <v>183</v>
      </c>
      <c r="B37" t="s">
        <v>184</v>
      </c>
      <c r="C37" t="s">
        <v>185</v>
      </c>
      <c r="D37">
        <v>7671</v>
      </c>
      <c r="E37">
        <v>1</v>
      </c>
      <c r="F37">
        <v>222385</v>
      </c>
      <c r="G37" t="s">
        <v>172</v>
      </c>
      <c r="H37" t="s">
        <v>173</v>
      </c>
      <c r="I37" t="s">
        <v>186</v>
      </c>
      <c r="J37" t="s">
        <v>27</v>
      </c>
      <c r="K37">
        <v>5507</v>
      </c>
      <c r="L37" t="s">
        <v>23</v>
      </c>
      <c r="M37">
        <v>100</v>
      </c>
      <c r="N37" t="s">
        <v>24</v>
      </c>
      <c r="O37" t="s">
        <v>23</v>
      </c>
      <c r="P37">
        <v>18.829999999999998</v>
      </c>
      <c r="Q37">
        <v>9</v>
      </c>
      <c r="R37">
        <f>A37-6+2</f>
        <v>43296</v>
      </c>
      <c r="S37">
        <f t="shared" si="2"/>
        <v>169.46999999999997</v>
      </c>
      <c r="T37">
        <f t="shared" si="3"/>
        <v>15</v>
      </c>
      <c r="U37">
        <f t="shared" si="4"/>
        <v>1</v>
      </c>
      <c r="V37">
        <f t="shared" si="5"/>
        <v>29</v>
      </c>
      <c r="W37">
        <f t="shared" si="6"/>
        <v>7</v>
      </c>
      <c r="X37">
        <f t="shared" si="7"/>
        <v>2018</v>
      </c>
      <c r="Y37" t="str">
        <f t="shared" si="8"/>
        <v>Monday</v>
      </c>
      <c r="Z37" t="str">
        <f t="shared" si="9"/>
        <v>July</v>
      </c>
    </row>
    <row r="38" spans="1:26" x14ac:dyDescent="0.3">
      <c r="A38" t="s">
        <v>183</v>
      </c>
      <c r="B38" t="s">
        <v>184</v>
      </c>
      <c r="C38" t="s">
        <v>185</v>
      </c>
      <c r="D38">
        <v>7671</v>
      </c>
      <c r="E38">
        <v>1</v>
      </c>
      <c r="F38">
        <v>222385</v>
      </c>
      <c r="G38" t="s">
        <v>172</v>
      </c>
      <c r="H38" t="s">
        <v>173</v>
      </c>
      <c r="I38" t="s">
        <v>186</v>
      </c>
      <c r="J38" t="s">
        <v>27</v>
      </c>
      <c r="K38">
        <v>5507</v>
      </c>
      <c r="L38" t="s">
        <v>23</v>
      </c>
      <c r="M38">
        <v>100</v>
      </c>
      <c r="N38" t="s">
        <v>24</v>
      </c>
      <c r="O38" t="s">
        <v>23</v>
      </c>
      <c r="P38">
        <v>18.829999999999998</v>
      </c>
      <c r="Q38">
        <v>0</v>
      </c>
      <c r="R38">
        <f>A38-6+3</f>
        <v>43297</v>
      </c>
      <c r="S38">
        <f t="shared" si="2"/>
        <v>0</v>
      </c>
      <c r="T38">
        <f t="shared" si="3"/>
        <v>16</v>
      </c>
      <c r="U38">
        <f t="shared" si="4"/>
        <v>2</v>
      </c>
      <c r="V38">
        <f t="shared" si="5"/>
        <v>29</v>
      </c>
      <c r="W38">
        <f t="shared" si="6"/>
        <v>7</v>
      </c>
      <c r="X38">
        <f t="shared" si="7"/>
        <v>2018</v>
      </c>
      <c r="Y38" t="str">
        <f t="shared" si="8"/>
        <v>Tuesday</v>
      </c>
      <c r="Z38" t="str">
        <f t="shared" si="9"/>
        <v>July</v>
      </c>
    </row>
    <row r="39" spans="1:26" x14ac:dyDescent="0.3">
      <c r="A39" t="s">
        <v>183</v>
      </c>
      <c r="B39" t="s">
        <v>184</v>
      </c>
      <c r="C39" t="s">
        <v>185</v>
      </c>
      <c r="D39">
        <v>7671</v>
      </c>
      <c r="E39">
        <v>1</v>
      </c>
      <c r="F39">
        <v>222385</v>
      </c>
      <c r="G39" t="s">
        <v>172</v>
      </c>
      <c r="H39" t="s">
        <v>173</v>
      </c>
      <c r="I39" t="s">
        <v>186</v>
      </c>
      <c r="J39" t="s">
        <v>27</v>
      </c>
      <c r="K39">
        <v>5507</v>
      </c>
      <c r="L39" t="s">
        <v>23</v>
      </c>
      <c r="M39">
        <v>100</v>
      </c>
      <c r="N39" t="s">
        <v>24</v>
      </c>
      <c r="O39" t="s">
        <v>23</v>
      </c>
      <c r="P39">
        <v>18.829999999999998</v>
      </c>
      <c r="Q39">
        <v>0</v>
      </c>
      <c r="R39">
        <f>A39-6+4</f>
        <v>43298</v>
      </c>
      <c r="S39">
        <f t="shared" si="2"/>
        <v>0</v>
      </c>
      <c r="T39">
        <f t="shared" si="3"/>
        <v>17</v>
      </c>
      <c r="U39">
        <f t="shared" si="4"/>
        <v>3</v>
      </c>
      <c r="V39">
        <f t="shared" si="5"/>
        <v>29</v>
      </c>
      <c r="W39">
        <f t="shared" si="6"/>
        <v>7</v>
      </c>
      <c r="X39">
        <f t="shared" si="7"/>
        <v>2018</v>
      </c>
      <c r="Y39" t="str">
        <f t="shared" si="8"/>
        <v>Wednesday</v>
      </c>
      <c r="Z39" t="str">
        <f t="shared" si="9"/>
        <v>July</v>
      </c>
    </row>
    <row r="40" spans="1:26" x14ac:dyDescent="0.3">
      <c r="A40" t="s">
        <v>183</v>
      </c>
      <c r="B40" t="s">
        <v>184</v>
      </c>
      <c r="C40" t="s">
        <v>185</v>
      </c>
      <c r="D40">
        <v>7671</v>
      </c>
      <c r="E40">
        <v>1</v>
      </c>
      <c r="F40">
        <v>222385</v>
      </c>
      <c r="G40" t="s">
        <v>172</v>
      </c>
      <c r="H40" t="s">
        <v>173</v>
      </c>
      <c r="I40" t="s">
        <v>186</v>
      </c>
      <c r="J40" t="s">
        <v>27</v>
      </c>
      <c r="K40">
        <v>5507</v>
      </c>
      <c r="L40" t="s">
        <v>23</v>
      </c>
      <c r="M40">
        <v>100</v>
      </c>
      <c r="N40" t="s">
        <v>24</v>
      </c>
      <c r="O40" t="s">
        <v>23</v>
      </c>
      <c r="P40">
        <v>18.829999999999998</v>
      </c>
      <c r="Q40">
        <v>3</v>
      </c>
      <c r="R40">
        <f>A40-6+5</f>
        <v>43299</v>
      </c>
      <c r="S40">
        <f t="shared" si="2"/>
        <v>56.489999999999995</v>
      </c>
      <c r="T40">
        <f t="shared" si="3"/>
        <v>18</v>
      </c>
      <c r="U40">
        <f t="shared" si="4"/>
        <v>4</v>
      </c>
      <c r="V40">
        <f t="shared" si="5"/>
        <v>29</v>
      </c>
      <c r="W40">
        <f t="shared" si="6"/>
        <v>7</v>
      </c>
      <c r="X40">
        <f t="shared" si="7"/>
        <v>2018</v>
      </c>
      <c r="Y40" t="str">
        <f t="shared" si="8"/>
        <v>Thursday</v>
      </c>
      <c r="Z40" t="str">
        <f t="shared" si="9"/>
        <v>July</v>
      </c>
    </row>
    <row r="41" spans="1:26" x14ac:dyDescent="0.3">
      <c r="A41" t="s">
        <v>183</v>
      </c>
      <c r="B41" t="s">
        <v>184</v>
      </c>
      <c r="C41" t="s">
        <v>185</v>
      </c>
      <c r="D41">
        <v>7671</v>
      </c>
      <c r="E41">
        <v>1</v>
      </c>
      <c r="F41">
        <v>222385</v>
      </c>
      <c r="G41" t="s">
        <v>172</v>
      </c>
      <c r="H41" t="s">
        <v>173</v>
      </c>
      <c r="I41" t="s">
        <v>186</v>
      </c>
      <c r="J41" t="s">
        <v>27</v>
      </c>
      <c r="K41">
        <v>5507</v>
      </c>
      <c r="L41" t="s">
        <v>23</v>
      </c>
      <c r="M41">
        <v>100</v>
      </c>
      <c r="N41" t="s">
        <v>24</v>
      </c>
      <c r="O41" t="s">
        <v>23</v>
      </c>
      <c r="P41">
        <v>18.829999999999998</v>
      </c>
      <c r="Q41">
        <v>10</v>
      </c>
      <c r="R41">
        <f>A41-6+6</f>
        <v>43300</v>
      </c>
      <c r="S41">
        <f t="shared" si="2"/>
        <v>188.29999999999998</v>
      </c>
      <c r="T41">
        <f t="shared" si="3"/>
        <v>19</v>
      </c>
      <c r="U41">
        <f t="shared" si="4"/>
        <v>5</v>
      </c>
      <c r="V41">
        <f t="shared" si="5"/>
        <v>29</v>
      </c>
      <c r="W41">
        <f t="shared" si="6"/>
        <v>7</v>
      </c>
      <c r="X41">
        <f t="shared" si="7"/>
        <v>2018</v>
      </c>
      <c r="Y41" t="str">
        <f t="shared" si="8"/>
        <v>Friday</v>
      </c>
      <c r="Z41" t="str">
        <f t="shared" si="9"/>
        <v>July</v>
      </c>
    </row>
    <row r="42" spans="1:26" x14ac:dyDescent="0.3">
      <c r="A42" t="s">
        <v>183</v>
      </c>
      <c r="B42" t="s">
        <v>184</v>
      </c>
      <c r="C42" t="s">
        <v>185</v>
      </c>
      <c r="D42">
        <v>7671</v>
      </c>
      <c r="E42">
        <v>1</v>
      </c>
      <c r="F42">
        <v>222385</v>
      </c>
      <c r="G42" t="s">
        <v>172</v>
      </c>
      <c r="H42" t="s">
        <v>173</v>
      </c>
      <c r="I42" t="s">
        <v>186</v>
      </c>
      <c r="J42" t="s">
        <v>27</v>
      </c>
      <c r="K42">
        <v>5507</v>
      </c>
      <c r="L42" t="s">
        <v>23</v>
      </c>
      <c r="M42">
        <v>100</v>
      </c>
      <c r="N42" t="s">
        <v>24</v>
      </c>
      <c r="O42" t="s">
        <v>23</v>
      </c>
      <c r="P42">
        <v>18.829999999999998</v>
      </c>
      <c r="Q42">
        <v>3</v>
      </c>
      <c r="R42">
        <f>R37-2</f>
        <v>43294</v>
      </c>
      <c r="S42">
        <f t="shared" si="2"/>
        <v>56.489999999999995</v>
      </c>
      <c r="T42">
        <f t="shared" si="3"/>
        <v>13</v>
      </c>
      <c r="U42">
        <f t="shared" si="4"/>
        <v>6</v>
      </c>
      <c r="V42">
        <f t="shared" si="5"/>
        <v>28</v>
      </c>
      <c r="W42">
        <f t="shared" si="6"/>
        <v>7</v>
      </c>
      <c r="X42">
        <f t="shared" si="7"/>
        <v>2018</v>
      </c>
      <c r="Y42" t="str">
        <f t="shared" si="8"/>
        <v>Saturday</v>
      </c>
      <c r="Z42" t="str">
        <f t="shared" si="9"/>
        <v>July</v>
      </c>
    </row>
    <row r="43" spans="1:26" x14ac:dyDescent="0.3">
      <c r="A43" t="s">
        <v>183</v>
      </c>
      <c r="B43" t="s">
        <v>184</v>
      </c>
      <c r="C43" t="s">
        <v>185</v>
      </c>
      <c r="D43">
        <v>7671</v>
      </c>
      <c r="E43">
        <v>1</v>
      </c>
      <c r="F43">
        <v>222385</v>
      </c>
      <c r="G43" t="s">
        <v>172</v>
      </c>
      <c r="H43" t="s">
        <v>173</v>
      </c>
      <c r="I43" t="s">
        <v>186</v>
      </c>
      <c r="J43" t="s">
        <v>27</v>
      </c>
      <c r="K43">
        <v>5507</v>
      </c>
      <c r="L43" t="s">
        <v>23</v>
      </c>
      <c r="M43">
        <v>100</v>
      </c>
      <c r="N43" t="s">
        <v>24</v>
      </c>
      <c r="O43" t="s">
        <v>23</v>
      </c>
      <c r="P43">
        <v>18.829999999999998</v>
      </c>
      <c r="Q43">
        <v>0</v>
      </c>
      <c r="R43">
        <f>R37-1</f>
        <v>43295</v>
      </c>
      <c r="S43">
        <f t="shared" si="2"/>
        <v>0</v>
      </c>
      <c r="T43">
        <f t="shared" si="3"/>
        <v>14</v>
      </c>
      <c r="U43">
        <f t="shared" si="4"/>
        <v>7</v>
      </c>
      <c r="V43">
        <f t="shared" si="5"/>
        <v>28</v>
      </c>
      <c r="W43">
        <f t="shared" si="6"/>
        <v>7</v>
      </c>
      <c r="X43">
        <f t="shared" si="7"/>
        <v>2018</v>
      </c>
      <c r="Y43" t="str">
        <f t="shared" si="8"/>
        <v>Sunday</v>
      </c>
      <c r="Z43" t="str">
        <f t="shared" si="9"/>
        <v>July</v>
      </c>
    </row>
    <row r="44" spans="1:26" x14ac:dyDescent="0.3">
      <c r="A44" t="s">
        <v>54</v>
      </c>
      <c r="B44" t="s">
        <v>187</v>
      </c>
      <c r="C44" t="s">
        <v>188</v>
      </c>
      <c r="D44">
        <v>7105</v>
      </c>
      <c r="E44">
        <v>1</v>
      </c>
      <c r="F44">
        <v>232576</v>
      </c>
      <c r="G44" t="s">
        <v>172</v>
      </c>
      <c r="H44" t="s">
        <v>173</v>
      </c>
      <c r="I44" t="s">
        <v>189</v>
      </c>
      <c r="J44" t="s">
        <v>27</v>
      </c>
      <c r="K44">
        <v>5507</v>
      </c>
      <c r="L44" t="s">
        <v>23</v>
      </c>
      <c r="M44">
        <v>100</v>
      </c>
      <c r="N44" t="s">
        <v>24</v>
      </c>
      <c r="O44" t="s">
        <v>23</v>
      </c>
      <c r="P44">
        <v>23</v>
      </c>
      <c r="Q44">
        <v>0</v>
      </c>
      <c r="R44">
        <f>A44-6+2</f>
        <v>43429</v>
      </c>
      <c r="S44">
        <f t="shared" si="2"/>
        <v>0</v>
      </c>
      <c r="T44">
        <f t="shared" si="3"/>
        <v>25</v>
      </c>
      <c r="U44">
        <f t="shared" si="4"/>
        <v>1</v>
      </c>
      <c r="V44">
        <f t="shared" si="5"/>
        <v>48</v>
      </c>
      <c r="W44">
        <f t="shared" si="6"/>
        <v>11</v>
      </c>
      <c r="X44">
        <f t="shared" si="7"/>
        <v>2018</v>
      </c>
      <c r="Y44" t="str">
        <f t="shared" si="8"/>
        <v>Monday</v>
      </c>
      <c r="Z44" t="str">
        <f t="shared" si="9"/>
        <v>November</v>
      </c>
    </row>
    <row r="45" spans="1:26" x14ac:dyDescent="0.3">
      <c r="A45" t="s">
        <v>54</v>
      </c>
      <c r="B45" t="s">
        <v>187</v>
      </c>
      <c r="C45" t="s">
        <v>188</v>
      </c>
      <c r="D45">
        <v>7105</v>
      </c>
      <c r="E45">
        <v>1</v>
      </c>
      <c r="F45">
        <v>232576</v>
      </c>
      <c r="G45" t="s">
        <v>172</v>
      </c>
      <c r="H45" t="s">
        <v>173</v>
      </c>
      <c r="I45" t="s">
        <v>189</v>
      </c>
      <c r="J45" t="s">
        <v>27</v>
      </c>
      <c r="K45">
        <v>5507</v>
      </c>
      <c r="L45" t="s">
        <v>23</v>
      </c>
      <c r="M45">
        <v>100</v>
      </c>
      <c r="N45" t="s">
        <v>24</v>
      </c>
      <c r="O45" t="s">
        <v>23</v>
      </c>
      <c r="P45">
        <v>23</v>
      </c>
      <c r="Q45">
        <v>0</v>
      </c>
      <c r="R45">
        <f>A45-6+3</f>
        <v>43430</v>
      </c>
      <c r="S45">
        <f t="shared" si="2"/>
        <v>0</v>
      </c>
      <c r="T45">
        <f t="shared" si="3"/>
        <v>26</v>
      </c>
      <c r="U45">
        <f t="shared" si="4"/>
        <v>2</v>
      </c>
      <c r="V45">
        <f t="shared" si="5"/>
        <v>48</v>
      </c>
      <c r="W45">
        <f t="shared" si="6"/>
        <v>11</v>
      </c>
      <c r="X45">
        <f t="shared" si="7"/>
        <v>2018</v>
      </c>
      <c r="Y45" t="str">
        <f t="shared" si="8"/>
        <v>Tuesday</v>
      </c>
      <c r="Z45" t="str">
        <f t="shared" si="9"/>
        <v>November</v>
      </c>
    </row>
    <row r="46" spans="1:26" x14ac:dyDescent="0.3">
      <c r="A46" t="s">
        <v>54</v>
      </c>
      <c r="B46" t="s">
        <v>187</v>
      </c>
      <c r="C46" t="s">
        <v>188</v>
      </c>
      <c r="D46">
        <v>7105</v>
      </c>
      <c r="E46">
        <v>1</v>
      </c>
      <c r="F46">
        <v>232576</v>
      </c>
      <c r="G46" t="s">
        <v>172</v>
      </c>
      <c r="H46" t="s">
        <v>173</v>
      </c>
      <c r="I46" t="s">
        <v>189</v>
      </c>
      <c r="J46" t="s">
        <v>27</v>
      </c>
      <c r="K46">
        <v>5507</v>
      </c>
      <c r="L46" t="s">
        <v>23</v>
      </c>
      <c r="M46">
        <v>100</v>
      </c>
      <c r="N46" t="s">
        <v>24</v>
      </c>
      <c r="O46" t="s">
        <v>23</v>
      </c>
      <c r="P46">
        <v>23</v>
      </c>
      <c r="Q46">
        <v>0</v>
      </c>
      <c r="R46">
        <f>A46-6+4</f>
        <v>43431</v>
      </c>
      <c r="S46">
        <f t="shared" si="2"/>
        <v>0</v>
      </c>
      <c r="T46">
        <f t="shared" si="3"/>
        <v>27</v>
      </c>
      <c r="U46">
        <f t="shared" si="4"/>
        <v>3</v>
      </c>
      <c r="V46">
        <f t="shared" si="5"/>
        <v>48</v>
      </c>
      <c r="W46">
        <f t="shared" si="6"/>
        <v>11</v>
      </c>
      <c r="X46">
        <f t="shared" si="7"/>
        <v>2018</v>
      </c>
      <c r="Y46" t="str">
        <f t="shared" si="8"/>
        <v>Wednesday</v>
      </c>
      <c r="Z46" t="str">
        <f t="shared" si="9"/>
        <v>November</v>
      </c>
    </row>
    <row r="47" spans="1:26" x14ac:dyDescent="0.3">
      <c r="A47" t="s">
        <v>54</v>
      </c>
      <c r="B47" t="s">
        <v>187</v>
      </c>
      <c r="C47" t="s">
        <v>188</v>
      </c>
      <c r="D47">
        <v>7105</v>
      </c>
      <c r="E47">
        <v>1</v>
      </c>
      <c r="F47">
        <v>232576</v>
      </c>
      <c r="G47" t="s">
        <v>172</v>
      </c>
      <c r="H47" t="s">
        <v>173</v>
      </c>
      <c r="I47" t="s">
        <v>189</v>
      </c>
      <c r="J47" t="s">
        <v>27</v>
      </c>
      <c r="K47">
        <v>5507</v>
      </c>
      <c r="L47" t="s">
        <v>23</v>
      </c>
      <c r="M47">
        <v>100</v>
      </c>
      <c r="N47" t="s">
        <v>24</v>
      </c>
      <c r="O47" t="s">
        <v>23</v>
      </c>
      <c r="P47">
        <v>23</v>
      </c>
      <c r="Q47">
        <v>0</v>
      </c>
      <c r="R47">
        <f>A47-6+5</f>
        <v>43432</v>
      </c>
      <c r="S47">
        <f t="shared" si="2"/>
        <v>0</v>
      </c>
      <c r="T47">
        <f t="shared" si="3"/>
        <v>28</v>
      </c>
      <c r="U47">
        <f t="shared" si="4"/>
        <v>4</v>
      </c>
      <c r="V47">
        <f t="shared" si="5"/>
        <v>48</v>
      </c>
      <c r="W47">
        <f t="shared" si="6"/>
        <v>11</v>
      </c>
      <c r="X47">
        <f t="shared" si="7"/>
        <v>2018</v>
      </c>
      <c r="Y47" t="str">
        <f t="shared" si="8"/>
        <v>Thursday</v>
      </c>
      <c r="Z47" t="str">
        <f t="shared" si="9"/>
        <v>November</v>
      </c>
    </row>
    <row r="48" spans="1:26" x14ac:dyDescent="0.3">
      <c r="A48" t="s">
        <v>54</v>
      </c>
      <c r="B48" t="s">
        <v>187</v>
      </c>
      <c r="C48" t="s">
        <v>188</v>
      </c>
      <c r="D48">
        <v>7105</v>
      </c>
      <c r="E48">
        <v>1</v>
      </c>
      <c r="F48">
        <v>232576</v>
      </c>
      <c r="G48" t="s">
        <v>172</v>
      </c>
      <c r="H48" t="s">
        <v>173</v>
      </c>
      <c r="I48" t="s">
        <v>189</v>
      </c>
      <c r="J48" t="s">
        <v>27</v>
      </c>
      <c r="K48">
        <v>5507</v>
      </c>
      <c r="L48" t="s">
        <v>23</v>
      </c>
      <c r="M48">
        <v>100</v>
      </c>
      <c r="N48" t="s">
        <v>24</v>
      </c>
      <c r="O48" t="s">
        <v>23</v>
      </c>
      <c r="P48">
        <v>23</v>
      </c>
      <c r="Q48">
        <v>4</v>
      </c>
      <c r="R48">
        <f>A48-6+6</f>
        <v>43433</v>
      </c>
      <c r="S48">
        <f t="shared" si="2"/>
        <v>92</v>
      </c>
      <c r="T48">
        <f t="shared" si="3"/>
        <v>29</v>
      </c>
      <c r="U48">
        <f t="shared" si="4"/>
        <v>5</v>
      </c>
      <c r="V48">
        <f t="shared" si="5"/>
        <v>48</v>
      </c>
      <c r="W48">
        <f t="shared" si="6"/>
        <v>11</v>
      </c>
      <c r="X48">
        <f t="shared" si="7"/>
        <v>2018</v>
      </c>
      <c r="Y48" t="str">
        <f t="shared" si="8"/>
        <v>Friday</v>
      </c>
      <c r="Z48" t="str">
        <f t="shared" si="9"/>
        <v>November</v>
      </c>
    </row>
    <row r="49" spans="1:26" x14ac:dyDescent="0.3">
      <c r="A49" t="s">
        <v>54</v>
      </c>
      <c r="B49" t="s">
        <v>187</v>
      </c>
      <c r="C49" t="s">
        <v>188</v>
      </c>
      <c r="D49">
        <v>7105</v>
      </c>
      <c r="E49">
        <v>1</v>
      </c>
      <c r="F49">
        <v>232576</v>
      </c>
      <c r="G49" t="s">
        <v>172</v>
      </c>
      <c r="H49" t="s">
        <v>173</v>
      </c>
      <c r="I49" t="s">
        <v>189</v>
      </c>
      <c r="J49" t="s">
        <v>27</v>
      </c>
      <c r="K49">
        <v>5507</v>
      </c>
      <c r="L49" t="s">
        <v>23</v>
      </c>
      <c r="M49">
        <v>100</v>
      </c>
      <c r="N49" t="s">
        <v>24</v>
      </c>
      <c r="O49" t="s">
        <v>23</v>
      </c>
      <c r="P49">
        <v>23</v>
      </c>
      <c r="Q49">
        <v>0</v>
      </c>
      <c r="R49">
        <f>R44-2</f>
        <v>43427</v>
      </c>
      <c r="S49">
        <f t="shared" si="2"/>
        <v>0</v>
      </c>
      <c r="T49">
        <f t="shared" si="3"/>
        <v>23</v>
      </c>
      <c r="U49">
        <f t="shared" si="4"/>
        <v>6</v>
      </c>
      <c r="V49">
        <f t="shared" si="5"/>
        <v>47</v>
      </c>
      <c r="W49">
        <f t="shared" si="6"/>
        <v>11</v>
      </c>
      <c r="X49">
        <f t="shared" si="7"/>
        <v>2018</v>
      </c>
      <c r="Y49" t="str">
        <f t="shared" si="8"/>
        <v>Saturday</v>
      </c>
      <c r="Z49" t="str">
        <f t="shared" si="9"/>
        <v>November</v>
      </c>
    </row>
    <row r="50" spans="1:26" x14ac:dyDescent="0.3">
      <c r="A50" t="s">
        <v>54</v>
      </c>
      <c r="B50" t="s">
        <v>187</v>
      </c>
      <c r="C50" t="s">
        <v>188</v>
      </c>
      <c r="D50">
        <v>7105</v>
      </c>
      <c r="E50">
        <v>1</v>
      </c>
      <c r="F50">
        <v>232576</v>
      </c>
      <c r="G50" t="s">
        <v>172</v>
      </c>
      <c r="H50" t="s">
        <v>173</v>
      </c>
      <c r="I50" t="s">
        <v>189</v>
      </c>
      <c r="J50" t="s">
        <v>27</v>
      </c>
      <c r="K50">
        <v>5507</v>
      </c>
      <c r="L50" t="s">
        <v>23</v>
      </c>
      <c r="M50">
        <v>100</v>
      </c>
      <c r="N50" t="s">
        <v>24</v>
      </c>
      <c r="O50" t="s">
        <v>23</v>
      </c>
      <c r="P50">
        <v>23</v>
      </c>
      <c r="Q50">
        <v>0</v>
      </c>
      <c r="R50">
        <f>R44-1</f>
        <v>43428</v>
      </c>
      <c r="S50">
        <f t="shared" si="2"/>
        <v>0</v>
      </c>
      <c r="T50">
        <f t="shared" si="3"/>
        <v>24</v>
      </c>
      <c r="U50">
        <f t="shared" si="4"/>
        <v>7</v>
      </c>
      <c r="V50">
        <f t="shared" si="5"/>
        <v>47</v>
      </c>
      <c r="W50">
        <f t="shared" si="6"/>
        <v>11</v>
      </c>
      <c r="X50">
        <f t="shared" si="7"/>
        <v>2018</v>
      </c>
      <c r="Y50" t="str">
        <f t="shared" si="8"/>
        <v>Sunday</v>
      </c>
      <c r="Z50" t="str">
        <f t="shared" si="9"/>
        <v>November</v>
      </c>
    </row>
    <row r="51" spans="1:26" x14ac:dyDescent="0.3">
      <c r="A51" t="s">
        <v>54</v>
      </c>
      <c r="B51" t="s">
        <v>170</v>
      </c>
      <c r="C51" t="s">
        <v>171</v>
      </c>
      <c r="D51">
        <v>2996</v>
      </c>
      <c r="E51">
        <v>1</v>
      </c>
      <c r="F51">
        <v>232477</v>
      </c>
      <c r="G51" t="s">
        <v>172</v>
      </c>
      <c r="H51" t="s">
        <v>173</v>
      </c>
      <c r="I51" t="s">
        <v>190</v>
      </c>
      <c r="J51" t="s">
        <v>27</v>
      </c>
      <c r="K51">
        <v>5507</v>
      </c>
      <c r="L51" t="s">
        <v>23</v>
      </c>
      <c r="M51">
        <v>100</v>
      </c>
      <c r="N51" t="s">
        <v>24</v>
      </c>
      <c r="O51" t="s">
        <v>23</v>
      </c>
      <c r="P51">
        <v>19.5</v>
      </c>
      <c r="Q51">
        <v>0</v>
      </c>
      <c r="R51">
        <f>A51-6+2</f>
        <v>43429</v>
      </c>
      <c r="S51">
        <f t="shared" si="2"/>
        <v>0</v>
      </c>
      <c r="T51">
        <f t="shared" si="3"/>
        <v>25</v>
      </c>
      <c r="U51">
        <f t="shared" si="4"/>
        <v>1</v>
      </c>
      <c r="V51">
        <f t="shared" si="5"/>
        <v>48</v>
      </c>
      <c r="W51">
        <f t="shared" si="6"/>
        <v>11</v>
      </c>
      <c r="X51">
        <f t="shared" si="7"/>
        <v>2018</v>
      </c>
      <c r="Y51" t="str">
        <f t="shared" si="8"/>
        <v>Monday</v>
      </c>
      <c r="Z51" t="str">
        <f t="shared" si="9"/>
        <v>November</v>
      </c>
    </row>
    <row r="52" spans="1:26" x14ac:dyDescent="0.3">
      <c r="A52" t="s">
        <v>54</v>
      </c>
      <c r="B52" t="s">
        <v>170</v>
      </c>
      <c r="C52" t="s">
        <v>171</v>
      </c>
      <c r="D52">
        <v>2996</v>
      </c>
      <c r="E52">
        <v>1</v>
      </c>
      <c r="F52">
        <v>232477</v>
      </c>
      <c r="G52" t="s">
        <v>172</v>
      </c>
      <c r="H52" t="s">
        <v>173</v>
      </c>
      <c r="I52" t="s">
        <v>190</v>
      </c>
      <c r="J52" t="s">
        <v>27</v>
      </c>
      <c r="K52">
        <v>5507</v>
      </c>
      <c r="L52" t="s">
        <v>23</v>
      </c>
      <c r="M52">
        <v>100</v>
      </c>
      <c r="N52" t="s">
        <v>24</v>
      </c>
      <c r="O52" t="s">
        <v>23</v>
      </c>
      <c r="P52">
        <v>19.5</v>
      </c>
      <c r="Q52">
        <v>0</v>
      </c>
      <c r="R52">
        <f>A52-6+3</f>
        <v>43430</v>
      </c>
      <c r="S52">
        <f t="shared" si="2"/>
        <v>0</v>
      </c>
      <c r="T52">
        <f t="shared" si="3"/>
        <v>26</v>
      </c>
      <c r="U52">
        <f t="shared" si="4"/>
        <v>2</v>
      </c>
      <c r="V52">
        <f t="shared" si="5"/>
        <v>48</v>
      </c>
      <c r="W52">
        <f t="shared" si="6"/>
        <v>11</v>
      </c>
      <c r="X52">
        <f t="shared" si="7"/>
        <v>2018</v>
      </c>
      <c r="Y52" t="str">
        <f t="shared" si="8"/>
        <v>Tuesday</v>
      </c>
      <c r="Z52" t="str">
        <f t="shared" si="9"/>
        <v>November</v>
      </c>
    </row>
    <row r="53" spans="1:26" x14ac:dyDescent="0.3">
      <c r="A53" t="s">
        <v>54</v>
      </c>
      <c r="B53" t="s">
        <v>170</v>
      </c>
      <c r="C53" t="s">
        <v>171</v>
      </c>
      <c r="D53">
        <v>2996</v>
      </c>
      <c r="E53">
        <v>1</v>
      </c>
      <c r="F53">
        <v>232477</v>
      </c>
      <c r="G53" t="s">
        <v>172</v>
      </c>
      <c r="H53" t="s">
        <v>173</v>
      </c>
      <c r="I53" t="s">
        <v>190</v>
      </c>
      <c r="J53" t="s">
        <v>27</v>
      </c>
      <c r="K53">
        <v>5507</v>
      </c>
      <c r="L53" t="s">
        <v>23</v>
      </c>
      <c r="M53">
        <v>100</v>
      </c>
      <c r="N53" t="s">
        <v>24</v>
      </c>
      <c r="O53" t="s">
        <v>23</v>
      </c>
      <c r="P53">
        <v>19.5</v>
      </c>
      <c r="Q53">
        <v>0</v>
      </c>
      <c r="R53">
        <f>A53-6+4</f>
        <v>43431</v>
      </c>
      <c r="S53">
        <f t="shared" si="2"/>
        <v>0</v>
      </c>
      <c r="T53">
        <f t="shared" si="3"/>
        <v>27</v>
      </c>
      <c r="U53">
        <f t="shared" si="4"/>
        <v>3</v>
      </c>
      <c r="V53">
        <f t="shared" si="5"/>
        <v>48</v>
      </c>
      <c r="W53">
        <f t="shared" si="6"/>
        <v>11</v>
      </c>
      <c r="X53">
        <f t="shared" si="7"/>
        <v>2018</v>
      </c>
      <c r="Y53" t="str">
        <f t="shared" si="8"/>
        <v>Wednesday</v>
      </c>
      <c r="Z53" t="str">
        <f t="shared" si="9"/>
        <v>November</v>
      </c>
    </row>
    <row r="54" spans="1:26" x14ac:dyDescent="0.3">
      <c r="A54" t="s">
        <v>54</v>
      </c>
      <c r="B54" t="s">
        <v>170</v>
      </c>
      <c r="C54" t="s">
        <v>171</v>
      </c>
      <c r="D54">
        <v>2996</v>
      </c>
      <c r="E54">
        <v>1</v>
      </c>
      <c r="F54">
        <v>232477</v>
      </c>
      <c r="G54" t="s">
        <v>172</v>
      </c>
      <c r="H54" t="s">
        <v>173</v>
      </c>
      <c r="I54" t="s">
        <v>190</v>
      </c>
      <c r="J54" t="s">
        <v>27</v>
      </c>
      <c r="K54">
        <v>5507</v>
      </c>
      <c r="L54" t="s">
        <v>23</v>
      </c>
      <c r="M54">
        <v>100</v>
      </c>
      <c r="N54" t="s">
        <v>24</v>
      </c>
      <c r="O54" t="s">
        <v>23</v>
      </c>
      <c r="P54">
        <v>19.5</v>
      </c>
      <c r="Q54">
        <v>10</v>
      </c>
      <c r="R54">
        <f>A54-6+5</f>
        <v>43432</v>
      </c>
      <c r="S54">
        <f t="shared" si="2"/>
        <v>195</v>
      </c>
      <c r="T54">
        <f t="shared" si="3"/>
        <v>28</v>
      </c>
      <c r="U54">
        <f t="shared" si="4"/>
        <v>4</v>
      </c>
      <c r="V54">
        <f t="shared" si="5"/>
        <v>48</v>
      </c>
      <c r="W54">
        <f t="shared" si="6"/>
        <v>11</v>
      </c>
      <c r="X54">
        <f t="shared" si="7"/>
        <v>2018</v>
      </c>
      <c r="Y54" t="str">
        <f t="shared" si="8"/>
        <v>Thursday</v>
      </c>
      <c r="Z54" t="str">
        <f t="shared" si="9"/>
        <v>November</v>
      </c>
    </row>
    <row r="55" spans="1:26" x14ac:dyDescent="0.3">
      <c r="A55" t="s">
        <v>54</v>
      </c>
      <c r="B55" t="s">
        <v>170</v>
      </c>
      <c r="C55" t="s">
        <v>171</v>
      </c>
      <c r="D55">
        <v>2996</v>
      </c>
      <c r="E55">
        <v>1</v>
      </c>
      <c r="F55">
        <v>232477</v>
      </c>
      <c r="G55" t="s">
        <v>172</v>
      </c>
      <c r="H55" t="s">
        <v>173</v>
      </c>
      <c r="I55" t="s">
        <v>190</v>
      </c>
      <c r="J55" t="s">
        <v>27</v>
      </c>
      <c r="K55">
        <v>5507</v>
      </c>
      <c r="L55" t="s">
        <v>23</v>
      </c>
      <c r="M55">
        <v>100</v>
      </c>
      <c r="N55" t="s">
        <v>24</v>
      </c>
      <c r="O55" t="s">
        <v>23</v>
      </c>
      <c r="P55">
        <v>19.5</v>
      </c>
      <c r="Q55">
        <v>10</v>
      </c>
      <c r="R55">
        <f>A55-6+6</f>
        <v>43433</v>
      </c>
      <c r="S55">
        <f t="shared" si="2"/>
        <v>195</v>
      </c>
      <c r="T55">
        <f t="shared" si="3"/>
        <v>29</v>
      </c>
      <c r="U55">
        <f t="shared" si="4"/>
        <v>5</v>
      </c>
      <c r="V55">
        <f t="shared" si="5"/>
        <v>48</v>
      </c>
      <c r="W55">
        <f t="shared" si="6"/>
        <v>11</v>
      </c>
      <c r="X55">
        <f t="shared" si="7"/>
        <v>2018</v>
      </c>
      <c r="Y55" t="str">
        <f t="shared" si="8"/>
        <v>Friday</v>
      </c>
      <c r="Z55" t="str">
        <f t="shared" si="9"/>
        <v>November</v>
      </c>
    </row>
    <row r="56" spans="1:26" x14ac:dyDescent="0.3">
      <c r="A56" t="s">
        <v>54</v>
      </c>
      <c r="B56" t="s">
        <v>170</v>
      </c>
      <c r="C56" t="s">
        <v>171</v>
      </c>
      <c r="D56">
        <v>2996</v>
      </c>
      <c r="E56">
        <v>1</v>
      </c>
      <c r="F56">
        <v>232477</v>
      </c>
      <c r="G56" t="s">
        <v>172</v>
      </c>
      <c r="H56" t="s">
        <v>173</v>
      </c>
      <c r="I56" t="s">
        <v>190</v>
      </c>
      <c r="J56" t="s">
        <v>27</v>
      </c>
      <c r="K56">
        <v>5507</v>
      </c>
      <c r="L56" t="s">
        <v>23</v>
      </c>
      <c r="M56">
        <v>100</v>
      </c>
      <c r="N56" t="s">
        <v>24</v>
      </c>
      <c r="O56" t="s">
        <v>23</v>
      </c>
      <c r="P56">
        <v>19.5</v>
      </c>
      <c r="Q56">
        <v>10</v>
      </c>
      <c r="R56">
        <f>R51-2</f>
        <v>43427</v>
      </c>
      <c r="S56">
        <f t="shared" si="2"/>
        <v>195</v>
      </c>
      <c r="T56">
        <f t="shared" si="3"/>
        <v>23</v>
      </c>
      <c r="U56">
        <f t="shared" si="4"/>
        <v>6</v>
      </c>
      <c r="V56">
        <f t="shared" si="5"/>
        <v>47</v>
      </c>
      <c r="W56">
        <f t="shared" si="6"/>
        <v>11</v>
      </c>
      <c r="X56">
        <f t="shared" si="7"/>
        <v>2018</v>
      </c>
      <c r="Y56" t="str">
        <f t="shared" si="8"/>
        <v>Saturday</v>
      </c>
      <c r="Z56" t="str">
        <f t="shared" si="9"/>
        <v>November</v>
      </c>
    </row>
    <row r="57" spans="1:26" x14ac:dyDescent="0.3">
      <c r="A57" t="s">
        <v>54</v>
      </c>
      <c r="B57" t="s">
        <v>170</v>
      </c>
      <c r="C57" t="s">
        <v>171</v>
      </c>
      <c r="D57">
        <v>2996</v>
      </c>
      <c r="E57">
        <v>1</v>
      </c>
      <c r="F57">
        <v>232477</v>
      </c>
      <c r="G57" t="s">
        <v>172</v>
      </c>
      <c r="H57" t="s">
        <v>173</v>
      </c>
      <c r="I57" t="s">
        <v>190</v>
      </c>
      <c r="J57" t="s">
        <v>27</v>
      </c>
      <c r="K57">
        <v>5507</v>
      </c>
      <c r="L57" t="s">
        <v>23</v>
      </c>
      <c r="M57">
        <v>100</v>
      </c>
      <c r="N57" t="s">
        <v>24</v>
      </c>
      <c r="O57" t="s">
        <v>23</v>
      </c>
      <c r="P57">
        <v>19.5</v>
      </c>
      <c r="Q57">
        <v>10</v>
      </c>
      <c r="R57">
        <f>R51-1</f>
        <v>43428</v>
      </c>
      <c r="S57">
        <f t="shared" si="2"/>
        <v>195</v>
      </c>
      <c r="T57">
        <f t="shared" si="3"/>
        <v>24</v>
      </c>
      <c r="U57">
        <f t="shared" si="4"/>
        <v>7</v>
      </c>
      <c r="V57">
        <f t="shared" si="5"/>
        <v>47</v>
      </c>
      <c r="W57">
        <f t="shared" si="6"/>
        <v>11</v>
      </c>
      <c r="X57">
        <f t="shared" si="7"/>
        <v>2018</v>
      </c>
      <c r="Y57" t="str">
        <f t="shared" si="8"/>
        <v>Sunday</v>
      </c>
      <c r="Z57" t="str">
        <f t="shared" si="9"/>
        <v>November</v>
      </c>
    </row>
    <row r="58" spans="1:26" x14ac:dyDescent="0.3">
      <c r="A58" t="s">
        <v>16</v>
      </c>
      <c r="B58" t="s">
        <v>191</v>
      </c>
      <c r="C58" t="s">
        <v>192</v>
      </c>
      <c r="D58">
        <v>8002</v>
      </c>
      <c r="E58">
        <v>1</v>
      </c>
      <c r="F58">
        <v>230481</v>
      </c>
      <c r="G58" t="s">
        <v>172</v>
      </c>
      <c r="H58" t="s">
        <v>173</v>
      </c>
      <c r="I58" t="s">
        <v>193</v>
      </c>
      <c r="J58" t="s">
        <v>27</v>
      </c>
      <c r="K58">
        <v>5507</v>
      </c>
      <c r="L58" t="s">
        <v>23</v>
      </c>
      <c r="M58">
        <v>300</v>
      </c>
      <c r="N58" t="s">
        <v>24</v>
      </c>
      <c r="O58" t="s">
        <v>23</v>
      </c>
      <c r="P58">
        <v>20.6</v>
      </c>
      <c r="Q58">
        <v>0</v>
      </c>
      <c r="R58">
        <f>A58-6+2</f>
        <v>43401</v>
      </c>
      <c r="S58">
        <f t="shared" si="2"/>
        <v>0</v>
      </c>
      <c r="T58">
        <f t="shared" si="3"/>
        <v>28</v>
      </c>
      <c r="U58">
        <f t="shared" si="4"/>
        <v>1</v>
      </c>
      <c r="V58">
        <f t="shared" si="5"/>
        <v>44</v>
      </c>
      <c r="W58">
        <f t="shared" si="6"/>
        <v>10</v>
      </c>
      <c r="X58">
        <f t="shared" si="7"/>
        <v>2018</v>
      </c>
      <c r="Y58" t="str">
        <f t="shared" si="8"/>
        <v>Monday</v>
      </c>
      <c r="Z58" t="str">
        <f t="shared" si="9"/>
        <v>October</v>
      </c>
    </row>
    <row r="59" spans="1:26" x14ac:dyDescent="0.3">
      <c r="A59" t="s">
        <v>16</v>
      </c>
      <c r="B59" t="s">
        <v>191</v>
      </c>
      <c r="C59" t="s">
        <v>192</v>
      </c>
      <c r="D59">
        <v>8002</v>
      </c>
      <c r="E59">
        <v>1</v>
      </c>
      <c r="F59">
        <v>230481</v>
      </c>
      <c r="G59" t="s">
        <v>172</v>
      </c>
      <c r="H59" t="s">
        <v>173</v>
      </c>
      <c r="I59" t="s">
        <v>193</v>
      </c>
      <c r="J59" t="s">
        <v>27</v>
      </c>
      <c r="K59">
        <v>5507</v>
      </c>
      <c r="L59" t="s">
        <v>23</v>
      </c>
      <c r="M59">
        <v>300</v>
      </c>
      <c r="N59" t="s">
        <v>24</v>
      </c>
      <c r="O59" t="s">
        <v>23</v>
      </c>
      <c r="P59">
        <v>20.6</v>
      </c>
      <c r="Q59">
        <v>0</v>
      </c>
      <c r="R59">
        <f>A59-6+3</f>
        <v>43402</v>
      </c>
      <c r="S59">
        <f t="shared" si="2"/>
        <v>0</v>
      </c>
      <c r="T59">
        <f t="shared" si="3"/>
        <v>29</v>
      </c>
      <c r="U59">
        <f t="shared" si="4"/>
        <v>2</v>
      </c>
      <c r="V59">
        <f t="shared" si="5"/>
        <v>44</v>
      </c>
      <c r="W59">
        <f t="shared" si="6"/>
        <v>10</v>
      </c>
      <c r="X59">
        <f t="shared" si="7"/>
        <v>2018</v>
      </c>
      <c r="Y59" t="str">
        <f t="shared" si="8"/>
        <v>Tuesday</v>
      </c>
      <c r="Z59" t="str">
        <f t="shared" si="9"/>
        <v>October</v>
      </c>
    </row>
    <row r="60" spans="1:26" x14ac:dyDescent="0.3">
      <c r="A60" t="s">
        <v>16</v>
      </c>
      <c r="B60" t="s">
        <v>191</v>
      </c>
      <c r="C60" t="s">
        <v>192</v>
      </c>
      <c r="D60">
        <v>8002</v>
      </c>
      <c r="E60">
        <v>1</v>
      </c>
      <c r="F60">
        <v>230481</v>
      </c>
      <c r="G60" t="s">
        <v>172</v>
      </c>
      <c r="H60" t="s">
        <v>173</v>
      </c>
      <c r="I60" t="s">
        <v>193</v>
      </c>
      <c r="J60" t="s">
        <v>27</v>
      </c>
      <c r="K60">
        <v>5507</v>
      </c>
      <c r="L60" t="s">
        <v>23</v>
      </c>
      <c r="M60">
        <v>300</v>
      </c>
      <c r="N60" t="s">
        <v>24</v>
      </c>
      <c r="O60" t="s">
        <v>23</v>
      </c>
      <c r="P60">
        <v>20.6</v>
      </c>
      <c r="Q60">
        <v>0</v>
      </c>
      <c r="R60">
        <f>A60-6+4</f>
        <v>43403</v>
      </c>
      <c r="S60">
        <f t="shared" si="2"/>
        <v>0</v>
      </c>
      <c r="T60">
        <f t="shared" si="3"/>
        <v>30</v>
      </c>
      <c r="U60">
        <f t="shared" si="4"/>
        <v>3</v>
      </c>
      <c r="V60">
        <f t="shared" si="5"/>
        <v>44</v>
      </c>
      <c r="W60">
        <f t="shared" si="6"/>
        <v>10</v>
      </c>
      <c r="X60">
        <f t="shared" si="7"/>
        <v>2018</v>
      </c>
      <c r="Y60" t="str">
        <f t="shared" si="8"/>
        <v>Wednesday</v>
      </c>
      <c r="Z60" t="str">
        <f t="shared" si="9"/>
        <v>October</v>
      </c>
    </row>
    <row r="61" spans="1:26" x14ac:dyDescent="0.3">
      <c r="A61" t="s">
        <v>16</v>
      </c>
      <c r="B61" t="s">
        <v>191</v>
      </c>
      <c r="C61" t="s">
        <v>192</v>
      </c>
      <c r="D61">
        <v>8002</v>
      </c>
      <c r="E61">
        <v>1</v>
      </c>
      <c r="F61">
        <v>230481</v>
      </c>
      <c r="G61" t="s">
        <v>172</v>
      </c>
      <c r="H61" t="s">
        <v>173</v>
      </c>
      <c r="I61" t="s">
        <v>193</v>
      </c>
      <c r="J61" t="s">
        <v>27</v>
      </c>
      <c r="K61">
        <v>5507</v>
      </c>
      <c r="L61" t="s">
        <v>23</v>
      </c>
      <c r="M61">
        <v>300</v>
      </c>
      <c r="N61" t="s">
        <v>24</v>
      </c>
      <c r="O61" t="s">
        <v>23</v>
      </c>
      <c r="P61">
        <v>20.6</v>
      </c>
      <c r="Q61">
        <v>0</v>
      </c>
      <c r="R61">
        <f>A61-6+5</f>
        <v>43404</v>
      </c>
      <c r="S61">
        <f t="shared" si="2"/>
        <v>0</v>
      </c>
      <c r="T61">
        <f t="shared" si="3"/>
        <v>31</v>
      </c>
      <c r="U61">
        <f t="shared" si="4"/>
        <v>4</v>
      </c>
      <c r="V61">
        <f t="shared" si="5"/>
        <v>44</v>
      </c>
      <c r="W61">
        <f t="shared" si="6"/>
        <v>10</v>
      </c>
      <c r="X61">
        <f t="shared" si="7"/>
        <v>2018</v>
      </c>
      <c r="Y61" t="str">
        <f t="shared" si="8"/>
        <v>Thursday</v>
      </c>
      <c r="Z61" t="str">
        <f t="shared" si="9"/>
        <v>October</v>
      </c>
    </row>
    <row r="62" spans="1:26" x14ac:dyDescent="0.3">
      <c r="A62" t="s">
        <v>16</v>
      </c>
      <c r="B62" t="s">
        <v>191</v>
      </c>
      <c r="C62" t="s">
        <v>192</v>
      </c>
      <c r="D62">
        <v>8002</v>
      </c>
      <c r="E62">
        <v>1</v>
      </c>
      <c r="F62">
        <v>230481</v>
      </c>
      <c r="G62" t="s">
        <v>172</v>
      </c>
      <c r="H62" t="s">
        <v>173</v>
      </c>
      <c r="I62" t="s">
        <v>193</v>
      </c>
      <c r="J62" t="s">
        <v>27</v>
      </c>
      <c r="K62">
        <v>5507</v>
      </c>
      <c r="L62" t="s">
        <v>23</v>
      </c>
      <c r="M62">
        <v>300</v>
      </c>
      <c r="N62" t="s">
        <v>24</v>
      </c>
      <c r="O62" t="s">
        <v>23</v>
      </c>
      <c r="P62">
        <v>20.6</v>
      </c>
      <c r="Q62">
        <v>0</v>
      </c>
      <c r="R62">
        <f>A62-6+6</f>
        <v>43405</v>
      </c>
      <c r="S62">
        <f t="shared" si="2"/>
        <v>0</v>
      </c>
      <c r="T62">
        <f t="shared" si="3"/>
        <v>1</v>
      </c>
      <c r="U62">
        <f t="shared" si="4"/>
        <v>5</v>
      </c>
      <c r="V62">
        <f t="shared" si="5"/>
        <v>44</v>
      </c>
      <c r="W62">
        <f t="shared" si="6"/>
        <v>11</v>
      </c>
      <c r="X62">
        <f t="shared" si="7"/>
        <v>2018</v>
      </c>
      <c r="Y62" t="str">
        <f t="shared" si="8"/>
        <v>Friday</v>
      </c>
      <c r="Z62" t="str">
        <f t="shared" si="9"/>
        <v>November</v>
      </c>
    </row>
    <row r="63" spans="1:26" x14ac:dyDescent="0.3">
      <c r="A63" t="s">
        <v>16</v>
      </c>
      <c r="B63" t="s">
        <v>191</v>
      </c>
      <c r="C63" t="s">
        <v>192</v>
      </c>
      <c r="D63">
        <v>8002</v>
      </c>
      <c r="E63">
        <v>1</v>
      </c>
      <c r="F63">
        <v>230481</v>
      </c>
      <c r="G63" t="s">
        <v>172</v>
      </c>
      <c r="H63" t="s">
        <v>173</v>
      </c>
      <c r="I63" t="s">
        <v>193</v>
      </c>
      <c r="J63" t="s">
        <v>27</v>
      </c>
      <c r="K63">
        <v>5507</v>
      </c>
      <c r="L63" t="s">
        <v>23</v>
      </c>
      <c r="M63">
        <v>300</v>
      </c>
      <c r="N63" t="s">
        <v>24</v>
      </c>
      <c r="O63" t="s">
        <v>23</v>
      </c>
      <c r="P63">
        <v>20.6</v>
      </c>
      <c r="Q63">
        <v>6</v>
      </c>
      <c r="R63">
        <f>R58-2</f>
        <v>43399</v>
      </c>
      <c r="S63">
        <f t="shared" si="2"/>
        <v>123.60000000000001</v>
      </c>
      <c r="T63">
        <f t="shared" si="3"/>
        <v>26</v>
      </c>
      <c r="U63">
        <f t="shared" si="4"/>
        <v>6</v>
      </c>
      <c r="V63">
        <f t="shared" si="5"/>
        <v>43</v>
      </c>
      <c r="W63">
        <f t="shared" si="6"/>
        <v>10</v>
      </c>
      <c r="X63">
        <f t="shared" si="7"/>
        <v>2018</v>
      </c>
      <c r="Y63" t="str">
        <f t="shared" si="8"/>
        <v>Saturday</v>
      </c>
      <c r="Z63" t="str">
        <f t="shared" si="9"/>
        <v>October</v>
      </c>
    </row>
    <row r="64" spans="1:26" x14ac:dyDescent="0.3">
      <c r="A64" t="s">
        <v>16</v>
      </c>
      <c r="B64" t="s">
        <v>191</v>
      </c>
      <c r="C64" t="s">
        <v>192</v>
      </c>
      <c r="D64">
        <v>8002</v>
      </c>
      <c r="E64">
        <v>1</v>
      </c>
      <c r="F64">
        <v>230481</v>
      </c>
      <c r="G64" t="s">
        <v>172</v>
      </c>
      <c r="H64" t="s">
        <v>173</v>
      </c>
      <c r="I64" t="s">
        <v>193</v>
      </c>
      <c r="J64" t="s">
        <v>27</v>
      </c>
      <c r="K64">
        <v>5507</v>
      </c>
      <c r="L64" t="s">
        <v>23</v>
      </c>
      <c r="M64">
        <v>300</v>
      </c>
      <c r="N64" t="s">
        <v>24</v>
      </c>
      <c r="O64" t="s">
        <v>23</v>
      </c>
      <c r="P64">
        <v>20.6</v>
      </c>
      <c r="Q64">
        <v>0</v>
      </c>
      <c r="R64">
        <f>R58-1</f>
        <v>43400</v>
      </c>
      <c r="S64">
        <f t="shared" si="2"/>
        <v>0</v>
      </c>
      <c r="T64">
        <f t="shared" si="3"/>
        <v>27</v>
      </c>
      <c r="U64">
        <f t="shared" si="4"/>
        <v>7</v>
      </c>
      <c r="V64">
        <f t="shared" si="5"/>
        <v>43</v>
      </c>
      <c r="W64">
        <f t="shared" si="6"/>
        <v>10</v>
      </c>
      <c r="X64">
        <f t="shared" si="7"/>
        <v>2018</v>
      </c>
      <c r="Y64" t="str">
        <f t="shared" si="8"/>
        <v>Sunday</v>
      </c>
      <c r="Z64" t="str">
        <f t="shared" si="9"/>
        <v>October</v>
      </c>
    </row>
    <row r="65" spans="1:26" x14ac:dyDescent="0.3">
      <c r="A65" t="s">
        <v>35</v>
      </c>
      <c r="B65" t="s">
        <v>56</v>
      </c>
      <c r="C65" t="s">
        <v>194</v>
      </c>
      <c r="D65">
        <v>6022</v>
      </c>
      <c r="E65">
        <v>1</v>
      </c>
      <c r="F65">
        <v>240515</v>
      </c>
      <c r="G65" t="s">
        <v>172</v>
      </c>
      <c r="H65" t="s">
        <v>173</v>
      </c>
      <c r="I65" t="s">
        <v>174</v>
      </c>
      <c r="J65" t="s">
        <v>27</v>
      </c>
      <c r="K65">
        <v>5507</v>
      </c>
      <c r="L65" t="s">
        <v>23</v>
      </c>
      <c r="M65">
        <v>800</v>
      </c>
      <c r="N65" t="s">
        <v>24</v>
      </c>
      <c r="O65" t="s">
        <v>23</v>
      </c>
      <c r="P65">
        <v>32.99</v>
      </c>
      <c r="Q65">
        <v>3.5</v>
      </c>
      <c r="R65">
        <f>A65-6+2</f>
        <v>43527</v>
      </c>
      <c r="S65">
        <f t="shared" si="2"/>
        <v>115.465</v>
      </c>
      <c r="T65">
        <f t="shared" si="3"/>
        <v>3</v>
      </c>
      <c r="U65">
        <f t="shared" si="4"/>
        <v>1</v>
      </c>
      <c r="V65">
        <f t="shared" si="5"/>
        <v>10</v>
      </c>
      <c r="W65">
        <f t="shared" si="6"/>
        <v>3</v>
      </c>
      <c r="X65">
        <f t="shared" si="7"/>
        <v>2019</v>
      </c>
      <c r="Y65" t="str">
        <f t="shared" si="8"/>
        <v>Monday</v>
      </c>
      <c r="Z65" t="str">
        <f t="shared" si="9"/>
        <v>March</v>
      </c>
    </row>
    <row r="66" spans="1:26" x14ac:dyDescent="0.3">
      <c r="A66" t="s">
        <v>35</v>
      </c>
      <c r="B66" t="s">
        <v>56</v>
      </c>
      <c r="C66" t="s">
        <v>194</v>
      </c>
      <c r="D66">
        <v>6022</v>
      </c>
      <c r="E66">
        <v>1</v>
      </c>
      <c r="F66">
        <v>240515</v>
      </c>
      <c r="G66" t="s">
        <v>172</v>
      </c>
      <c r="H66" t="s">
        <v>173</v>
      </c>
      <c r="I66" t="s">
        <v>174</v>
      </c>
      <c r="J66" t="s">
        <v>27</v>
      </c>
      <c r="K66">
        <v>5507</v>
      </c>
      <c r="L66" t="s">
        <v>23</v>
      </c>
      <c r="M66">
        <v>800</v>
      </c>
      <c r="N66" t="s">
        <v>24</v>
      </c>
      <c r="O66" t="s">
        <v>23</v>
      </c>
      <c r="P66">
        <v>32.99</v>
      </c>
      <c r="Q66">
        <v>0</v>
      </c>
      <c r="R66">
        <f>A66-6+3</f>
        <v>43528</v>
      </c>
      <c r="S66">
        <f t="shared" si="2"/>
        <v>0</v>
      </c>
      <c r="T66">
        <f t="shared" si="3"/>
        <v>4</v>
      </c>
      <c r="U66">
        <f t="shared" si="4"/>
        <v>2</v>
      </c>
      <c r="V66">
        <f t="shared" si="5"/>
        <v>10</v>
      </c>
      <c r="W66">
        <f t="shared" si="6"/>
        <v>3</v>
      </c>
      <c r="X66">
        <f t="shared" si="7"/>
        <v>2019</v>
      </c>
      <c r="Y66" t="str">
        <f t="shared" ref="Y66:Y92" si="10">VLOOKUP(U66,dayname,2)</f>
        <v>Tuesday</v>
      </c>
      <c r="Z66" t="str">
        <f t="shared" ref="Z66:Z92" si="11">VLOOKUP(W66,mesnome,2)</f>
        <v>March</v>
      </c>
    </row>
    <row r="67" spans="1:26" x14ac:dyDescent="0.3">
      <c r="A67" t="s">
        <v>35</v>
      </c>
      <c r="B67" t="s">
        <v>56</v>
      </c>
      <c r="C67" t="s">
        <v>194</v>
      </c>
      <c r="D67">
        <v>6022</v>
      </c>
      <c r="E67">
        <v>1</v>
      </c>
      <c r="F67">
        <v>240515</v>
      </c>
      <c r="G67" t="s">
        <v>172</v>
      </c>
      <c r="H67" t="s">
        <v>173</v>
      </c>
      <c r="I67" t="s">
        <v>174</v>
      </c>
      <c r="J67" t="s">
        <v>27</v>
      </c>
      <c r="K67">
        <v>5507</v>
      </c>
      <c r="L67" t="s">
        <v>23</v>
      </c>
      <c r="M67">
        <v>800</v>
      </c>
      <c r="N67" t="s">
        <v>24</v>
      </c>
      <c r="O67" t="s">
        <v>23</v>
      </c>
      <c r="P67">
        <v>32.99</v>
      </c>
      <c r="Q67">
        <v>0</v>
      </c>
      <c r="R67">
        <f>A67-6+4</f>
        <v>43529</v>
      </c>
      <c r="S67">
        <f t="shared" ref="S67:S92" si="12">P67*Q67</f>
        <v>0</v>
      </c>
      <c r="T67">
        <f t="shared" ref="T67:T92" si="13">DAY(R67)</f>
        <v>5</v>
      </c>
      <c r="U67">
        <f t="shared" ref="U67:U92" si="14">WEEKDAY(R67)</f>
        <v>3</v>
      </c>
      <c r="V67">
        <f t="shared" ref="V67:V92" si="15">WEEKNUM(R67)</f>
        <v>10</v>
      </c>
      <c r="W67">
        <f t="shared" ref="W67:W92" si="16">MONTH(R67)</f>
        <v>3</v>
      </c>
      <c r="X67">
        <f t="shared" ref="X67:X92" si="17">YEAR(R67)</f>
        <v>2019</v>
      </c>
      <c r="Y67" t="str">
        <f t="shared" si="10"/>
        <v>Wednesday</v>
      </c>
      <c r="Z67" t="str">
        <f t="shared" si="11"/>
        <v>March</v>
      </c>
    </row>
    <row r="68" spans="1:26" x14ac:dyDescent="0.3">
      <c r="A68" t="s">
        <v>35</v>
      </c>
      <c r="B68" t="s">
        <v>56</v>
      </c>
      <c r="C68" t="s">
        <v>194</v>
      </c>
      <c r="D68">
        <v>6022</v>
      </c>
      <c r="E68">
        <v>1</v>
      </c>
      <c r="F68">
        <v>240515</v>
      </c>
      <c r="G68" t="s">
        <v>172</v>
      </c>
      <c r="H68" t="s">
        <v>173</v>
      </c>
      <c r="I68" t="s">
        <v>174</v>
      </c>
      <c r="J68" t="s">
        <v>27</v>
      </c>
      <c r="K68">
        <v>5507</v>
      </c>
      <c r="L68" t="s">
        <v>23</v>
      </c>
      <c r="M68">
        <v>800</v>
      </c>
      <c r="N68" t="s">
        <v>24</v>
      </c>
      <c r="O68" t="s">
        <v>23</v>
      </c>
      <c r="P68">
        <v>32.99</v>
      </c>
      <c r="Q68">
        <v>0</v>
      </c>
      <c r="R68">
        <f>A68-6+5</f>
        <v>43530</v>
      </c>
      <c r="S68">
        <f t="shared" si="12"/>
        <v>0</v>
      </c>
      <c r="T68">
        <f t="shared" si="13"/>
        <v>6</v>
      </c>
      <c r="U68">
        <f t="shared" si="14"/>
        <v>4</v>
      </c>
      <c r="V68">
        <f t="shared" si="15"/>
        <v>10</v>
      </c>
      <c r="W68">
        <f t="shared" si="16"/>
        <v>3</v>
      </c>
      <c r="X68">
        <f t="shared" si="17"/>
        <v>2019</v>
      </c>
      <c r="Y68" t="str">
        <f t="shared" si="10"/>
        <v>Thursday</v>
      </c>
      <c r="Z68" t="str">
        <f t="shared" si="11"/>
        <v>March</v>
      </c>
    </row>
    <row r="69" spans="1:26" x14ac:dyDescent="0.3">
      <c r="A69" t="s">
        <v>35</v>
      </c>
      <c r="B69" t="s">
        <v>56</v>
      </c>
      <c r="C69" t="s">
        <v>194</v>
      </c>
      <c r="D69">
        <v>6022</v>
      </c>
      <c r="E69">
        <v>1</v>
      </c>
      <c r="F69">
        <v>240515</v>
      </c>
      <c r="G69" t="s">
        <v>172</v>
      </c>
      <c r="H69" t="s">
        <v>173</v>
      </c>
      <c r="I69" t="s">
        <v>174</v>
      </c>
      <c r="J69" t="s">
        <v>27</v>
      </c>
      <c r="K69">
        <v>5507</v>
      </c>
      <c r="L69" t="s">
        <v>23</v>
      </c>
      <c r="M69">
        <v>800</v>
      </c>
      <c r="N69" t="s">
        <v>24</v>
      </c>
      <c r="O69" t="s">
        <v>23</v>
      </c>
      <c r="P69">
        <v>32.99</v>
      </c>
      <c r="Q69">
        <v>0</v>
      </c>
      <c r="R69">
        <f>A69-6+6</f>
        <v>43531</v>
      </c>
      <c r="S69">
        <f t="shared" si="12"/>
        <v>0</v>
      </c>
      <c r="T69">
        <f t="shared" si="13"/>
        <v>7</v>
      </c>
      <c r="U69">
        <f t="shared" si="14"/>
        <v>5</v>
      </c>
      <c r="V69">
        <f t="shared" si="15"/>
        <v>10</v>
      </c>
      <c r="W69">
        <f t="shared" si="16"/>
        <v>3</v>
      </c>
      <c r="X69">
        <f t="shared" si="17"/>
        <v>2019</v>
      </c>
      <c r="Y69" t="str">
        <f t="shared" si="10"/>
        <v>Friday</v>
      </c>
      <c r="Z69" t="str">
        <f t="shared" si="11"/>
        <v>March</v>
      </c>
    </row>
    <row r="70" spans="1:26" x14ac:dyDescent="0.3">
      <c r="A70" t="s">
        <v>35</v>
      </c>
      <c r="B70" t="s">
        <v>56</v>
      </c>
      <c r="C70" t="s">
        <v>194</v>
      </c>
      <c r="D70">
        <v>6022</v>
      </c>
      <c r="E70">
        <v>1</v>
      </c>
      <c r="F70">
        <v>240515</v>
      </c>
      <c r="G70" t="s">
        <v>172</v>
      </c>
      <c r="H70" t="s">
        <v>173</v>
      </c>
      <c r="I70" t="s">
        <v>174</v>
      </c>
      <c r="J70" t="s">
        <v>27</v>
      </c>
      <c r="K70">
        <v>5507</v>
      </c>
      <c r="L70" t="s">
        <v>23</v>
      </c>
      <c r="M70">
        <v>800</v>
      </c>
      <c r="N70" t="s">
        <v>24</v>
      </c>
      <c r="O70" t="s">
        <v>23</v>
      </c>
      <c r="P70">
        <v>32.99</v>
      </c>
      <c r="Q70">
        <v>0</v>
      </c>
      <c r="R70">
        <f>R65-2</f>
        <v>43525</v>
      </c>
      <c r="S70">
        <f t="shared" si="12"/>
        <v>0</v>
      </c>
      <c r="T70">
        <f t="shared" si="13"/>
        <v>1</v>
      </c>
      <c r="U70">
        <f t="shared" si="14"/>
        <v>6</v>
      </c>
      <c r="V70">
        <f t="shared" si="15"/>
        <v>9</v>
      </c>
      <c r="W70">
        <f t="shared" si="16"/>
        <v>3</v>
      </c>
      <c r="X70">
        <f t="shared" si="17"/>
        <v>2019</v>
      </c>
      <c r="Y70" t="str">
        <f t="shared" si="10"/>
        <v>Saturday</v>
      </c>
      <c r="Z70" t="str">
        <f t="shared" si="11"/>
        <v>March</v>
      </c>
    </row>
    <row r="71" spans="1:26" x14ac:dyDescent="0.3">
      <c r="A71" t="s">
        <v>35</v>
      </c>
      <c r="B71" t="s">
        <v>56</v>
      </c>
      <c r="C71" t="s">
        <v>194</v>
      </c>
      <c r="D71">
        <v>6022</v>
      </c>
      <c r="E71">
        <v>1</v>
      </c>
      <c r="F71">
        <v>240515</v>
      </c>
      <c r="G71" t="s">
        <v>172</v>
      </c>
      <c r="H71" t="s">
        <v>173</v>
      </c>
      <c r="I71" t="s">
        <v>174</v>
      </c>
      <c r="J71" t="s">
        <v>27</v>
      </c>
      <c r="K71">
        <v>5507</v>
      </c>
      <c r="L71" t="s">
        <v>23</v>
      </c>
      <c r="M71">
        <v>800</v>
      </c>
      <c r="N71" t="s">
        <v>24</v>
      </c>
      <c r="O71" t="s">
        <v>23</v>
      </c>
      <c r="P71">
        <v>32.99</v>
      </c>
      <c r="Q71">
        <v>0</v>
      </c>
      <c r="R71">
        <f>R65-1</f>
        <v>43526</v>
      </c>
      <c r="S71">
        <f t="shared" si="12"/>
        <v>0</v>
      </c>
      <c r="T71">
        <f t="shared" si="13"/>
        <v>2</v>
      </c>
      <c r="U71">
        <f t="shared" si="14"/>
        <v>7</v>
      </c>
      <c r="V71">
        <f t="shared" si="15"/>
        <v>9</v>
      </c>
      <c r="W71">
        <f t="shared" si="16"/>
        <v>3</v>
      </c>
      <c r="X71">
        <f t="shared" si="17"/>
        <v>2019</v>
      </c>
      <c r="Y71" t="str">
        <f t="shared" si="10"/>
        <v>Sunday</v>
      </c>
      <c r="Z71" t="str">
        <f t="shared" si="11"/>
        <v>March</v>
      </c>
    </row>
    <row r="72" spans="1:26" x14ac:dyDescent="0.3">
      <c r="A72" t="s">
        <v>195</v>
      </c>
      <c r="B72" t="s">
        <v>56</v>
      </c>
      <c r="C72" t="s">
        <v>194</v>
      </c>
      <c r="D72">
        <v>6022</v>
      </c>
      <c r="E72">
        <v>1</v>
      </c>
      <c r="F72">
        <v>222800</v>
      </c>
      <c r="G72" t="s">
        <v>172</v>
      </c>
      <c r="H72" t="s">
        <v>173</v>
      </c>
      <c r="I72" t="s">
        <v>196</v>
      </c>
      <c r="J72" t="s">
        <v>27</v>
      </c>
      <c r="K72">
        <v>5507</v>
      </c>
      <c r="L72" t="s">
        <v>23</v>
      </c>
      <c r="M72">
        <v>800</v>
      </c>
      <c r="N72" t="s">
        <v>24</v>
      </c>
      <c r="O72" t="s">
        <v>23</v>
      </c>
      <c r="P72">
        <v>32</v>
      </c>
      <c r="Q72">
        <v>0</v>
      </c>
      <c r="R72">
        <f>A72-6+2</f>
        <v>43303</v>
      </c>
      <c r="S72">
        <f t="shared" si="12"/>
        <v>0</v>
      </c>
      <c r="T72">
        <f t="shared" si="13"/>
        <v>22</v>
      </c>
      <c r="U72">
        <f t="shared" si="14"/>
        <v>1</v>
      </c>
      <c r="V72">
        <f t="shared" si="15"/>
        <v>30</v>
      </c>
      <c r="W72">
        <f t="shared" si="16"/>
        <v>7</v>
      </c>
      <c r="X72">
        <f t="shared" si="17"/>
        <v>2018</v>
      </c>
      <c r="Y72" t="str">
        <f t="shared" si="10"/>
        <v>Monday</v>
      </c>
      <c r="Z72" t="str">
        <f t="shared" si="11"/>
        <v>July</v>
      </c>
    </row>
    <row r="73" spans="1:26" x14ac:dyDescent="0.3">
      <c r="A73" t="s">
        <v>195</v>
      </c>
      <c r="B73" t="s">
        <v>56</v>
      </c>
      <c r="C73" t="s">
        <v>194</v>
      </c>
      <c r="D73">
        <v>6022</v>
      </c>
      <c r="E73">
        <v>1</v>
      </c>
      <c r="F73">
        <v>222800</v>
      </c>
      <c r="G73" t="s">
        <v>172</v>
      </c>
      <c r="H73" t="s">
        <v>173</v>
      </c>
      <c r="I73" t="s">
        <v>196</v>
      </c>
      <c r="J73" t="s">
        <v>27</v>
      </c>
      <c r="K73">
        <v>5507</v>
      </c>
      <c r="L73" t="s">
        <v>23</v>
      </c>
      <c r="M73">
        <v>800</v>
      </c>
      <c r="N73" t="s">
        <v>24</v>
      </c>
      <c r="O73" t="s">
        <v>23</v>
      </c>
      <c r="P73">
        <v>32</v>
      </c>
      <c r="Q73">
        <v>0</v>
      </c>
      <c r="R73">
        <f>A73-6+3</f>
        <v>43304</v>
      </c>
      <c r="S73">
        <f t="shared" si="12"/>
        <v>0</v>
      </c>
      <c r="T73">
        <f t="shared" si="13"/>
        <v>23</v>
      </c>
      <c r="U73">
        <f t="shared" si="14"/>
        <v>2</v>
      </c>
      <c r="V73">
        <f t="shared" si="15"/>
        <v>30</v>
      </c>
      <c r="W73">
        <f t="shared" si="16"/>
        <v>7</v>
      </c>
      <c r="X73">
        <f t="shared" si="17"/>
        <v>2018</v>
      </c>
      <c r="Y73" t="str">
        <f t="shared" si="10"/>
        <v>Tuesday</v>
      </c>
      <c r="Z73" t="str">
        <f t="shared" si="11"/>
        <v>July</v>
      </c>
    </row>
    <row r="74" spans="1:26" x14ac:dyDescent="0.3">
      <c r="A74" t="s">
        <v>195</v>
      </c>
      <c r="B74" t="s">
        <v>56</v>
      </c>
      <c r="C74" t="s">
        <v>194</v>
      </c>
      <c r="D74">
        <v>6022</v>
      </c>
      <c r="E74">
        <v>1</v>
      </c>
      <c r="F74">
        <v>222800</v>
      </c>
      <c r="G74" t="s">
        <v>172</v>
      </c>
      <c r="H74" t="s">
        <v>173</v>
      </c>
      <c r="I74" t="s">
        <v>196</v>
      </c>
      <c r="J74" t="s">
        <v>27</v>
      </c>
      <c r="K74">
        <v>5507</v>
      </c>
      <c r="L74" t="s">
        <v>23</v>
      </c>
      <c r="M74">
        <v>800</v>
      </c>
      <c r="N74" t="s">
        <v>24</v>
      </c>
      <c r="O74" t="s">
        <v>23</v>
      </c>
      <c r="P74">
        <v>32</v>
      </c>
      <c r="Q74">
        <v>0</v>
      </c>
      <c r="R74">
        <f>A74-6+4</f>
        <v>43305</v>
      </c>
      <c r="S74">
        <f t="shared" si="12"/>
        <v>0</v>
      </c>
      <c r="T74">
        <f t="shared" si="13"/>
        <v>24</v>
      </c>
      <c r="U74">
        <f t="shared" si="14"/>
        <v>3</v>
      </c>
      <c r="V74">
        <f t="shared" si="15"/>
        <v>30</v>
      </c>
      <c r="W74">
        <f t="shared" si="16"/>
        <v>7</v>
      </c>
      <c r="X74">
        <f t="shared" si="17"/>
        <v>2018</v>
      </c>
      <c r="Y74" t="str">
        <f t="shared" si="10"/>
        <v>Wednesday</v>
      </c>
      <c r="Z74" t="str">
        <f t="shared" si="11"/>
        <v>July</v>
      </c>
    </row>
    <row r="75" spans="1:26" x14ac:dyDescent="0.3">
      <c r="A75" t="s">
        <v>195</v>
      </c>
      <c r="B75" t="s">
        <v>56</v>
      </c>
      <c r="C75" t="s">
        <v>194</v>
      </c>
      <c r="D75">
        <v>6022</v>
      </c>
      <c r="E75">
        <v>1</v>
      </c>
      <c r="F75">
        <v>222800</v>
      </c>
      <c r="G75" t="s">
        <v>172</v>
      </c>
      <c r="H75" t="s">
        <v>173</v>
      </c>
      <c r="I75" t="s">
        <v>196</v>
      </c>
      <c r="J75" t="s">
        <v>27</v>
      </c>
      <c r="K75">
        <v>5507</v>
      </c>
      <c r="L75" t="s">
        <v>23</v>
      </c>
      <c r="M75">
        <v>800</v>
      </c>
      <c r="N75" t="s">
        <v>24</v>
      </c>
      <c r="O75" t="s">
        <v>23</v>
      </c>
      <c r="P75">
        <v>32</v>
      </c>
      <c r="Q75">
        <v>0</v>
      </c>
      <c r="R75">
        <f>A75-6+5</f>
        <v>43306</v>
      </c>
      <c r="S75">
        <f t="shared" si="12"/>
        <v>0</v>
      </c>
      <c r="T75">
        <f t="shared" si="13"/>
        <v>25</v>
      </c>
      <c r="U75">
        <f t="shared" si="14"/>
        <v>4</v>
      </c>
      <c r="V75">
        <f t="shared" si="15"/>
        <v>30</v>
      </c>
      <c r="W75">
        <f t="shared" si="16"/>
        <v>7</v>
      </c>
      <c r="X75">
        <f t="shared" si="17"/>
        <v>2018</v>
      </c>
      <c r="Y75" t="str">
        <f t="shared" si="10"/>
        <v>Thursday</v>
      </c>
      <c r="Z75" t="str">
        <f t="shared" si="11"/>
        <v>July</v>
      </c>
    </row>
    <row r="76" spans="1:26" x14ac:dyDescent="0.3">
      <c r="A76" t="s">
        <v>195</v>
      </c>
      <c r="B76" t="s">
        <v>56</v>
      </c>
      <c r="C76" t="s">
        <v>194</v>
      </c>
      <c r="D76">
        <v>6022</v>
      </c>
      <c r="E76">
        <v>1</v>
      </c>
      <c r="F76">
        <v>222800</v>
      </c>
      <c r="G76" t="s">
        <v>172</v>
      </c>
      <c r="H76" t="s">
        <v>173</v>
      </c>
      <c r="I76" t="s">
        <v>196</v>
      </c>
      <c r="J76" t="s">
        <v>27</v>
      </c>
      <c r="K76">
        <v>5507</v>
      </c>
      <c r="L76" t="s">
        <v>23</v>
      </c>
      <c r="M76">
        <v>800</v>
      </c>
      <c r="N76" t="s">
        <v>24</v>
      </c>
      <c r="O76" t="s">
        <v>23</v>
      </c>
      <c r="P76">
        <v>32</v>
      </c>
      <c r="Q76">
        <v>10</v>
      </c>
      <c r="R76">
        <f>A76-6+6</f>
        <v>43307</v>
      </c>
      <c r="S76">
        <f t="shared" si="12"/>
        <v>320</v>
      </c>
      <c r="T76">
        <f t="shared" si="13"/>
        <v>26</v>
      </c>
      <c r="U76">
        <f t="shared" si="14"/>
        <v>5</v>
      </c>
      <c r="V76">
        <f t="shared" si="15"/>
        <v>30</v>
      </c>
      <c r="W76">
        <f t="shared" si="16"/>
        <v>7</v>
      </c>
      <c r="X76">
        <f t="shared" si="17"/>
        <v>2018</v>
      </c>
      <c r="Y76" t="str">
        <f t="shared" si="10"/>
        <v>Friday</v>
      </c>
      <c r="Z76" t="str">
        <f t="shared" si="11"/>
        <v>July</v>
      </c>
    </row>
    <row r="77" spans="1:26" x14ac:dyDescent="0.3">
      <c r="A77" t="s">
        <v>195</v>
      </c>
      <c r="B77" t="s">
        <v>56</v>
      </c>
      <c r="C77" t="s">
        <v>194</v>
      </c>
      <c r="D77">
        <v>6022</v>
      </c>
      <c r="E77">
        <v>1</v>
      </c>
      <c r="F77">
        <v>222800</v>
      </c>
      <c r="G77" t="s">
        <v>172</v>
      </c>
      <c r="H77" t="s">
        <v>173</v>
      </c>
      <c r="I77" t="s">
        <v>196</v>
      </c>
      <c r="J77" t="s">
        <v>27</v>
      </c>
      <c r="K77">
        <v>5507</v>
      </c>
      <c r="L77" t="s">
        <v>23</v>
      </c>
      <c r="M77">
        <v>800</v>
      </c>
      <c r="N77" t="s">
        <v>24</v>
      </c>
      <c r="O77" t="s">
        <v>23</v>
      </c>
      <c r="P77">
        <v>32</v>
      </c>
      <c r="Q77">
        <v>0</v>
      </c>
      <c r="R77">
        <f>R72-2</f>
        <v>43301</v>
      </c>
      <c r="S77">
        <f t="shared" si="12"/>
        <v>0</v>
      </c>
      <c r="T77">
        <f t="shared" si="13"/>
        <v>20</v>
      </c>
      <c r="U77">
        <f t="shared" si="14"/>
        <v>6</v>
      </c>
      <c r="V77">
        <f t="shared" si="15"/>
        <v>29</v>
      </c>
      <c r="W77">
        <f t="shared" si="16"/>
        <v>7</v>
      </c>
      <c r="X77">
        <f t="shared" si="17"/>
        <v>2018</v>
      </c>
      <c r="Y77" t="str">
        <f t="shared" si="10"/>
        <v>Saturday</v>
      </c>
      <c r="Z77" t="str">
        <f t="shared" si="11"/>
        <v>July</v>
      </c>
    </row>
    <row r="78" spans="1:26" x14ac:dyDescent="0.3">
      <c r="A78" t="s">
        <v>195</v>
      </c>
      <c r="B78" t="s">
        <v>56</v>
      </c>
      <c r="C78" t="s">
        <v>194</v>
      </c>
      <c r="D78">
        <v>6022</v>
      </c>
      <c r="E78">
        <v>1</v>
      </c>
      <c r="F78">
        <v>222800</v>
      </c>
      <c r="G78" t="s">
        <v>172</v>
      </c>
      <c r="H78" t="s">
        <v>173</v>
      </c>
      <c r="I78" t="s">
        <v>196</v>
      </c>
      <c r="J78" t="s">
        <v>27</v>
      </c>
      <c r="K78">
        <v>5507</v>
      </c>
      <c r="L78" t="s">
        <v>23</v>
      </c>
      <c r="M78">
        <v>800</v>
      </c>
      <c r="N78" t="s">
        <v>24</v>
      </c>
      <c r="O78" t="s">
        <v>23</v>
      </c>
      <c r="P78">
        <v>32</v>
      </c>
      <c r="Q78">
        <v>0</v>
      </c>
      <c r="R78">
        <f>R72-1</f>
        <v>43302</v>
      </c>
      <c r="S78">
        <f t="shared" si="12"/>
        <v>0</v>
      </c>
      <c r="T78">
        <f t="shared" si="13"/>
        <v>21</v>
      </c>
      <c r="U78">
        <f t="shared" si="14"/>
        <v>7</v>
      </c>
      <c r="V78">
        <f t="shared" si="15"/>
        <v>29</v>
      </c>
      <c r="W78">
        <f t="shared" si="16"/>
        <v>7</v>
      </c>
      <c r="X78">
        <f t="shared" si="17"/>
        <v>2018</v>
      </c>
      <c r="Y78" t="str">
        <f t="shared" si="10"/>
        <v>Sunday</v>
      </c>
      <c r="Z78" t="str">
        <f t="shared" si="11"/>
        <v>July</v>
      </c>
    </row>
    <row r="79" spans="1:26" x14ac:dyDescent="0.3">
      <c r="A79" t="s">
        <v>48</v>
      </c>
      <c r="B79" t="s">
        <v>56</v>
      </c>
      <c r="C79" t="s">
        <v>194</v>
      </c>
      <c r="D79">
        <v>6022</v>
      </c>
      <c r="E79">
        <v>1</v>
      </c>
      <c r="F79">
        <v>241087</v>
      </c>
      <c r="G79" t="s">
        <v>172</v>
      </c>
      <c r="H79" t="s">
        <v>173</v>
      </c>
      <c r="I79" t="s">
        <v>197</v>
      </c>
      <c r="J79" t="s">
        <v>27</v>
      </c>
      <c r="K79">
        <v>5507</v>
      </c>
      <c r="L79" t="s">
        <v>23</v>
      </c>
      <c r="M79">
        <v>800</v>
      </c>
      <c r="N79" t="s">
        <v>24</v>
      </c>
      <c r="O79" t="s">
        <v>23</v>
      </c>
      <c r="P79">
        <v>33.332999999999998</v>
      </c>
      <c r="Q79">
        <v>8</v>
      </c>
      <c r="R79">
        <f>A79-6+2</f>
        <v>43534</v>
      </c>
      <c r="S79">
        <f t="shared" si="12"/>
        <v>266.66399999999999</v>
      </c>
      <c r="T79">
        <f t="shared" si="13"/>
        <v>10</v>
      </c>
      <c r="U79">
        <f t="shared" si="14"/>
        <v>1</v>
      </c>
      <c r="V79">
        <f t="shared" si="15"/>
        <v>11</v>
      </c>
      <c r="W79">
        <f t="shared" si="16"/>
        <v>3</v>
      </c>
      <c r="X79">
        <f t="shared" si="17"/>
        <v>2019</v>
      </c>
      <c r="Y79" t="str">
        <f t="shared" si="10"/>
        <v>Monday</v>
      </c>
      <c r="Z79" t="str">
        <f t="shared" si="11"/>
        <v>March</v>
      </c>
    </row>
    <row r="80" spans="1:26" x14ac:dyDescent="0.3">
      <c r="A80" t="s">
        <v>48</v>
      </c>
      <c r="B80" t="s">
        <v>56</v>
      </c>
      <c r="C80" t="s">
        <v>194</v>
      </c>
      <c r="D80">
        <v>6022</v>
      </c>
      <c r="E80">
        <v>1</v>
      </c>
      <c r="F80">
        <v>241087</v>
      </c>
      <c r="G80" t="s">
        <v>172</v>
      </c>
      <c r="H80" t="s">
        <v>173</v>
      </c>
      <c r="I80" t="s">
        <v>197</v>
      </c>
      <c r="J80" t="s">
        <v>27</v>
      </c>
      <c r="K80">
        <v>5507</v>
      </c>
      <c r="L80" t="s">
        <v>23</v>
      </c>
      <c r="M80">
        <v>800</v>
      </c>
      <c r="N80" t="s">
        <v>24</v>
      </c>
      <c r="O80" t="s">
        <v>23</v>
      </c>
      <c r="P80">
        <v>33.332999999999998</v>
      </c>
      <c r="Q80">
        <v>0</v>
      </c>
      <c r="R80">
        <f>A80-6+3</f>
        <v>43535</v>
      </c>
      <c r="S80">
        <f t="shared" si="12"/>
        <v>0</v>
      </c>
      <c r="T80">
        <f t="shared" si="13"/>
        <v>11</v>
      </c>
      <c r="U80">
        <f t="shared" si="14"/>
        <v>2</v>
      </c>
      <c r="V80">
        <f t="shared" si="15"/>
        <v>11</v>
      </c>
      <c r="W80">
        <f t="shared" si="16"/>
        <v>3</v>
      </c>
      <c r="X80">
        <f t="shared" si="17"/>
        <v>2019</v>
      </c>
      <c r="Y80" t="str">
        <f t="shared" si="10"/>
        <v>Tuesday</v>
      </c>
      <c r="Z80" t="str">
        <f t="shared" si="11"/>
        <v>March</v>
      </c>
    </row>
    <row r="81" spans="1:26" x14ac:dyDescent="0.3">
      <c r="A81" t="s">
        <v>48</v>
      </c>
      <c r="B81" t="s">
        <v>56</v>
      </c>
      <c r="C81" t="s">
        <v>194</v>
      </c>
      <c r="D81">
        <v>6022</v>
      </c>
      <c r="E81">
        <v>1</v>
      </c>
      <c r="F81">
        <v>241087</v>
      </c>
      <c r="G81" t="s">
        <v>172</v>
      </c>
      <c r="H81" t="s">
        <v>173</v>
      </c>
      <c r="I81" t="s">
        <v>197</v>
      </c>
      <c r="J81" t="s">
        <v>27</v>
      </c>
      <c r="K81">
        <v>5507</v>
      </c>
      <c r="L81" t="s">
        <v>23</v>
      </c>
      <c r="M81">
        <v>800</v>
      </c>
      <c r="N81" t="s">
        <v>24</v>
      </c>
      <c r="O81" t="s">
        <v>23</v>
      </c>
      <c r="P81">
        <v>33.332999999999998</v>
      </c>
      <c r="Q81">
        <v>0</v>
      </c>
      <c r="R81">
        <f>A81-6+4</f>
        <v>43536</v>
      </c>
      <c r="S81">
        <f t="shared" si="12"/>
        <v>0</v>
      </c>
      <c r="T81">
        <f t="shared" si="13"/>
        <v>12</v>
      </c>
      <c r="U81">
        <f t="shared" si="14"/>
        <v>3</v>
      </c>
      <c r="V81">
        <f t="shared" si="15"/>
        <v>11</v>
      </c>
      <c r="W81">
        <f t="shared" si="16"/>
        <v>3</v>
      </c>
      <c r="X81">
        <f t="shared" si="17"/>
        <v>2019</v>
      </c>
      <c r="Y81" t="str">
        <f t="shared" si="10"/>
        <v>Wednesday</v>
      </c>
      <c r="Z81" t="str">
        <f t="shared" si="11"/>
        <v>March</v>
      </c>
    </row>
    <row r="82" spans="1:26" x14ac:dyDescent="0.3">
      <c r="A82" t="s">
        <v>48</v>
      </c>
      <c r="B82" t="s">
        <v>56</v>
      </c>
      <c r="C82" t="s">
        <v>194</v>
      </c>
      <c r="D82">
        <v>6022</v>
      </c>
      <c r="E82">
        <v>1</v>
      </c>
      <c r="F82">
        <v>241087</v>
      </c>
      <c r="G82" t="s">
        <v>172</v>
      </c>
      <c r="H82" t="s">
        <v>173</v>
      </c>
      <c r="I82" t="s">
        <v>197</v>
      </c>
      <c r="J82" t="s">
        <v>27</v>
      </c>
      <c r="K82">
        <v>5507</v>
      </c>
      <c r="L82" t="s">
        <v>23</v>
      </c>
      <c r="M82">
        <v>800</v>
      </c>
      <c r="N82" t="s">
        <v>24</v>
      </c>
      <c r="O82" t="s">
        <v>23</v>
      </c>
      <c r="P82">
        <v>33.332999999999998</v>
      </c>
      <c r="Q82">
        <v>0</v>
      </c>
      <c r="R82">
        <f>A82-6+5</f>
        <v>43537</v>
      </c>
      <c r="S82">
        <f t="shared" si="12"/>
        <v>0</v>
      </c>
      <c r="T82">
        <f t="shared" si="13"/>
        <v>13</v>
      </c>
      <c r="U82">
        <f t="shared" si="14"/>
        <v>4</v>
      </c>
      <c r="V82">
        <f t="shared" si="15"/>
        <v>11</v>
      </c>
      <c r="W82">
        <f t="shared" si="16"/>
        <v>3</v>
      </c>
      <c r="X82">
        <f t="shared" si="17"/>
        <v>2019</v>
      </c>
      <c r="Y82" t="str">
        <f t="shared" si="10"/>
        <v>Thursday</v>
      </c>
      <c r="Z82" t="str">
        <f t="shared" si="11"/>
        <v>March</v>
      </c>
    </row>
    <row r="83" spans="1:26" x14ac:dyDescent="0.3">
      <c r="A83" t="s">
        <v>48</v>
      </c>
      <c r="B83" t="s">
        <v>56</v>
      </c>
      <c r="C83" t="s">
        <v>194</v>
      </c>
      <c r="D83">
        <v>6022</v>
      </c>
      <c r="E83">
        <v>1</v>
      </c>
      <c r="F83">
        <v>241087</v>
      </c>
      <c r="G83" t="s">
        <v>172</v>
      </c>
      <c r="H83" t="s">
        <v>173</v>
      </c>
      <c r="I83" t="s">
        <v>197</v>
      </c>
      <c r="J83" t="s">
        <v>27</v>
      </c>
      <c r="K83">
        <v>5507</v>
      </c>
      <c r="L83" t="s">
        <v>23</v>
      </c>
      <c r="M83">
        <v>800</v>
      </c>
      <c r="N83" t="s">
        <v>24</v>
      </c>
      <c r="O83" t="s">
        <v>23</v>
      </c>
      <c r="P83">
        <v>33.332999999999998</v>
      </c>
      <c r="Q83">
        <v>0</v>
      </c>
      <c r="R83">
        <f>A83-6+6</f>
        <v>43538</v>
      </c>
      <c r="S83">
        <f t="shared" si="12"/>
        <v>0</v>
      </c>
      <c r="T83">
        <f t="shared" si="13"/>
        <v>14</v>
      </c>
      <c r="U83">
        <f t="shared" si="14"/>
        <v>5</v>
      </c>
      <c r="V83">
        <f t="shared" si="15"/>
        <v>11</v>
      </c>
      <c r="W83">
        <f t="shared" si="16"/>
        <v>3</v>
      </c>
      <c r="X83">
        <f t="shared" si="17"/>
        <v>2019</v>
      </c>
      <c r="Y83" t="str">
        <f t="shared" si="10"/>
        <v>Friday</v>
      </c>
      <c r="Z83" t="str">
        <f t="shared" si="11"/>
        <v>March</v>
      </c>
    </row>
    <row r="84" spans="1:26" x14ac:dyDescent="0.3">
      <c r="A84" t="s">
        <v>48</v>
      </c>
      <c r="B84" t="s">
        <v>56</v>
      </c>
      <c r="C84" t="s">
        <v>194</v>
      </c>
      <c r="D84">
        <v>6022</v>
      </c>
      <c r="E84">
        <v>1</v>
      </c>
      <c r="F84">
        <v>241087</v>
      </c>
      <c r="G84" t="s">
        <v>172</v>
      </c>
      <c r="H84" t="s">
        <v>173</v>
      </c>
      <c r="I84" t="s">
        <v>197</v>
      </c>
      <c r="J84" t="s">
        <v>27</v>
      </c>
      <c r="K84">
        <v>5507</v>
      </c>
      <c r="L84" t="s">
        <v>23</v>
      </c>
      <c r="M84">
        <v>800</v>
      </c>
      <c r="N84" t="s">
        <v>24</v>
      </c>
      <c r="O84" t="s">
        <v>23</v>
      </c>
      <c r="P84">
        <v>33.332999999999998</v>
      </c>
      <c r="Q84">
        <v>0</v>
      </c>
      <c r="R84">
        <f>R79-2</f>
        <v>43532</v>
      </c>
      <c r="S84">
        <f t="shared" si="12"/>
        <v>0</v>
      </c>
      <c r="T84">
        <f t="shared" si="13"/>
        <v>8</v>
      </c>
      <c r="U84">
        <f t="shared" si="14"/>
        <v>6</v>
      </c>
      <c r="V84">
        <f t="shared" si="15"/>
        <v>10</v>
      </c>
      <c r="W84">
        <f t="shared" si="16"/>
        <v>3</v>
      </c>
      <c r="X84">
        <f t="shared" si="17"/>
        <v>2019</v>
      </c>
      <c r="Y84" t="str">
        <f t="shared" si="10"/>
        <v>Saturday</v>
      </c>
      <c r="Z84" t="str">
        <f t="shared" si="11"/>
        <v>March</v>
      </c>
    </row>
    <row r="85" spans="1:26" x14ac:dyDescent="0.3">
      <c r="A85" t="s">
        <v>48</v>
      </c>
      <c r="B85" t="s">
        <v>56</v>
      </c>
      <c r="C85" t="s">
        <v>194</v>
      </c>
      <c r="D85">
        <v>6022</v>
      </c>
      <c r="E85">
        <v>1</v>
      </c>
      <c r="F85">
        <v>241087</v>
      </c>
      <c r="G85" t="s">
        <v>172</v>
      </c>
      <c r="H85" t="s">
        <v>173</v>
      </c>
      <c r="I85" t="s">
        <v>197</v>
      </c>
      <c r="J85" t="s">
        <v>27</v>
      </c>
      <c r="K85">
        <v>5507</v>
      </c>
      <c r="L85" t="s">
        <v>23</v>
      </c>
      <c r="M85">
        <v>800</v>
      </c>
      <c r="N85" t="s">
        <v>24</v>
      </c>
      <c r="O85" t="s">
        <v>23</v>
      </c>
      <c r="P85">
        <v>33.332999999999998</v>
      </c>
      <c r="Q85">
        <v>0</v>
      </c>
      <c r="R85">
        <f>R79-1</f>
        <v>43533</v>
      </c>
      <c r="S85">
        <f t="shared" si="12"/>
        <v>0</v>
      </c>
      <c r="T85">
        <f t="shared" si="13"/>
        <v>9</v>
      </c>
      <c r="U85">
        <f t="shared" si="14"/>
        <v>7</v>
      </c>
      <c r="V85">
        <f t="shared" si="15"/>
        <v>10</v>
      </c>
      <c r="W85">
        <f t="shared" si="16"/>
        <v>3</v>
      </c>
      <c r="X85">
        <f t="shared" si="17"/>
        <v>2019</v>
      </c>
      <c r="Y85" t="str">
        <f t="shared" si="10"/>
        <v>Sunday</v>
      </c>
      <c r="Z85" t="str">
        <f t="shared" si="11"/>
        <v>March</v>
      </c>
    </row>
    <row r="86" spans="1:26" x14ac:dyDescent="0.3">
      <c r="A86" t="s">
        <v>34</v>
      </c>
      <c r="B86" t="s">
        <v>198</v>
      </c>
      <c r="C86" t="s">
        <v>199</v>
      </c>
      <c r="D86">
        <v>8930</v>
      </c>
      <c r="E86">
        <v>1</v>
      </c>
      <c r="F86">
        <v>236253</v>
      </c>
      <c r="G86" t="s">
        <v>172</v>
      </c>
      <c r="H86" t="s">
        <v>173</v>
      </c>
      <c r="I86" t="s">
        <v>190</v>
      </c>
      <c r="J86" t="s">
        <v>27</v>
      </c>
      <c r="K86">
        <v>5507</v>
      </c>
      <c r="L86" t="s">
        <v>23</v>
      </c>
      <c r="M86">
        <v>200</v>
      </c>
      <c r="N86" t="s">
        <v>24</v>
      </c>
      <c r="O86" t="s">
        <v>23</v>
      </c>
      <c r="P86">
        <v>13</v>
      </c>
      <c r="Q86">
        <v>4</v>
      </c>
      <c r="R86">
        <f>A86-6+2</f>
        <v>43471</v>
      </c>
      <c r="S86">
        <f t="shared" si="12"/>
        <v>52</v>
      </c>
      <c r="T86">
        <f t="shared" si="13"/>
        <v>6</v>
      </c>
      <c r="U86">
        <f t="shared" si="14"/>
        <v>1</v>
      </c>
      <c r="V86">
        <f t="shared" si="15"/>
        <v>2</v>
      </c>
      <c r="W86">
        <f t="shared" si="16"/>
        <v>1</v>
      </c>
      <c r="X86">
        <f t="shared" si="17"/>
        <v>2019</v>
      </c>
      <c r="Y86" t="str">
        <f t="shared" si="10"/>
        <v>Monday</v>
      </c>
      <c r="Z86" t="str">
        <f t="shared" si="11"/>
        <v>January</v>
      </c>
    </row>
    <row r="87" spans="1:26" x14ac:dyDescent="0.3">
      <c r="A87" t="s">
        <v>34</v>
      </c>
      <c r="B87" t="s">
        <v>198</v>
      </c>
      <c r="C87" t="s">
        <v>199</v>
      </c>
      <c r="D87">
        <v>8930</v>
      </c>
      <c r="E87">
        <v>1</v>
      </c>
      <c r="F87">
        <v>236253</v>
      </c>
      <c r="G87" t="s">
        <v>172</v>
      </c>
      <c r="H87" t="s">
        <v>173</v>
      </c>
      <c r="I87" t="s">
        <v>190</v>
      </c>
      <c r="J87" t="s">
        <v>27</v>
      </c>
      <c r="K87">
        <v>5507</v>
      </c>
      <c r="L87" t="s">
        <v>23</v>
      </c>
      <c r="M87">
        <v>200</v>
      </c>
      <c r="N87" t="s">
        <v>24</v>
      </c>
      <c r="O87" t="s">
        <v>23</v>
      </c>
      <c r="P87">
        <v>13</v>
      </c>
      <c r="Q87">
        <v>0</v>
      </c>
      <c r="R87">
        <f>A87-6+3</f>
        <v>43472</v>
      </c>
      <c r="S87">
        <f t="shared" si="12"/>
        <v>0</v>
      </c>
      <c r="T87">
        <f t="shared" si="13"/>
        <v>7</v>
      </c>
      <c r="U87">
        <f t="shared" si="14"/>
        <v>2</v>
      </c>
      <c r="V87">
        <f t="shared" si="15"/>
        <v>2</v>
      </c>
      <c r="W87">
        <f t="shared" si="16"/>
        <v>1</v>
      </c>
      <c r="X87">
        <f t="shared" si="17"/>
        <v>2019</v>
      </c>
      <c r="Y87" t="str">
        <f t="shared" si="10"/>
        <v>Tuesday</v>
      </c>
      <c r="Z87" t="str">
        <f t="shared" si="11"/>
        <v>January</v>
      </c>
    </row>
    <row r="88" spans="1:26" x14ac:dyDescent="0.3">
      <c r="A88" t="s">
        <v>34</v>
      </c>
      <c r="B88" t="s">
        <v>198</v>
      </c>
      <c r="C88" t="s">
        <v>199</v>
      </c>
      <c r="D88">
        <v>8930</v>
      </c>
      <c r="E88">
        <v>1</v>
      </c>
      <c r="F88">
        <v>236253</v>
      </c>
      <c r="G88" t="s">
        <v>172</v>
      </c>
      <c r="H88" t="s">
        <v>173</v>
      </c>
      <c r="I88" t="s">
        <v>190</v>
      </c>
      <c r="J88" t="s">
        <v>27</v>
      </c>
      <c r="K88">
        <v>5507</v>
      </c>
      <c r="L88" t="s">
        <v>23</v>
      </c>
      <c r="M88">
        <v>200</v>
      </c>
      <c r="N88" t="s">
        <v>24</v>
      </c>
      <c r="O88" t="s">
        <v>23</v>
      </c>
      <c r="P88">
        <v>13</v>
      </c>
      <c r="Q88">
        <v>0</v>
      </c>
      <c r="R88">
        <f>A88-6+4</f>
        <v>43473</v>
      </c>
      <c r="S88">
        <f t="shared" si="12"/>
        <v>0</v>
      </c>
      <c r="T88">
        <f t="shared" si="13"/>
        <v>8</v>
      </c>
      <c r="U88">
        <f t="shared" si="14"/>
        <v>3</v>
      </c>
      <c r="V88">
        <f t="shared" si="15"/>
        <v>2</v>
      </c>
      <c r="W88">
        <f t="shared" si="16"/>
        <v>1</v>
      </c>
      <c r="X88">
        <f t="shared" si="17"/>
        <v>2019</v>
      </c>
      <c r="Y88" t="str">
        <f t="shared" si="10"/>
        <v>Wednesday</v>
      </c>
      <c r="Z88" t="str">
        <f t="shared" si="11"/>
        <v>January</v>
      </c>
    </row>
    <row r="89" spans="1:26" x14ac:dyDescent="0.3">
      <c r="A89" t="s">
        <v>34</v>
      </c>
      <c r="B89" t="s">
        <v>198</v>
      </c>
      <c r="C89" t="s">
        <v>199</v>
      </c>
      <c r="D89">
        <v>8930</v>
      </c>
      <c r="E89">
        <v>1</v>
      </c>
      <c r="F89">
        <v>236253</v>
      </c>
      <c r="G89" t="s">
        <v>172</v>
      </c>
      <c r="H89" t="s">
        <v>173</v>
      </c>
      <c r="I89" t="s">
        <v>190</v>
      </c>
      <c r="J89" t="s">
        <v>27</v>
      </c>
      <c r="K89">
        <v>5507</v>
      </c>
      <c r="L89" t="s">
        <v>23</v>
      </c>
      <c r="M89">
        <v>200</v>
      </c>
      <c r="N89" t="s">
        <v>24</v>
      </c>
      <c r="O89" t="s">
        <v>23</v>
      </c>
      <c r="P89">
        <v>13</v>
      </c>
      <c r="Q89">
        <v>10</v>
      </c>
      <c r="R89">
        <f>A89-6+5</f>
        <v>43474</v>
      </c>
      <c r="S89">
        <f t="shared" si="12"/>
        <v>130</v>
      </c>
      <c r="T89">
        <f t="shared" si="13"/>
        <v>9</v>
      </c>
      <c r="U89">
        <f t="shared" si="14"/>
        <v>4</v>
      </c>
      <c r="V89">
        <f t="shared" si="15"/>
        <v>2</v>
      </c>
      <c r="W89">
        <f t="shared" si="16"/>
        <v>1</v>
      </c>
      <c r="X89">
        <f t="shared" si="17"/>
        <v>2019</v>
      </c>
      <c r="Y89" t="str">
        <f t="shared" si="10"/>
        <v>Thursday</v>
      </c>
      <c r="Z89" t="str">
        <f t="shared" si="11"/>
        <v>January</v>
      </c>
    </row>
    <row r="90" spans="1:26" x14ac:dyDescent="0.3">
      <c r="A90" t="s">
        <v>34</v>
      </c>
      <c r="B90" t="s">
        <v>198</v>
      </c>
      <c r="C90" t="s">
        <v>199</v>
      </c>
      <c r="D90">
        <v>8930</v>
      </c>
      <c r="E90">
        <v>1</v>
      </c>
      <c r="F90">
        <v>236253</v>
      </c>
      <c r="G90" t="s">
        <v>172</v>
      </c>
      <c r="H90" t="s">
        <v>173</v>
      </c>
      <c r="I90" t="s">
        <v>190</v>
      </c>
      <c r="J90" t="s">
        <v>27</v>
      </c>
      <c r="K90">
        <v>5507</v>
      </c>
      <c r="L90" t="s">
        <v>23</v>
      </c>
      <c r="M90">
        <v>200</v>
      </c>
      <c r="N90" t="s">
        <v>24</v>
      </c>
      <c r="O90" t="s">
        <v>23</v>
      </c>
      <c r="P90">
        <v>13</v>
      </c>
      <c r="Q90">
        <v>0</v>
      </c>
      <c r="R90">
        <f>A90-6+6</f>
        <v>43475</v>
      </c>
      <c r="S90">
        <f t="shared" si="12"/>
        <v>0</v>
      </c>
      <c r="T90">
        <f t="shared" si="13"/>
        <v>10</v>
      </c>
      <c r="U90">
        <f t="shared" si="14"/>
        <v>5</v>
      </c>
      <c r="V90">
        <f t="shared" si="15"/>
        <v>2</v>
      </c>
      <c r="W90">
        <f t="shared" si="16"/>
        <v>1</v>
      </c>
      <c r="X90">
        <f t="shared" si="17"/>
        <v>2019</v>
      </c>
      <c r="Y90" t="str">
        <f t="shared" si="10"/>
        <v>Friday</v>
      </c>
      <c r="Z90" t="str">
        <f t="shared" si="11"/>
        <v>January</v>
      </c>
    </row>
    <row r="91" spans="1:26" x14ac:dyDescent="0.3">
      <c r="A91" t="s">
        <v>34</v>
      </c>
      <c r="B91" t="s">
        <v>198</v>
      </c>
      <c r="C91" t="s">
        <v>199</v>
      </c>
      <c r="D91">
        <v>8930</v>
      </c>
      <c r="E91">
        <v>1</v>
      </c>
      <c r="F91">
        <v>236253</v>
      </c>
      <c r="G91" t="s">
        <v>172</v>
      </c>
      <c r="H91" t="s">
        <v>173</v>
      </c>
      <c r="I91" t="s">
        <v>190</v>
      </c>
      <c r="J91" t="s">
        <v>27</v>
      </c>
      <c r="K91">
        <v>5507</v>
      </c>
      <c r="L91" t="s">
        <v>23</v>
      </c>
      <c r="M91">
        <v>200</v>
      </c>
      <c r="N91" t="s">
        <v>24</v>
      </c>
      <c r="O91" t="s">
        <v>23</v>
      </c>
      <c r="P91">
        <v>13</v>
      </c>
      <c r="Q91">
        <v>0</v>
      </c>
      <c r="R91">
        <f>R86-2</f>
        <v>43469</v>
      </c>
      <c r="S91">
        <f t="shared" si="12"/>
        <v>0</v>
      </c>
      <c r="T91">
        <f t="shared" si="13"/>
        <v>4</v>
      </c>
      <c r="U91">
        <f t="shared" si="14"/>
        <v>6</v>
      </c>
      <c r="V91">
        <f t="shared" si="15"/>
        <v>1</v>
      </c>
      <c r="W91">
        <f t="shared" si="16"/>
        <v>1</v>
      </c>
      <c r="X91">
        <f t="shared" si="17"/>
        <v>2019</v>
      </c>
      <c r="Y91" t="str">
        <f t="shared" si="10"/>
        <v>Saturday</v>
      </c>
      <c r="Z91" t="str">
        <f t="shared" si="11"/>
        <v>January</v>
      </c>
    </row>
    <row r="92" spans="1:26" x14ac:dyDescent="0.3">
      <c r="A92" t="s">
        <v>34</v>
      </c>
      <c r="B92" t="s">
        <v>198</v>
      </c>
      <c r="C92" t="s">
        <v>199</v>
      </c>
      <c r="D92">
        <v>8930</v>
      </c>
      <c r="E92">
        <v>1</v>
      </c>
      <c r="F92">
        <v>236253</v>
      </c>
      <c r="G92" t="s">
        <v>172</v>
      </c>
      <c r="H92" t="s">
        <v>173</v>
      </c>
      <c r="I92" t="s">
        <v>190</v>
      </c>
      <c r="J92" t="s">
        <v>27</v>
      </c>
      <c r="K92">
        <v>5507</v>
      </c>
      <c r="L92" t="s">
        <v>23</v>
      </c>
      <c r="M92">
        <v>200</v>
      </c>
      <c r="N92" t="s">
        <v>24</v>
      </c>
      <c r="O92" t="s">
        <v>23</v>
      </c>
      <c r="P92">
        <v>13</v>
      </c>
      <c r="Q92">
        <v>0</v>
      </c>
      <c r="R92">
        <f>R86-1</f>
        <v>43470</v>
      </c>
      <c r="S92">
        <f t="shared" si="12"/>
        <v>0</v>
      </c>
      <c r="T92">
        <f t="shared" si="13"/>
        <v>5</v>
      </c>
      <c r="U92">
        <f t="shared" si="14"/>
        <v>7</v>
      </c>
      <c r="V92">
        <f t="shared" si="15"/>
        <v>1</v>
      </c>
      <c r="W92">
        <f t="shared" si="16"/>
        <v>1</v>
      </c>
      <c r="X92">
        <f t="shared" si="17"/>
        <v>2019</v>
      </c>
      <c r="Y92" t="str">
        <f t="shared" si="10"/>
        <v>Sunday</v>
      </c>
      <c r="Z92" t="str">
        <f t="shared" si="11"/>
        <v>January</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911"/>
  <sheetViews>
    <sheetView showGridLines="0" showRowColHeaders="0" zoomScaleNormal="100" workbookViewId="0">
      <pane xSplit="3" ySplit="1" topLeftCell="D2" activePane="bottomRight" state="frozen"/>
      <selection pane="topRight" activeCell="D1" sqref="D1"/>
      <selection pane="bottomLeft" activeCell="A2" sqref="A2"/>
      <selection pane="bottomRight" activeCell="A2" sqref="A2:Z92"/>
    </sheetView>
  </sheetViews>
  <sheetFormatPr defaultRowHeight="14.4" x14ac:dyDescent="0.3"/>
  <cols>
    <col min="1" max="1" width="18.88671875" style="12" customWidth="1"/>
    <col min="2" max="2" width="13.5546875" style="12" bestFit="1" customWidth="1"/>
    <col min="3" max="3" width="17.33203125" style="12" customWidth="1"/>
    <col min="4" max="4" width="19.6640625" style="12" customWidth="1"/>
    <col min="5" max="5" width="9.77734375" style="12" customWidth="1"/>
    <col min="6" max="6" width="16.109375" style="12" customWidth="1"/>
    <col min="7" max="7" width="9" style="12" customWidth="1"/>
    <col min="8" max="8" width="10.33203125" style="12" customWidth="1"/>
    <col min="9" max="9" width="16.77734375" style="12" customWidth="1"/>
    <col min="10" max="10" width="11.44140625" style="12" customWidth="1"/>
    <col min="11" max="11" width="10.44140625" style="12" customWidth="1"/>
    <col min="12" max="12" width="16.44140625" style="12" customWidth="1"/>
    <col min="13" max="13" width="12" style="12" customWidth="1"/>
    <col min="14" max="14" width="13" style="12" customWidth="1"/>
    <col min="15" max="15" width="13.88671875" style="12" customWidth="1"/>
    <col min="16" max="16" width="10.5546875" style="12" customWidth="1"/>
    <col min="17" max="17" width="10.77734375" style="12" customWidth="1"/>
    <col min="18" max="18" width="10.88671875" style="13" customWidth="1"/>
    <col min="19" max="19" width="9.77734375" style="12" customWidth="1"/>
    <col min="20" max="20" width="10.21875" style="12" customWidth="1"/>
    <col min="21" max="21" width="10.6640625" style="12" customWidth="1"/>
    <col min="22" max="22" width="14" style="13" customWidth="1"/>
    <col min="23" max="24" width="9.5546875" style="13" customWidth="1"/>
    <col min="25" max="25" width="10.77734375" style="13" customWidth="1"/>
    <col min="26" max="26" width="13.33203125" style="13" customWidth="1"/>
    <col min="27" max="29" width="9.5546875" style="13" customWidth="1"/>
    <col min="30" max="30" width="9.5546875" style="13" bestFit="1" customWidth="1"/>
    <col min="31" max="16384" width="8.88671875" style="12"/>
  </cols>
  <sheetData>
    <row r="1" spans="1:30" s="21" customFormat="1" ht="25.2" customHeight="1" x14ac:dyDescent="0.3">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126</v>
      </c>
      <c r="R1" s="19" t="s">
        <v>127</v>
      </c>
      <c r="S1" s="18" t="s">
        <v>61</v>
      </c>
      <c r="T1" s="18" t="s">
        <v>62</v>
      </c>
      <c r="U1" s="18" t="s">
        <v>60</v>
      </c>
      <c r="V1" s="20" t="s">
        <v>63</v>
      </c>
      <c r="W1" s="20" t="s">
        <v>64</v>
      </c>
      <c r="X1" s="20" t="s">
        <v>65</v>
      </c>
      <c r="Y1" s="20" t="s">
        <v>125</v>
      </c>
      <c r="Z1" s="20" t="s">
        <v>66</v>
      </c>
      <c r="AA1" s="20"/>
      <c r="AB1" s="20"/>
      <c r="AC1" s="20"/>
      <c r="AD1" s="20"/>
    </row>
    <row r="2" spans="1:30" x14ac:dyDescent="0.3">
      <c r="A2" s="12" t="s">
        <v>16</v>
      </c>
      <c r="B2" s="12" t="s">
        <v>17</v>
      </c>
      <c r="C2" s="12" t="s">
        <v>18</v>
      </c>
      <c r="D2" s="12">
        <v>4777</v>
      </c>
      <c r="E2" s="12">
        <v>1</v>
      </c>
      <c r="F2" s="12">
        <v>230296</v>
      </c>
      <c r="G2" s="12" t="s">
        <v>19</v>
      </c>
      <c r="H2" s="12" t="s">
        <v>20</v>
      </c>
      <c r="I2" s="12" t="s">
        <v>21</v>
      </c>
      <c r="J2" s="12" t="s">
        <v>22</v>
      </c>
      <c r="K2" s="12">
        <v>5507</v>
      </c>
      <c r="L2" s="12" t="s">
        <v>23</v>
      </c>
      <c r="M2" s="12">
        <v>400</v>
      </c>
      <c r="N2" s="12" t="s">
        <v>24</v>
      </c>
      <c r="O2" s="12" t="s">
        <v>23</v>
      </c>
      <c r="P2" s="12">
        <v>21</v>
      </c>
      <c r="Q2" s="12">
        <v>2.5</v>
      </c>
      <c r="R2" s="13">
        <f>A2-6+2</f>
        <v>43401</v>
      </c>
      <c r="S2" s="14">
        <f>P2*Q2</f>
        <v>52.5</v>
      </c>
      <c r="T2" s="14">
        <f>DAY(R2)</f>
        <v>28</v>
      </c>
      <c r="U2" s="14">
        <f>WEEKDAY(R2)</f>
        <v>1</v>
      </c>
      <c r="V2" s="12">
        <f>WEEKNUM(R2)</f>
        <v>44</v>
      </c>
      <c r="W2" s="12">
        <f>MONTH(R2)</f>
        <v>10</v>
      </c>
      <c r="X2" s="12">
        <f>YEAR(R2)</f>
        <v>2018</v>
      </c>
      <c r="Y2" s="16" t="str">
        <f t="shared" ref="Y2:Y33" si="0">VLOOKUP(U2,dayname,2)</f>
        <v>Monday</v>
      </c>
      <c r="Z2" s="17" t="str">
        <f t="shared" ref="Z2:Z33" si="1">VLOOKUP(W2,mesnome,2)</f>
        <v>October</v>
      </c>
      <c r="AA2" s="12"/>
      <c r="AB2" s="12"/>
      <c r="AC2" s="12"/>
    </row>
    <row r="3" spans="1:30" x14ac:dyDescent="0.3">
      <c r="A3" s="12" t="s">
        <v>16</v>
      </c>
      <c r="B3" s="12" t="s">
        <v>17</v>
      </c>
      <c r="C3" s="12" t="s">
        <v>18</v>
      </c>
      <c r="D3" s="12">
        <v>4777</v>
      </c>
      <c r="E3" s="12">
        <v>1</v>
      </c>
      <c r="F3" s="12">
        <v>230296</v>
      </c>
      <c r="G3" s="12" t="s">
        <v>19</v>
      </c>
      <c r="H3" s="12" t="s">
        <v>20</v>
      </c>
      <c r="I3" s="12" t="s">
        <v>21</v>
      </c>
      <c r="J3" s="12" t="s">
        <v>22</v>
      </c>
      <c r="K3" s="12">
        <v>5507</v>
      </c>
      <c r="L3" s="12" t="s">
        <v>23</v>
      </c>
      <c r="M3" s="12">
        <v>400</v>
      </c>
      <c r="N3" s="12" t="s">
        <v>24</v>
      </c>
      <c r="O3" s="12" t="s">
        <v>23</v>
      </c>
      <c r="P3" s="12">
        <v>21</v>
      </c>
      <c r="Q3" s="12">
        <v>0</v>
      </c>
      <c r="R3" s="13">
        <f>A3-6+3</f>
        <v>43402</v>
      </c>
      <c r="S3" s="14">
        <f t="shared" ref="S3:S66" si="2">P3*Q3</f>
        <v>0</v>
      </c>
      <c r="T3" s="14">
        <f t="shared" ref="T3:T66" si="3">DAY(R3)</f>
        <v>29</v>
      </c>
      <c r="U3" s="14">
        <f t="shared" ref="U3:U66" si="4">WEEKDAY(R3)</f>
        <v>2</v>
      </c>
      <c r="V3" s="12">
        <f t="shared" ref="V3:V66" si="5">WEEKNUM(R3)</f>
        <v>44</v>
      </c>
      <c r="W3" s="12">
        <f t="shared" ref="W3:W66" si="6">MONTH(R3)</f>
        <v>10</v>
      </c>
      <c r="X3" s="12">
        <f t="shared" ref="X3:X66" si="7">YEAR(R3)</f>
        <v>2018</v>
      </c>
      <c r="Y3" s="16" t="str">
        <f t="shared" si="0"/>
        <v>Tuesday</v>
      </c>
      <c r="Z3" s="17" t="str">
        <f t="shared" si="1"/>
        <v>October</v>
      </c>
      <c r="AA3" s="12"/>
    </row>
    <row r="4" spans="1:30" x14ac:dyDescent="0.3">
      <c r="A4" s="12" t="s">
        <v>16</v>
      </c>
      <c r="B4" s="12" t="s">
        <v>17</v>
      </c>
      <c r="C4" s="12" t="s">
        <v>18</v>
      </c>
      <c r="D4" s="12">
        <v>4777</v>
      </c>
      <c r="E4" s="12">
        <v>1</v>
      </c>
      <c r="F4" s="12">
        <v>230296</v>
      </c>
      <c r="G4" s="12" t="s">
        <v>19</v>
      </c>
      <c r="H4" s="12" t="s">
        <v>20</v>
      </c>
      <c r="I4" s="12" t="s">
        <v>21</v>
      </c>
      <c r="J4" s="12" t="s">
        <v>22</v>
      </c>
      <c r="K4" s="12">
        <v>5507</v>
      </c>
      <c r="L4" s="12" t="s">
        <v>23</v>
      </c>
      <c r="M4" s="12">
        <v>400</v>
      </c>
      <c r="N4" s="12" t="s">
        <v>24</v>
      </c>
      <c r="O4" s="12" t="s">
        <v>23</v>
      </c>
      <c r="P4" s="12">
        <v>21</v>
      </c>
      <c r="Q4" s="12">
        <v>0</v>
      </c>
      <c r="R4" s="13">
        <f>A4-6+4</f>
        <v>43403</v>
      </c>
      <c r="S4" s="14">
        <f t="shared" si="2"/>
        <v>0</v>
      </c>
      <c r="T4" s="14">
        <f t="shared" si="3"/>
        <v>30</v>
      </c>
      <c r="U4" s="14">
        <f t="shared" si="4"/>
        <v>3</v>
      </c>
      <c r="V4" s="12">
        <f t="shared" si="5"/>
        <v>44</v>
      </c>
      <c r="W4" s="12">
        <f t="shared" si="6"/>
        <v>10</v>
      </c>
      <c r="X4" s="12">
        <f t="shared" si="7"/>
        <v>2018</v>
      </c>
      <c r="Y4" s="16" t="str">
        <f t="shared" si="0"/>
        <v>Wednesday</v>
      </c>
      <c r="Z4" s="17" t="str">
        <f t="shared" si="1"/>
        <v>October</v>
      </c>
      <c r="AA4" s="12"/>
    </row>
    <row r="5" spans="1:30" x14ac:dyDescent="0.3">
      <c r="A5" s="12" t="s">
        <v>16</v>
      </c>
      <c r="B5" s="12" t="s">
        <v>17</v>
      </c>
      <c r="C5" s="12" t="s">
        <v>18</v>
      </c>
      <c r="D5" s="12">
        <v>4777</v>
      </c>
      <c r="E5" s="12">
        <v>1</v>
      </c>
      <c r="F5" s="12">
        <v>230296</v>
      </c>
      <c r="G5" s="12" t="s">
        <v>19</v>
      </c>
      <c r="H5" s="12" t="s">
        <v>20</v>
      </c>
      <c r="I5" s="12" t="s">
        <v>21</v>
      </c>
      <c r="J5" s="12" t="s">
        <v>22</v>
      </c>
      <c r="K5" s="12">
        <v>5507</v>
      </c>
      <c r="L5" s="12" t="s">
        <v>23</v>
      </c>
      <c r="M5" s="12">
        <v>400</v>
      </c>
      <c r="N5" s="12" t="s">
        <v>24</v>
      </c>
      <c r="O5" s="12" t="s">
        <v>23</v>
      </c>
      <c r="P5" s="12">
        <v>21</v>
      </c>
      <c r="Q5" s="12">
        <v>9.5</v>
      </c>
      <c r="R5" s="13">
        <f>A5-6+5</f>
        <v>43404</v>
      </c>
      <c r="S5" s="14">
        <f t="shared" si="2"/>
        <v>199.5</v>
      </c>
      <c r="T5" s="14">
        <f t="shared" si="3"/>
        <v>31</v>
      </c>
      <c r="U5" s="14">
        <f t="shared" si="4"/>
        <v>4</v>
      </c>
      <c r="V5" s="12">
        <f t="shared" si="5"/>
        <v>44</v>
      </c>
      <c r="W5" s="12">
        <f t="shared" si="6"/>
        <v>10</v>
      </c>
      <c r="X5" s="12">
        <f t="shared" si="7"/>
        <v>2018</v>
      </c>
      <c r="Y5" s="16" t="str">
        <f t="shared" si="0"/>
        <v>Thursday</v>
      </c>
      <c r="Z5" s="17" t="str">
        <f t="shared" si="1"/>
        <v>October</v>
      </c>
      <c r="AA5" s="12"/>
    </row>
    <row r="6" spans="1:30" x14ac:dyDescent="0.3">
      <c r="A6" s="12" t="s">
        <v>16</v>
      </c>
      <c r="B6" s="12" t="s">
        <v>17</v>
      </c>
      <c r="C6" s="12" t="s">
        <v>18</v>
      </c>
      <c r="D6" s="12">
        <v>4777</v>
      </c>
      <c r="E6" s="12">
        <v>1</v>
      </c>
      <c r="F6" s="12">
        <v>230296</v>
      </c>
      <c r="G6" s="12" t="s">
        <v>19</v>
      </c>
      <c r="H6" s="12" t="s">
        <v>20</v>
      </c>
      <c r="I6" s="12" t="s">
        <v>21</v>
      </c>
      <c r="J6" s="12" t="s">
        <v>22</v>
      </c>
      <c r="K6" s="12">
        <v>5507</v>
      </c>
      <c r="L6" s="12" t="s">
        <v>23</v>
      </c>
      <c r="M6" s="12">
        <v>400</v>
      </c>
      <c r="N6" s="12" t="s">
        <v>24</v>
      </c>
      <c r="O6" s="12" t="s">
        <v>23</v>
      </c>
      <c r="P6" s="12">
        <v>21</v>
      </c>
      <c r="Q6" s="12">
        <v>0</v>
      </c>
      <c r="R6" s="13">
        <f>A6-6+6</f>
        <v>43405</v>
      </c>
      <c r="S6" s="14">
        <f t="shared" si="2"/>
        <v>0</v>
      </c>
      <c r="T6" s="14">
        <f t="shared" si="3"/>
        <v>1</v>
      </c>
      <c r="U6" s="14">
        <f t="shared" si="4"/>
        <v>5</v>
      </c>
      <c r="V6" s="12">
        <f t="shared" si="5"/>
        <v>44</v>
      </c>
      <c r="W6" s="12">
        <f t="shared" si="6"/>
        <v>11</v>
      </c>
      <c r="X6" s="12">
        <f t="shared" si="7"/>
        <v>2018</v>
      </c>
      <c r="Y6" s="16" t="str">
        <f t="shared" si="0"/>
        <v>Friday</v>
      </c>
      <c r="Z6" s="17" t="str">
        <f t="shared" si="1"/>
        <v>November</v>
      </c>
      <c r="AA6" s="12"/>
    </row>
    <row r="7" spans="1:30" x14ac:dyDescent="0.3">
      <c r="A7" s="12" t="s">
        <v>16</v>
      </c>
      <c r="B7" s="12" t="s">
        <v>17</v>
      </c>
      <c r="C7" s="12" t="s">
        <v>18</v>
      </c>
      <c r="D7" s="12">
        <v>4777</v>
      </c>
      <c r="E7" s="12">
        <v>1</v>
      </c>
      <c r="F7" s="12">
        <v>230296</v>
      </c>
      <c r="G7" s="12" t="s">
        <v>19</v>
      </c>
      <c r="H7" s="12" t="s">
        <v>20</v>
      </c>
      <c r="I7" s="12" t="s">
        <v>21</v>
      </c>
      <c r="J7" s="12" t="s">
        <v>22</v>
      </c>
      <c r="K7" s="12">
        <v>5507</v>
      </c>
      <c r="L7" s="12" t="s">
        <v>23</v>
      </c>
      <c r="M7" s="12">
        <v>400</v>
      </c>
      <c r="N7" s="12" t="s">
        <v>24</v>
      </c>
      <c r="O7" s="12" t="s">
        <v>23</v>
      </c>
      <c r="P7" s="12">
        <v>21</v>
      </c>
      <c r="Q7" s="12">
        <v>0</v>
      </c>
      <c r="R7" s="13">
        <f>R2-2</f>
        <v>43399</v>
      </c>
      <c r="S7" s="14">
        <f t="shared" si="2"/>
        <v>0</v>
      </c>
      <c r="T7" s="14">
        <f t="shared" si="3"/>
        <v>26</v>
      </c>
      <c r="U7" s="14">
        <f t="shared" si="4"/>
        <v>6</v>
      </c>
      <c r="V7" s="12">
        <f t="shared" si="5"/>
        <v>43</v>
      </c>
      <c r="W7" s="12">
        <f t="shared" si="6"/>
        <v>10</v>
      </c>
      <c r="X7" s="12">
        <f t="shared" si="7"/>
        <v>2018</v>
      </c>
      <c r="Y7" s="16" t="str">
        <f t="shared" si="0"/>
        <v>Saturday</v>
      </c>
      <c r="Z7" s="17" t="str">
        <f t="shared" si="1"/>
        <v>October</v>
      </c>
      <c r="AA7" s="12"/>
    </row>
    <row r="8" spans="1:30" x14ac:dyDescent="0.3">
      <c r="A8" s="12" t="s">
        <v>16</v>
      </c>
      <c r="B8" s="12" t="s">
        <v>17</v>
      </c>
      <c r="C8" s="12" t="s">
        <v>18</v>
      </c>
      <c r="D8" s="12">
        <v>4777</v>
      </c>
      <c r="E8" s="12">
        <v>1</v>
      </c>
      <c r="F8" s="12">
        <v>230296</v>
      </c>
      <c r="G8" s="12" t="s">
        <v>19</v>
      </c>
      <c r="H8" s="12" t="s">
        <v>20</v>
      </c>
      <c r="I8" s="12" t="s">
        <v>21</v>
      </c>
      <c r="J8" s="12" t="s">
        <v>22</v>
      </c>
      <c r="K8" s="12">
        <v>5507</v>
      </c>
      <c r="L8" s="12" t="s">
        <v>23</v>
      </c>
      <c r="M8" s="12">
        <v>400</v>
      </c>
      <c r="N8" s="12" t="s">
        <v>24</v>
      </c>
      <c r="O8" s="12" t="s">
        <v>23</v>
      </c>
      <c r="P8" s="12">
        <v>21</v>
      </c>
      <c r="Q8" s="12">
        <v>0</v>
      </c>
      <c r="R8" s="13">
        <f>R2-1</f>
        <v>43400</v>
      </c>
      <c r="S8" s="14">
        <f t="shared" si="2"/>
        <v>0</v>
      </c>
      <c r="T8" s="14">
        <f t="shared" si="3"/>
        <v>27</v>
      </c>
      <c r="U8" s="14">
        <f t="shared" si="4"/>
        <v>7</v>
      </c>
      <c r="V8" s="12">
        <f t="shared" si="5"/>
        <v>43</v>
      </c>
      <c r="W8" s="12">
        <f t="shared" si="6"/>
        <v>10</v>
      </c>
      <c r="X8" s="12">
        <f t="shared" si="7"/>
        <v>2018</v>
      </c>
      <c r="Y8" s="16" t="str">
        <f t="shared" si="0"/>
        <v>Sunday</v>
      </c>
      <c r="Z8" s="17" t="str">
        <f t="shared" si="1"/>
        <v>October</v>
      </c>
      <c r="AA8" s="12"/>
    </row>
    <row r="9" spans="1:30" x14ac:dyDescent="0.3">
      <c r="A9" s="12" t="s">
        <v>25</v>
      </c>
      <c r="B9" s="12" t="s">
        <v>17</v>
      </c>
      <c r="C9" s="12" t="s">
        <v>18</v>
      </c>
      <c r="D9" s="12">
        <v>4777</v>
      </c>
      <c r="E9" s="12">
        <v>1</v>
      </c>
      <c r="F9" s="12">
        <v>238199</v>
      </c>
      <c r="G9" s="12" t="s">
        <v>19</v>
      </c>
      <c r="H9" s="12" t="s">
        <v>20</v>
      </c>
      <c r="I9" s="12" t="s">
        <v>26</v>
      </c>
      <c r="J9" s="12" t="s">
        <v>27</v>
      </c>
      <c r="K9" s="12">
        <v>5507</v>
      </c>
      <c r="L9" s="12" t="s">
        <v>23</v>
      </c>
      <c r="M9" s="12">
        <v>400</v>
      </c>
      <c r="N9" s="12" t="s">
        <v>24</v>
      </c>
      <c r="O9" s="12" t="s">
        <v>23</v>
      </c>
      <c r="P9" s="12">
        <v>21</v>
      </c>
      <c r="Q9" s="12">
        <v>2</v>
      </c>
      <c r="R9" s="13">
        <f>A9-6+2</f>
        <v>43499</v>
      </c>
      <c r="S9" s="14">
        <f t="shared" si="2"/>
        <v>42</v>
      </c>
      <c r="T9" s="14">
        <f t="shared" si="3"/>
        <v>3</v>
      </c>
      <c r="U9" s="14">
        <f t="shared" si="4"/>
        <v>1</v>
      </c>
      <c r="V9" s="12">
        <f t="shared" si="5"/>
        <v>6</v>
      </c>
      <c r="W9" s="12">
        <f t="shared" si="6"/>
        <v>2</v>
      </c>
      <c r="X9" s="12">
        <f t="shared" si="7"/>
        <v>2019</v>
      </c>
      <c r="Y9" s="16" t="str">
        <f t="shared" si="0"/>
        <v>Monday</v>
      </c>
      <c r="Z9" s="17" t="str">
        <f t="shared" si="1"/>
        <v>February</v>
      </c>
      <c r="AA9" s="12"/>
    </row>
    <row r="10" spans="1:30" x14ac:dyDescent="0.3">
      <c r="A10" s="12" t="s">
        <v>25</v>
      </c>
      <c r="B10" s="12" t="s">
        <v>17</v>
      </c>
      <c r="C10" s="12" t="s">
        <v>18</v>
      </c>
      <c r="D10" s="12">
        <v>4777</v>
      </c>
      <c r="E10" s="12">
        <v>1</v>
      </c>
      <c r="F10" s="12">
        <v>238199</v>
      </c>
      <c r="G10" s="12" t="s">
        <v>19</v>
      </c>
      <c r="H10" s="12" t="s">
        <v>20</v>
      </c>
      <c r="I10" s="12" t="s">
        <v>26</v>
      </c>
      <c r="J10" s="12" t="s">
        <v>27</v>
      </c>
      <c r="K10" s="12">
        <v>5507</v>
      </c>
      <c r="L10" s="12" t="s">
        <v>23</v>
      </c>
      <c r="M10" s="12">
        <v>400</v>
      </c>
      <c r="N10" s="12" t="s">
        <v>24</v>
      </c>
      <c r="O10" s="12" t="s">
        <v>23</v>
      </c>
      <c r="P10" s="12">
        <v>21</v>
      </c>
      <c r="Q10" s="12">
        <v>0</v>
      </c>
      <c r="R10" s="13">
        <f>A10-6+3</f>
        <v>43500</v>
      </c>
      <c r="S10" s="14">
        <f t="shared" si="2"/>
        <v>0</v>
      </c>
      <c r="T10" s="14">
        <f t="shared" si="3"/>
        <v>4</v>
      </c>
      <c r="U10" s="14">
        <f t="shared" si="4"/>
        <v>2</v>
      </c>
      <c r="V10" s="12">
        <f t="shared" si="5"/>
        <v>6</v>
      </c>
      <c r="W10" s="12">
        <f t="shared" si="6"/>
        <v>2</v>
      </c>
      <c r="X10" s="12">
        <f t="shared" si="7"/>
        <v>2019</v>
      </c>
      <c r="Y10" s="16" t="str">
        <f t="shared" si="0"/>
        <v>Tuesday</v>
      </c>
      <c r="Z10" s="17" t="str">
        <f t="shared" si="1"/>
        <v>February</v>
      </c>
      <c r="AA10" s="12"/>
    </row>
    <row r="11" spans="1:30" x14ac:dyDescent="0.3">
      <c r="A11" s="12" t="s">
        <v>25</v>
      </c>
      <c r="B11" s="12" t="s">
        <v>17</v>
      </c>
      <c r="C11" s="12" t="s">
        <v>18</v>
      </c>
      <c r="D11" s="12">
        <v>4777</v>
      </c>
      <c r="E11" s="12">
        <v>1</v>
      </c>
      <c r="F11" s="12">
        <v>238199</v>
      </c>
      <c r="G11" s="12" t="s">
        <v>19</v>
      </c>
      <c r="H11" s="12" t="s">
        <v>20</v>
      </c>
      <c r="I11" s="12" t="s">
        <v>26</v>
      </c>
      <c r="J11" s="12" t="s">
        <v>27</v>
      </c>
      <c r="K11" s="12">
        <v>5507</v>
      </c>
      <c r="L11" s="12" t="s">
        <v>23</v>
      </c>
      <c r="M11" s="12">
        <v>400</v>
      </c>
      <c r="N11" s="12" t="s">
        <v>24</v>
      </c>
      <c r="O11" s="12" t="s">
        <v>23</v>
      </c>
      <c r="P11" s="12">
        <v>21</v>
      </c>
      <c r="Q11" s="12">
        <v>0</v>
      </c>
      <c r="R11" s="13">
        <f>A11-6+4</f>
        <v>43501</v>
      </c>
      <c r="S11" s="14">
        <f t="shared" si="2"/>
        <v>0</v>
      </c>
      <c r="T11" s="14">
        <f t="shared" si="3"/>
        <v>5</v>
      </c>
      <c r="U11" s="14">
        <f t="shared" si="4"/>
        <v>3</v>
      </c>
      <c r="V11" s="12">
        <f t="shared" si="5"/>
        <v>6</v>
      </c>
      <c r="W11" s="12">
        <f t="shared" si="6"/>
        <v>2</v>
      </c>
      <c r="X11" s="12">
        <f t="shared" si="7"/>
        <v>2019</v>
      </c>
      <c r="Y11" s="16" t="str">
        <f t="shared" si="0"/>
        <v>Wednesday</v>
      </c>
      <c r="Z11" s="17" t="str">
        <f t="shared" si="1"/>
        <v>February</v>
      </c>
      <c r="AA11" s="12"/>
    </row>
    <row r="12" spans="1:30" x14ac:dyDescent="0.3">
      <c r="A12" s="12" t="s">
        <v>25</v>
      </c>
      <c r="B12" s="12" t="s">
        <v>17</v>
      </c>
      <c r="C12" s="12" t="s">
        <v>18</v>
      </c>
      <c r="D12" s="12">
        <v>4777</v>
      </c>
      <c r="E12" s="12">
        <v>1</v>
      </c>
      <c r="F12" s="12">
        <v>238199</v>
      </c>
      <c r="G12" s="12" t="s">
        <v>19</v>
      </c>
      <c r="H12" s="12" t="s">
        <v>20</v>
      </c>
      <c r="I12" s="12" t="s">
        <v>26</v>
      </c>
      <c r="J12" s="12" t="s">
        <v>27</v>
      </c>
      <c r="K12" s="12">
        <v>5507</v>
      </c>
      <c r="L12" s="12" t="s">
        <v>23</v>
      </c>
      <c r="M12" s="12">
        <v>400</v>
      </c>
      <c r="N12" s="12" t="s">
        <v>24</v>
      </c>
      <c r="O12" s="12" t="s">
        <v>23</v>
      </c>
      <c r="P12" s="12">
        <v>21</v>
      </c>
      <c r="Q12" s="12">
        <v>4.5</v>
      </c>
      <c r="R12" s="13">
        <f>A12-6+5</f>
        <v>43502</v>
      </c>
      <c r="S12" s="14">
        <f t="shared" si="2"/>
        <v>94.5</v>
      </c>
      <c r="T12" s="14">
        <f t="shared" si="3"/>
        <v>6</v>
      </c>
      <c r="U12" s="14">
        <f t="shared" si="4"/>
        <v>4</v>
      </c>
      <c r="V12" s="12">
        <f t="shared" si="5"/>
        <v>6</v>
      </c>
      <c r="W12" s="12">
        <f t="shared" si="6"/>
        <v>2</v>
      </c>
      <c r="X12" s="12">
        <f t="shared" si="7"/>
        <v>2019</v>
      </c>
      <c r="Y12" s="16" t="str">
        <f t="shared" si="0"/>
        <v>Thursday</v>
      </c>
      <c r="Z12" s="17" t="str">
        <f t="shared" si="1"/>
        <v>February</v>
      </c>
      <c r="AA12" s="12"/>
    </row>
    <row r="13" spans="1:30" x14ac:dyDescent="0.3">
      <c r="A13" s="12" t="s">
        <v>25</v>
      </c>
      <c r="B13" s="12" t="s">
        <v>17</v>
      </c>
      <c r="C13" s="12" t="s">
        <v>18</v>
      </c>
      <c r="D13" s="12">
        <v>4777</v>
      </c>
      <c r="E13" s="12">
        <v>1</v>
      </c>
      <c r="F13" s="12">
        <v>238199</v>
      </c>
      <c r="G13" s="12" t="s">
        <v>19</v>
      </c>
      <c r="H13" s="12" t="s">
        <v>20</v>
      </c>
      <c r="I13" s="12" t="s">
        <v>26</v>
      </c>
      <c r="J13" s="12" t="s">
        <v>27</v>
      </c>
      <c r="K13" s="12">
        <v>5507</v>
      </c>
      <c r="L13" s="12" t="s">
        <v>23</v>
      </c>
      <c r="M13" s="12">
        <v>400</v>
      </c>
      <c r="N13" s="12" t="s">
        <v>24</v>
      </c>
      <c r="O13" s="12" t="s">
        <v>23</v>
      </c>
      <c r="P13" s="12">
        <v>21</v>
      </c>
      <c r="Q13" s="12">
        <v>0</v>
      </c>
      <c r="R13" s="13">
        <f>A13-6+6</f>
        <v>43503</v>
      </c>
      <c r="S13" s="14">
        <f t="shared" si="2"/>
        <v>0</v>
      </c>
      <c r="T13" s="14">
        <f t="shared" si="3"/>
        <v>7</v>
      </c>
      <c r="U13" s="14">
        <f t="shared" si="4"/>
        <v>5</v>
      </c>
      <c r="V13" s="12">
        <f t="shared" si="5"/>
        <v>6</v>
      </c>
      <c r="W13" s="12">
        <f t="shared" si="6"/>
        <v>2</v>
      </c>
      <c r="X13" s="12">
        <f t="shared" si="7"/>
        <v>2019</v>
      </c>
      <c r="Y13" s="16" t="str">
        <f t="shared" si="0"/>
        <v>Friday</v>
      </c>
      <c r="Z13" s="17" t="str">
        <f t="shared" si="1"/>
        <v>February</v>
      </c>
      <c r="AA13" s="12"/>
    </row>
    <row r="14" spans="1:30" x14ac:dyDescent="0.3">
      <c r="A14" s="12" t="s">
        <v>25</v>
      </c>
      <c r="B14" s="12" t="s">
        <v>17</v>
      </c>
      <c r="C14" s="12" t="s">
        <v>18</v>
      </c>
      <c r="D14" s="12">
        <v>4777</v>
      </c>
      <c r="E14" s="12">
        <v>1</v>
      </c>
      <c r="F14" s="12">
        <v>238199</v>
      </c>
      <c r="G14" s="12" t="s">
        <v>19</v>
      </c>
      <c r="H14" s="12" t="s">
        <v>20</v>
      </c>
      <c r="I14" s="12" t="s">
        <v>26</v>
      </c>
      <c r="J14" s="12" t="s">
        <v>27</v>
      </c>
      <c r="K14" s="12">
        <v>5507</v>
      </c>
      <c r="L14" s="12" t="s">
        <v>23</v>
      </c>
      <c r="M14" s="12">
        <v>400</v>
      </c>
      <c r="N14" s="12" t="s">
        <v>24</v>
      </c>
      <c r="O14" s="12" t="s">
        <v>23</v>
      </c>
      <c r="P14" s="12">
        <v>21</v>
      </c>
      <c r="Q14" s="12">
        <v>0</v>
      </c>
      <c r="R14" s="13">
        <f>R9-2</f>
        <v>43497</v>
      </c>
      <c r="S14" s="14">
        <f t="shared" si="2"/>
        <v>0</v>
      </c>
      <c r="T14" s="14">
        <f t="shared" si="3"/>
        <v>1</v>
      </c>
      <c r="U14" s="14">
        <f t="shared" si="4"/>
        <v>6</v>
      </c>
      <c r="V14" s="12">
        <f t="shared" si="5"/>
        <v>5</v>
      </c>
      <c r="W14" s="12">
        <f t="shared" si="6"/>
        <v>2</v>
      </c>
      <c r="X14" s="12">
        <f t="shared" si="7"/>
        <v>2019</v>
      </c>
      <c r="Y14" s="16" t="str">
        <f t="shared" si="0"/>
        <v>Saturday</v>
      </c>
      <c r="Z14" s="17" t="str">
        <f t="shared" si="1"/>
        <v>February</v>
      </c>
      <c r="AA14" s="12"/>
    </row>
    <row r="15" spans="1:30" x14ac:dyDescent="0.3">
      <c r="A15" s="12" t="s">
        <v>25</v>
      </c>
      <c r="B15" s="12" t="s">
        <v>17</v>
      </c>
      <c r="C15" s="12" t="s">
        <v>18</v>
      </c>
      <c r="D15" s="12">
        <v>4777</v>
      </c>
      <c r="E15" s="12">
        <v>1</v>
      </c>
      <c r="F15" s="12">
        <v>238199</v>
      </c>
      <c r="G15" s="12" t="s">
        <v>19</v>
      </c>
      <c r="H15" s="12" t="s">
        <v>20</v>
      </c>
      <c r="I15" s="12" t="s">
        <v>26</v>
      </c>
      <c r="J15" s="12" t="s">
        <v>27</v>
      </c>
      <c r="K15" s="12">
        <v>5507</v>
      </c>
      <c r="L15" s="12" t="s">
        <v>23</v>
      </c>
      <c r="M15" s="12">
        <v>400</v>
      </c>
      <c r="N15" s="12" t="s">
        <v>24</v>
      </c>
      <c r="O15" s="12" t="s">
        <v>23</v>
      </c>
      <c r="P15" s="12">
        <v>21</v>
      </c>
      <c r="Q15" s="12">
        <v>0</v>
      </c>
      <c r="R15" s="13">
        <f>R9-1</f>
        <v>43498</v>
      </c>
      <c r="S15" s="14">
        <f t="shared" si="2"/>
        <v>0</v>
      </c>
      <c r="T15" s="14">
        <f t="shared" si="3"/>
        <v>2</v>
      </c>
      <c r="U15" s="14">
        <f t="shared" si="4"/>
        <v>7</v>
      </c>
      <c r="V15" s="12">
        <f t="shared" si="5"/>
        <v>5</v>
      </c>
      <c r="W15" s="12">
        <f t="shared" si="6"/>
        <v>2</v>
      </c>
      <c r="X15" s="12">
        <f t="shared" si="7"/>
        <v>2019</v>
      </c>
      <c r="Y15" s="16" t="str">
        <f t="shared" si="0"/>
        <v>Sunday</v>
      </c>
      <c r="Z15" s="17" t="str">
        <f t="shared" si="1"/>
        <v>February</v>
      </c>
      <c r="AA15" s="12"/>
    </row>
    <row r="16" spans="1:30" x14ac:dyDescent="0.3">
      <c r="A16" s="12" t="s">
        <v>28</v>
      </c>
      <c r="B16" s="12" t="s">
        <v>29</v>
      </c>
      <c r="C16" s="12" t="s">
        <v>30</v>
      </c>
      <c r="D16" s="12">
        <v>5627</v>
      </c>
      <c r="E16" s="12">
        <v>1</v>
      </c>
      <c r="F16" s="12">
        <v>234209</v>
      </c>
      <c r="G16" s="12" t="s">
        <v>19</v>
      </c>
      <c r="H16" s="12" t="s">
        <v>20</v>
      </c>
      <c r="I16" s="12" t="s">
        <v>31</v>
      </c>
      <c r="J16" s="12" t="s">
        <v>22</v>
      </c>
      <c r="K16" s="12">
        <v>5606</v>
      </c>
      <c r="L16" s="12" t="s">
        <v>23</v>
      </c>
      <c r="M16" s="12">
        <v>800</v>
      </c>
      <c r="N16" s="12" t="s">
        <v>24</v>
      </c>
      <c r="O16" s="12" t="s">
        <v>23</v>
      </c>
      <c r="P16" s="12">
        <v>63.293999999999997</v>
      </c>
      <c r="Q16" s="12">
        <v>0</v>
      </c>
      <c r="R16" s="13">
        <f>A16-6+2</f>
        <v>43450</v>
      </c>
      <c r="S16" s="14">
        <f t="shared" si="2"/>
        <v>0</v>
      </c>
      <c r="T16" s="14">
        <f t="shared" si="3"/>
        <v>16</v>
      </c>
      <c r="U16" s="14">
        <f t="shared" si="4"/>
        <v>1</v>
      </c>
      <c r="V16" s="12">
        <f t="shared" si="5"/>
        <v>51</v>
      </c>
      <c r="W16" s="12">
        <f t="shared" si="6"/>
        <v>12</v>
      </c>
      <c r="X16" s="12">
        <f t="shared" si="7"/>
        <v>2018</v>
      </c>
      <c r="Y16" s="16" t="str">
        <f t="shared" si="0"/>
        <v>Monday</v>
      </c>
      <c r="Z16" s="17" t="str">
        <f t="shared" si="1"/>
        <v>December</v>
      </c>
      <c r="AA16" s="12"/>
    </row>
    <row r="17" spans="1:27" x14ac:dyDescent="0.3">
      <c r="A17" s="12" t="s">
        <v>28</v>
      </c>
      <c r="B17" s="12" t="s">
        <v>29</v>
      </c>
      <c r="C17" s="12" t="s">
        <v>30</v>
      </c>
      <c r="D17" s="12">
        <v>5627</v>
      </c>
      <c r="E17" s="12">
        <v>1</v>
      </c>
      <c r="F17" s="12">
        <v>234209</v>
      </c>
      <c r="G17" s="12" t="s">
        <v>19</v>
      </c>
      <c r="H17" s="12" t="s">
        <v>20</v>
      </c>
      <c r="I17" s="12" t="s">
        <v>31</v>
      </c>
      <c r="J17" s="12" t="s">
        <v>22</v>
      </c>
      <c r="K17" s="12">
        <v>5606</v>
      </c>
      <c r="L17" s="12" t="s">
        <v>23</v>
      </c>
      <c r="M17" s="12">
        <v>800</v>
      </c>
      <c r="N17" s="12" t="s">
        <v>24</v>
      </c>
      <c r="O17" s="12" t="s">
        <v>23</v>
      </c>
      <c r="P17" s="12">
        <v>63.293999999999997</v>
      </c>
      <c r="Q17" s="12">
        <v>0</v>
      </c>
      <c r="R17" s="13">
        <f>A17-6+3</f>
        <v>43451</v>
      </c>
      <c r="S17" s="14">
        <f t="shared" si="2"/>
        <v>0</v>
      </c>
      <c r="T17" s="14">
        <f t="shared" si="3"/>
        <v>17</v>
      </c>
      <c r="U17" s="14">
        <f t="shared" si="4"/>
        <v>2</v>
      </c>
      <c r="V17" s="12">
        <f t="shared" si="5"/>
        <v>51</v>
      </c>
      <c r="W17" s="12">
        <f t="shared" si="6"/>
        <v>12</v>
      </c>
      <c r="X17" s="12">
        <f t="shared" si="7"/>
        <v>2018</v>
      </c>
      <c r="Y17" s="16" t="str">
        <f t="shared" si="0"/>
        <v>Tuesday</v>
      </c>
      <c r="Z17" s="17" t="str">
        <f t="shared" si="1"/>
        <v>December</v>
      </c>
      <c r="AA17" s="12"/>
    </row>
    <row r="18" spans="1:27" x14ac:dyDescent="0.3">
      <c r="A18" s="12" t="s">
        <v>28</v>
      </c>
      <c r="B18" s="12" t="s">
        <v>29</v>
      </c>
      <c r="C18" s="12" t="s">
        <v>30</v>
      </c>
      <c r="D18" s="12">
        <v>5627</v>
      </c>
      <c r="E18" s="12">
        <v>1</v>
      </c>
      <c r="F18" s="12">
        <v>234209</v>
      </c>
      <c r="G18" s="12" t="s">
        <v>19</v>
      </c>
      <c r="H18" s="12" t="s">
        <v>20</v>
      </c>
      <c r="I18" s="12" t="s">
        <v>31</v>
      </c>
      <c r="J18" s="12" t="s">
        <v>22</v>
      </c>
      <c r="K18" s="12">
        <v>5606</v>
      </c>
      <c r="L18" s="12" t="s">
        <v>23</v>
      </c>
      <c r="M18" s="12">
        <v>800</v>
      </c>
      <c r="N18" s="12" t="s">
        <v>24</v>
      </c>
      <c r="O18" s="12" t="s">
        <v>23</v>
      </c>
      <c r="P18" s="12">
        <v>63.293999999999997</v>
      </c>
      <c r="Q18" s="12">
        <v>0</v>
      </c>
      <c r="R18" s="13">
        <f>A18-6+4</f>
        <v>43452</v>
      </c>
      <c r="S18" s="14">
        <f t="shared" si="2"/>
        <v>0</v>
      </c>
      <c r="T18" s="14">
        <f t="shared" si="3"/>
        <v>18</v>
      </c>
      <c r="U18" s="14">
        <f t="shared" si="4"/>
        <v>3</v>
      </c>
      <c r="V18" s="12">
        <f t="shared" si="5"/>
        <v>51</v>
      </c>
      <c r="W18" s="12">
        <f t="shared" si="6"/>
        <v>12</v>
      </c>
      <c r="X18" s="12">
        <f t="shared" si="7"/>
        <v>2018</v>
      </c>
      <c r="Y18" s="16" t="str">
        <f t="shared" si="0"/>
        <v>Wednesday</v>
      </c>
      <c r="Z18" s="17" t="str">
        <f t="shared" si="1"/>
        <v>December</v>
      </c>
      <c r="AA18" s="12"/>
    </row>
    <row r="19" spans="1:27" x14ac:dyDescent="0.3">
      <c r="A19" s="12" t="s">
        <v>28</v>
      </c>
      <c r="B19" s="12" t="s">
        <v>29</v>
      </c>
      <c r="C19" s="12" t="s">
        <v>30</v>
      </c>
      <c r="D19" s="12">
        <v>5627</v>
      </c>
      <c r="E19" s="12">
        <v>1</v>
      </c>
      <c r="F19" s="12">
        <v>234209</v>
      </c>
      <c r="G19" s="12" t="s">
        <v>19</v>
      </c>
      <c r="H19" s="12" t="s">
        <v>20</v>
      </c>
      <c r="I19" s="12" t="s">
        <v>31</v>
      </c>
      <c r="J19" s="12" t="s">
        <v>22</v>
      </c>
      <c r="K19" s="12">
        <v>5606</v>
      </c>
      <c r="L19" s="12" t="s">
        <v>23</v>
      </c>
      <c r="M19" s="12">
        <v>800</v>
      </c>
      <c r="N19" s="12" t="s">
        <v>24</v>
      </c>
      <c r="O19" s="12" t="s">
        <v>23</v>
      </c>
      <c r="P19" s="12">
        <v>63.293999999999997</v>
      </c>
      <c r="Q19" s="12">
        <v>3</v>
      </c>
      <c r="R19" s="13">
        <f>A19-6+5</f>
        <v>43453</v>
      </c>
      <c r="S19" s="14">
        <f t="shared" si="2"/>
        <v>189.88200000000001</v>
      </c>
      <c r="T19" s="14">
        <f t="shared" si="3"/>
        <v>19</v>
      </c>
      <c r="U19" s="14">
        <f t="shared" si="4"/>
        <v>4</v>
      </c>
      <c r="V19" s="12">
        <f t="shared" si="5"/>
        <v>51</v>
      </c>
      <c r="W19" s="12">
        <f t="shared" si="6"/>
        <v>12</v>
      </c>
      <c r="X19" s="12">
        <f t="shared" si="7"/>
        <v>2018</v>
      </c>
      <c r="Y19" s="16" t="str">
        <f t="shared" si="0"/>
        <v>Thursday</v>
      </c>
      <c r="Z19" s="17" t="str">
        <f t="shared" si="1"/>
        <v>December</v>
      </c>
      <c r="AA19" s="12"/>
    </row>
    <row r="20" spans="1:27" x14ac:dyDescent="0.3">
      <c r="A20" s="12" t="s">
        <v>28</v>
      </c>
      <c r="B20" s="12" t="s">
        <v>29</v>
      </c>
      <c r="C20" s="12" t="s">
        <v>30</v>
      </c>
      <c r="D20" s="12">
        <v>5627</v>
      </c>
      <c r="E20" s="12">
        <v>1</v>
      </c>
      <c r="F20" s="12">
        <v>234209</v>
      </c>
      <c r="G20" s="12" t="s">
        <v>19</v>
      </c>
      <c r="H20" s="12" t="s">
        <v>20</v>
      </c>
      <c r="I20" s="12" t="s">
        <v>31</v>
      </c>
      <c r="J20" s="12" t="s">
        <v>22</v>
      </c>
      <c r="K20" s="12">
        <v>5606</v>
      </c>
      <c r="L20" s="12" t="s">
        <v>23</v>
      </c>
      <c r="M20" s="12">
        <v>800</v>
      </c>
      <c r="N20" s="12" t="s">
        <v>24</v>
      </c>
      <c r="O20" s="12" t="s">
        <v>23</v>
      </c>
      <c r="P20" s="12">
        <v>63.293999999999997</v>
      </c>
      <c r="Q20" s="12">
        <v>0</v>
      </c>
      <c r="R20" s="13">
        <f>A20-6+6</f>
        <v>43454</v>
      </c>
      <c r="S20" s="14">
        <f t="shared" si="2"/>
        <v>0</v>
      </c>
      <c r="T20" s="14">
        <f t="shared" si="3"/>
        <v>20</v>
      </c>
      <c r="U20" s="14">
        <f t="shared" si="4"/>
        <v>5</v>
      </c>
      <c r="V20" s="12">
        <f t="shared" si="5"/>
        <v>51</v>
      </c>
      <c r="W20" s="12">
        <f t="shared" si="6"/>
        <v>12</v>
      </c>
      <c r="X20" s="12">
        <f t="shared" si="7"/>
        <v>2018</v>
      </c>
      <c r="Y20" s="16" t="str">
        <f t="shared" si="0"/>
        <v>Friday</v>
      </c>
      <c r="Z20" s="17" t="str">
        <f t="shared" si="1"/>
        <v>December</v>
      </c>
      <c r="AA20" s="12"/>
    </row>
    <row r="21" spans="1:27" x14ac:dyDescent="0.3">
      <c r="A21" s="12" t="s">
        <v>28</v>
      </c>
      <c r="B21" s="12" t="s">
        <v>29</v>
      </c>
      <c r="C21" s="12" t="s">
        <v>30</v>
      </c>
      <c r="D21" s="12">
        <v>5627</v>
      </c>
      <c r="E21" s="12">
        <v>1</v>
      </c>
      <c r="F21" s="12">
        <v>234209</v>
      </c>
      <c r="G21" s="12" t="s">
        <v>19</v>
      </c>
      <c r="H21" s="12" t="s">
        <v>20</v>
      </c>
      <c r="I21" s="12" t="s">
        <v>31</v>
      </c>
      <c r="J21" s="12" t="s">
        <v>22</v>
      </c>
      <c r="K21" s="12">
        <v>5606</v>
      </c>
      <c r="L21" s="12" t="s">
        <v>23</v>
      </c>
      <c r="M21" s="12">
        <v>800</v>
      </c>
      <c r="N21" s="12" t="s">
        <v>24</v>
      </c>
      <c r="O21" s="12" t="s">
        <v>23</v>
      </c>
      <c r="P21" s="12">
        <v>63.293999999999997</v>
      </c>
      <c r="Q21" s="12">
        <v>0</v>
      </c>
      <c r="R21" s="13">
        <f>R16-2</f>
        <v>43448</v>
      </c>
      <c r="S21" s="14">
        <f t="shared" si="2"/>
        <v>0</v>
      </c>
      <c r="T21" s="14">
        <f t="shared" si="3"/>
        <v>14</v>
      </c>
      <c r="U21" s="14">
        <f t="shared" si="4"/>
        <v>6</v>
      </c>
      <c r="V21" s="12">
        <f t="shared" si="5"/>
        <v>50</v>
      </c>
      <c r="W21" s="12">
        <f t="shared" si="6"/>
        <v>12</v>
      </c>
      <c r="X21" s="12">
        <f t="shared" si="7"/>
        <v>2018</v>
      </c>
      <c r="Y21" s="16" t="str">
        <f t="shared" si="0"/>
        <v>Saturday</v>
      </c>
      <c r="Z21" s="17" t="str">
        <f t="shared" si="1"/>
        <v>December</v>
      </c>
      <c r="AA21" s="12"/>
    </row>
    <row r="22" spans="1:27" x14ac:dyDescent="0.3">
      <c r="A22" s="12" t="s">
        <v>28</v>
      </c>
      <c r="B22" s="12" t="s">
        <v>29</v>
      </c>
      <c r="C22" s="12" t="s">
        <v>30</v>
      </c>
      <c r="D22" s="12">
        <v>5627</v>
      </c>
      <c r="E22" s="12">
        <v>1</v>
      </c>
      <c r="F22" s="12">
        <v>234209</v>
      </c>
      <c r="G22" s="12" t="s">
        <v>19</v>
      </c>
      <c r="H22" s="12" t="s">
        <v>20</v>
      </c>
      <c r="I22" s="12" t="s">
        <v>31</v>
      </c>
      <c r="J22" s="12" t="s">
        <v>22</v>
      </c>
      <c r="K22" s="12">
        <v>5606</v>
      </c>
      <c r="L22" s="12" t="s">
        <v>23</v>
      </c>
      <c r="M22" s="12">
        <v>800</v>
      </c>
      <c r="N22" s="12" t="s">
        <v>24</v>
      </c>
      <c r="O22" s="12" t="s">
        <v>23</v>
      </c>
      <c r="P22" s="12">
        <v>63.293999999999997</v>
      </c>
      <c r="Q22" s="12">
        <v>0</v>
      </c>
      <c r="R22" s="13">
        <f>R16-1</f>
        <v>43449</v>
      </c>
      <c r="S22" s="14">
        <f t="shared" si="2"/>
        <v>0</v>
      </c>
      <c r="T22" s="14">
        <f t="shared" si="3"/>
        <v>15</v>
      </c>
      <c r="U22" s="14">
        <f t="shared" si="4"/>
        <v>7</v>
      </c>
      <c r="V22" s="12">
        <f t="shared" si="5"/>
        <v>50</v>
      </c>
      <c r="W22" s="12">
        <f t="shared" si="6"/>
        <v>12</v>
      </c>
      <c r="X22" s="12">
        <f t="shared" si="7"/>
        <v>2018</v>
      </c>
      <c r="Y22" s="16" t="str">
        <f t="shared" si="0"/>
        <v>Sunday</v>
      </c>
      <c r="Z22" s="17" t="str">
        <f t="shared" si="1"/>
        <v>December</v>
      </c>
      <c r="AA22" s="12"/>
    </row>
    <row r="23" spans="1:27" x14ac:dyDescent="0.3">
      <c r="A23" s="12" t="s">
        <v>32</v>
      </c>
      <c r="B23" s="12" t="s">
        <v>29</v>
      </c>
      <c r="C23" s="12" t="s">
        <v>30</v>
      </c>
      <c r="D23" s="12">
        <v>5627</v>
      </c>
      <c r="E23" s="12">
        <v>1</v>
      </c>
      <c r="F23" s="12">
        <v>234780</v>
      </c>
      <c r="G23" s="12" t="s">
        <v>19</v>
      </c>
      <c r="H23" s="12" t="s">
        <v>20</v>
      </c>
      <c r="I23" s="12" t="s">
        <v>31</v>
      </c>
      <c r="J23" s="12" t="s">
        <v>22</v>
      </c>
      <c r="K23" s="12">
        <v>5606</v>
      </c>
      <c r="L23" s="12" t="s">
        <v>23</v>
      </c>
      <c r="M23" s="12">
        <v>800</v>
      </c>
      <c r="N23" s="12" t="s">
        <v>24</v>
      </c>
      <c r="O23" s="12" t="s">
        <v>33</v>
      </c>
      <c r="P23" s="12">
        <v>89.355999999999995</v>
      </c>
      <c r="Q23" s="12">
        <v>0</v>
      </c>
      <c r="R23" s="13">
        <f>A23-6+2</f>
        <v>43457</v>
      </c>
      <c r="S23" s="14">
        <f t="shared" si="2"/>
        <v>0</v>
      </c>
      <c r="T23" s="14">
        <f t="shared" si="3"/>
        <v>23</v>
      </c>
      <c r="U23" s="14">
        <f t="shared" si="4"/>
        <v>1</v>
      </c>
      <c r="V23" s="12">
        <f t="shared" si="5"/>
        <v>52</v>
      </c>
      <c r="W23" s="12">
        <f t="shared" si="6"/>
        <v>12</v>
      </c>
      <c r="X23" s="12">
        <f t="shared" si="7"/>
        <v>2018</v>
      </c>
      <c r="Y23" s="16" t="str">
        <f t="shared" si="0"/>
        <v>Monday</v>
      </c>
      <c r="Z23" s="17" t="str">
        <f t="shared" si="1"/>
        <v>December</v>
      </c>
      <c r="AA23" s="12"/>
    </row>
    <row r="24" spans="1:27" x14ac:dyDescent="0.3">
      <c r="A24" s="12" t="s">
        <v>32</v>
      </c>
      <c r="B24" s="12" t="s">
        <v>29</v>
      </c>
      <c r="C24" s="12" t="s">
        <v>30</v>
      </c>
      <c r="D24" s="12">
        <v>5627</v>
      </c>
      <c r="E24" s="12">
        <v>1</v>
      </c>
      <c r="F24" s="12">
        <v>234780</v>
      </c>
      <c r="G24" s="12" t="s">
        <v>19</v>
      </c>
      <c r="H24" s="12" t="s">
        <v>20</v>
      </c>
      <c r="I24" s="12" t="s">
        <v>31</v>
      </c>
      <c r="J24" s="12" t="s">
        <v>22</v>
      </c>
      <c r="K24" s="12">
        <v>5606</v>
      </c>
      <c r="L24" s="12" t="s">
        <v>23</v>
      </c>
      <c r="M24" s="12">
        <v>800</v>
      </c>
      <c r="N24" s="12" t="s">
        <v>24</v>
      </c>
      <c r="O24" s="12" t="s">
        <v>33</v>
      </c>
      <c r="P24" s="12">
        <v>89.355999999999995</v>
      </c>
      <c r="Q24" s="12">
        <v>0</v>
      </c>
      <c r="R24" s="13">
        <f>A24-6+3</f>
        <v>43458</v>
      </c>
      <c r="S24" s="14">
        <f t="shared" si="2"/>
        <v>0</v>
      </c>
      <c r="T24" s="14">
        <f t="shared" si="3"/>
        <v>24</v>
      </c>
      <c r="U24" s="14">
        <f t="shared" si="4"/>
        <v>2</v>
      </c>
      <c r="V24" s="12">
        <f t="shared" si="5"/>
        <v>52</v>
      </c>
      <c r="W24" s="12">
        <f t="shared" si="6"/>
        <v>12</v>
      </c>
      <c r="X24" s="12">
        <f t="shared" si="7"/>
        <v>2018</v>
      </c>
      <c r="Y24" s="16" t="str">
        <f t="shared" si="0"/>
        <v>Tuesday</v>
      </c>
      <c r="Z24" s="17" t="str">
        <f t="shared" si="1"/>
        <v>December</v>
      </c>
      <c r="AA24" s="12"/>
    </row>
    <row r="25" spans="1:27" x14ac:dyDescent="0.3">
      <c r="A25" s="12" t="s">
        <v>32</v>
      </c>
      <c r="B25" s="12" t="s">
        <v>29</v>
      </c>
      <c r="C25" s="12" t="s">
        <v>30</v>
      </c>
      <c r="D25" s="12">
        <v>5627</v>
      </c>
      <c r="E25" s="12">
        <v>1</v>
      </c>
      <c r="F25" s="12">
        <v>234780</v>
      </c>
      <c r="G25" s="12" t="s">
        <v>19</v>
      </c>
      <c r="H25" s="12" t="s">
        <v>20</v>
      </c>
      <c r="I25" s="12" t="s">
        <v>31</v>
      </c>
      <c r="J25" s="12" t="s">
        <v>22</v>
      </c>
      <c r="K25" s="12">
        <v>5606</v>
      </c>
      <c r="L25" s="12" t="s">
        <v>23</v>
      </c>
      <c r="M25" s="12">
        <v>800</v>
      </c>
      <c r="N25" s="12" t="s">
        <v>24</v>
      </c>
      <c r="O25" s="12" t="s">
        <v>33</v>
      </c>
      <c r="P25" s="12">
        <v>89.355999999999995</v>
      </c>
      <c r="Q25" s="12">
        <v>0</v>
      </c>
      <c r="R25" s="13">
        <f>A25-6+4</f>
        <v>43459</v>
      </c>
      <c r="S25" s="14">
        <f t="shared" si="2"/>
        <v>0</v>
      </c>
      <c r="T25" s="14">
        <f t="shared" si="3"/>
        <v>25</v>
      </c>
      <c r="U25" s="14">
        <f t="shared" si="4"/>
        <v>3</v>
      </c>
      <c r="V25" s="12">
        <f t="shared" si="5"/>
        <v>52</v>
      </c>
      <c r="W25" s="12">
        <f t="shared" si="6"/>
        <v>12</v>
      </c>
      <c r="X25" s="12">
        <f t="shared" si="7"/>
        <v>2018</v>
      </c>
      <c r="Y25" s="16" t="str">
        <f t="shared" si="0"/>
        <v>Wednesday</v>
      </c>
      <c r="Z25" s="17" t="str">
        <f t="shared" si="1"/>
        <v>December</v>
      </c>
      <c r="AA25" s="12"/>
    </row>
    <row r="26" spans="1:27" x14ac:dyDescent="0.3">
      <c r="A26" s="12" t="s">
        <v>32</v>
      </c>
      <c r="B26" s="12" t="s">
        <v>29</v>
      </c>
      <c r="C26" s="12" t="s">
        <v>30</v>
      </c>
      <c r="D26" s="12">
        <v>5627</v>
      </c>
      <c r="E26" s="12">
        <v>1</v>
      </c>
      <c r="F26" s="12">
        <v>234780</v>
      </c>
      <c r="G26" s="12" t="s">
        <v>19</v>
      </c>
      <c r="H26" s="12" t="s">
        <v>20</v>
      </c>
      <c r="I26" s="12" t="s">
        <v>31</v>
      </c>
      <c r="J26" s="12" t="s">
        <v>22</v>
      </c>
      <c r="K26" s="12">
        <v>5606</v>
      </c>
      <c r="L26" s="12" t="s">
        <v>23</v>
      </c>
      <c r="M26" s="12">
        <v>800</v>
      </c>
      <c r="N26" s="12" t="s">
        <v>24</v>
      </c>
      <c r="O26" s="12" t="s">
        <v>33</v>
      </c>
      <c r="P26" s="12">
        <v>89.355999999999995</v>
      </c>
      <c r="Q26" s="12">
        <v>0</v>
      </c>
      <c r="R26" s="13">
        <f>A26-6+5</f>
        <v>43460</v>
      </c>
      <c r="S26" s="14">
        <f t="shared" si="2"/>
        <v>0</v>
      </c>
      <c r="T26" s="14">
        <f t="shared" si="3"/>
        <v>26</v>
      </c>
      <c r="U26" s="14">
        <f t="shared" si="4"/>
        <v>4</v>
      </c>
      <c r="V26" s="12">
        <f t="shared" si="5"/>
        <v>52</v>
      </c>
      <c r="W26" s="12">
        <f t="shared" si="6"/>
        <v>12</v>
      </c>
      <c r="X26" s="12">
        <f t="shared" si="7"/>
        <v>2018</v>
      </c>
      <c r="Y26" s="16" t="str">
        <f t="shared" si="0"/>
        <v>Thursday</v>
      </c>
      <c r="Z26" s="17" t="str">
        <f t="shared" si="1"/>
        <v>December</v>
      </c>
      <c r="AA26" s="12"/>
    </row>
    <row r="27" spans="1:27" x14ac:dyDescent="0.3">
      <c r="A27" s="12" t="s">
        <v>32</v>
      </c>
      <c r="B27" s="12" t="s">
        <v>29</v>
      </c>
      <c r="C27" s="12" t="s">
        <v>30</v>
      </c>
      <c r="D27" s="12">
        <v>5627</v>
      </c>
      <c r="E27" s="12">
        <v>1</v>
      </c>
      <c r="F27" s="12">
        <v>234780</v>
      </c>
      <c r="G27" s="12" t="s">
        <v>19</v>
      </c>
      <c r="H27" s="12" t="s">
        <v>20</v>
      </c>
      <c r="I27" s="12" t="s">
        <v>31</v>
      </c>
      <c r="J27" s="12" t="s">
        <v>22</v>
      </c>
      <c r="K27" s="12">
        <v>5606</v>
      </c>
      <c r="L27" s="12" t="s">
        <v>23</v>
      </c>
      <c r="M27" s="12">
        <v>800</v>
      </c>
      <c r="N27" s="12" t="s">
        <v>24</v>
      </c>
      <c r="O27" s="12" t="s">
        <v>33</v>
      </c>
      <c r="P27" s="12">
        <v>89.355999999999995</v>
      </c>
      <c r="Q27" s="12">
        <v>0</v>
      </c>
      <c r="R27" s="13">
        <f>A27-6+6</f>
        <v>43461</v>
      </c>
      <c r="S27" s="14">
        <f t="shared" si="2"/>
        <v>0</v>
      </c>
      <c r="T27" s="14">
        <f t="shared" si="3"/>
        <v>27</v>
      </c>
      <c r="U27" s="14">
        <f t="shared" si="4"/>
        <v>5</v>
      </c>
      <c r="V27" s="12">
        <f t="shared" si="5"/>
        <v>52</v>
      </c>
      <c r="W27" s="12">
        <f t="shared" si="6"/>
        <v>12</v>
      </c>
      <c r="X27" s="12">
        <f t="shared" si="7"/>
        <v>2018</v>
      </c>
      <c r="Y27" s="16" t="str">
        <f t="shared" si="0"/>
        <v>Friday</v>
      </c>
      <c r="Z27" s="17" t="str">
        <f t="shared" si="1"/>
        <v>December</v>
      </c>
      <c r="AA27" s="12"/>
    </row>
    <row r="28" spans="1:27" x14ac:dyDescent="0.3">
      <c r="A28" s="12" t="s">
        <v>32</v>
      </c>
      <c r="B28" s="12" t="s">
        <v>29</v>
      </c>
      <c r="C28" s="12" t="s">
        <v>30</v>
      </c>
      <c r="D28" s="12">
        <v>5627</v>
      </c>
      <c r="E28" s="12">
        <v>1</v>
      </c>
      <c r="F28" s="12">
        <v>234780</v>
      </c>
      <c r="G28" s="12" t="s">
        <v>19</v>
      </c>
      <c r="H28" s="12" t="s">
        <v>20</v>
      </c>
      <c r="I28" s="12" t="s">
        <v>31</v>
      </c>
      <c r="J28" s="12" t="s">
        <v>22</v>
      </c>
      <c r="K28" s="12">
        <v>5606</v>
      </c>
      <c r="L28" s="12" t="s">
        <v>23</v>
      </c>
      <c r="M28" s="12">
        <v>800</v>
      </c>
      <c r="N28" s="12" t="s">
        <v>24</v>
      </c>
      <c r="O28" s="12" t="s">
        <v>33</v>
      </c>
      <c r="P28" s="12">
        <v>89.355999999999995</v>
      </c>
      <c r="Q28" s="12">
        <v>0</v>
      </c>
      <c r="R28" s="13">
        <f>R23-2</f>
        <v>43455</v>
      </c>
      <c r="S28" s="14">
        <f t="shared" si="2"/>
        <v>0</v>
      </c>
      <c r="T28" s="14">
        <f t="shared" si="3"/>
        <v>21</v>
      </c>
      <c r="U28" s="14">
        <f t="shared" si="4"/>
        <v>6</v>
      </c>
      <c r="V28" s="12">
        <f t="shared" si="5"/>
        <v>51</v>
      </c>
      <c r="W28" s="12">
        <f t="shared" si="6"/>
        <v>12</v>
      </c>
      <c r="X28" s="12">
        <f t="shared" si="7"/>
        <v>2018</v>
      </c>
      <c r="Y28" s="16" t="str">
        <f t="shared" si="0"/>
        <v>Saturday</v>
      </c>
      <c r="Z28" s="17" t="str">
        <f t="shared" si="1"/>
        <v>December</v>
      </c>
      <c r="AA28" s="12"/>
    </row>
    <row r="29" spans="1:27" x14ac:dyDescent="0.3">
      <c r="A29" s="12" t="s">
        <v>32</v>
      </c>
      <c r="B29" s="12" t="s">
        <v>29</v>
      </c>
      <c r="C29" s="12" t="s">
        <v>30</v>
      </c>
      <c r="D29" s="12">
        <v>5627</v>
      </c>
      <c r="E29" s="12">
        <v>1</v>
      </c>
      <c r="F29" s="12">
        <v>234780</v>
      </c>
      <c r="G29" s="12" t="s">
        <v>19</v>
      </c>
      <c r="H29" s="12" t="s">
        <v>20</v>
      </c>
      <c r="I29" s="12" t="s">
        <v>31</v>
      </c>
      <c r="J29" s="12" t="s">
        <v>22</v>
      </c>
      <c r="K29" s="12">
        <v>5606</v>
      </c>
      <c r="L29" s="12" t="s">
        <v>23</v>
      </c>
      <c r="M29" s="12">
        <v>800</v>
      </c>
      <c r="N29" s="12" t="s">
        <v>24</v>
      </c>
      <c r="O29" s="12" t="s">
        <v>33</v>
      </c>
      <c r="P29" s="12">
        <v>89.355999999999995</v>
      </c>
      <c r="Q29" s="12">
        <v>8</v>
      </c>
      <c r="R29" s="13">
        <f>R23-1</f>
        <v>43456</v>
      </c>
      <c r="S29" s="14">
        <f t="shared" si="2"/>
        <v>714.84799999999996</v>
      </c>
      <c r="T29" s="14">
        <f t="shared" si="3"/>
        <v>22</v>
      </c>
      <c r="U29" s="14">
        <f t="shared" si="4"/>
        <v>7</v>
      </c>
      <c r="V29" s="12">
        <f t="shared" si="5"/>
        <v>51</v>
      </c>
      <c r="W29" s="12">
        <f t="shared" si="6"/>
        <v>12</v>
      </c>
      <c r="X29" s="12">
        <f t="shared" si="7"/>
        <v>2018</v>
      </c>
      <c r="Y29" s="16" t="str">
        <f t="shared" si="0"/>
        <v>Sunday</v>
      </c>
      <c r="Z29" s="17" t="str">
        <f t="shared" si="1"/>
        <v>December</v>
      </c>
      <c r="AA29" s="12"/>
    </row>
    <row r="30" spans="1:27" x14ac:dyDescent="0.3">
      <c r="A30" s="12" t="s">
        <v>34</v>
      </c>
      <c r="B30" s="12" t="s">
        <v>29</v>
      </c>
      <c r="C30" s="12" t="s">
        <v>30</v>
      </c>
      <c r="D30" s="12">
        <v>5627</v>
      </c>
      <c r="E30" s="12">
        <v>1</v>
      </c>
      <c r="F30" s="12">
        <v>235904</v>
      </c>
      <c r="G30" s="12" t="s">
        <v>19</v>
      </c>
      <c r="H30" s="12" t="s">
        <v>20</v>
      </c>
      <c r="I30" s="12" t="s">
        <v>31</v>
      </c>
      <c r="J30" s="12" t="s">
        <v>22</v>
      </c>
      <c r="K30" s="12">
        <v>5606</v>
      </c>
      <c r="L30" s="12" t="s">
        <v>23</v>
      </c>
      <c r="M30" s="12">
        <v>800</v>
      </c>
      <c r="N30" s="12" t="s">
        <v>24</v>
      </c>
      <c r="O30" s="12" t="s">
        <v>23</v>
      </c>
      <c r="P30" s="12">
        <v>63.293999999999997</v>
      </c>
      <c r="Q30" s="12">
        <v>0</v>
      </c>
      <c r="R30" s="13">
        <f>A30-6+2</f>
        <v>43471</v>
      </c>
      <c r="S30" s="14">
        <f t="shared" si="2"/>
        <v>0</v>
      </c>
      <c r="T30" s="14">
        <f t="shared" si="3"/>
        <v>6</v>
      </c>
      <c r="U30" s="14">
        <f t="shared" si="4"/>
        <v>1</v>
      </c>
      <c r="V30" s="12">
        <f t="shared" si="5"/>
        <v>2</v>
      </c>
      <c r="W30" s="12">
        <f t="shared" si="6"/>
        <v>1</v>
      </c>
      <c r="X30" s="12">
        <f t="shared" si="7"/>
        <v>2019</v>
      </c>
      <c r="Y30" s="16" t="str">
        <f t="shared" si="0"/>
        <v>Monday</v>
      </c>
      <c r="Z30" s="17" t="str">
        <f t="shared" si="1"/>
        <v>January</v>
      </c>
      <c r="AA30" s="12"/>
    </row>
    <row r="31" spans="1:27" x14ac:dyDescent="0.3">
      <c r="A31" s="12" t="s">
        <v>34</v>
      </c>
      <c r="B31" s="12" t="s">
        <v>29</v>
      </c>
      <c r="C31" s="12" t="s">
        <v>30</v>
      </c>
      <c r="D31" s="12">
        <v>5627</v>
      </c>
      <c r="E31" s="12">
        <v>1</v>
      </c>
      <c r="F31" s="12">
        <v>235904</v>
      </c>
      <c r="G31" s="12" t="s">
        <v>19</v>
      </c>
      <c r="H31" s="12" t="s">
        <v>20</v>
      </c>
      <c r="I31" s="12" t="s">
        <v>31</v>
      </c>
      <c r="J31" s="12" t="s">
        <v>22</v>
      </c>
      <c r="K31" s="12">
        <v>5606</v>
      </c>
      <c r="L31" s="12" t="s">
        <v>23</v>
      </c>
      <c r="M31" s="12">
        <v>800</v>
      </c>
      <c r="N31" s="12" t="s">
        <v>24</v>
      </c>
      <c r="O31" s="12" t="s">
        <v>23</v>
      </c>
      <c r="P31" s="12">
        <v>63.293999999999997</v>
      </c>
      <c r="Q31" s="12">
        <v>0</v>
      </c>
      <c r="R31" s="13">
        <f>A31-6+3</f>
        <v>43472</v>
      </c>
      <c r="S31" s="14">
        <f t="shared" si="2"/>
        <v>0</v>
      </c>
      <c r="T31" s="14">
        <f t="shared" si="3"/>
        <v>7</v>
      </c>
      <c r="U31" s="14">
        <f t="shared" si="4"/>
        <v>2</v>
      </c>
      <c r="V31" s="12">
        <f t="shared" si="5"/>
        <v>2</v>
      </c>
      <c r="W31" s="12">
        <f t="shared" si="6"/>
        <v>1</v>
      </c>
      <c r="X31" s="12">
        <f t="shared" si="7"/>
        <v>2019</v>
      </c>
      <c r="Y31" s="16" t="str">
        <f t="shared" si="0"/>
        <v>Tuesday</v>
      </c>
      <c r="Z31" s="17" t="str">
        <f t="shared" si="1"/>
        <v>January</v>
      </c>
      <c r="AA31" s="12"/>
    </row>
    <row r="32" spans="1:27" x14ac:dyDescent="0.3">
      <c r="A32" s="12" t="s">
        <v>34</v>
      </c>
      <c r="B32" s="12" t="s">
        <v>29</v>
      </c>
      <c r="C32" s="12" t="s">
        <v>30</v>
      </c>
      <c r="D32" s="12">
        <v>5627</v>
      </c>
      <c r="E32" s="12">
        <v>1</v>
      </c>
      <c r="F32" s="12">
        <v>235904</v>
      </c>
      <c r="G32" s="12" t="s">
        <v>19</v>
      </c>
      <c r="H32" s="12" t="s">
        <v>20</v>
      </c>
      <c r="I32" s="12" t="s">
        <v>31</v>
      </c>
      <c r="J32" s="12" t="s">
        <v>22</v>
      </c>
      <c r="K32" s="12">
        <v>5606</v>
      </c>
      <c r="L32" s="12" t="s">
        <v>23</v>
      </c>
      <c r="M32" s="12">
        <v>800</v>
      </c>
      <c r="N32" s="12" t="s">
        <v>24</v>
      </c>
      <c r="O32" s="12" t="s">
        <v>23</v>
      </c>
      <c r="P32" s="12">
        <v>63.293999999999997</v>
      </c>
      <c r="Q32" s="12">
        <v>0</v>
      </c>
      <c r="R32" s="13">
        <f>A32-6+4</f>
        <v>43473</v>
      </c>
      <c r="S32" s="14">
        <f t="shared" si="2"/>
        <v>0</v>
      </c>
      <c r="T32" s="14">
        <f t="shared" si="3"/>
        <v>8</v>
      </c>
      <c r="U32" s="14">
        <f t="shared" si="4"/>
        <v>3</v>
      </c>
      <c r="V32" s="12">
        <f t="shared" si="5"/>
        <v>2</v>
      </c>
      <c r="W32" s="12">
        <f t="shared" si="6"/>
        <v>1</v>
      </c>
      <c r="X32" s="12">
        <f t="shared" si="7"/>
        <v>2019</v>
      </c>
      <c r="Y32" s="16" t="str">
        <f t="shared" si="0"/>
        <v>Wednesday</v>
      </c>
      <c r="Z32" s="17" t="str">
        <f t="shared" si="1"/>
        <v>January</v>
      </c>
      <c r="AA32" s="12"/>
    </row>
    <row r="33" spans="1:27" x14ac:dyDescent="0.3">
      <c r="A33" s="12" t="s">
        <v>34</v>
      </c>
      <c r="B33" s="12" t="s">
        <v>29</v>
      </c>
      <c r="C33" s="12" t="s">
        <v>30</v>
      </c>
      <c r="D33" s="12">
        <v>5627</v>
      </c>
      <c r="E33" s="12">
        <v>1</v>
      </c>
      <c r="F33" s="12">
        <v>235904</v>
      </c>
      <c r="G33" s="12" t="s">
        <v>19</v>
      </c>
      <c r="H33" s="12" t="s">
        <v>20</v>
      </c>
      <c r="I33" s="12" t="s">
        <v>31</v>
      </c>
      <c r="J33" s="12" t="s">
        <v>22</v>
      </c>
      <c r="K33" s="12">
        <v>5606</v>
      </c>
      <c r="L33" s="12" t="s">
        <v>23</v>
      </c>
      <c r="M33" s="12">
        <v>800</v>
      </c>
      <c r="N33" s="12" t="s">
        <v>24</v>
      </c>
      <c r="O33" s="12" t="s">
        <v>23</v>
      </c>
      <c r="P33" s="12">
        <v>63.293999999999997</v>
      </c>
      <c r="Q33" s="12">
        <v>0</v>
      </c>
      <c r="R33" s="13">
        <f>A33-6+5</f>
        <v>43474</v>
      </c>
      <c r="S33" s="14">
        <f t="shared" si="2"/>
        <v>0</v>
      </c>
      <c r="T33" s="14">
        <f t="shared" si="3"/>
        <v>9</v>
      </c>
      <c r="U33" s="14">
        <f t="shared" si="4"/>
        <v>4</v>
      </c>
      <c r="V33" s="12">
        <f t="shared" si="5"/>
        <v>2</v>
      </c>
      <c r="W33" s="12">
        <f t="shared" si="6"/>
        <v>1</v>
      </c>
      <c r="X33" s="12">
        <f t="shared" si="7"/>
        <v>2019</v>
      </c>
      <c r="Y33" s="16" t="str">
        <f t="shared" si="0"/>
        <v>Thursday</v>
      </c>
      <c r="Z33" s="17" t="str">
        <f t="shared" si="1"/>
        <v>January</v>
      </c>
      <c r="AA33" s="12"/>
    </row>
    <row r="34" spans="1:27" x14ac:dyDescent="0.3">
      <c r="A34" s="12" t="s">
        <v>34</v>
      </c>
      <c r="B34" s="12" t="s">
        <v>29</v>
      </c>
      <c r="C34" s="12" t="s">
        <v>30</v>
      </c>
      <c r="D34" s="12">
        <v>5627</v>
      </c>
      <c r="E34" s="12">
        <v>1</v>
      </c>
      <c r="F34" s="12">
        <v>235904</v>
      </c>
      <c r="G34" s="12" t="s">
        <v>19</v>
      </c>
      <c r="H34" s="12" t="s">
        <v>20</v>
      </c>
      <c r="I34" s="12" t="s">
        <v>31</v>
      </c>
      <c r="J34" s="12" t="s">
        <v>22</v>
      </c>
      <c r="K34" s="12">
        <v>5606</v>
      </c>
      <c r="L34" s="12" t="s">
        <v>23</v>
      </c>
      <c r="M34" s="12">
        <v>800</v>
      </c>
      <c r="N34" s="12" t="s">
        <v>24</v>
      </c>
      <c r="O34" s="12" t="s">
        <v>23</v>
      </c>
      <c r="P34" s="12">
        <v>63.293999999999997</v>
      </c>
      <c r="Q34" s="12">
        <v>0</v>
      </c>
      <c r="R34" s="13">
        <f>A34-6+6</f>
        <v>43475</v>
      </c>
      <c r="S34" s="14">
        <f t="shared" si="2"/>
        <v>0</v>
      </c>
      <c r="T34" s="14">
        <f t="shared" si="3"/>
        <v>10</v>
      </c>
      <c r="U34" s="14">
        <f t="shared" si="4"/>
        <v>5</v>
      </c>
      <c r="V34" s="12">
        <f t="shared" si="5"/>
        <v>2</v>
      </c>
      <c r="W34" s="12">
        <f t="shared" si="6"/>
        <v>1</v>
      </c>
      <c r="X34" s="12">
        <f t="shared" si="7"/>
        <v>2019</v>
      </c>
      <c r="Y34" s="16" t="str">
        <f t="shared" ref="Y34:Y65" si="8">VLOOKUP(U34,dayname,2)</f>
        <v>Friday</v>
      </c>
      <c r="Z34" s="17" t="str">
        <f t="shared" ref="Z34:Z65" si="9">VLOOKUP(W34,mesnome,2)</f>
        <v>January</v>
      </c>
      <c r="AA34" s="12"/>
    </row>
    <row r="35" spans="1:27" x14ac:dyDescent="0.3">
      <c r="A35" s="12" t="s">
        <v>34</v>
      </c>
      <c r="B35" s="12" t="s">
        <v>29</v>
      </c>
      <c r="C35" s="12" t="s">
        <v>30</v>
      </c>
      <c r="D35" s="12">
        <v>5627</v>
      </c>
      <c r="E35" s="12">
        <v>1</v>
      </c>
      <c r="F35" s="12">
        <v>235904</v>
      </c>
      <c r="G35" s="12" t="s">
        <v>19</v>
      </c>
      <c r="H35" s="12" t="s">
        <v>20</v>
      </c>
      <c r="I35" s="12" t="s">
        <v>31</v>
      </c>
      <c r="J35" s="12" t="s">
        <v>22</v>
      </c>
      <c r="K35" s="12">
        <v>5606</v>
      </c>
      <c r="L35" s="12" t="s">
        <v>23</v>
      </c>
      <c r="M35" s="12">
        <v>800</v>
      </c>
      <c r="N35" s="12" t="s">
        <v>24</v>
      </c>
      <c r="O35" s="12" t="s">
        <v>23</v>
      </c>
      <c r="P35" s="12">
        <v>63.293999999999997</v>
      </c>
      <c r="Q35" s="12">
        <v>0</v>
      </c>
      <c r="R35" s="13">
        <f>R30-2</f>
        <v>43469</v>
      </c>
      <c r="S35" s="14">
        <f t="shared" si="2"/>
        <v>0</v>
      </c>
      <c r="T35" s="14">
        <f t="shared" si="3"/>
        <v>4</v>
      </c>
      <c r="U35" s="14">
        <f t="shared" si="4"/>
        <v>6</v>
      </c>
      <c r="V35" s="12">
        <f t="shared" si="5"/>
        <v>1</v>
      </c>
      <c r="W35" s="12">
        <f t="shared" si="6"/>
        <v>1</v>
      </c>
      <c r="X35" s="12">
        <f t="shared" si="7"/>
        <v>2019</v>
      </c>
      <c r="Y35" s="16" t="str">
        <f t="shared" si="8"/>
        <v>Saturday</v>
      </c>
      <c r="Z35" s="17" t="str">
        <f t="shared" si="9"/>
        <v>January</v>
      </c>
      <c r="AA35" s="12"/>
    </row>
    <row r="36" spans="1:27" x14ac:dyDescent="0.3">
      <c r="A36" s="12" t="s">
        <v>34</v>
      </c>
      <c r="B36" s="12" t="s">
        <v>29</v>
      </c>
      <c r="C36" s="12" t="s">
        <v>30</v>
      </c>
      <c r="D36" s="12">
        <v>5627</v>
      </c>
      <c r="E36" s="12">
        <v>1</v>
      </c>
      <c r="F36" s="12">
        <v>235904</v>
      </c>
      <c r="G36" s="12" t="s">
        <v>19</v>
      </c>
      <c r="H36" s="12" t="s">
        <v>20</v>
      </c>
      <c r="I36" s="12" t="s">
        <v>31</v>
      </c>
      <c r="J36" s="12" t="s">
        <v>22</v>
      </c>
      <c r="K36" s="12">
        <v>5606</v>
      </c>
      <c r="L36" s="12" t="s">
        <v>23</v>
      </c>
      <c r="M36" s="12">
        <v>800</v>
      </c>
      <c r="N36" s="12" t="s">
        <v>24</v>
      </c>
      <c r="O36" s="12" t="s">
        <v>23</v>
      </c>
      <c r="P36" s="12">
        <v>63.293999999999997</v>
      </c>
      <c r="Q36" s="12">
        <v>3.5</v>
      </c>
      <c r="R36" s="13">
        <f>R30-1</f>
        <v>43470</v>
      </c>
      <c r="S36" s="14">
        <f t="shared" si="2"/>
        <v>221.529</v>
      </c>
      <c r="T36" s="14">
        <f t="shared" si="3"/>
        <v>5</v>
      </c>
      <c r="U36" s="14">
        <f t="shared" si="4"/>
        <v>7</v>
      </c>
      <c r="V36" s="12">
        <f t="shared" si="5"/>
        <v>1</v>
      </c>
      <c r="W36" s="12">
        <f t="shared" si="6"/>
        <v>1</v>
      </c>
      <c r="X36" s="12">
        <f t="shared" si="7"/>
        <v>2019</v>
      </c>
      <c r="Y36" s="16" t="str">
        <f t="shared" si="8"/>
        <v>Sunday</v>
      </c>
      <c r="Z36" s="17" t="str">
        <f t="shared" si="9"/>
        <v>January</v>
      </c>
      <c r="AA36" s="12"/>
    </row>
    <row r="37" spans="1:27" x14ac:dyDescent="0.3">
      <c r="A37" s="12" t="s">
        <v>35</v>
      </c>
      <c r="B37" s="12" t="s">
        <v>29</v>
      </c>
      <c r="C37" s="12" t="s">
        <v>30</v>
      </c>
      <c r="D37" s="12">
        <v>5627</v>
      </c>
      <c r="E37" s="12">
        <v>1</v>
      </c>
      <c r="F37" s="12">
        <v>240497</v>
      </c>
      <c r="G37" s="12" t="s">
        <v>19</v>
      </c>
      <c r="H37" s="12" t="s">
        <v>20</v>
      </c>
      <c r="I37" s="12" t="s">
        <v>31</v>
      </c>
      <c r="J37" s="12" t="s">
        <v>22</v>
      </c>
      <c r="K37" s="12">
        <v>5606</v>
      </c>
      <c r="L37" s="12" t="s">
        <v>23</v>
      </c>
      <c r="M37" s="12">
        <v>800</v>
      </c>
      <c r="N37" s="12" t="s">
        <v>24</v>
      </c>
      <c r="O37" s="12" t="s">
        <v>23</v>
      </c>
      <c r="P37" s="12">
        <v>63.293999999999997</v>
      </c>
      <c r="Q37" s="12">
        <v>0</v>
      </c>
      <c r="R37" s="13">
        <f>A37-6+2</f>
        <v>43527</v>
      </c>
      <c r="S37" s="14">
        <f t="shared" si="2"/>
        <v>0</v>
      </c>
      <c r="T37" s="14">
        <f t="shared" si="3"/>
        <v>3</v>
      </c>
      <c r="U37" s="14">
        <f t="shared" si="4"/>
        <v>1</v>
      </c>
      <c r="V37" s="12">
        <f t="shared" si="5"/>
        <v>10</v>
      </c>
      <c r="W37" s="12">
        <f t="shared" si="6"/>
        <v>3</v>
      </c>
      <c r="X37" s="12">
        <f t="shared" si="7"/>
        <v>2019</v>
      </c>
      <c r="Y37" s="16" t="str">
        <f t="shared" si="8"/>
        <v>Monday</v>
      </c>
      <c r="Z37" s="17" t="str">
        <f t="shared" si="9"/>
        <v>March</v>
      </c>
      <c r="AA37" s="12"/>
    </row>
    <row r="38" spans="1:27" x14ac:dyDescent="0.3">
      <c r="A38" s="12" t="s">
        <v>35</v>
      </c>
      <c r="B38" s="12" t="s">
        <v>29</v>
      </c>
      <c r="C38" s="12" t="s">
        <v>30</v>
      </c>
      <c r="D38" s="12">
        <v>5627</v>
      </c>
      <c r="E38" s="12">
        <v>1</v>
      </c>
      <c r="F38" s="12">
        <v>240497</v>
      </c>
      <c r="G38" s="12" t="s">
        <v>19</v>
      </c>
      <c r="H38" s="12" t="s">
        <v>20</v>
      </c>
      <c r="I38" s="12" t="s">
        <v>31</v>
      </c>
      <c r="J38" s="12" t="s">
        <v>22</v>
      </c>
      <c r="K38" s="12">
        <v>5606</v>
      </c>
      <c r="L38" s="12" t="s">
        <v>23</v>
      </c>
      <c r="M38" s="12">
        <v>800</v>
      </c>
      <c r="N38" s="12" t="s">
        <v>24</v>
      </c>
      <c r="O38" s="12" t="s">
        <v>23</v>
      </c>
      <c r="P38" s="12">
        <v>63.293999999999997</v>
      </c>
      <c r="Q38" s="12">
        <v>0</v>
      </c>
      <c r="R38" s="13">
        <f>A38-6+3</f>
        <v>43528</v>
      </c>
      <c r="S38" s="14">
        <f t="shared" si="2"/>
        <v>0</v>
      </c>
      <c r="T38" s="14">
        <f t="shared" si="3"/>
        <v>4</v>
      </c>
      <c r="U38" s="14">
        <f t="shared" si="4"/>
        <v>2</v>
      </c>
      <c r="V38" s="12">
        <f t="shared" si="5"/>
        <v>10</v>
      </c>
      <c r="W38" s="12">
        <f t="shared" si="6"/>
        <v>3</v>
      </c>
      <c r="X38" s="12">
        <f t="shared" si="7"/>
        <v>2019</v>
      </c>
      <c r="Y38" s="16" t="str">
        <f t="shared" si="8"/>
        <v>Tuesday</v>
      </c>
      <c r="Z38" s="17" t="str">
        <f t="shared" si="9"/>
        <v>March</v>
      </c>
      <c r="AA38" s="12"/>
    </row>
    <row r="39" spans="1:27" x14ac:dyDescent="0.3">
      <c r="A39" s="12" t="s">
        <v>35</v>
      </c>
      <c r="B39" s="12" t="s">
        <v>29</v>
      </c>
      <c r="C39" s="12" t="s">
        <v>30</v>
      </c>
      <c r="D39" s="12">
        <v>5627</v>
      </c>
      <c r="E39" s="12">
        <v>1</v>
      </c>
      <c r="F39" s="12">
        <v>240497</v>
      </c>
      <c r="G39" s="12" t="s">
        <v>19</v>
      </c>
      <c r="H39" s="12" t="s">
        <v>20</v>
      </c>
      <c r="I39" s="12" t="s">
        <v>31</v>
      </c>
      <c r="J39" s="12" t="s">
        <v>22</v>
      </c>
      <c r="K39" s="12">
        <v>5606</v>
      </c>
      <c r="L39" s="12" t="s">
        <v>23</v>
      </c>
      <c r="M39" s="12">
        <v>800</v>
      </c>
      <c r="N39" s="12" t="s">
        <v>24</v>
      </c>
      <c r="O39" s="12" t="s">
        <v>23</v>
      </c>
      <c r="P39" s="12">
        <v>63.293999999999997</v>
      </c>
      <c r="Q39" s="12">
        <v>0</v>
      </c>
      <c r="R39" s="13">
        <f>A39-6+4</f>
        <v>43529</v>
      </c>
      <c r="S39" s="14">
        <f t="shared" si="2"/>
        <v>0</v>
      </c>
      <c r="T39" s="14">
        <f t="shared" si="3"/>
        <v>5</v>
      </c>
      <c r="U39" s="14">
        <f t="shared" si="4"/>
        <v>3</v>
      </c>
      <c r="V39" s="12">
        <f t="shared" si="5"/>
        <v>10</v>
      </c>
      <c r="W39" s="12">
        <f t="shared" si="6"/>
        <v>3</v>
      </c>
      <c r="X39" s="12">
        <f t="shared" si="7"/>
        <v>2019</v>
      </c>
      <c r="Y39" s="16" t="str">
        <f t="shared" si="8"/>
        <v>Wednesday</v>
      </c>
      <c r="Z39" s="17" t="str">
        <f t="shared" si="9"/>
        <v>March</v>
      </c>
      <c r="AA39" s="12"/>
    </row>
    <row r="40" spans="1:27" x14ac:dyDescent="0.3">
      <c r="A40" s="12" t="s">
        <v>35</v>
      </c>
      <c r="B40" s="12" t="s">
        <v>29</v>
      </c>
      <c r="C40" s="12" t="s">
        <v>30</v>
      </c>
      <c r="D40" s="12">
        <v>5627</v>
      </c>
      <c r="E40" s="12">
        <v>1</v>
      </c>
      <c r="F40" s="12">
        <v>240497</v>
      </c>
      <c r="G40" s="12" t="s">
        <v>19</v>
      </c>
      <c r="H40" s="12" t="s">
        <v>20</v>
      </c>
      <c r="I40" s="12" t="s">
        <v>31</v>
      </c>
      <c r="J40" s="12" t="s">
        <v>22</v>
      </c>
      <c r="K40" s="12">
        <v>5606</v>
      </c>
      <c r="L40" s="12" t="s">
        <v>23</v>
      </c>
      <c r="M40" s="12">
        <v>800</v>
      </c>
      <c r="N40" s="12" t="s">
        <v>24</v>
      </c>
      <c r="O40" s="12" t="s">
        <v>23</v>
      </c>
      <c r="P40" s="12">
        <v>63.293999999999997</v>
      </c>
      <c r="Q40" s="12">
        <v>2</v>
      </c>
      <c r="R40" s="13">
        <f>A40-6+5</f>
        <v>43530</v>
      </c>
      <c r="S40" s="14">
        <f t="shared" si="2"/>
        <v>126.58799999999999</v>
      </c>
      <c r="T40" s="14">
        <f t="shared" si="3"/>
        <v>6</v>
      </c>
      <c r="U40" s="14">
        <f t="shared" si="4"/>
        <v>4</v>
      </c>
      <c r="V40" s="12">
        <f t="shared" si="5"/>
        <v>10</v>
      </c>
      <c r="W40" s="12">
        <f t="shared" si="6"/>
        <v>3</v>
      </c>
      <c r="X40" s="12">
        <f t="shared" si="7"/>
        <v>2019</v>
      </c>
      <c r="Y40" s="16" t="str">
        <f t="shared" si="8"/>
        <v>Thursday</v>
      </c>
      <c r="Z40" s="17" t="str">
        <f t="shared" si="9"/>
        <v>March</v>
      </c>
      <c r="AA40" s="12"/>
    </row>
    <row r="41" spans="1:27" x14ac:dyDescent="0.3">
      <c r="A41" s="12" t="s">
        <v>35</v>
      </c>
      <c r="B41" s="12" t="s">
        <v>29</v>
      </c>
      <c r="C41" s="12" t="s">
        <v>30</v>
      </c>
      <c r="D41" s="12">
        <v>5627</v>
      </c>
      <c r="E41" s="12">
        <v>1</v>
      </c>
      <c r="F41" s="12">
        <v>240497</v>
      </c>
      <c r="G41" s="12" t="s">
        <v>19</v>
      </c>
      <c r="H41" s="12" t="s">
        <v>20</v>
      </c>
      <c r="I41" s="12" t="s">
        <v>31</v>
      </c>
      <c r="J41" s="12" t="s">
        <v>22</v>
      </c>
      <c r="K41" s="12">
        <v>5606</v>
      </c>
      <c r="L41" s="12" t="s">
        <v>23</v>
      </c>
      <c r="M41" s="12">
        <v>800</v>
      </c>
      <c r="N41" s="12" t="s">
        <v>24</v>
      </c>
      <c r="O41" s="12" t="s">
        <v>23</v>
      </c>
      <c r="P41" s="12">
        <v>63.293999999999997</v>
      </c>
      <c r="Q41" s="12">
        <v>0</v>
      </c>
      <c r="R41" s="13">
        <f>A41-6+6</f>
        <v>43531</v>
      </c>
      <c r="S41" s="14">
        <f t="shared" si="2"/>
        <v>0</v>
      </c>
      <c r="T41" s="14">
        <f t="shared" si="3"/>
        <v>7</v>
      </c>
      <c r="U41" s="14">
        <f t="shared" si="4"/>
        <v>5</v>
      </c>
      <c r="V41" s="12">
        <f t="shared" si="5"/>
        <v>10</v>
      </c>
      <c r="W41" s="12">
        <f t="shared" si="6"/>
        <v>3</v>
      </c>
      <c r="X41" s="12">
        <f t="shared" si="7"/>
        <v>2019</v>
      </c>
      <c r="Y41" s="16" t="str">
        <f t="shared" si="8"/>
        <v>Friday</v>
      </c>
      <c r="Z41" s="17" t="str">
        <f t="shared" si="9"/>
        <v>March</v>
      </c>
      <c r="AA41" s="12"/>
    </row>
    <row r="42" spans="1:27" x14ac:dyDescent="0.3">
      <c r="A42" s="12" t="s">
        <v>35</v>
      </c>
      <c r="B42" s="12" t="s">
        <v>29</v>
      </c>
      <c r="C42" s="12" t="s">
        <v>30</v>
      </c>
      <c r="D42" s="12">
        <v>5627</v>
      </c>
      <c r="E42" s="12">
        <v>1</v>
      </c>
      <c r="F42" s="12">
        <v>240497</v>
      </c>
      <c r="G42" s="12" t="s">
        <v>19</v>
      </c>
      <c r="H42" s="12" t="s">
        <v>20</v>
      </c>
      <c r="I42" s="12" t="s">
        <v>31</v>
      </c>
      <c r="J42" s="12" t="s">
        <v>22</v>
      </c>
      <c r="K42" s="12">
        <v>5606</v>
      </c>
      <c r="L42" s="12" t="s">
        <v>23</v>
      </c>
      <c r="M42" s="12">
        <v>800</v>
      </c>
      <c r="N42" s="12" t="s">
        <v>24</v>
      </c>
      <c r="O42" s="12" t="s">
        <v>23</v>
      </c>
      <c r="P42" s="12">
        <v>63.293999999999997</v>
      </c>
      <c r="Q42" s="12">
        <v>0</v>
      </c>
      <c r="R42" s="13">
        <f>R37-2</f>
        <v>43525</v>
      </c>
      <c r="S42" s="14">
        <f t="shared" si="2"/>
        <v>0</v>
      </c>
      <c r="T42" s="14">
        <f t="shared" si="3"/>
        <v>1</v>
      </c>
      <c r="U42" s="14">
        <f t="shared" si="4"/>
        <v>6</v>
      </c>
      <c r="V42" s="12">
        <f t="shared" si="5"/>
        <v>9</v>
      </c>
      <c r="W42" s="12">
        <f t="shared" si="6"/>
        <v>3</v>
      </c>
      <c r="X42" s="12">
        <f t="shared" si="7"/>
        <v>2019</v>
      </c>
      <c r="Y42" s="16" t="str">
        <f t="shared" si="8"/>
        <v>Saturday</v>
      </c>
      <c r="Z42" s="17" t="str">
        <f t="shared" si="9"/>
        <v>March</v>
      </c>
      <c r="AA42" s="12"/>
    </row>
    <row r="43" spans="1:27" x14ac:dyDescent="0.3">
      <c r="A43" s="12" t="s">
        <v>35</v>
      </c>
      <c r="B43" s="12" t="s">
        <v>29</v>
      </c>
      <c r="C43" s="12" t="s">
        <v>30</v>
      </c>
      <c r="D43" s="12">
        <v>5627</v>
      </c>
      <c r="E43" s="12">
        <v>1</v>
      </c>
      <c r="F43" s="12">
        <v>240497</v>
      </c>
      <c r="G43" s="12" t="s">
        <v>19</v>
      </c>
      <c r="H43" s="12" t="s">
        <v>20</v>
      </c>
      <c r="I43" s="12" t="s">
        <v>31</v>
      </c>
      <c r="J43" s="12" t="s">
        <v>22</v>
      </c>
      <c r="K43" s="12">
        <v>5606</v>
      </c>
      <c r="L43" s="12" t="s">
        <v>23</v>
      </c>
      <c r="M43" s="12">
        <v>800</v>
      </c>
      <c r="N43" s="12" t="s">
        <v>24</v>
      </c>
      <c r="O43" s="12" t="s">
        <v>23</v>
      </c>
      <c r="P43" s="12">
        <v>63.293999999999997</v>
      </c>
      <c r="Q43" s="12">
        <v>0</v>
      </c>
      <c r="R43" s="13">
        <f>R37-1</f>
        <v>43526</v>
      </c>
      <c r="S43" s="14">
        <f t="shared" si="2"/>
        <v>0</v>
      </c>
      <c r="T43" s="14">
        <f t="shared" si="3"/>
        <v>2</v>
      </c>
      <c r="U43" s="14">
        <f t="shared" si="4"/>
        <v>7</v>
      </c>
      <c r="V43" s="12">
        <f t="shared" si="5"/>
        <v>9</v>
      </c>
      <c r="W43" s="12">
        <f t="shared" si="6"/>
        <v>3</v>
      </c>
      <c r="X43" s="12">
        <f t="shared" si="7"/>
        <v>2019</v>
      </c>
      <c r="Y43" s="16" t="str">
        <f t="shared" si="8"/>
        <v>Sunday</v>
      </c>
      <c r="Z43" s="17" t="str">
        <f t="shared" si="9"/>
        <v>March</v>
      </c>
      <c r="AA43" s="12"/>
    </row>
    <row r="44" spans="1:27" x14ac:dyDescent="0.3">
      <c r="A44" s="12" t="s">
        <v>36</v>
      </c>
      <c r="B44" s="12" t="s">
        <v>37</v>
      </c>
      <c r="C44" s="12" t="s">
        <v>38</v>
      </c>
      <c r="D44" s="12">
        <v>6390</v>
      </c>
      <c r="E44" s="12">
        <v>1</v>
      </c>
      <c r="F44" s="12">
        <v>225494</v>
      </c>
      <c r="G44" s="12" t="s">
        <v>19</v>
      </c>
      <c r="H44" s="12" t="s">
        <v>20</v>
      </c>
      <c r="I44" s="12" t="s">
        <v>31</v>
      </c>
      <c r="J44" s="12" t="s">
        <v>22</v>
      </c>
      <c r="K44" s="12">
        <v>5606</v>
      </c>
      <c r="L44" s="12" t="s">
        <v>23</v>
      </c>
      <c r="M44" s="12">
        <v>700</v>
      </c>
      <c r="N44" s="12" t="s">
        <v>24</v>
      </c>
      <c r="O44" s="12" t="s">
        <v>23</v>
      </c>
      <c r="P44" s="12">
        <v>39.311999999999998</v>
      </c>
      <c r="Q44" s="12">
        <v>0</v>
      </c>
      <c r="R44" s="13">
        <f>A44-6+2</f>
        <v>43338</v>
      </c>
      <c r="S44" s="14">
        <f t="shared" si="2"/>
        <v>0</v>
      </c>
      <c r="T44" s="14">
        <f t="shared" si="3"/>
        <v>26</v>
      </c>
      <c r="U44" s="14">
        <f t="shared" si="4"/>
        <v>1</v>
      </c>
      <c r="V44" s="12">
        <f t="shared" si="5"/>
        <v>35</v>
      </c>
      <c r="W44" s="12">
        <f t="shared" si="6"/>
        <v>8</v>
      </c>
      <c r="X44" s="12">
        <f t="shared" si="7"/>
        <v>2018</v>
      </c>
      <c r="Y44" s="16" t="str">
        <f t="shared" si="8"/>
        <v>Monday</v>
      </c>
      <c r="Z44" s="17" t="str">
        <f t="shared" si="9"/>
        <v>August</v>
      </c>
      <c r="AA44" s="12"/>
    </row>
    <row r="45" spans="1:27" x14ac:dyDescent="0.3">
      <c r="A45" s="12" t="s">
        <v>36</v>
      </c>
      <c r="B45" s="12" t="s">
        <v>37</v>
      </c>
      <c r="C45" s="12" t="s">
        <v>38</v>
      </c>
      <c r="D45" s="12">
        <v>6390</v>
      </c>
      <c r="E45" s="12">
        <v>1</v>
      </c>
      <c r="F45" s="12">
        <v>225494</v>
      </c>
      <c r="G45" s="12" t="s">
        <v>19</v>
      </c>
      <c r="H45" s="12" t="s">
        <v>20</v>
      </c>
      <c r="I45" s="12" t="s">
        <v>31</v>
      </c>
      <c r="J45" s="12" t="s">
        <v>22</v>
      </c>
      <c r="K45" s="12">
        <v>5606</v>
      </c>
      <c r="L45" s="12" t="s">
        <v>23</v>
      </c>
      <c r="M45" s="12">
        <v>700</v>
      </c>
      <c r="N45" s="12" t="s">
        <v>24</v>
      </c>
      <c r="O45" s="12" t="s">
        <v>23</v>
      </c>
      <c r="P45" s="12">
        <v>39.311999999999998</v>
      </c>
      <c r="Q45" s="12">
        <v>0</v>
      </c>
      <c r="R45" s="13">
        <f>A45-6+3</f>
        <v>43339</v>
      </c>
      <c r="S45" s="14">
        <f t="shared" si="2"/>
        <v>0</v>
      </c>
      <c r="T45" s="14">
        <f t="shared" si="3"/>
        <v>27</v>
      </c>
      <c r="U45" s="14">
        <f t="shared" si="4"/>
        <v>2</v>
      </c>
      <c r="V45" s="12">
        <f t="shared" si="5"/>
        <v>35</v>
      </c>
      <c r="W45" s="12">
        <f t="shared" si="6"/>
        <v>8</v>
      </c>
      <c r="X45" s="12">
        <f t="shared" si="7"/>
        <v>2018</v>
      </c>
      <c r="Y45" s="16" t="str">
        <f t="shared" si="8"/>
        <v>Tuesday</v>
      </c>
      <c r="Z45" s="17" t="str">
        <f t="shared" si="9"/>
        <v>August</v>
      </c>
      <c r="AA45" s="12"/>
    </row>
    <row r="46" spans="1:27" x14ac:dyDescent="0.3">
      <c r="A46" s="12" t="s">
        <v>36</v>
      </c>
      <c r="B46" s="12" t="s">
        <v>37</v>
      </c>
      <c r="C46" s="12" t="s">
        <v>38</v>
      </c>
      <c r="D46" s="12">
        <v>6390</v>
      </c>
      <c r="E46" s="12">
        <v>1</v>
      </c>
      <c r="F46" s="12">
        <v>225494</v>
      </c>
      <c r="G46" s="12" t="s">
        <v>19</v>
      </c>
      <c r="H46" s="12" t="s">
        <v>20</v>
      </c>
      <c r="I46" s="12" t="s">
        <v>31</v>
      </c>
      <c r="J46" s="12" t="s">
        <v>22</v>
      </c>
      <c r="K46" s="12">
        <v>5606</v>
      </c>
      <c r="L46" s="12" t="s">
        <v>23</v>
      </c>
      <c r="M46" s="12">
        <v>700</v>
      </c>
      <c r="N46" s="12" t="s">
        <v>24</v>
      </c>
      <c r="O46" s="12" t="s">
        <v>23</v>
      </c>
      <c r="P46" s="12">
        <v>39.311999999999998</v>
      </c>
      <c r="Q46" s="12">
        <v>0</v>
      </c>
      <c r="R46" s="13">
        <f>A46-6+4</f>
        <v>43340</v>
      </c>
      <c r="S46" s="14">
        <f t="shared" si="2"/>
        <v>0</v>
      </c>
      <c r="T46" s="14">
        <f t="shared" si="3"/>
        <v>28</v>
      </c>
      <c r="U46" s="14">
        <f t="shared" si="4"/>
        <v>3</v>
      </c>
      <c r="V46" s="12">
        <f t="shared" si="5"/>
        <v>35</v>
      </c>
      <c r="W46" s="12">
        <f t="shared" si="6"/>
        <v>8</v>
      </c>
      <c r="X46" s="12">
        <f t="shared" si="7"/>
        <v>2018</v>
      </c>
      <c r="Y46" s="16" t="str">
        <f t="shared" si="8"/>
        <v>Wednesday</v>
      </c>
      <c r="Z46" s="17" t="str">
        <f t="shared" si="9"/>
        <v>August</v>
      </c>
      <c r="AA46" s="12"/>
    </row>
    <row r="47" spans="1:27" x14ac:dyDescent="0.3">
      <c r="A47" s="12" t="s">
        <v>36</v>
      </c>
      <c r="B47" s="12" t="s">
        <v>37</v>
      </c>
      <c r="C47" s="12" t="s">
        <v>38</v>
      </c>
      <c r="D47" s="12">
        <v>6390</v>
      </c>
      <c r="E47" s="12">
        <v>1</v>
      </c>
      <c r="F47" s="12">
        <v>225494</v>
      </c>
      <c r="G47" s="12" t="s">
        <v>19</v>
      </c>
      <c r="H47" s="12" t="s">
        <v>20</v>
      </c>
      <c r="I47" s="12" t="s">
        <v>31</v>
      </c>
      <c r="J47" s="12" t="s">
        <v>22</v>
      </c>
      <c r="K47" s="12">
        <v>5606</v>
      </c>
      <c r="L47" s="12" t="s">
        <v>23</v>
      </c>
      <c r="M47" s="12">
        <v>700</v>
      </c>
      <c r="N47" s="12" t="s">
        <v>24</v>
      </c>
      <c r="O47" s="12" t="s">
        <v>23</v>
      </c>
      <c r="P47" s="12">
        <v>39.311999999999998</v>
      </c>
      <c r="Q47" s="12">
        <v>0</v>
      </c>
      <c r="R47" s="13">
        <f>A47-6+5</f>
        <v>43341</v>
      </c>
      <c r="S47" s="14">
        <f t="shared" si="2"/>
        <v>0</v>
      </c>
      <c r="T47" s="14">
        <f t="shared" si="3"/>
        <v>29</v>
      </c>
      <c r="U47" s="14">
        <f t="shared" si="4"/>
        <v>4</v>
      </c>
      <c r="V47" s="12">
        <f t="shared" si="5"/>
        <v>35</v>
      </c>
      <c r="W47" s="12">
        <f t="shared" si="6"/>
        <v>8</v>
      </c>
      <c r="X47" s="12">
        <f t="shared" si="7"/>
        <v>2018</v>
      </c>
      <c r="Y47" s="16" t="str">
        <f t="shared" si="8"/>
        <v>Thursday</v>
      </c>
      <c r="Z47" s="17" t="str">
        <f t="shared" si="9"/>
        <v>August</v>
      </c>
      <c r="AA47" s="12"/>
    </row>
    <row r="48" spans="1:27" x14ac:dyDescent="0.3">
      <c r="A48" s="12" t="s">
        <v>36</v>
      </c>
      <c r="B48" s="12" t="s">
        <v>37</v>
      </c>
      <c r="C48" s="12" t="s">
        <v>38</v>
      </c>
      <c r="D48" s="12">
        <v>6390</v>
      </c>
      <c r="E48" s="12">
        <v>1</v>
      </c>
      <c r="F48" s="12">
        <v>225494</v>
      </c>
      <c r="G48" s="12" t="s">
        <v>19</v>
      </c>
      <c r="H48" s="12" t="s">
        <v>20</v>
      </c>
      <c r="I48" s="12" t="s">
        <v>31</v>
      </c>
      <c r="J48" s="12" t="s">
        <v>22</v>
      </c>
      <c r="K48" s="12">
        <v>5606</v>
      </c>
      <c r="L48" s="12" t="s">
        <v>23</v>
      </c>
      <c r="M48" s="12">
        <v>700</v>
      </c>
      <c r="N48" s="12" t="s">
        <v>24</v>
      </c>
      <c r="O48" s="12" t="s">
        <v>23</v>
      </c>
      <c r="P48" s="12">
        <v>39.311999999999998</v>
      </c>
      <c r="Q48" s="12">
        <v>0</v>
      </c>
      <c r="R48" s="13">
        <f>A48-6+6</f>
        <v>43342</v>
      </c>
      <c r="S48" s="14">
        <f t="shared" si="2"/>
        <v>0</v>
      </c>
      <c r="T48" s="14">
        <f t="shared" si="3"/>
        <v>30</v>
      </c>
      <c r="U48" s="14">
        <f t="shared" si="4"/>
        <v>5</v>
      </c>
      <c r="V48" s="12">
        <f t="shared" si="5"/>
        <v>35</v>
      </c>
      <c r="W48" s="12">
        <f t="shared" si="6"/>
        <v>8</v>
      </c>
      <c r="X48" s="12">
        <f t="shared" si="7"/>
        <v>2018</v>
      </c>
      <c r="Y48" s="16" t="str">
        <f t="shared" si="8"/>
        <v>Friday</v>
      </c>
      <c r="Z48" s="17" t="str">
        <f t="shared" si="9"/>
        <v>August</v>
      </c>
      <c r="AA48" s="12"/>
    </row>
    <row r="49" spans="1:27" x14ac:dyDescent="0.3">
      <c r="A49" s="12" t="s">
        <v>36</v>
      </c>
      <c r="B49" s="12" t="s">
        <v>37</v>
      </c>
      <c r="C49" s="12" t="s">
        <v>38</v>
      </c>
      <c r="D49" s="12">
        <v>6390</v>
      </c>
      <c r="E49" s="12">
        <v>1</v>
      </c>
      <c r="F49" s="12">
        <v>225494</v>
      </c>
      <c r="G49" s="12" t="s">
        <v>19</v>
      </c>
      <c r="H49" s="12" t="s">
        <v>20</v>
      </c>
      <c r="I49" s="12" t="s">
        <v>31</v>
      </c>
      <c r="J49" s="12" t="s">
        <v>22</v>
      </c>
      <c r="K49" s="12">
        <v>5606</v>
      </c>
      <c r="L49" s="12" t="s">
        <v>23</v>
      </c>
      <c r="M49" s="12">
        <v>700</v>
      </c>
      <c r="N49" s="12" t="s">
        <v>24</v>
      </c>
      <c r="O49" s="12" t="s">
        <v>23</v>
      </c>
      <c r="P49" s="12">
        <v>39.311999999999998</v>
      </c>
      <c r="Q49" s="12">
        <v>10</v>
      </c>
      <c r="R49" s="13">
        <f>R44-2</f>
        <v>43336</v>
      </c>
      <c r="S49" s="14">
        <f t="shared" si="2"/>
        <v>393.12</v>
      </c>
      <c r="T49" s="14">
        <f t="shared" si="3"/>
        <v>24</v>
      </c>
      <c r="U49" s="14">
        <f t="shared" si="4"/>
        <v>6</v>
      </c>
      <c r="V49" s="12">
        <f t="shared" si="5"/>
        <v>34</v>
      </c>
      <c r="W49" s="12">
        <f t="shared" si="6"/>
        <v>8</v>
      </c>
      <c r="X49" s="12">
        <f t="shared" si="7"/>
        <v>2018</v>
      </c>
      <c r="Y49" s="16" t="str">
        <f t="shared" si="8"/>
        <v>Saturday</v>
      </c>
      <c r="Z49" s="17" t="str">
        <f t="shared" si="9"/>
        <v>August</v>
      </c>
      <c r="AA49" s="12"/>
    </row>
    <row r="50" spans="1:27" x14ac:dyDescent="0.3">
      <c r="A50" s="12" t="s">
        <v>36</v>
      </c>
      <c r="B50" s="12" t="s">
        <v>37</v>
      </c>
      <c r="C50" s="12" t="s">
        <v>38</v>
      </c>
      <c r="D50" s="12">
        <v>6390</v>
      </c>
      <c r="E50" s="12">
        <v>1</v>
      </c>
      <c r="F50" s="12">
        <v>225494</v>
      </c>
      <c r="G50" s="12" t="s">
        <v>19</v>
      </c>
      <c r="H50" s="12" t="s">
        <v>20</v>
      </c>
      <c r="I50" s="12" t="s">
        <v>31</v>
      </c>
      <c r="J50" s="12" t="s">
        <v>22</v>
      </c>
      <c r="K50" s="12">
        <v>5606</v>
      </c>
      <c r="L50" s="12" t="s">
        <v>23</v>
      </c>
      <c r="M50" s="12">
        <v>700</v>
      </c>
      <c r="N50" s="12" t="s">
        <v>24</v>
      </c>
      <c r="O50" s="12" t="s">
        <v>23</v>
      </c>
      <c r="P50" s="12">
        <v>39.311999999999998</v>
      </c>
      <c r="Q50" s="12">
        <v>0</v>
      </c>
      <c r="R50" s="13">
        <f>R44-1</f>
        <v>43337</v>
      </c>
      <c r="S50" s="14">
        <f t="shared" si="2"/>
        <v>0</v>
      </c>
      <c r="T50" s="14">
        <f t="shared" si="3"/>
        <v>25</v>
      </c>
      <c r="U50" s="14">
        <f t="shared" si="4"/>
        <v>7</v>
      </c>
      <c r="V50" s="12">
        <f t="shared" si="5"/>
        <v>34</v>
      </c>
      <c r="W50" s="12">
        <f t="shared" si="6"/>
        <v>8</v>
      </c>
      <c r="X50" s="12">
        <f t="shared" si="7"/>
        <v>2018</v>
      </c>
      <c r="Y50" s="16" t="str">
        <f t="shared" si="8"/>
        <v>Sunday</v>
      </c>
      <c r="Z50" s="17" t="str">
        <f t="shared" si="9"/>
        <v>August</v>
      </c>
      <c r="AA50" s="12"/>
    </row>
    <row r="51" spans="1:27" x14ac:dyDescent="0.3">
      <c r="A51" s="12" t="s">
        <v>39</v>
      </c>
      <c r="B51" s="12" t="s">
        <v>37</v>
      </c>
      <c r="C51" s="12" t="s">
        <v>38</v>
      </c>
      <c r="D51" s="12">
        <v>6390</v>
      </c>
      <c r="E51" s="12">
        <v>1</v>
      </c>
      <c r="F51" s="12">
        <v>227678</v>
      </c>
      <c r="G51" s="12" t="s">
        <v>19</v>
      </c>
      <c r="H51" s="12" t="s">
        <v>20</v>
      </c>
      <c r="I51" s="12" t="s">
        <v>31</v>
      </c>
      <c r="J51" s="12" t="s">
        <v>22</v>
      </c>
      <c r="K51" s="12">
        <v>5606</v>
      </c>
      <c r="L51" s="12" t="s">
        <v>23</v>
      </c>
      <c r="M51" s="12">
        <v>700</v>
      </c>
      <c r="N51" s="12" t="s">
        <v>24</v>
      </c>
      <c r="O51" s="12" t="s">
        <v>33</v>
      </c>
      <c r="P51" s="12">
        <v>46.801000000000002</v>
      </c>
      <c r="Q51" s="12">
        <v>0</v>
      </c>
      <c r="R51" s="13">
        <f>A51-6+2</f>
        <v>43366</v>
      </c>
      <c r="S51" s="14">
        <f t="shared" si="2"/>
        <v>0</v>
      </c>
      <c r="T51" s="14">
        <f t="shared" si="3"/>
        <v>23</v>
      </c>
      <c r="U51" s="14">
        <f t="shared" si="4"/>
        <v>1</v>
      </c>
      <c r="V51" s="12">
        <f t="shared" si="5"/>
        <v>39</v>
      </c>
      <c r="W51" s="12">
        <f t="shared" si="6"/>
        <v>9</v>
      </c>
      <c r="X51" s="12">
        <f t="shared" si="7"/>
        <v>2018</v>
      </c>
      <c r="Y51" s="16" t="str">
        <f t="shared" si="8"/>
        <v>Monday</v>
      </c>
      <c r="Z51" s="17" t="str">
        <f t="shared" si="9"/>
        <v>September</v>
      </c>
      <c r="AA51" s="12"/>
    </row>
    <row r="52" spans="1:27" x14ac:dyDescent="0.3">
      <c r="A52" s="12" t="s">
        <v>39</v>
      </c>
      <c r="B52" s="12" t="s">
        <v>37</v>
      </c>
      <c r="C52" s="12" t="s">
        <v>38</v>
      </c>
      <c r="D52" s="12">
        <v>6390</v>
      </c>
      <c r="E52" s="12">
        <v>1</v>
      </c>
      <c r="F52" s="12">
        <v>227678</v>
      </c>
      <c r="G52" s="12" t="s">
        <v>19</v>
      </c>
      <c r="H52" s="12" t="s">
        <v>20</v>
      </c>
      <c r="I52" s="12" t="s">
        <v>31</v>
      </c>
      <c r="J52" s="12" t="s">
        <v>22</v>
      </c>
      <c r="K52" s="12">
        <v>5606</v>
      </c>
      <c r="L52" s="12" t="s">
        <v>23</v>
      </c>
      <c r="M52" s="12">
        <v>700</v>
      </c>
      <c r="N52" s="12" t="s">
        <v>24</v>
      </c>
      <c r="O52" s="12" t="s">
        <v>33</v>
      </c>
      <c r="P52" s="12">
        <v>46.801000000000002</v>
      </c>
      <c r="Q52" s="12">
        <v>0</v>
      </c>
      <c r="R52" s="13">
        <f>A52-6+3</f>
        <v>43367</v>
      </c>
      <c r="S52" s="14">
        <f t="shared" si="2"/>
        <v>0</v>
      </c>
      <c r="T52" s="14">
        <f t="shared" si="3"/>
        <v>24</v>
      </c>
      <c r="U52" s="14">
        <f t="shared" si="4"/>
        <v>2</v>
      </c>
      <c r="V52" s="12">
        <f t="shared" si="5"/>
        <v>39</v>
      </c>
      <c r="W52" s="12">
        <f t="shared" si="6"/>
        <v>9</v>
      </c>
      <c r="X52" s="12">
        <f t="shared" si="7"/>
        <v>2018</v>
      </c>
      <c r="Y52" s="16" t="str">
        <f t="shared" si="8"/>
        <v>Tuesday</v>
      </c>
      <c r="Z52" s="17" t="str">
        <f t="shared" si="9"/>
        <v>September</v>
      </c>
      <c r="AA52" s="12"/>
    </row>
    <row r="53" spans="1:27" x14ac:dyDescent="0.3">
      <c r="A53" s="12" t="s">
        <v>39</v>
      </c>
      <c r="B53" s="12" t="s">
        <v>37</v>
      </c>
      <c r="C53" s="12" t="s">
        <v>38</v>
      </c>
      <c r="D53" s="12">
        <v>6390</v>
      </c>
      <c r="E53" s="12">
        <v>1</v>
      </c>
      <c r="F53" s="12">
        <v>227678</v>
      </c>
      <c r="G53" s="12" t="s">
        <v>19</v>
      </c>
      <c r="H53" s="12" t="s">
        <v>20</v>
      </c>
      <c r="I53" s="12" t="s">
        <v>31</v>
      </c>
      <c r="J53" s="12" t="s">
        <v>22</v>
      </c>
      <c r="K53" s="12">
        <v>5606</v>
      </c>
      <c r="L53" s="12" t="s">
        <v>23</v>
      </c>
      <c r="M53" s="12">
        <v>700</v>
      </c>
      <c r="N53" s="12" t="s">
        <v>24</v>
      </c>
      <c r="O53" s="12" t="s">
        <v>33</v>
      </c>
      <c r="P53" s="12">
        <v>46.801000000000002</v>
      </c>
      <c r="Q53" s="12">
        <v>0</v>
      </c>
      <c r="R53" s="13">
        <f>A53-6+4</f>
        <v>43368</v>
      </c>
      <c r="S53" s="14">
        <f t="shared" si="2"/>
        <v>0</v>
      </c>
      <c r="T53" s="14">
        <f t="shared" si="3"/>
        <v>25</v>
      </c>
      <c r="U53" s="14">
        <f t="shared" si="4"/>
        <v>3</v>
      </c>
      <c r="V53" s="12">
        <f t="shared" si="5"/>
        <v>39</v>
      </c>
      <c r="W53" s="12">
        <f t="shared" si="6"/>
        <v>9</v>
      </c>
      <c r="X53" s="12">
        <f t="shared" si="7"/>
        <v>2018</v>
      </c>
      <c r="Y53" s="16" t="str">
        <f t="shared" si="8"/>
        <v>Wednesday</v>
      </c>
      <c r="Z53" s="17" t="str">
        <f t="shared" si="9"/>
        <v>September</v>
      </c>
      <c r="AA53" s="12"/>
    </row>
    <row r="54" spans="1:27" x14ac:dyDescent="0.3">
      <c r="A54" s="12" t="s">
        <v>39</v>
      </c>
      <c r="B54" s="12" t="s">
        <v>37</v>
      </c>
      <c r="C54" s="12" t="s">
        <v>38</v>
      </c>
      <c r="D54" s="12">
        <v>6390</v>
      </c>
      <c r="E54" s="12">
        <v>1</v>
      </c>
      <c r="F54" s="12">
        <v>227678</v>
      </c>
      <c r="G54" s="12" t="s">
        <v>19</v>
      </c>
      <c r="H54" s="12" t="s">
        <v>20</v>
      </c>
      <c r="I54" s="12" t="s">
        <v>31</v>
      </c>
      <c r="J54" s="12" t="s">
        <v>22</v>
      </c>
      <c r="K54" s="12">
        <v>5606</v>
      </c>
      <c r="L54" s="12" t="s">
        <v>23</v>
      </c>
      <c r="M54" s="12">
        <v>700</v>
      </c>
      <c r="N54" s="12" t="s">
        <v>24</v>
      </c>
      <c r="O54" s="12" t="s">
        <v>33</v>
      </c>
      <c r="P54" s="12">
        <v>46.801000000000002</v>
      </c>
      <c r="Q54" s="12">
        <v>0</v>
      </c>
      <c r="R54" s="13">
        <f>A54-6+5</f>
        <v>43369</v>
      </c>
      <c r="S54" s="14">
        <f t="shared" si="2"/>
        <v>0</v>
      </c>
      <c r="T54" s="14">
        <f t="shared" si="3"/>
        <v>26</v>
      </c>
      <c r="U54" s="14">
        <f t="shared" si="4"/>
        <v>4</v>
      </c>
      <c r="V54" s="12">
        <f t="shared" si="5"/>
        <v>39</v>
      </c>
      <c r="W54" s="12">
        <f t="shared" si="6"/>
        <v>9</v>
      </c>
      <c r="X54" s="12">
        <f t="shared" si="7"/>
        <v>2018</v>
      </c>
      <c r="Y54" s="16" t="str">
        <f t="shared" si="8"/>
        <v>Thursday</v>
      </c>
      <c r="Z54" s="17" t="str">
        <f t="shared" si="9"/>
        <v>September</v>
      </c>
      <c r="AA54" s="12"/>
    </row>
    <row r="55" spans="1:27" x14ac:dyDescent="0.3">
      <c r="A55" s="12" t="s">
        <v>39</v>
      </c>
      <c r="B55" s="12" t="s">
        <v>37</v>
      </c>
      <c r="C55" s="12" t="s">
        <v>38</v>
      </c>
      <c r="D55" s="12">
        <v>6390</v>
      </c>
      <c r="E55" s="12">
        <v>1</v>
      </c>
      <c r="F55" s="12">
        <v>227678</v>
      </c>
      <c r="G55" s="12" t="s">
        <v>19</v>
      </c>
      <c r="H55" s="12" t="s">
        <v>20</v>
      </c>
      <c r="I55" s="12" t="s">
        <v>31</v>
      </c>
      <c r="J55" s="12" t="s">
        <v>22</v>
      </c>
      <c r="K55" s="12">
        <v>5606</v>
      </c>
      <c r="L55" s="12" t="s">
        <v>23</v>
      </c>
      <c r="M55" s="12">
        <v>700</v>
      </c>
      <c r="N55" s="12" t="s">
        <v>24</v>
      </c>
      <c r="O55" s="12" t="s">
        <v>33</v>
      </c>
      <c r="P55" s="12">
        <v>46.801000000000002</v>
      </c>
      <c r="Q55" s="12">
        <v>0</v>
      </c>
      <c r="R55" s="13">
        <f>A55-6+6</f>
        <v>43370</v>
      </c>
      <c r="S55" s="14">
        <f t="shared" si="2"/>
        <v>0</v>
      </c>
      <c r="T55" s="14">
        <f t="shared" si="3"/>
        <v>27</v>
      </c>
      <c r="U55" s="14">
        <f t="shared" si="4"/>
        <v>5</v>
      </c>
      <c r="V55" s="12">
        <f t="shared" si="5"/>
        <v>39</v>
      </c>
      <c r="W55" s="12">
        <f t="shared" si="6"/>
        <v>9</v>
      </c>
      <c r="X55" s="12">
        <f t="shared" si="7"/>
        <v>2018</v>
      </c>
      <c r="Y55" s="16" t="str">
        <f t="shared" si="8"/>
        <v>Friday</v>
      </c>
      <c r="Z55" s="17" t="str">
        <f t="shared" si="9"/>
        <v>September</v>
      </c>
      <c r="AA55" s="12"/>
    </row>
    <row r="56" spans="1:27" x14ac:dyDescent="0.3">
      <c r="A56" s="12" t="s">
        <v>39</v>
      </c>
      <c r="B56" s="12" t="s">
        <v>37</v>
      </c>
      <c r="C56" s="12" t="s">
        <v>38</v>
      </c>
      <c r="D56" s="12">
        <v>6390</v>
      </c>
      <c r="E56" s="12">
        <v>1</v>
      </c>
      <c r="F56" s="12">
        <v>227678</v>
      </c>
      <c r="G56" s="12" t="s">
        <v>19</v>
      </c>
      <c r="H56" s="12" t="s">
        <v>20</v>
      </c>
      <c r="I56" s="12" t="s">
        <v>31</v>
      </c>
      <c r="J56" s="12" t="s">
        <v>22</v>
      </c>
      <c r="K56" s="12">
        <v>5606</v>
      </c>
      <c r="L56" s="12" t="s">
        <v>23</v>
      </c>
      <c r="M56" s="12">
        <v>700</v>
      </c>
      <c r="N56" s="12" t="s">
        <v>24</v>
      </c>
      <c r="O56" s="12" t="s">
        <v>33</v>
      </c>
      <c r="P56" s="12">
        <v>46.801000000000002</v>
      </c>
      <c r="Q56" s="12">
        <v>0</v>
      </c>
      <c r="R56" s="13">
        <f>R51-2</f>
        <v>43364</v>
      </c>
      <c r="S56" s="14">
        <f t="shared" si="2"/>
        <v>0</v>
      </c>
      <c r="T56" s="14">
        <f t="shared" si="3"/>
        <v>21</v>
      </c>
      <c r="U56" s="14">
        <f t="shared" si="4"/>
        <v>6</v>
      </c>
      <c r="V56" s="12">
        <f t="shared" si="5"/>
        <v>38</v>
      </c>
      <c r="W56" s="12">
        <f t="shared" si="6"/>
        <v>9</v>
      </c>
      <c r="X56" s="12">
        <f t="shared" si="7"/>
        <v>2018</v>
      </c>
      <c r="Y56" s="16" t="str">
        <f t="shared" si="8"/>
        <v>Saturday</v>
      </c>
      <c r="Z56" s="17" t="str">
        <f t="shared" si="9"/>
        <v>September</v>
      </c>
      <c r="AA56" s="12"/>
    </row>
    <row r="57" spans="1:27" x14ac:dyDescent="0.3">
      <c r="A57" s="12" t="s">
        <v>39</v>
      </c>
      <c r="B57" s="12" t="s">
        <v>37</v>
      </c>
      <c r="C57" s="12" t="s">
        <v>38</v>
      </c>
      <c r="D57" s="12">
        <v>6390</v>
      </c>
      <c r="E57" s="12">
        <v>1</v>
      </c>
      <c r="F57" s="12">
        <v>227678</v>
      </c>
      <c r="G57" s="12" t="s">
        <v>19</v>
      </c>
      <c r="H57" s="12" t="s">
        <v>20</v>
      </c>
      <c r="I57" s="12" t="s">
        <v>31</v>
      </c>
      <c r="J57" s="12" t="s">
        <v>22</v>
      </c>
      <c r="K57" s="12">
        <v>5606</v>
      </c>
      <c r="L57" s="12" t="s">
        <v>23</v>
      </c>
      <c r="M57" s="12">
        <v>700</v>
      </c>
      <c r="N57" s="12" t="s">
        <v>24</v>
      </c>
      <c r="O57" s="12" t="s">
        <v>33</v>
      </c>
      <c r="P57" s="12">
        <v>46.801000000000002</v>
      </c>
      <c r="Q57" s="12">
        <v>0</v>
      </c>
      <c r="R57" s="13">
        <f>R51-1</f>
        <v>43365</v>
      </c>
      <c r="S57" s="14">
        <f t="shared" si="2"/>
        <v>0</v>
      </c>
      <c r="T57" s="14">
        <f t="shared" si="3"/>
        <v>22</v>
      </c>
      <c r="U57" s="14">
        <f t="shared" si="4"/>
        <v>7</v>
      </c>
      <c r="V57" s="12">
        <f t="shared" si="5"/>
        <v>38</v>
      </c>
      <c r="W57" s="12">
        <f t="shared" si="6"/>
        <v>9</v>
      </c>
      <c r="X57" s="12">
        <f t="shared" si="7"/>
        <v>2018</v>
      </c>
      <c r="Y57" s="16" t="str">
        <f t="shared" si="8"/>
        <v>Sunday</v>
      </c>
      <c r="Z57" s="17" t="str">
        <f t="shared" si="9"/>
        <v>September</v>
      </c>
      <c r="AA57" s="12"/>
    </row>
    <row r="58" spans="1:27" x14ac:dyDescent="0.3">
      <c r="A58" s="12" t="s">
        <v>40</v>
      </c>
      <c r="B58" s="12" t="s">
        <v>37</v>
      </c>
      <c r="C58" s="12" t="s">
        <v>38</v>
      </c>
      <c r="D58" s="12">
        <v>6390</v>
      </c>
      <c r="E58" s="12">
        <v>1</v>
      </c>
      <c r="F58" s="12">
        <v>229289</v>
      </c>
      <c r="G58" s="12" t="s">
        <v>19</v>
      </c>
      <c r="H58" s="12" t="s">
        <v>20</v>
      </c>
      <c r="I58" s="12" t="s">
        <v>31</v>
      </c>
      <c r="J58" s="12" t="s">
        <v>22</v>
      </c>
      <c r="K58" s="12">
        <v>5606</v>
      </c>
      <c r="L58" s="12" t="s">
        <v>23</v>
      </c>
      <c r="M58" s="12">
        <v>700</v>
      </c>
      <c r="N58" s="12" t="s">
        <v>24</v>
      </c>
      <c r="O58" s="12" t="s">
        <v>23</v>
      </c>
      <c r="P58" s="12">
        <v>39.311999999999998</v>
      </c>
      <c r="Q58" s="12">
        <v>0</v>
      </c>
      <c r="R58" s="13">
        <f>A58-6+2</f>
        <v>43387</v>
      </c>
      <c r="S58" s="14">
        <f t="shared" si="2"/>
        <v>0</v>
      </c>
      <c r="T58" s="14">
        <f t="shared" si="3"/>
        <v>14</v>
      </c>
      <c r="U58" s="14">
        <f t="shared" si="4"/>
        <v>1</v>
      </c>
      <c r="V58" s="12">
        <f t="shared" si="5"/>
        <v>42</v>
      </c>
      <c r="W58" s="12">
        <f t="shared" si="6"/>
        <v>10</v>
      </c>
      <c r="X58" s="12">
        <f t="shared" si="7"/>
        <v>2018</v>
      </c>
      <c r="Y58" s="16" t="str">
        <f t="shared" si="8"/>
        <v>Monday</v>
      </c>
      <c r="Z58" s="17" t="str">
        <f t="shared" si="9"/>
        <v>October</v>
      </c>
      <c r="AA58" s="12"/>
    </row>
    <row r="59" spans="1:27" x14ac:dyDescent="0.3">
      <c r="A59" s="14" t="s">
        <v>40</v>
      </c>
      <c r="B59" s="14" t="s">
        <v>37</v>
      </c>
      <c r="C59" s="14" t="s">
        <v>38</v>
      </c>
      <c r="D59" s="14">
        <v>6390</v>
      </c>
      <c r="E59" s="14">
        <v>1</v>
      </c>
      <c r="F59" s="14">
        <v>229289</v>
      </c>
      <c r="G59" s="14" t="s">
        <v>19</v>
      </c>
      <c r="H59" s="14" t="s">
        <v>20</v>
      </c>
      <c r="I59" s="14" t="s">
        <v>31</v>
      </c>
      <c r="J59" s="14" t="s">
        <v>22</v>
      </c>
      <c r="K59" s="14">
        <v>5606</v>
      </c>
      <c r="L59" s="14" t="s">
        <v>23</v>
      </c>
      <c r="M59" s="14">
        <v>700</v>
      </c>
      <c r="N59" s="14" t="s">
        <v>24</v>
      </c>
      <c r="O59" s="14" t="s">
        <v>23</v>
      </c>
      <c r="P59" s="14">
        <v>39.311999999999998</v>
      </c>
      <c r="Q59" s="14">
        <v>0</v>
      </c>
      <c r="R59" s="15">
        <f>A59-6+3</f>
        <v>43388</v>
      </c>
      <c r="S59" s="14">
        <f t="shared" si="2"/>
        <v>0</v>
      </c>
      <c r="T59" s="14">
        <f t="shared" si="3"/>
        <v>15</v>
      </c>
      <c r="U59" s="14">
        <f t="shared" si="4"/>
        <v>2</v>
      </c>
      <c r="V59" s="12">
        <f t="shared" si="5"/>
        <v>42</v>
      </c>
      <c r="W59" s="12">
        <f t="shared" si="6"/>
        <v>10</v>
      </c>
      <c r="X59" s="12">
        <f t="shared" si="7"/>
        <v>2018</v>
      </c>
      <c r="Y59" s="16" t="str">
        <f t="shared" si="8"/>
        <v>Tuesday</v>
      </c>
      <c r="Z59" s="17" t="str">
        <f t="shared" si="9"/>
        <v>October</v>
      </c>
      <c r="AA59" s="12"/>
    </row>
    <row r="60" spans="1:27" x14ac:dyDescent="0.3">
      <c r="A60" s="12" t="s">
        <v>40</v>
      </c>
      <c r="B60" s="12" t="s">
        <v>37</v>
      </c>
      <c r="C60" s="12" t="s">
        <v>38</v>
      </c>
      <c r="D60" s="12">
        <v>6390</v>
      </c>
      <c r="E60" s="12">
        <v>1</v>
      </c>
      <c r="F60" s="12">
        <v>229289</v>
      </c>
      <c r="G60" s="12" t="s">
        <v>19</v>
      </c>
      <c r="H60" s="12" t="s">
        <v>20</v>
      </c>
      <c r="I60" s="12" t="s">
        <v>31</v>
      </c>
      <c r="J60" s="12" t="s">
        <v>22</v>
      </c>
      <c r="K60" s="12">
        <v>5606</v>
      </c>
      <c r="L60" s="12" t="s">
        <v>23</v>
      </c>
      <c r="M60" s="12">
        <v>700</v>
      </c>
      <c r="N60" s="12" t="s">
        <v>24</v>
      </c>
      <c r="O60" s="12" t="s">
        <v>23</v>
      </c>
      <c r="P60" s="12">
        <v>39.311999999999998</v>
      </c>
      <c r="Q60" s="12">
        <v>0</v>
      </c>
      <c r="R60" s="13">
        <f>A60-6+4</f>
        <v>43389</v>
      </c>
      <c r="S60" s="14">
        <f t="shared" si="2"/>
        <v>0</v>
      </c>
      <c r="T60" s="14">
        <f t="shared" si="3"/>
        <v>16</v>
      </c>
      <c r="U60" s="14">
        <f t="shared" si="4"/>
        <v>3</v>
      </c>
      <c r="V60" s="12">
        <f t="shared" si="5"/>
        <v>42</v>
      </c>
      <c r="W60" s="12">
        <f t="shared" si="6"/>
        <v>10</v>
      </c>
      <c r="X60" s="12">
        <f t="shared" si="7"/>
        <v>2018</v>
      </c>
      <c r="Y60" s="16" t="str">
        <f t="shared" si="8"/>
        <v>Wednesday</v>
      </c>
      <c r="Z60" s="17" t="str">
        <f t="shared" si="9"/>
        <v>October</v>
      </c>
      <c r="AA60" s="12"/>
    </row>
    <row r="61" spans="1:27" x14ac:dyDescent="0.3">
      <c r="A61" s="14" t="s">
        <v>40</v>
      </c>
      <c r="B61" s="14" t="s">
        <v>37</v>
      </c>
      <c r="C61" s="14" t="s">
        <v>38</v>
      </c>
      <c r="D61" s="14">
        <v>6390</v>
      </c>
      <c r="E61" s="14">
        <v>1</v>
      </c>
      <c r="F61" s="14">
        <v>229289</v>
      </c>
      <c r="G61" s="14" t="s">
        <v>19</v>
      </c>
      <c r="H61" s="14" t="s">
        <v>20</v>
      </c>
      <c r="I61" s="14" t="s">
        <v>31</v>
      </c>
      <c r="J61" s="14" t="s">
        <v>22</v>
      </c>
      <c r="K61" s="14">
        <v>5606</v>
      </c>
      <c r="L61" s="14" t="s">
        <v>23</v>
      </c>
      <c r="M61" s="14">
        <v>700</v>
      </c>
      <c r="N61" s="14" t="s">
        <v>24</v>
      </c>
      <c r="O61" s="14" t="s">
        <v>23</v>
      </c>
      <c r="P61" s="14">
        <v>39.311999999999998</v>
      </c>
      <c r="Q61" s="14">
        <v>0</v>
      </c>
      <c r="R61" s="15">
        <f>A61-6+5</f>
        <v>43390</v>
      </c>
      <c r="S61" s="14">
        <f t="shared" si="2"/>
        <v>0</v>
      </c>
      <c r="T61" s="14">
        <f t="shared" si="3"/>
        <v>17</v>
      </c>
      <c r="U61" s="14">
        <f t="shared" si="4"/>
        <v>4</v>
      </c>
      <c r="V61" s="12">
        <f t="shared" si="5"/>
        <v>42</v>
      </c>
      <c r="W61" s="12">
        <f t="shared" si="6"/>
        <v>10</v>
      </c>
      <c r="X61" s="12">
        <f t="shared" si="7"/>
        <v>2018</v>
      </c>
      <c r="Y61" s="16" t="str">
        <f t="shared" si="8"/>
        <v>Thursday</v>
      </c>
      <c r="Z61" s="17" t="str">
        <f t="shared" si="9"/>
        <v>October</v>
      </c>
      <c r="AA61" s="12"/>
    </row>
    <row r="62" spans="1:27" x14ac:dyDescent="0.3">
      <c r="A62" s="12" t="s">
        <v>40</v>
      </c>
      <c r="B62" s="12" t="s">
        <v>37</v>
      </c>
      <c r="C62" s="12" t="s">
        <v>38</v>
      </c>
      <c r="D62" s="12">
        <v>6390</v>
      </c>
      <c r="E62" s="12">
        <v>1</v>
      </c>
      <c r="F62" s="12">
        <v>229289</v>
      </c>
      <c r="G62" s="12" t="s">
        <v>19</v>
      </c>
      <c r="H62" s="12" t="s">
        <v>20</v>
      </c>
      <c r="I62" s="12" t="s">
        <v>31</v>
      </c>
      <c r="J62" s="12" t="s">
        <v>22</v>
      </c>
      <c r="K62" s="12">
        <v>5606</v>
      </c>
      <c r="L62" s="12" t="s">
        <v>23</v>
      </c>
      <c r="M62" s="12">
        <v>700</v>
      </c>
      <c r="N62" s="12" t="s">
        <v>24</v>
      </c>
      <c r="O62" s="12" t="s">
        <v>23</v>
      </c>
      <c r="P62" s="12">
        <v>39.311999999999998</v>
      </c>
      <c r="Q62" s="12">
        <v>10</v>
      </c>
      <c r="R62" s="13">
        <f>A62-6+6</f>
        <v>43391</v>
      </c>
      <c r="S62" s="14">
        <f t="shared" si="2"/>
        <v>393.12</v>
      </c>
      <c r="T62" s="14">
        <f t="shared" si="3"/>
        <v>18</v>
      </c>
      <c r="U62" s="14">
        <f t="shared" si="4"/>
        <v>5</v>
      </c>
      <c r="V62" s="12">
        <f t="shared" si="5"/>
        <v>42</v>
      </c>
      <c r="W62" s="12">
        <f t="shared" si="6"/>
        <v>10</v>
      </c>
      <c r="X62" s="12">
        <f t="shared" si="7"/>
        <v>2018</v>
      </c>
      <c r="Y62" s="16" t="str">
        <f t="shared" si="8"/>
        <v>Friday</v>
      </c>
      <c r="Z62" s="17" t="str">
        <f t="shared" si="9"/>
        <v>October</v>
      </c>
      <c r="AA62" s="12"/>
    </row>
    <row r="63" spans="1:27" x14ac:dyDescent="0.3">
      <c r="A63" s="14" t="s">
        <v>40</v>
      </c>
      <c r="B63" s="14" t="s">
        <v>37</v>
      </c>
      <c r="C63" s="14" t="s">
        <v>38</v>
      </c>
      <c r="D63" s="14">
        <v>6390</v>
      </c>
      <c r="E63" s="14">
        <v>1</v>
      </c>
      <c r="F63" s="14">
        <v>229289</v>
      </c>
      <c r="G63" s="14" t="s">
        <v>19</v>
      </c>
      <c r="H63" s="14" t="s">
        <v>20</v>
      </c>
      <c r="I63" s="14" t="s">
        <v>31</v>
      </c>
      <c r="J63" s="14" t="s">
        <v>22</v>
      </c>
      <c r="K63" s="14">
        <v>5606</v>
      </c>
      <c r="L63" s="14" t="s">
        <v>23</v>
      </c>
      <c r="M63" s="14">
        <v>700</v>
      </c>
      <c r="N63" s="14" t="s">
        <v>24</v>
      </c>
      <c r="O63" s="14" t="s">
        <v>23</v>
      </c>
      <c r="P63" s="14">
        <v>39.311999999999998</v>
      </c>
      <c r="Q63" s="14">
        <v>0</v>
      </c>
      <c r="R63" s="15">
        <f>R58-2</f>
        <v>43385</v>
      </c>
      <c r="S63" s="14">
        <f t="shared" si="2"/>
        <v>0</v>
      </c>
      <c r="T63" s="14">
        <f t="shared" si="3"/>
        <v>12</v>
      </c>
      <c r="U63" s="14">
        <f t="shared" si="4"/>
        <v>6</v>
      </c>
      <c r="V63" s="12">
        <f t="shared" si="5"/>
        <v>41</v>
      </c>
      <c r="W63" s="12">
        <f t="shared" si="6"/>
        <v>10</v>
      </c>
      <c r="X63" s="12">
        <f t="shared" si="7"/>
        <v>2018</v>
      </c>
      <c r="Y63" s="16" t="str">
        <f t="shared" si="8"/>
        <v>Saturday</v>
      </c>
      <c r="Z63" s="17" t="str">
        <f t="shared" si="9"/>
        <v>October</v>
      </c>
      <c r="AA63" s="12"/>
    </row>
    <row r="64" spans="1:27" x14ac:dyDescent="0.3">
      <c r="A64" s="14" t="s">
        <v>40</v>
      </c>
      <c r="B64" s="14" t="s">
        <v>37</v>
      </c>
      <c r="C64" s="14" t="s">
        <v>38</v>
      </c>
      <c r="D64" s="14">
        <v>6390</v>
      </c>
      <c r="E64" s="14">
        <v>1</v>
      </c>
      <c r="F64" s="14">
        <v>229289</v>
      </c>
      <c r="G64" s="14" t="s">
        <v>19</v>
      </c>
      <c r="H64" s="14" t="s">
        <v>20</v>
      </c>
      <c r="I64" s="14" t="s">
        <v>31</v>
      </c>
      <c r="J64" s="14" t="s">
        <v>22</v>
      </c>
      <c r="K64" s="14">
        <v>5606</v>
      </c>
      <c r="L64" s="14" t="s">
        <v>23</v>
      </c>
      <c r="M64" s="14">
        <v>700</v>
      </c>
      <c r="N64" s="14" t="s">
        <v>24</v>
      </c>
      <c r="O64" s="14" t="s">
        <v>23</v>
      </c>
      <c r="P64" s="14">
        <v>39.311999999999998</v>
      </c>
      <c r="Q64" s="14">
        <v>0</v>
      </c>
      <c r="R64" s="15">
        <f>R58-1</f>
        <v>43386</v>
      </c>
      <c r="S64" s="14">
        <f t="shared" si="2"/>
        <v>0</v>
      </c>
      <c r="T64" s="14">
        <f t="shared" si="3"/>
        <v>13</v>
      </c>
      <c r="U64" s="14">
        <f t="shared" si="4"/>
        <v>7</v>
      </c>
      <c r="V64" s="12">
        <f t="shared" si="5"/>
        <v>41</v>
      </c>
      <c r="W64" s="12">
        <f t="shared" si="6"/>
        <v>10</v>
      </c>
      <c r="X64" s="12">
        <f t="shared" si="7"/>
        <v>2018</v>
      </c>
      <c r="Y64" s="16" t="str">
        <f t="shared" si="8"/>
        <v>Sunday</v>
      </c>
      <c r="Z64" s="17" t="str">
        <f t="shared" si="9"/>
        <v>October</v>
      </c>
      <c r="AA64" s="12"/>
    </row>
    <row r="65" spans="1:27" x14ac:dyDescent="0.3">
      <c r="A65" s="12" t="s">
        <v>16</v>
      </c>
      <c r="B65" s="12" t="s">
        <v>37</v>
      </c>
      <c r="C65" s="12" t="s">
        <v>38</v>
      </c>
      <c r="D65" s="12">
        <v>6390</v>
      </c>
      <c r="E65" s="12">
        <v>1</v>
      </c>
      <c r="F65" s="12">
        <v>230352</v>
      </c>
      <c r="G65" s="12" t="s">
        <v>19</v>
      </c>
      <c r="H65" s="12" t="s">
        <v>20</v>
      </c>
      <c r="I65" s="12" t="s">
        <v>31</v>
      </c>
      <c r="J65" s="12" t="s">
        <v>22</v>
      </c>
      <c r="K65" s="12">
        <v>5606</v>
      </c>
      <c r="L65" s="12" t="s">
        <v>23</v>
      </c>
      <c r="M65" s="12">
        <v>700</v>
      </c>
      <c r="N65" s="12" t="s">
        <v>24</v>
      </c>
      <c r="O65" s="12" t="s">
        <v>23</v>
      </c>
      <c r="P65" s="12">
        <v>39.311999999999998</v>
      </c>
      <c r="Q65" s="12">
        <v>0</v>
      </c>
      <c r="R65" s="13">
        <f>A65-6+2</f>
        <v>43401</v>
      </c>
      <c r="S65" s="14">
        <f t="shared" si="2"/>
        <v>0</v>
      </c>
      <c r="T65" s="14">
        <f t="shared" si="3"/>
        <v>28</v>
      </c>
      <c r="U65" s="14">
        <f t="shared" si="4"/>
        <v>1</v>
      </c>
      <c r="V65" s="12">
        <f t="shared" si="5"/>
        <v>44</v>
      </c>
      <c r="W65" s="12">
        <f t="shared" si="6"/>
        <v>10</v>
      </c>
      <c r="X65" s="12">
        <f t="shared" si="7"/>
        <v>2018</v>
      </c>
      <c r="Y65" s="16" t="str">
        <f t="shared" si="8"/>
        <v>Monday</v>
      </c>
      <c r="Z65" s="17" t="str">
        <f t="shared" si="9"/>
        <v>October</v>
      </c>
      <c r="AA65" s="12"/>
    </row>
    <row r="66" spans="1:27" x14ac:dyDescent="0.3">
      <c r="A66" s="12" t="s">
        <v>16</v>
      </c>
      <c r="B66" s="12" t="s">
        <v>37</v>
      </c>
      <c r="C66" s="12" t="s">
        <v>38</v>
      </c>
      <c r="D66" s="12">
        <v>6390</v>
      </c>
      <c r="E66" s="12">
        <v>1</v>
      </c>
      <c r="F66" s="12">
        <v>230352</v>
      </c>
      <c r="G66" s="12" t="s">
        <v>19</v>
      </c>
      <c r="H66" s="12" t="s">
        <v>20</v>
      </c>
      <c r="I66" s="12" t="s">
        <v>31</v>
      </c>
      <c r="J66" s="12" t="s">
        <v>22</v>
      </c>
      <c r="K66" s="12">
        <v>5606</v>
      </c>
      <c r="L66" s="12" t="s">
        <v>23</v>
      </c>
      <c r="M66" s="12">
        <v>700</v>
      </c>
      <c r="N66" s="12" t="s">
        <v>24</v>
      </c>
      <c r="O66" s="12" t="s">
        <v>23</v>
      </c>
      <c r="P66" s="12">
        <v>39.311999999999998</v>
      </c>
      <c r="Q66" s="12">
        <v>0</v>
      </c>
      <c r="R66" s="13">
        <f>A66-6+3</f>
        <v>43402</v>
      </c>
      <c r="S66" s="14">
        <f t="shared" si="2"/>
        <v>0</v>
      </c>
      <c r="T66" s="14">
        <f t="shared" si="3"/>
        <v>29</v>
      </c>
      <c r="U66" s="14">
        <f t="shared" si="4"/>
        <v>2</v>
      </c>
      <c r="V66" s="12">
        <f t="shared" si="5"/>
        <v>44</v>
      </c>
      <c r="W66" s="12">
        <f t="shared" si="6"/>
        <v>10</v>
      </c>
      <c r="X66" s="12">
        <f t="shared" si="7"/>
        <v>2018</v>
      </c>
      <c r="Y66" s="16" t="str">
        <f t="shared" ref="Y66:Y92" si="10">VLOOKUP(U66,dayname,2)</f>
        <v>Tuesday</v>
      </c>
      <c r="Z66" s="17" t="str">
        <f t="shared" ref="Z66:Z92" si="11">VLOOKUP(W66,mesnome,2)</f>
        <v>October</v>
      </c>
      <c r="AA66" s="12"/>
    </row>
    <row r="67" spans="1:27" x14ac:dyDescent="0.3">
      <c r="A67" s="12" t="s">
        <v>16</v>
      </c>
      <c r="B67" s="12" t="s">
        <v>37</v>
      </c>
      <c r="C67" s="12" t="s">
        <v>38</v>
      </c>
      <c r="D67" s="12">
        <v>6390</v>
      </c>
      <c r="E67" s="12">
        <v>1</v>
      </c>
      <c r="F67" s="12">
        <v>230352</v>
      </c>
      <c r="G67" s="12" t="s">
        <v>19</v>
      </c>
      <c r="H67" s="12" t="s">
        <v>20</v>
      </c>
      <c r="I67" s="12" t="s">
        <v>31</v>
      </c>
      <c r="J67" s="12" t="s">
        <v>22</v>
      </c>
      <c r="K67" s="12">
        <v>5606</v>
      </c>
      <c r="L67" s="12" t="s">
        <v>23</v>
      </c>
      <c r="M67" s="12">
        <v>700</v>
      </c>
      <c r="N67" s="12" t="s">
        <v>24</v>
      </c>
      <c r="O67" s="12" t="s">
        <v>23</v>
      </c>
      <c r="P67" s="12">
        <v>39.311999999999998</v>
      </c>
      <c r="Q67" s="12">
        <v>0</v>
      </c>
      <c r="R67" s="13">
        <f>A67-6+4</f>
        <v>43403</v>
      </c>
      <c r="S67" s="14">
        <f t="shared" ref="S67:S92" si="12">P67*Q67</f>
        <v>0</v>
      </c>
      <c r="T67" s="14">
        <f t="shared" ref="T67:T92" si="13">DAY(R67)</f>
        <v>30</v>
      </c>
      <c r="U67" s="14">
        <f t="shared" ref="U67:U92" si="14">WEEKDAY(R67)</f>
        <v>3</v>
      </c>
      <c r="V67" s="12">
        <f t="shared" ref="V67:V92" si="15">WEEKNUM(R67)</f>
        <v>44</v>
      </c>
      <c r="W67" s="12">
        <f t="shared" ref="W67:W92" si="16">MONTH(R67)</f>
        <v>10</v>
      </c>
      <c r="X67" s="12">
        <f t="shared" ref="X67:X92" si="17">YEAR(R67)</f>
        <v>2018</v>
      </c>
      <c r="Y67" s="16" t="str">
        <f t="shared" si="10"/>
        <v>Wednesday</v>
      </c>
      <c r="Z67" s="17" t="str">
        <f t="shared" si="11"/>
        <v>October</v>
      </c>
      <c r="AA67" s="12"/>
    </row>
    <row r="68" spans="1:27" x14ac:dyDescent="0.3">
      <c r="A68" s="12" t="s">
        <v>16</v>
      </c>
      <c r="B68" s="12" t="s">
        <v>37</v>
      </c>
      <c r="C68" s="12" t="s">
        <v>38</v>
      </c>
      <c r="D68" s="12">
        <v>6390</v>
      </c>
      <c r="E68" s="12">
        <v>1</v>
      </c>
      <c r="F68" s="12">
        <v>230352</v>
      </c>
      <c r="G68" s="12" t="s">
        <v>19</v>
      </c>
      <c r="H68" s="12" t="s">
        <v>20</v>
      </c>
      <c r="I68" s="12" t="s">
        <v>31</v>
      </c>
      <c r="J68" s="12" t="s">
        <v>22</v>
      </c>
      <c r="K68" s="12">
        <v>5606</v>
      </c>
      <c r="L68" s="12" t="s">
        <v>23</v>
      </c>
      <c r="M68" s="12">
        <v>700</v>
      </c>
      <c r="N68" s="12" t="s">
        <v>24</v>
      </c>
      <c r="O68" s="12" t="s">
        <v>23</v>
      </c>
      <c r="P68" s="12">
        <v>39.311999999999998</v>
      </c>
      <c r="Q68" s="12">
        <v>0</v>
      </c>
      <c r="R68" s="13">
        <f>A68-6+5</f>
        <v>43404</v>
      </c>
      <c r="S68" s="14">
        <f t="shared" si="12"/>
        <v>0</v>
      </c>
      <c r="T68" s="14">
        <f t="shared" si="13"/>
        <v>31</v>
      </c>
      <c r="U68" s="14">
        <f t="shared" si="14"/>
        <v>4</v>
      </c>
      <c r="V68" s="12">
        <f t="shared" si="15"/>
        <v>44</v>
      </c>
      <c r="W68" s="12">
        <f t="shared" si="16"/>
        <v>10</v>
      </c>
      <c r="X68" s="12">
        <f t="shared" si="17"/>
        <v>2018</v>
      </c>
      <c r="Y68" s="16" t="str">
        <f t="shared" si="10"/>
        <v>Thursday</v>
      </c>
      <c r="Z68" s="17" t="str">
        <f t="shared" si="11"/>
        <v>October</v>
      </c>
      <c r="AA68" s="12"/>
    </row>
    <row r="69" spans="1:27" x14ac:dyDescent="0.3">
      <c r="A69" s="12" t="s">
        <v>16</v>
      </c>
      <c r="B69" s="12" t="s">
        <v>37</v>
      </c>
      <c r="C69" s="12" t="s">
        <v>38</v>
      </c>
      <c r="D69" s="12">
        <v>6390</v>
      </c>
      <c r="E69" s="12">
        <v>1</v>
      </c>
      <c r="F69" s="12">
        <v>230352</v>
      </c>
      <c r="G69" s="12" t="s">
        <v>19</v>
      </c>
      <c r="H69" s="12" t="s">
        <v>20</v>
      </c>
      <c r="I69" s="12" t="s">
        <v>31</v>
      </c>
      <c r="J69" s="12" t="s">
        <v>22</v>
      </c>
      <c r="K69" s="12">
        <v>5606</v>
      </c>
      <c r="L69" s="12" t="s">
        <v>23</v>
      </c>
      <c r="M69" s="12">
        <v>700</v>
      </c>
      <c r="N69" s="12" t="s">
        <v>24</v>
      </c>
      <c r="O69" s="12" t="s">
        <v>23</v>
      </c>
      <c r="P69" s="12">
        <v>39.311999999999998</v>
      </c>
      <c r="Q69" s="12">
        <v>10</v>
      </c>
      <c r="R69" s="13">
        <f>A69-6+6</f>
        <v>43405</v>
      </c>
      <c r="S69" s="14">
        <f t="shared" si="12"/>
        <v>393.12</v>
      </c>
      <c r="T69" s="14">
        <f t="shared" si="13"/>
        <v>1</v>
      </c>
      <c r="U69" s="14">
        <f t="shared" si="14"/>
        <v>5</v>
      </c>
      <c r="V69" s="12">
        <f t="shared" si="15"/>
        <v>44</v>
      </c>
      <c r="W69" s="12">
        <f t="shared" si="16"/>
        <v>11</v>
      </c>
      <c r="X69" s="12">
        <f t="shared" si="17"/>
        <v>2018</v>
      </c>
      <c r="Y69" s="16" t="str">
        <f t="shared" si="10"/>
        <v>Friday</v>
      </c>
      <c r="Z69" s="17" t="str">
        <f t="shared" si="11"/>
        <v>November</v>
      </c>
      <c r="AA69" s="12"/>
    </row>
    <row r="70" spans="1:27" x14ac:dyDescent="0.3">
      <c r="A70" s="12" t="s">
        <v>16</v>
      </c>
      <c r="B70" s="12" t="s">
        <v>37</v>
      </c>
      <c r="C70" s="12" t="s">
        <v>38</v>
      </c>
      <c r="D70" s="12">
        <v>6390</v>
      </c>
      <c r="E70" s="12">
        <v>1</v>
      </c>
      <c r="F70" s="12">
        <v>230352</v>
      </c>
      <c r="G70" s="12" t="s">
        <v>19</v>
      </c>
      <c r="H70" s="12" t="s">
        <v>20</v>
      </c>
      <c r="I70" s="12" t="s">
        <v>31</v>
      </c>
      <c r="J70" s="12" t="s">
        <v>22</v>
      </c>
      <c r="K70" s="12">
        <v>5606</v>
      </c>
      <c r="L70" s="12" t="s">
        <v>23</v>
      </c>
      <c r="M70" s="12">
        <v>700</v>
      </c>
      <c r="N70" s="12" t="s">
        <v>24</v>
      </c>
      <c r="O70" s="12" t="s">
        <v>23</v>
      </c>
      <c r="P70" s="12">
        <v>39.311999999999998</v>
      </c>
      <c r="Q70" s="12">
        <v>0</v>
      </c>
      <c r="R70" s="13">
        <f>R65-2</f>
        <v>43399</v>
      </c>
      <c r="S70" s="14">
        <f t="shared" si="12"/>
        <v>0</v>
      </c>
      <c r="T70" s="14">
        <f t="shared" si="13"/>
        <v>26</v>
      </c>
      <c r="U70" s="14">
        <f t="shared" si="14"/>
        <v>6</v>
      </c>
      <c r="V70" s="12">
        <f t="shared" si="15"/>
        <v>43</v>
      </c>
      <c r="W70" s="12">
        <f t="shared" si="16"/>
        <v>10</v>
      </c>
      <c r="X70" s="12">
        <f t="shared" si="17"/>
        <v>2018</v>
      </c>
      <c r="Y70" s="16" t="str">
        <f t="shared" si="10"/>
        <v>Saturday</v>
      </c>
      <c r="Z70" s="17" t="str">
        <f t="shared" si="11"/>
        <v>October</v>
      </c>
      <c r="AA70" s="12"/>
    </row>
    <row r="71" spans="1:27" x14ac:dyDescent="0.3">
      <c r="A71" s="12" t="s">
        <v>16</v>
      </c>
      <c r="B71" s="12" t="s">
        <v>37</v>
      </c>
      <c r="C71" s="12" t="s">
        <v>38</v>
      </c>
      <c r="D71" s="12">
        <v>6390</v>
      </c>
      <c r="E71" s="12">
        <v>1</v>
      </c>
      <c r="F71" s="12">
        <v>230352</v>
      </c>
      <c r="G71" s="12" t="s">
        <v>19</v>
      </c>
      <c r="H71" s="12" t="s">
        <v>20</v>
      </c>
      <c r="I71" s="12" t="s">
        <v>31</v>
      </c>
      <c r="J71" s="12" t="s">
        <v>22</v>
      </c>
      <c r="K71" s="12">
        <v>5606</v>
      </c>
      <c r="L71" s="12" t="s">
        <v>23</v>
      </c>
      <c r="M71" s="12">
        <v>700</v>
      </c>
      <c r="N71" s="12" t="s">
        <v>24</v>
      </c>
      <c r="O71" s="12" t="s">
        <v>23</v>
      </c>
      <c r="P71" s="12">
        <v>39.311999999999998</v>
      </c>
      <c r="Q71" s="12">
        <v>0</v>
      </c>
      <c r="R71" s="13">
        <f>R65-1</f>
        <v>43400</v>
      </c>
      <c r="S71" s="14">
        <f t="shared" si="12"/>
        <v>0</v>
      </c>
      <c r="T71" s="14">
        <f t="shared" si="13"/>
        <v>27</v>
      </c>
      <c r="U71" s="14">
        <f t="shared" si="14"/>
        <v>7</v>
      </c>
      <c r="V71" s="12">
        <f t="shared" si="15"/>
        <v>43</v>
      </c>
      <c r="W71" s="12">
        <f t="shared" si="16"/>
        <v>10</v>
      </c>
      <c r="X71" s="12">
        <f t="shared" si="17"/>
        <v>2018</v>
      </c>
      <c r="Y71" s="16" t="str">
        <f t="shared" si="10"/>
        <v>Sunday</v>
      </c>
      <c r="Z71" s="17" t="str">
        <f t="shared" si="11"/>
        <v>October</v>
      </c>
      <c r="AA71" s="12"/>
    </row>
    <row r="72" spans="1:27" x14ac:dyDescent="0.3">
      <c r="A72" s="12" t="s">
        <v>41</v>
      </c>
      <c r="B72" s="12" t="s">
        <v>37</v>
      </c>
      <c r="C72" s="12" t="s">
        <v>38</v>
      </c>
      <c r="D72" s="12">
        <v>6390</v>
      </c>
      <c r="E72" s="12">
        <v>1</v>
      </c>
      <c r="F72" s="12">
        <v>230898</v>
      </c>
      <c r="G72" s="12" t="s">
        <v>19</v>
      </c>
      <c r="H72" s="12" t="s">
        <v>20</v>
      </c>
      <c r="I72" s="12" t="s">
        <v>31</v>
      </c>
      <c r="J72" s="12" t="s">
        <v>22</v>
      </c>
      <c r="K72" s="12">
        <v>5606</v>
      </c>
      <c r="L72" s="12" t="s">
        <v>23</v>
      </c>
      <c r="M72" s="12">
        <v>700</v>
      </c>
      <c r="N72" s="12" t="s">
        <v>24</v>
      </c>
      <c r="O72" s="12" t="s">
        <v>23</v>
      </c>
      <c r="P72" s="12">
        <v>39.311999999999998</v>
      </c>
      <c r="Q72" s="12">
        <v>0</v>
      </c>
      <c r="R72" s="13">
        <f>A72-6+2</f>
        <v>43408</v>
      </c>
      <c r="S72" s="14">
        <f t="shared" si="12"/>
        <v>0</v>
      </c>
      <c r="T72" s="14">
        <f t="shared" si="13"/>
        <v>4</v>
      </c>
      <c r="U72" s="14">
        <f t="shared" si="14"/>
        <v>1</v>
      </c>
      <c r="V72" s="12">
        <f t="shared" si="15"/>
        <v>45</v>
      </c>
      <c r="W72" s="12">
        <f t="shared" si="16"/>
        <v>11</v>
      </c>
      <c r="X72" s="12">
        <f t="shared" si="17"/>
        <v>2018</v>
      </c>
      <c r="Y72" s="16" t="str">
        <f t="shared" si="10"/>
        <v>Monday</v>
      </c>
      <c r="Z72" s="17" t="str">
        <f t="shared" si="11"/>
        <v>November</v>
      </c>
      <c r="AA72" s="12"/>
    </row>
    <row r="73" spans="1:27" x14ac:dyDescent="0.3">
      <c r="A73" s="12" t="s">
        <v>41</v>
      </c>
      <c r="B73" s="12" t="s">
        <v>37</v>
      </c>
      <c r="C73" s="12" t="s">
        <v>38</v>
      </c>
      <c r="D73" s="12">
        <v>6390</v>
      </c>
      <c r="E73" s="12">
        <v>1</v>
      </c>
      <c r="F73" s="12">
        <v>230898</v>
      </c>
      <c r="G73" s="12" t="s">
        <v>19</v>
      </c>
      <c r="H73" s="12" t="s">
        <v>20</v>
      </c>
      <c r="I73" s="12" t="s">
        <v>31</v>
      </c>
      <c r="J73" s="12" t="s">
        <v>22</v>
      </c>
      <c r="K73" s="12">
        <v>5606</v>
      </c>
      <c r="L73" s="12" t="s">
        <v>23</v>
      </c>
      <c r="M73" s="12">
        <v>700</v>
      </c>
      <c r="N73" s="12" t="s">
        <v>24</v>
      </c>
      <c r="O73" s="12" t="s">
        <v>23</v>
      </c>
      <c r="P73" s="12">
        <v>39.311999999999998</v>
      </c>
      <c r="Q73" s="12">
        <v>0</v>
      </c>
      <c r="R73" s="13">
        <f>A73-6+3</f>
        <v>43409</v>
      </c>
      <c r="S73" s="14">
        <f t="shared" si="12"/>
        <v>0</v>
      </c>
      <c r="T73" s="14">
        <f t="shared" si="13"/>
        <v>5</v>
      </c>
      <c r="U73" s="14">
        <f t="shared" si="14"/>
        <v>2</v>
      </c>
      <c r="V73" s="12">
        <f t="shared" si="15"/>
        <v>45</v>
      </c>
      <c r="W73" s="12">
        <f t="shared" si="16"/>
        <v>11</v>
      </c>
      <c r="X73" s="12">
        <f t="shared" si="17"/>
        <v>2018</v>
      </c>
      <c r="Y73" s="16" t="str">
        <f t="shared" si="10"/>
        <v>Tuesday</v>
      </c>
      <c r="Z73" s="17" t="str">
        <f t="shared" si="11"/>
        <v>November</v>
      </c>
      <c r="AA73" s="12"/>
    </row>
    <row r="74" spans="1:27" x14ac:dyDescent="0.3">
      <c r="A74" s="12" t="s">
        <v>41</v>
      </c>
      <c r="B74" s="12" t="s">
        <v>37</v>
      </c>
      <c r="C74" s="12" t="s">
        <v>38</v>
      </c>
      <c r="D74" s="12">
        <v>6390</v>
      </c>
      <c r="E74" s="12">
        <v>1</v>
      </c>
      <c r="F74" s="12">
        <v>230898</v>
      </c>
      <c r="G74" s="12" t="s">
        <v>19</v>
      </c>
      <c r="H74" s="12" t="s">
        <v>20</v>
      </c>
      <c r="I74" s="12" t="s">
        <v>31</v>
      </c>
      <c r="J74" s="12" t="s">
        <v>22</v>
      </c>
      <c r="K74" s="12">
        <v>5606</v>
      </c>
      <c r="L74" s="12" t="s">
        <v>23</v>
      </c>
      <c r="M74" s="12">
        <v>700</v>
      </c>
      <c r="N74" s="12" t="s">
        <v>24</v>
      </c>
      <c r="O74" s="12" t="s">
        <v>23</v>
      </c>
      <c r="P74" s="12">
        <v>39.311999999999998</v>
      </c>
      <c r="Q74" s="12">
        <v>0</v>
      </c>
      <c r="R74" s="13">
        <f>A74-6+4</f>
        <v>43410</v>
      </c>
      <c r="S74" s="14">
        <f t="shared" si="12"/>
        <v>0</v>
      </c>
      <c r="T74" s="14">
        <f t="shared" si="13"/>
        <v>6</v>
      </c>
      <c r="U74" s="14">
        <f t="shared" si="14"/>
        <v>3</v>
      </c>
      <c r="V74" s="12">
        <f t="shared" si="15"/>
        <v>45</v>
      </c>
      <c r="W74" s="12">
        <f t="shared" si="16"/>
        <v>11</v>
      </c>
      <c r="X74" s="12">
        <f t="shared" si="17"/>
        <v>2018</v>
      </c>
      <c r="Y74" s="16" t="str">
        <f t="shared" si="10"/>
        <v>Wednesday</v>
      </c>
      <c r="Z74" s="17" t="str">
        <f t="shared" si="11"/>
        <v>November</v>
      </c>
      <c r="AA74" s="12"/>
    </row>
    <row r="75" spans="1:27" x14ac:dyDescent="0.3">
      <c r="A75" s="12" t="s">
        <v>41</v>
      </c>
      <c r="B75" s="12" t="s">
        <v>37</v>
      </c>
      <c r="C75" s="12" t="s">
        <v>38</v>
      </c>
      <c r="D75" s="12">
        <v>6390</v>
      </c>
      <c r="E75" s="12">
        <v>1</v>
      </c>
      <c r="F75" s="12">
        <v>230898</v>
      </c>
      <c r="G75" s="12" t="s">
        <v>19</v>
      </c>
      <c r="H75" s="12" t="s">
        <v>20</v>
      </c>
      <c r="I75" s="12" t="s">
        <v>31</v>
      </c>
      <c r="J75" s="12" t="s">
        <v>22</v>
      </c>
      <c r="K75" s="12">
        <v>5606</v>
      </c>
      <c r="L75" s="12" t="s">
        <v>23</v>
      </c>
      <c r="M75" s="12">
        <v>700</v>
      </c>
      <c r="N75" s="12" t="s">
        <v>24</v>
      </c>
      <c r="O75" s="12" t="s">
        <v>23</v>
      </c>
      <c r="P75" s="12">
        <v>39.311999999999998</v>
      </c>
      <c r="Q75" s="12">
        <v>0</v>
      </c>
      <c r="R75" s="13">
        <f>A75-6+5</f>
        <v>43411</v>
      </c>
      <c r="S75" s="14">
        <f t="shared" si="12"/>
        <v>0</v>
      </c>
      <c r="T75" s="14">
        <f t="shared" si="13"/>
        <v>7</v>
      </c>
      <c r="U75" s="14">
        <f t="shared" si="14"/>
        <v>4</v>
      </c>
      <c r="V75" s="12">
        <f t="shared" si="15"/>
        <v>45</v>
      </c>
      <c r="W75" s="12">
        <f t="shared" si="16"/>
        <v>11</v>
      </c>
      <c r="X75" s="12">
        <f t="shared" si="17"/>
        <v>2018</v>
      </c>
      <c r="Y75" s="16" t="str">
        <f t="shared" si="10"/>
        <v>Thursday</v>
      </c>
      <c r="Z75" s="17" t="str">
        <f t="shared" si="11"/>
        <v>November</v>
      </c>
      <c r="AA75" s="12"/>
    </row>
    <row r="76" spans="1:27" x14ac:dyDescent="0.3">
      <c r="A76" s="12" t="s">
        <v>41</v>
      </c>
      <c r="B76" s="12" t="s">
        <v>37</v>
      </c>
      <c r="C76" s="12" t="s">
        <v>38</v>
      </c>
      <c r="D76" s="12">
        <v>6390</v>
      </c>
      <c r="E76" s="12">
        <v>1</v>
      </c>
      <c r="F76" s="12">
        <v>230898</v>
      </c>
      <c r="G76" s="12" t="s">
        <v>19</v>
      </c>
      <c r="H76" s="12" t="s">
        <v>20</v>
      </c>
      <c r="I76" s="12" t="s">
        <v>31</v>
      </c>
      <c r="J76" s="12" t="s">
        <v>22</v>
      </c>
      <c r="K76" s="12">
        <v>5606</v>
      </c>
      <c r="L76" s="12" t="s">
        <v>23</v>
      </c>
      <c r="M76" s="12">
        <v>700</v>
      </c>
      <c r="N76" s="12" t="s">
        <v>24</v>
      </c>
      <c r="O76" s="12" t="s">
        <v>23</v>
      </c>
      <c r="P76" s="12">
        <v>39.311999999999998</v>
      </c>
      <c r="Q76" s="12">
        <v>0</v>
      </c>
      <c r="R76" s="13">
        <f>A76-6+6</f>
        <v>43412</v>
      </c>
      <c r="S76" s="14">
        <f t="shared" si="12"/>
        <v>0</v>
      </c>
      <c r="T76" s="14">
        <f t="shared" si="13"/>
        <v>8</v>
      </c>
      <c r="U76" s="14">
        <f t="shared" si="14"/>
        <v>5</v>
      </c>
      <c r="V76" s="12">
        <f t="shared" si="15"/>
        <v>45</v>
      </c>
      <c r="W76" s="12">
        <f t="shared" si="16"/>
        <v>11</v>
      </c>
      <c r="X76" s="12">
        <f t="shared" si="17"/>
        <v>2018</v>
      </c>
      <c r="Y76" s="16" t="str">
        <f t="shared" si="10"/>
        <v>Friday</v>
      </c>
      <c r="Z76" s="17" t="str">
        <f t="shared" si="11"/>
        <v>November</v>
      </c>
      <c r="AA76" s="12"/>
    </row>
    <row r="77" spans="1:27" x14ac:dyDescent="0.3">
      <c r="A77" s="12" t="s">
        <v>41</v>
      </c>
      <c r="B77" s="12" t="s">
        <v>37</v>
      </c>
      <c r="C77" s="12" t="s">
        <v>38</v>
      </c>
      <c r="D77" s="12">
        <v>6390</v>
      </c>
      <c r="E77" s="12">
        <v>1</v>
      </c>
      <c r="F77" s="12">
        <v>230898</v>
      </c>
      <c r="G77" s="12" t="s">
        <v>19</v>
      </c>
      <c r="H77" s="12" t="s">
        <v>20</v>
      </c>
      <c r="I77" s="12" t="s">
        <v>31</v>
      </c>
      <c r="J77" s="12" t="s">
        <v>22</v>
      </c>
      <c r="K77" s="12">
        <v>5606</v>
      </c>
      <c r="L77" s="12" t="s">
        <v>23</v>
      </c>
      <c r="M77" s="12">
        <v>700</v>
      </c>
      <c r="N77" s="12" t="s">
        <v>24</v>
      </c>
      <c r="O77" s="12" t="s">
        <v>23</v>
      </c>
      <c r="P77" s="12">
        <v>39.311999999999998</v>
      </c>
      <c r="Q77" s="12">
        <v>10</v>
      </c>
      <c r="R77" s="13">
        <f>R72-2</f>
        <v>43406</v>
      </c>
      <c r="S77" s="14">
        <f t="shared" si="12"/>
        <v>393.12</v>
      </c>
      <c r="T77" s="14">
        <f t="shared" si="13"/>
        <v>2</v>
      </c>
      <c r="U77" s="14">
        <f t="shared" si="14"/>
        <v>6</v>
      </c>
      <c r="V77" s="12">
        <f t="shared" si="15"/>
        <v>44</v>
      </c>
      <c r="W77" s="12">
        <f t="shared" si="16"/>
        <v>11</v>
      </c>
      <c r="X77" s="12">
        <f t="shared" si="17"/>
        <v>2018</v>
      </c>
      <c r="Y77" s="16" t="str">
        <f t="shared" si="10"/>
        <v>Saturday</v>
      </c>
      <c r="Z77" s="17" t="str">
        <f t="shared" si="11"/>
        <v>November</v>
      </c>
      <c r="AA77" s="12"/>
    </row>
    <row r="78" spans="1:27" x14ac:dyDescent="0.3">
      <c r="A78" s="12" t="s">
        <v>41</v>
      </c>
      <c r="B78" s="12" t="s">
        <v>37</v>
      </c>
      <c r="C78" s="12" t="s">
        <v>38</v>
      </c>
      <c r="D78" s="12">
        <v>6390</v>
      </c>
      <c r="E78" s="12">
        <v>1</v>
      </c>
      <c r="F78" s="12">
        <v>230898</v>
      </c>
      <c r="G78" s="12" t="s">
        <v>19</v>
      </c>
      <c r="H78" s="12" t="s">
        <v>20</v>
      </c>
      <c r="I78" s="12" t="s">
        <v>31</v>
      </c>
      <c r="J78" s="12" t="s">
        <v>22</v>
      </c>
      <c r="K78" s="12">
        <v>5606</v>
      </c>
      <c r="L78" s="12" t="s">
        <v>23</v>
      </c>
      <c r="M78" s="12">
        <v>700</v>
      </c>
      <c r="N78" s="12" t="s">
        <v>24</v>
      </c>
      <c r="O78" s="12" t="s">
        <v>23</v>
      </c>
      <c r="P78" s="12">
        <v>39.311999999999998</v>
      </c>
      <c r="Q78" s="12">
        <v>0</v>
      </c>
      <c r="R78" s="13">
        <f>R72-1</f>
        <v>43407</v>
      </c>
      <c r="S78" s="14">
        <f t="shared" si="12"/>
        <v>0</v>
      </c>
      <c r="T78" s="14">
        <f t="shared" si="13"/>
        <v>3</v>
      </c>
      <c r="U78" s="14">
        <f t="shared" si="14"/>
        <v>7</v>
      </c>
      <c r="V78" s="12">
        <f t="shared" si="15"/>
        <v>44</v>
      </c>
      <c r="W78" s="12">
        <f t="shared" si="16"/>
        <v>11</v>
      </c>
      <c r="X78" s="12">
        <f t="shared" si="17"/>
        <v>2018</v>
      </c>
      <c r="Y78" s="16" t="str">
        <f t="shared" si="10"/>
        <v>Sunday</v>
      </c>
      <c r="Z78" s="17" t="str">
        <f t="shared" si="11"/>
        <v>November</v>
      </c>
      <c r="AA78" s="12"/>
    </row>
    <row r="79" spans="1:27" x14ac:dyDescent="0.3">
      <c r="A79" s="12" t="s">
        <v>42</v>
      </c>
      <c r="B79" s="12" t="s">
        <v>37</v>
      </c>
      <c r="C79" s="12" t="s">
        <v>38</v>
      </c>
      <c r="D79" s="12">
        <v>6390</v>
      </c>
      <c r="E79" s="12">
        <v>1</v>
      </c>
      <c r="F79" s="12">
        <v>231446</v>
      </c>
      <c r="G79" s="12" t="s">
        <v>19</v>
      </c>
      <c r="H79" s="12" t="s">
        <v>20</v>
      </c>
      <c r="I79" s="12" t="s">
        <v>31</v>
      </c>
      <c r="J79" s="12" t="s">
        <v>22</v>
      </c>
      <c r="K79" s="12">
        <v>5606</v>
      </c>
      <c r="L79" s="12" t="s">
        <v>23</v>
      </c>
      <c r="M79" s="12">
        <v>700</v>
      </c>
      <c r="N79" s="12" t="s">
        <v>24</v>
      </c>
      <c r="O79" s="12" t="s">
        <v>23</v>
      </c>
      <c r="P79" s="12">
        <v>39.311999999999998</v>
      </c>
      <c r="Q79" s="12">
        <v>0</v>
      </c>
      <c r="R79" s="13">
        <f>A79-6+2</f>
        <v>43415</v>
      </c>
      <c r="S79" s="14">
        <f t="shared" si="12"/>
        <v>0</v>
      </c>
      <c r="T79" s="14">
        <f t="shared" si="13"/>
        <v>11</v>
      </c>
      <c r="U79" s="14">
        <f t="shared" si="14"/>
        <v>1</v>
      </c>
      <c r="V79" s="12">
        <f t="shared" si="15"/>
        <v>46</v>
      </c>
      <c r="W79" s="12">
        <f t="shared" si="16"/>
        <v>11</v>
      </c>
      <c r="X79" s="12">
        <f t="shared" si="17"/>
        <v>2018</v>
      </c>
      <c r="Y79" s="16" t="str">
        <f t="shared" si="10"/>
        <v>Monday</v>
      </c>
      <c r="Z79" s="17" t="str">
        <f t="shared" si="11"/>
        <v>November</v>
      </c>
      <c r="AA79" s="12"/>
    </row>
    <row r="80" spans="1:27" x14ac:dyDescent="0.3">
      <c r="A80" s="12" t="s">
        <v>42</v>
      </c>
      <c r="B80" s="12" t="s">
        <v>37</v>
      </c>
      <c r="C80" s="12" t="s">
        <v>38</v>
      </c>
      <c r="D80" s="12">
        <v>6390</v>
      </c>
      <c r="E80" s="12">
        <v>1</v>
      </c>
      <c r="F80" s="12">
        <v>231446</v>
      </c>
      <c r="G80" s="12" t="s">
        <v>19</v>
      </c>
      <c r="H80" s="12" t="s">
        <v>20</v>
      </c>
      <c r="I80" s="12" t="s">
        <v>31</v>
      </c>
      <c r="J80" s="12" t="s">
        <v>22</v>
      </c>
      <c r="K80" s="12">
        <v>5606</v>
      </c>
      <c r="L80" s="12" t="s">
        <v>23</v>
      </c>
      <c r="M80" s="12">
        <v>700</v>
      </c>
      <c r="N80" s="12" t="s">
        <v>24</v>
      </c>
      <c r="O80" s="12" t="s">
        <v>23</v>
      </c>
      <c r="P80" s="12">
        <v>39.311999999999998</v>
      </c>
      <c r="Q80" s="12">
        <v>0</v>
      </c>
      <c r="R80" s="13">
        <f>A80-6+3</f>
        <v>43416</v>
      </c>
      <c r="S80" s="14">
        <f t="shared" si="12"/>
        <v>0</v>
      </c>
      <c r="T80" s="14">
        <f t="shared" si="13"/>
        <v>12</v>
      </c>
      <c r="U80" s="14">
        <f t="shared" si="14"/>
        <v>2</v>
      </c>
      <c r="V80" s="12">
        <f t="shared" si="15"/>
        <v>46</v>
      </c>
      <c r="W80" s="12">
        <f t="shared" si="16"/>
        <v>11</v>
      </c>
      <c r="X80" s="12">
        <f t="shared" si="17"/>
        <v>2018</v>
      </c>
      <c r="Y80" s="16" t="str">
        <f t="shared" si="10"/>
        <v>Tuesday</v>
      </c>
      <c r="Z80" s="17" t="str">
        <f t="shared" si="11"/>
        <v>November</v>
      </c>
      <c r="AA80" s="12"/>
    </row>
    <row r="81" spans="1:27" x14ac:dyDescent="0.3">
      <c r="A81" s="12" t="s">
        <v>42</v>
      </c>
      <c r="B81" s="12" t="s">
        <v>37</v>
      </c>
      <c r="C81" s="12" t="s">
        <v>38</v>
      </c>
      <c r="D81" s="12">
        <v>6390</v>
      </c>
      <c r="E81" s="12">
        <v>1</v>
      </c>
      <c r="F81" s="12">
        <v>231446</v>
      </c>
      <c r="G81" s="12" t="s">
        <v>19</v>
      </c>
      <c r="H81" s="12" t="s">
        <v>20</v>
      </c>
      <c r="I81" s="12" t="s">
        <v>31</v>
      </c>
      <c r="J81" s="12" t="s">
        <v>22</v>
      </c>
      <c r="K81" s="12">
        <v>5606</v>
      </c>
      <c r="L81" s="12" t="s">
        <v>23</v>
      </c>
      <c r="M81" s="12">
        <v>700</v>
      </c>
      <c r="N81" s="12" t="s">
        <v>24</v>
      </c>
      <c r="O81" s="12" t="s">
        <v>23</v>
      </c>
      <c r="P81" s="12">
        <v>39.311999999999998</v>
      </c>
      <c r="Q81" s="12">
        <v>0</v>
      </c>
      <c r="R81" s="13">
        <f>A81-6+4</f>
        <v>43417</v>
      </c>
      <c r="S81" s="14">
        <f t="shared" si="12"/>
        <v>0</v>
      </c>
      <c r="T81" s="14">
        <f t="shared" si="13"/>
        <v>13</v>
      </c>
      <c r="U81" s="14">
        <f t="shared" si="14"/>
        <v>3</v>
      </c>
      <c r="V81" s="12">
        <f t="shared" si="15"/>
        <v>46</v>
      </c>
      <c r="W81" s="12">
        <f t="shared" si="16"/>
        <v>11</v>
      </c>
      <c r="X81" s="12">
        <f t="shared" si="17"/>
        <v>2018</v>
      </c>
      <c r="Y81" s="16" t="str">
        <f t="shared" si="10"/>
        <v>Wednesday</v>
      </c>
      <c r="Z81" s="17" t="str">
        <f t="shared" si="11"/>
        <v>November</v>
      </c>
      <c r="AA81" s="12"/>
    </row>
    <row r="82" spans="1:27" x14ac:dyDescent="0.3">
      <c r="A82" s="12" t="s">
        <v>42</v>
      </c>
      <c r="B82" s="12" t="s">
        <v>37</v>
      </c>
      <c r="C82" s="12" t="s">
        <v>38</v>
      </c>
      <c r="D82" s="12">
        <v>6390</v>
      </c>
      <c r="E82" s="12">
        <v>1</v>
      </c>
      <c r="F82" s="12">
        <v>231446</v>
      </c>
      <c r="G82" s="12" t="s">
        <v>19</v>
      </c>
      <c r="H82" s="12" t="s">
        <v>20</v>
      </c>
      <c r="I82" s="12" t="s">
        <v>31</v>
      </c>
      <c r="J82" s="12" t="s">
        <v>22</v>
      </c>
      <c r="K82" s="12">
        <v>5606</v>
      </c>
      <c r="L82" s="12" t="s">
        <v>23</v>
      </c>
      <c r="M82" s="12">
        <v>700</v>
      </c>
      <c r="N82" s="12" t="s">
        <v>24</v>
      </c>
      <c r="O82" s="12" t="s">
        <v>23</v>
      </c>
      <c r="P82" s="12">
        <v>39.311999999999998</v>
      </c>
      <c r="Q82" s="12">
        <v>0</v>
      </c>
      <c r="R82" s="13">
        <f>A82-6+5</f>
        <v>43418</v>
      </c>
      <c r="S82" s="14">
        <f t="shared" si="12"/>
        <v>0</v>
      </c>
      <c r="T82" s="14">
        <f t="shared" si="13"/>
        <v>14</v>
      </c>
      <c r="U82" s="14">
        <f t="shared" si="14"/>
        <v>4</v>
      </c>
      <c r="V82" s="12">
        <f t="shared" si="15"/>
        <v>46</v>
      </c>
      <c r="W82" s="12">
        <f t="shared" si="16"/>
        <v>11</v>
      </c>
      <c r="X82" s="12">
        <f t="shared" si="17"/>
        <v>2018</v>
      </c>
      <c r="Y82" s="16" t="str">
        <f t="shared" si="10"/>
        <v>Thursday</v>
      </c>
      <c r="Z82" s="17" t="str">
        <f t="shared" si="11"/>
        <v>November</v>
      </c>
      <c r="AA82" s="12"/>
    </row>
    <row r="83" spans="1:27" x14ac:dyDescent="0.3">
      <c r="A83" s="12" t="s">
        <v>42</v>
      </c>
      <c r="B83" s="12" t="s">
        <v>37</v>
      </c>
      <c r="C83" s="12" t="s">
        <v>38</v>
      </c>
      <c r="D83" s="12">
        <v>6390</v>
      </c>
      <c r="E83" s="12">
        <v>1</v>
      </c>
      <c r="F83" s="12">
        <v>231446</v>
      </c>
      <c r="G83" s="12" t="s">
        <v>19</v>
      </c>
      <c r="H83" s="12" t="s">
        <v>20</v>
      </c>
      <c r="I83" s="12" t="s">
        <v>31</v>
      </c>
      <c r="J83" s="12" t="s">
        <v>22</v>
      </c>
      <c r="K83" s="12">
        <v>5606</v>
      </c>
      <c r="L83" s="12" t="s">
        <v>23</v>
      </c>
      <c r="M83" s="12">
        <v>700</v>
      </c>
      <c r="N83" s="12" t="s">
        <v>24</v>
      </c>
      <c r="O83" s="12" t="s">
        <v>23</v>
      </c>
      <c r="P83" s="12">
        <v>39.311999999999998</v>
      </c>
      <c r="Q83" s="12">
        <v>0</v>
      </c>
      <c r="R83" s="13">
        <f>A83-6+6</f>
        <v>43419</v>
      </c>
      <c r="S83" s="14">
        <f t="shared" si="12"/>
        <v>0</v>
      </c>
      <c r="T83" s="14">
        <f t="shared" si="13"/>
        <v>15</v>
      </c>
      <c r="U83" s="14">
        <f t="shared" si="14"/>
        <v>5</v>
      </c>
      <c r="V83" s="12">
        <f t="shared" si="15"/>
        <v>46</v>
      </c>
      <c r="W83" s="12">
        <f t="shared" si="16"/>
        <v>11</v>
      </c>
      <c r="X83" s="12">
        <f t="shared" si="17"/>
        <v>2018</v>
      </c>
      <c r="Y83" s="16" t="str">
        <f t="shared" si="10"/>
        <v>Friday</v>
      </c>
      <c r="Z83" s="17" t="str">
        <f t="shared" si="11"/>
        <v>November</v>
      </c>
      <c r="AA83" s="12"/>
    </row>
    <row r="84" spans="1:27" x14ac:dyDescent="0.3">
      <c r="A84" s="12" t="s">
        <v>42</v>
      </c>
      <c r="B84" s="12" t="s">
        <v>37</v>
      </c>
      <c r="C84" s="12" t="s">
        <v>38</v>
      </c>
      <c r="D84" s="12">
        <v>6390</v>
      </c>
      <c r="E84" s="12">
        <v>1</v>
      </c>
      <c r="F84" s="12">
        <v>231446</v>
      </c>
      <c r="G84" s="12" t="s">
        <v>19</v>
      </c>
      <c r="H84" s="12" t="s">
        <v>20</v>
      </c>
      <c r="I84" s="12" t="s">
        <v>31</v>
      </c>
      <c r="J84" s="12" t="s">
        <v>22</v>
      </c>
      <c r="K84" s="12">
        <v>5606</v>
      </c>
      <c r="L84" s="12" t="s">
        <v>23</v>
      </c>
      <c r="M84" s="12">
        <v>700</v>
      </c>
      <c r="N84" s="12" t="s">
        <v>24</v>
      </c>
      <c r="O84" s="12" t="s">
        <v>23</v>
      </c>
      <c r="P84" s="12">
        <v>39.311999999999998</v>
      </c>
      <c r="Q84" s="12">
        <v>10</v>
      </c>
      <c r="R84" s="13">
        <f>R79-2</f>
        <v>43413</v>
      </c>
      <c r="S84" s="14">
        <f t="shared" si="12"/>
        <v>393.12</v>
      </c>
      <c r="T84" s="14">
        <f t="shared" si="13"/>
        <v>9</v>
      </c>
      <c r="U84" s="14">
        <f t="shared" si="14"/>
        <v>6</v>
      </c>
      <c r="V84" s="12">
        <f t="shared" si="15"/>
        <v>45</v>
      </c>
      <c r="W84" s="12">
        <f t="shared" si="16"/>
        <v>11</v>
      </c>
      <c r="X84" s="12">
        <f t="shared" si="17"/>
        <v>2018</v>
      </c>
      <c r="Y84" s="16" t="str">
        <f t="shared" si="10"/>
        <v>Saturday</v>
      </c>
      <c r="Z84" s="17" t="str">
        <f t="shared" si="11"/>
        <v>November</v>
      </c>
      <c r="AA84" s="12"/>
    </row>
    <row r="85" spans="1:27" x14ac:dyDescent="0.3">
      <c r="A85" s="12" t="s">
        <v>42</v>
      </c>
      <c r="B85" s="12" t="s">
        <v>37</v>
      </c>
      <c r="C85" s="12" t="s">
        <v>38</v>
      </c>
      <c r="D85" s="12">
        <v>6390</v>
      </c>
      <c r="E85" s="12">
        <v>1</v>
      </c>
      <c r="F85" s="12">
        <v>231446</v>
      </c>
      <c r="G85" s="12" t="s">
        <v>19</v>
      </c>
      <c r="H85" s="12" t="s">
        <v>20</v>
      </c>
      <c r="I85" s="12" t="s">
        <v>31</v>
      </c>
      <c r="J85" s="12" t="s">
        <v>22</v>
      </c>
      <c r="K85" s="12">
        <v>5606</v>
      </c>
      <c r="L85" s="12" t="s">
        <v>23</v>
      </c>
      <c r="M85" s="12">
        <v>700</v>
      </c>
      <c r="N85" s="12" t="s">
        <v>24</v>
      </c>
      <c r="O85" s="12" t="s">
        <v>23</v>
      </c>
      <c r="P85" s="12">
        <v>39.311999999999998</v>
      </c>
      <c r="Q85" s="12">
        <v>0</v>
      </c>
      <c r="R85" s="13">
        <f>R79-1</f>
        <v>43414</v>
      </c>
      <c r="S85" s="14">
        <f t="shared" si="12"/>
        <v>0</v>
      </c>
      <c r="T85" s="14">
        <f t="shared" si="13"/>
        <v>10</v>
      </c>
      <c r="U85" s="14">
        <f t="shared" si="14"/>
        <v>7</v>
      </c>
      <c r="V85" s="12">
        <f t="shared" si="15"/>
        <v>45</v>
      </c>
      <c r="W85" s="12">
        <f t="shared" si="16"/>
        <v>11</v>
      </c>
      <c r="X85" s="12">
        <f t="shared" si="17"/>
        <v>2018</v>
      </c>
      <c r="Y85" s="16" t="str">
        <f t="shared" si="10"/>
        <v>Sunday</v>
      </c>
      <c r="Z85" s="17" t="str">
        <f t="shared" si="11"/>
        <v>November</v>
      </c>
      <c r="AA85" s="12"/>
    </row>
    <row r="86" spans="1:27" x14ac:dyDescent="0.3">
      <c r="A86" s="12" t="s">
        <v>43</v>
      </c>
      <c r="B86" s="12" t="s">
        <v>37</v>
      </c>
      <c r="C86" s="12" t="s">
        <v>38</v>
      </c>
      <c r="D86" s="12">
        <v>6390</v>
      </c>
      <c r="E86" s="12">
        <v>1</v>
      </c>
      <c r="F86" s="12">
        <v>231985</v>
      </c>
      <c r="G86" s="12" t="s">
        <v>19</v>
      </c>
      <c r="H86" s="12" t="s">
        <v>20</v>
      </c>
      <c r="I86" s="12" t="s">
        <v>31</v>
      </c>
      <c r="J86" s="12" t="s">
        <v>22</v>
      </c>
      <c r="K86" s="12">
        <v>5606</v>
      </c>
      <c r="L86" s="12" t="s">
        <v>23</v>
      </c>
      <c r="M86" s="12">
        <v>700</v>
      </c>
      <c r="N86" s="12" t="s">
        <v>24</v>
      </c>
      <c r="O86" s="12" t="s">
        <v>23</v>
      </c>
      <c r="P86" s="12">
        <v>40.950000000000003</v>
      </c>
      <c r="Q86" s="12">
        <v>0</v>
      </c>
      <c r="R86" s="13">
        <f>A86-6+2</f>
        <v>43422</v>
      </c>
      <c r="S86" s="14">
        <f t="shared" si="12"/>
        <v>0</v>
      </c>
      <c r="T86" s="14">
        <f t="shared" si="13"/>
        <v>18</v>
      </c>
      <c r="U86" s="14">
        <f t="shared" si="14"/>
        <v>1</v>
      </c>
      <c r="V86" s="12">
        <f t="shared" si="15"/>
        <v>47</v>
      </c>
      <c r="W86" s="12">
        <f t="shared" si="16"/>
        <v>11</v>
      </c>
      <c r="X86" s="12">
        <f t="shared" si="17"/>
        <v>2018</v>
      </c>
      <c r="Y86" s="16" t="str">
        <f t="shared" si="10"/>
        <v>Monday</v>
      </c>
      <c r="Z86" s="17" t="str">
        <f t="shared" si="11"/>
        <v>November</v>
      </c>
      <c r="AA86" s="12"/>
    </row>
    <row r="87" spans="1:27" x14ac:dyDescent="0.3">
      <c r="A87" s="12" t="s">
        <v>43</v>
      </c>
      <c r="B87" s="12" t="s">
        <v>37</v>
      </c>
      <c r="C87" s="12" t="s">
        <v>38</v>
      </c>
      <c r="D87" s="12">
        <v>6390</v>
      </c>
      <c r="E87" s="12">
        <v>1</v>
      </c>
      <c r="F87" s="12">
        <v>231985</v>
      </c>
      <c r="G87" s="12" t="s">
        <v>19</v>
      </c>
      <c r="H87" s="12" t="s">
        <v>20</v>
      </c>
      <c r="I87" s="12" t="s">
        <v>31</v>
      </c>
      <c r="J87" s="12" t="s">
        <v>22</v>
      </c>
      <c r="K87" s="12">
        <v>5606</v>
      </c>
      <c r="L87" s="12" t="s">
        <v>23</v>
      </c>
      <c r="M87" s="12">
        <v>700</v>
      </c>
      <c r="N87" s="12" t="s">
        <v>24</v>
      </c>
      <c r="O87" s="12" t="s">
        <v>23</v>
      </c>
      <c r="P87" s="12">
        <v>40.950000000000003</v>
      </c>
      <c r="Q87" s="12">
        <v>0</v>
      </c>
      <c r="R87" s="13">
        <f>A87-6+3</f>
        <v>43423</v>
      </c>
      <c r="S87" s="14">
        <f t="shared" si="12"/>
        <v>0</v>
      </c>
      <c r="T87" s="14">
        <f t="shared" si="13"/>
        <v>19</v>
      </c>
      <c r="U87" s="14">
        <f t="shared" si="14"/>
        <v>2</v>
      </c>
      <c r="V87" s="12">
        <f t="shared" si="15"/>
        <v>47</v>
      </c>
      <c r="W87" s="12">
        <f t="shared" si="16"/>
        <v>11</v>
      </c>
      <c r="X87" s="12">
        <f t="shared" si="17"/>
        <v>2018</v>
      </c>
      <c r="Y87" s="16" t="str">
        <f t="shared" si="10"/>
        <v>Tuesday</v>
      </c>
      <c r="Z87" s="17" t="str">
        <f t="shared" si="11"/>
        <v>November</v>
      </c>
      <c r="AA87" s="12"/>
    </row>
    <row r="88" spans="1:27" x14ac:dyDescent="0.3">
      <c r="A88" s="12" t="s">
        <v>43</v>
      </c>
      <c r="B88" s="12" t="s">
        <v>37</v>
      </c>
      <c r="C88" s="12" t="s">
        <v>38</v>
      </c>
      <c r="D88" s="12">
        <v>6390</v>
      </c>
      <c r="E88" s="12">
        <v>1</v>
      </c>
      <c r="F88" s="12">
        <v>231985</v>
      </c>
      <c r="G88" s="12" t="s">
        <v>19</v>
      </c>
      <c r="H88" s="12" t="s">
        <v>20</v>
      </c>
      <c r="I88" s="12" t="s">
        <v>31</v>
      </c>
      <c r="J88" s="12" t="s">
        <v>22</v>
      </c>
      <c r="K88" s="12">
        <v>5606</v>
      </c>
      <c r="L88" s="12" t="s">
        <v>23</v>
      </c>
      <c r="M88" s="12">
        <v>700</v>
      </c>
      <c r="N88" s="12" t="s">
        <v>24</v>
      </c>
      <c r="O88" s="12" t="s">
        <v>23</v>
      </c>
      <c r="P88" s="12">
        <v>40.950000000000003</v>
      </c>
      <c r="Q88" s="12">
        <v>0</v>
      </c>
      <c r="R88" s="13">
        <f>A88-6+4</f>
        <v>43424</v>
      </c>
      <c r="S88" s="14">
        <f t="shared" si="12"/>
        <v>0</v>
      </c>
      <c r="T88" s="14">
        <f t="shared" si="13"/>
        <v>20</v>
      </c>
      <c r="U88" s="14">
        <f t="shared" si="14"/>
        <v>3</v>
      </c>
      <c r="V88" s="12">
        <f t="shared" si="15"/>
        <v>47</v>
      </c>
      <c r="W88" s="12">
        <f t="shared" si="16"/>
        <v>11</v>
      </c>
      <c r="X88" s="12">
        <f t="shared" si="17"/>
        <v>2018</v>
      </c>
      <c r="Y88" s="16" t="str">
        <f t="shared" si="10"/>
        <v>Wednesday</v>
      </c>
      <c r="Z88" s="17" t="str">
        <f t="shared" si="11"/>
        <v>November</v>
      </c>
      <c r="AA88" s="12"/>
    </row>
    <row r="89" spans="1:27" x14ac:dyDescent="0.3">
      <c r="A89" s="12" t="s">
        <v>43</v>
      </c>
      <c r="B89" s="12" t="s">
        <v>37</v>
      </c>
      <c r="C89" s="12" t="s">
        <v>38</v>
      </c>
      <c r="D89" s="12">
        <v>6390</v>
      </c>
      <c r="E89" s="12">
        <v>1</v>
      </c>
      <c r="F89" s="12">
        <v>231985</v>
      </c>
      <c r="G89" s="12" t="s">
        <v>19</v>
      </c>
      <c r="H89" s="12" t="s">
        <v>20</v>
      </c>
      <c r="I89" s="12" t="s">
        <v>31</v>
      </c>
      <c r="J89" s="12" t="s">
        <v>22</v>
      </c>
      <c r="K89" s="12">
        <v>5606</v>
      </c>
      <c r="L89" s="12" t="s">
        <v>23</v>
      </c>
      <c r="M89" s="12">
        <v>700</v>
      </c>
      <c r="N89" s="12" t="s">
        <v>24</v>
      </c>
      <c r="O89" s="12" t="s">
        <v>23</v>
      </c>
      <c r="P89" s="12">
        <v>40.950000000000003</v>
      </c>
      <c r="Q89" s="12">
        <v>10</v>
      </c>
      <c r="R89" s="13">
        <f>A89-6+5</f>
        <v>43425</v>
      </c>
      <c r="S89" s="14">
        <f t="shared" si="12"/>
        <v>409.5</v>
      </c>
      <c r="T89" s="14">
        <f t="shared" si="13"/>
        <v>21</v>
      </c>
      <c r="U89" s="14">
        <f t="shared" si="14"/>
        <v>4</v>
      </c>
      <c r="V89" s="12">
        <f t="shared" si="15"/>
        <v>47</v>
      </c>
      <c r="W89" s="12">
        <f t="shared" si="16"/>
        <v>11</v>
      </c>
      <c r="X89" s="12">
        <f t="shared" si="17"/>
        <v>2018</v>
      </c>
      <c r="Y89" s="16" t="str">
        <f t="shared" si="10"/>
        <v>Thursday</v>
      </c>
      <c r="Z89" s="17" t="str">
        <f t="shared" si="11"/>
        <v>November</v>
      </c>
      <c r="AA89" s="12"/>
    </row>
    <row r="90" spans="1:27" x14ac:dyDescent="0.3">
      <c r="A90" s="12" t="s">
        <v>43</v>
      </c>
      <c r="B90" s="12" t="s">
        <v>37</v>
      </c>
      <c r="C90" s="12" t="s">
        <v>38</v>
      </c>
      <c r="D90" s="12">
        <v>6390</v>
      </c>
      <c r="E90" s="12">
        <v>1</v>
      </c>
      <c r="F90" s="12">
        <v>231985</v>
      </c>
      <c r="G90" s="12" t="s">
        <v>19</v>
      </c>
      <c r="H90" s="12" t="s">
        <v>20</v>
      </c>
      <c r="I90" s="12" t="s">
        <v>31</v>
      </c>
      <c r="J90" s="12" t="s">
        <v>22</v>
      </c>
      <c r="K90" s="12">
        <v>5606</v>
      </c>
      <c r="L90" s="12" t="s">
        <v>23</v>
      </c>
      <c r="M90" s="12">
        <v>700</v>
      </c>
      <c r="N90" s="12" t="s">
        <v>24</v>
      </c>
      <c r="O90" s="12" t="s">
        <v>23</v>
      </c>
      <c r="P90" s="12">
        <v>40.950000000000003</v>
      </c>
      <c r="Q90" s="12">
        <v>0</v>
      </c>
      <c r="R90" s="13">
        <f>A90-6+6</f>
        <v>43426</v>
      </c>
      <c r="S90" s="14">
        <f t="shared" si="12"/>
        <v>0</v>
      </c>
      <c r="T90" s="14">
        <f t="shared" si="13"/>
        <v>22</v>
      </c>
      <c r="U90" s="14">
        <f t="shared" si="14"/>
        <v>5</v>
      </c>
      <c r="V90" s="12">
        <f t="shared" si="15"/>
        <v>47</v>
      </c>
      <c r="W90" s="12">
        <f t="shared" si="16"/>
        <v>11</v>
      </c>
      <c r="X90" s="12">
        <f t="shared" si="17"/>
        <v>2018</v>
      </c>
      <c r="Y90" s="16" t="str">
        <f t="shared" si="10"/>
        <v>Friday</v>
      </c>
      <c r="Z90" s="17" t="str">
        <f t="shared" si="11"/>
        <v>November</v>
      </c>
      <c r="AA90" s="12"/>
    </row>
    <row r="91" spans="1:27" x14ac:dyDescent="0.3">
      <c r="A91" s="12" t="s">
        <v>43</v>
      </c>
      <c r="B91" s="12" t="s">
        <v>37</v>
      </c>
      <c r="C91" s="12" t="s">
        <v>38</v>
      </c>
      <c r="D91" s="12">
        <v>6390</v>
      </c>
      <c r="E91" s="12">
        <v>1</v>
      </c>
      <c r="F91" s="12">
        <v>231985</v>
      </c>
      <c r="G91" s="12" t="s">
        <v>19</v>
      </c>
      <c r="H91" s="12" t="s">
        <v>20</v>
      </c>
      <c r="I91" s="12" t="s">
        <v>31</v>
      </c>
      <c r="J91" s="12" t="s">
        <v>22</v>
      </c>
      <c r="K91" s="12">
        <v>5606</v>
      </c>
      <c r="L91" s="12" t="s">
        <v>23</v>
      </c>
      <c r="M91" s="12">
        <v>700</v>
      </c>
      <c r="N91" s="12" t="s">
        <v>24</v>
      </c>
      <c r="O91" s="12" t="s">
        <v>23</v>
      </c>
      <c r="P91" s="12">
        <v>40.950000000000003</v>
      </c>
      <c r="Q91" s="12">
        <v>0</v>
      </c>
      <c r="R91" s="13">
        <f>R86-2</f>
        <v>43420</v>
      </c>
      <c r="S91" s="14">
        <f t="shared" si="12"/>
        <v>0</v>
      </c>
      <c r="T91" s="14">
        <f t="shared" si="13"/>
        <v>16</v>
      </c>
      <c r="U91" s="14">
        <f t="shared" si="14"/>
        <v>6</v>
      </c>
      <c r="V91" s="12">
        <f t="shared" si="15"/>
        <v>46</v>
      </c>
      <c r="W91" s="12">
        <f t="shared" si="16"/>
        <v>11</v>
      </c>
      <c r="X91" s="12">
        <f t="shared" si="17"/>
        <v>2018</v>
      </c>
      <c r="Y91" s="16" t="str">
        <f t="shared" si="10"/>
        <v>Saturday</v>
      </c>
      <c r="Z91" s="17" t="str">
        <f t="shared" si="11"/>
        <v>November</v>
      </c>
      <c r="AA91" s="12"/>
    </row>
    <row r="92" spans="1:27" x14ac:dyDescent="0.3">
      <c r="A92" s="12" t="s">
        <v>43</v>
      </c>
      <c r="B92" s="12" t="s">
        <v>37</v>
      </c>
      <c r="C92" s="12" t="s">
        <v>38</v>
      </c>
      <c r="D92" s="12">
        <v>6390</v>
      </c>
      <c r="E92" s="12">
        <v>1</v>
      </c>
      <c r="F92" s="12">
        <v>231985</v>
      </c>
      <c r="G92" s="12" t="s">
        <v>19</v>
      </c>
      <c r="H92" s="12" t="s">
        <v>20</v>
      </c>
      <c r="I92" s="12" t="s">
        <v>31</v>
      </c>
      <c r="J92" s="12" t="s">
        <v>22</v>
      </c>
      <c r="K92" s="12">
        <v>5606</v>
      </c>
      <c r="L92" s="12" t="s">
        <v>23</v>
      </c>
      <c r="M92" s="12">
        <v>700</v>
      </c>
      <c r="N92" s="12" t="s">
        <v>24</v>
      </c>
      <c r="O92" s="12" t="s">
        <v>23</v>
      </c>
      <c r="P92" s="12">
        <v>40.950000000000003</v>
      </c>
      <c r="Q92" s="12">
        <v>0</v>
      </c>
      <c r="R92" s="13">
        <f>R86-1</f>
        <v>43421</v>
      </c>
      <c r="S92" s="14">
        <f t="shared" si="12"/>
        <v>0</v>
      </c>
      <c r="T92" s="14">
        <f t="shared" si="13"/>
        <v>17</v>
      </c>
      <c r="U92" s="14">
        <f t="shared" si="14"/>
        <v>7</v>
      </c>
      <c r="V92" s="12">
        <f t="shared" si="15"/>
        <v>46</v>
      </c>
      <c r="W92" s="12">
        <f t="shared" si="16"/>
        <v>11</v>
      </c>
      <c r="X92" s="12">
        <f t="shared" si="17"/>
        <v>2018</v>
      </c>
      <c r="Y92" s="16" t="str">
        <f t="shared" si="10"/>
        <v>Sunday</v>
      </c>
      <c r="Z92" s="17" t="str">
        <f t="shared" si="11"/>
        <v>November</v>
      </c>
      <c r="AA92" s="12"/>
    </row>
    <row r="93" spans="1:27" x14ac:dyDescent="0.3">
      <c r="S93" s="14"/>
      <c r="T93" s="14"/>
      <c r="U93" s="14"/>
      <c r="V93" s="12"/>
      <c r="W93" s="12"/>
      <c r="X93" s="12"/>
      <c r="Y93" s="16"/>
      <c r="Z93" s="17"/>
    </row>
    <row r="94" spans="1:27" x14ac:dyDescent="0.3">
      <c r="S94" s="14"/>
      <c r="T94" s="14"/>
      <c r="U94" s="14"/>
      <c r="V94" s="12"/>
      <c r="W94" s="12"/>
      <c r="X94" s="12"/>
      <c r="Y94" s="16"/>
      <c r="Z94" s="17"/>
    </row>
    <row r="95" spans="1:27" x14ac:dyDescent="0.3">
      <c r="S95" s="14"/>
      <c r="T95" s="14"/>
      <c r="U95" s="14"/>
      <c r="V95" s="12"/>
      <c r="W95" s="12"/>
      <c r="X95" s="12"/>
      <c r="Y95" s="16"/>
      <c r="Z95" s="17"/>
    </row>
    <row r="96" spans="1:27" x14ac:dyDescent="0.3">
      <c r="S96" s="14"/>
      <c r="T96" s="14"/>
      <c r="U96" s="14"/>
      <c r="V96" s="12"/>
      <c r="W96" s="12"/>
      <c r="X96" s="12"/>
      <c r="Y96" s="16"/>
      <c r="Z96" s="17"/>
    </row>
    <row r="97" spans="19:26" x14ac:dyDescent="0.3">
      <c r="S97" s="14"/>
      <c r="T97" s="14"/>
      <c r="U97" s="14"/>
      <c r="V97" s="12"/>
      <c r="W97" s="12"/>
      <c r="X97" s="12"/>
      <c r="Y97" s="16"/>
      <c r="Z97" s="17"/>
    </row>
    <row r="98" spans="19:26" x14ac:dyDescent="0.3">
      <c r="S98" s="14"/>
      <c r="T98" s="14"/>
      <c r="U98" s="14"/>
      <c r="V98" s="12"/>
      <c r="W98" s="12"/>
      <c r="X98" s="12"/>
      <c r="Y98" s="16"/>
      <c r="Z98" s="17"/>
    </row>
    <row r="99" spans="19:26" x14ac:dyDescent="0.3">
      <c r="S99" s="14"/>
      <c r="T99" s="14"/>
      <c r="U99" s="14"/>
      <c r="V99" s="12"/>
      <c r="W99" s="12"/>
      <c r="X99" s="12"/>
      <c r="Y99" s="16"/>
      <c r="Z99" s="17"/>
    </row>
    <row r="100" spans="19:26" x14ac:dyDescent="0.3">
      <c r="S100" s="14"/>
      <c r="T100" s="14"/>
      <c r="U100" s="14"/>
      <c r="V100" s="12"/>
      <c r="W100" s="12"/>
      <c r="X100" s="12"/>
      <c r="Y100" s="16"/>
      <c r="Z100" s="17"/>
    </row>
    <row r="101" spans="19:26" x14ac:dyDescent="0.3">
      <c r="S101" s="14"/>
      <c r="T101" s="14"/>
      <c r="U101" s="14"/>
      <c r="V101" s="12"/>
      <c r="W101" s="12"/>
      <c r="X101" s="12"/>
      <c r="Y101" s="16"/>
      <c r="Z101" s="17"/>
    </row>
    <row r="102" spans="19:26" x14ac:dyDescent="0.3">
      <c r="S102" s="14"/>
      <c r="T102" s="14"/>
      <c r="U102" s="14"/>
      <c r="V102" s="12"/>
      <c r="W102" s="12"/>
      <c r="X102" s="12"/>
      <c r="Y102" s="16"/>
      <c r="Z102" s="17"/>
    </row>
    <row r="103" spans="19:26" x14ac:dyDescent="0.3">
      <c r="S103" s="14"/>
      <c r="T103" s="14"/>
      <c r="U103" s="14"/>
      <c r="V103" s="12"/>
      <c r="W103" s="12"/>
      <c r="X103" s="12"/>
      <c r="Y103" s="16"/>
      <c r="Z103" s="17"/>
    </row>
    <row r="104" spans="19:26" x14ac:dyDescent="0.3">
      <c r="S104" s="14"/>
      <c r="T104" s="14"/>
      <c r="U104" s="14"/>
      <c r="V104" s="12"/>
      <c r="W104" s="12"/>
      <c r="X104" s="12"/>
      <c r="Y104" s="16"/>
      <c r="Z104" s="17"/>
    </row>
    <row r="105" spans="19:26" x14ac:dyDescent="0.3">
      <c r="S105" s="14"/>
      <c r="T105" s="14"/>
      <c r="U105" s="14"/>
      <c r="V105" s="12"/>
      <c r="W105" s="12"/>
      <c r="X105" s="12"/>
      <c r="Y105" s="16"/>
      <c r="Z105" s="17"/>
    </row>
    <row r="106" spans="19:26" x14ac:dyDescent="0.3">
      <c r="S106" s="14"/>
      <c r="T106" s="14"/>
      <c r="U106" s="14"/>
      <c r="V106" s="12"/>
      <c r="W106" s="12"/>
      <c r="X106" s="12"/>
      <c r="Y106" s="16"/>
      <c r="Z106" s="17"/>
    </row>
    <row r="107" spans="19:26" x14ac:dyDescent="0.3">
      <c r="S107" s="14"/>
      <c r="T107" s="14"/>
      <c r="U107" s="14"/>
      <c r="V107" s="12"/>
      <c r="W107" s="12"/>
      <c r="X107" s="12"/>
      <c r="Y107" s="16"/>
      <c r="Z107" s="17"/>
    </row>
    <row r="108" spans="19:26" x14ac:dyDescent="0.3">
      <c r="S108" s="14"/>
      <c r="T108" s="14"/>
      <c r="U108" s="14"/>
      <c r="V108" s="12"/>
      <c r="W108" s="12"/>
      <c r="X108" s="12"/>
      <c r="Y108" s="16"/>
      <c r="Z108" s="17"/>
    </row>
    <row r="109" spans="19:26" x14ac:dyDescent="0.3">
      <c r="S109" s="14"/>
      <c r="T109" s="14"/>
      <c r="U109" s="14"/>
      <c r="V109" s="12"/>
      <c r="W109" s="12"/>
      <c r="X109" s="12"/>
      <c r="Y109" s="16"/>
      <c r="Z109" s="17"/>
    </row>
    <row r="110" spans="19:26" x14ac:dyDescent="0.3">
      <c r="S110" s="14"/>
      <c r="T110" s="14"/>
      <c r="U110" s="14"/>
      <c r="V110" s="12"/>
      <c r="W110" s="12"/>
      <c r="X110" s="12"/>
      <c r="Y110" s="16"/>
      <c r="Z110" s="17"/>
    </row>
    <row r="111" spans="19:26" x14ac:dyDescent="0.3">
      <c r="S111" s="14"/>
      <c r="T111" s="14"/>
      <c r="U111" s="14"/>
      <c r="V111" s="12"/>
      <c r="W111" s="12"/>
      <c r="X111" s="12"/>
      <c r="Y111" s="16"/>
      <c r="Z111" s="17"/>
    </row>
    <row r="112" spans="19:26" x14ac:dyDescent="0.3">
      <c r="S112" s="14"/>
      <c r="T112" s="14"/>
      <c r="U112" s="14"/>
      <c r="V112" s="12"/>
      <c r="W112" s="12"/>
      <c r="X112" s="12"/>
      <c r="Y112" s="16"/>
      <c r="Z112" s="17"/>
    </row>
    <row r="113" spans="19:26" x14ac:dyDescent="0.3">
      <c r="S113" s="14"/>
      <c r="T113" s="14"/>
      <c r="U113" s="14"/>
      <c r="V113" s="12"/>
      <c r="W113" s="12"/>
      <c r="X113" s="12"/>
      <c r="Y113" s="16"/>
      <c r="Z113" s="17"/>
    </row>
    <row r="114" spans="19:26" x14ac:dyDescent="0.3">
      <c r="S114" s="14"/>
      <c r="T114" s="14"/>
      <c r="U114" s="14"/>
      <c r="V114" s="12"/>
      <c r="W114" s="12"/>
      <c r="X114" s="12"/>
      <c r="Y114" s="16"/>
      <c r="Z114" s="17"/>
    </row>
    <row r="115" spans="19:26" x14ac:dyDescent="0.3">
      <c r="S115" s="14"/>
      <c r="T115" s="14"/>
      <c r="U115" s="14"/>
      <c r="V115" s="12"/>
      <c r="W115" s="12"/>
      <c r="X115" s="12"/>
      <c r="Y115" s="16"/>
      <c r="Z115" s="17"/>
    </row>
    <row r="116" spans="19:26" x14ac:dyDescent="0.3">
      <c r="S116" s="14"/>
      <c r="T116" s="14"/>
      <c r="U116" s="14"/>
      <c r="V116" s="12"/>
      <c r="W116" s="12"/>
      <c r="X116" s="12"/>
      <c r="Y116" s="16"/>
      <c r="Z116" s="17"/>
    </row>
    <row r="117" spans="19:26" x14ac:dyDescent="0.3">
      <c r="S117" s="14"/>
      <c r="T117" s="14"/>
      <c r="U117" s="14"/>
      <c r="V117" s="12"/>
      <c r="W117" s="12"/>
      <c r="X117" s="12"/>
      <c r="Y117" s="16"/>
      <c r="Z117" s="17"/>
    </row>
    <row r="118" spans="19:26" x14ac:dyDescent="0.3">
      <c r="S118" s="14"/>
      <c r="T118" s="14"/>
      <c r="U118" s="14"/>
      <c r="V118" s="12"/>
      <c r="W118" s="12"/>
      <c r="X118" s="12"/>
      <c r="Y118" s="16"/>
      <c r="Z118" s="17"/>
    </row>
    <row r="119" spans="19:26" x14ac:dyDescent="0.3">
      <c r="S119" s="14"/>
      <c r="T119" s="14"/>
      <c r="U119" s="14"/>
      <c r="V119" s="12"/>
      <c r="W119" s="12"/>
      <c r="X119" s="12"/>
      <c r="Y119" s="16"/>
      <c r="Z119" s="17"/>
    </row>
    <row r="120" spans="19:26" x14ac:dyDescent="0.3">
      <c r="S120" s="14"/>
      <c r="T120" s="14"/>
      <c r="U120" s="14"/>
      <c r="V120" s="12"/>
      <c r="W120" s="12"/>
      <c r="X120" s="12"/>
      <c r="Y120" s="16"/>
      <c r="Z120" s="17"/>
    </row>
    <row r="121" spans="19:26" x14ac:dyDescent="0.3">
      <c r="S121" s="14"/>
      <c r="T121" s="14"/>
      <c r="U121" s="14"/>
      <c r="V121" s="12"/>
      <c r="W121" s="12"/>
      <c r="X121" s="12"/>
      <c r="Y121" s="16"/>
      <c r="Z121" s="17"/>
    </row>
    <row r="122" spans="19:26" x14ac:dyDescent="0.3">
      <c r="S122" s="14"/>
      <c r="T122" s="14"/>
      <c r="U122" s="14"/>
      <c r="V122" s="12"/>
      <c r="W122" s="12"/>
      <c r="X122" s="12"/>
      <c r="Y122" s="16"/>
      <c r="Z122" s="17"/>
    </row>
    <row r="123" spans="19:26" x14ac:dyDescent="0.3">
      <c r="S123" s="14"/>
      <c r="T123" s="14"/>
      <c r="U123" s="14"/>
      <c r="V123" s="12"/>
      <c r="W123" s="12"/>
      <c r="X123" s="12"/>
      <c r="Y123" s="16"/>
      <c r="Z123" s="17"/>
    </row>
    <row r="124" spans="19:26" x14ac:dyDescent="0.3">
      <c r="S124" s="14"/>
      <c r="T124" s="14"/>
      <c r="U124" s="14"/>
      <c r="V124" s="12"/>
      <c r="W124" s="12"/>
      <c r="X124" s="12"/>
      <c r="Y124" s="16"/>
      <c r="Z124" s="17"/>
    </row>
    <row r="125" spans="19:26" x14ac:dyDescent="0.3">
      <c r="S125" s="14"/>
      <c r="T125" s="14"/>
      <c r="U125" s="14"/>
      <c r="V125" s="12"/>
      <c r="W125" s="12"/>
      <c r="X125" s="12"/>
      <c r="Y125" s="16"/>
      <c r="Z125" s="17"/>
    </row>
    <row r="126" spans="19:26" x14ac:dyDescent="0.3">
      <c r="S126" s="14"/>
      <c r="T126" s="14"/>
      <c r="U126" s="14"/>
      <c r="V126" s="12"/>
      <c r="W126" s="12"/>
      <c r="X126" s="12"/>
      <c r="Y126" s="16"/>
      <c r="Z126" s="17"/>
    </row>
    <row r="127" spans="19:26" x14ac:dyDescent="0.3">
      <c r="S127" s="14"/>
      <c r="T127" s="14"/>
      <c r="U127" s="14"/>
      <c r="V127" s="12"/>
      <c r="W127" s="12"/>
      <c r="X127" s="12"/>
      <c r="Y127" s="16"/>
      <c r="Z127" s="17"/>
    </row>
    <row r="128" spans="19:26" x14ac:dyDescent="0.3">
      <c r="S128" s="14"/>
      <c r="T128" s="14"/>
      <c r="U128" s="14"/>
      <c r="V128" s="12"/>
      <c r="W128" s="12"/>
      <c r="X128" s="12"/>
      <c r="Y128" s="16"/>
      <c r="Z128" s="17"/>
    </row>
    <row r="129" spans="19:26" x14ac:dyDescent="0.3">
      <c r="S129" s="14"/>
      <c r="T129" s="14"/>
      <c r="U129" s="14"/>
      <c r="V129" s="12"/>
      <c r="W129" s="12"/>
      <c r="X129" s="12"/>
      <c r="Y129" s="16"/>
      <c r="Z129" s="17"/>
    </row>
    <row r="130" spans="19:26" x14ac:dyDescent="0.3">
      <c r="S130" s="14"/>
      <c r="T130" s="14"/>
      <c r="U130" s="14"/>
      <c r="V130" s="12"/>
      <c r="W130" s="12"/>
      <c r="X130" s="12"/>
      <c r="Y130" s="16"/>
      <c r="Z130" s="17"/>
    </row>
    <row r="131" spans="19:26" x14ac:dyDescent="0.3">
      <c r="S131" s="14"/>
      <c r="T131" s="14"/>
      <c r="U131" s="14"/>
      <c r="V131" s="12"/>
      <c r="W131" s="12"/>
      <c r="X131" s="12"/>
      <c r="Y131" s="16"/>
      <c r="Z131" s="17"/>
    </row>
    <row r="132" spans="19:26" x14ac:dyDescent="0.3">
      <c r="S132" s="14"/>
      <c r="T132" s="14"/>
      <c r="U132" s="14"/>
      <c r="V132" s="12"/>
      <c r="W132" s="12"/>
      <c r="X132" s="12"/>
      <c r="Y132" s="16"/>
      <c r="Z132" s="17"/>
    </row>
    <row r="133" spans="19:26" x14ac:dyDescent="0.3">
      <c r="S133" s="14"/>
      <c r="T133" s="14"/>
      <c r="U133" s="14"/>
      <c r="V133" s="12"/>
      <c r="W133" s="12"/>
      <c r="X133" s="12"/>
      <c r="Y133" s="16"/>
      <c r="Z133" s="17"/>
    </row>
    <row r="134" spans="19:26" x14ac:dyDescent="0.3">
      <c r="S134" s="14"/>
      <c r="T134" s="14"/>
      <c r="U134" s="14"/>
      <c r="V134" s="12"/>
      <c r="W134" s="12"/>
      <c r="X134" s="12"/>
      <c r="Y134" s="16"/>
      <c r="Z134" s="17"/>
    </row>
    <row r="135" spans="19:26" x14ac:dyDescent="0.3">
      <c r="S135" s="14"/>
      <c r="T135" s="14"/>
      <c r="U135" s="14"/>
      <c r="V135" s="12"/>
      <c r="W135" s="12"/>
      <c r="X135" s="12"/>
      <c r="Y135" s="16"/>
      <c r="Z135" s="17"/>
    </row>
    <row r="136" spans="19:26" x14ac:dyDescent="0.3">
      <c r="S136" s="14"/>
      <c r="T136" s="14"/>
      <c r="U136" s="14"/>
      <c r="V136" s="12"/>
      <c r="W136" s="12"/>
      <c r="X136" s="12"/>
      <c r="Y136" s="16"/>
      <c r="Z136" s="17"/>
    </row>
    <row r="137" spans="19:26" x14ac:dyDescent="0.3">
      <c r="S137" s="14"/>
      <c r="T137" s="14"/>
      <c r="U137" s="14"/>
      <c r="V137" s="12"/>
      <c r="W137" s="12"/>
      <c r="X137" s="12"/>
      <c r="Y137" s="16"/>
      <c r="Z137" s="17"/>
    </row>
    <row r="138" spans="19:26" x14ac:dyDescent="0.3">
      <c r="S138" s="14"/>
      <c r="T138" s="14"/>
      <c r="U138" s="14"/>
      <c r="V138" s="12"/>
      <c r="W138" s="12"/>
      <c r="X138" s="12"/>
      <c r="Y138" s="16"/>
      <c r="Z138" s="17"/>
    </row>
    <row r="139" spans="19:26" x14ac:dyDescent="0.3">
      <c r="S139" s="14"/>
      <c r="T139" s="14"/>
      <c r="U139" s="14"/>
      <c r="V139" s="12"/>
      <c r="W139" s="12"/>
      <c r="X139" s="12"/>
      <c r="Y139" s="16"/>
      <c r="Z139" s="17"/>
    </row>
    <row r="140" spans="19:26" x14ac:dyDescent="0.3">
      <c r="S140" s="14"/>
      <c r="T140" s="14"/>
      <c r="U140" s="14"/>
      <c r="V140" s="12"/>
      <c r="W140" s="12"/>
      <c r="X140" s="12"/>
      <c r="Y140" s="16"/>
      <c r="Z140" s="17"/>
    </row>
    <row r="141" spans="19:26" x14ac:dyDescent="0.3">
      <c r="S141" s="14"/>
      <c r="T141" s="14"/>
      <c r="U141" s="14"/>
      <c r="V141" s="12"/>
      <c r="W141" s="12"/>
      <c r="X141" s="12"/>
      <c r="Y141" s="16"/>
      <c r="Z141" s="17"/>
    </row>
    <row r="142" spans="19:26" x14ac:dyDescent="0.3">
      <c r="S142" s="14"/>
      <c r="T142" s="14"/>
      <c r="U142" s="14"/>
      <c r="V142" s="12"/>
      <c r="W142" s="12"/>
      <c r="X142" s="12"/>
      <c r="Y142" s="16"/>
      <c r="Z142" s="17"/>
    </row>
    <row r="143" spans="19:26" x14ac:dyDescent="0.3">
      <c r="S143" s="14"/>
      <c r="T143" s="14"/>
      <c r="U143" s="14"/>
      <c r="V143" s="12"/>
      <c r="W143" s="12"/>
      <c r="X143" s="12"/>
      <c r="Y143" s="16"/>
      <c r="Z143" s="17"/>
    </row>
    <row r="144" spans="19:26" x14ac:dyDescent="0.3">
      <c r="S144" s="14"/>
      <c r="T144" s="14"/>
      <c r="U144" s="14"/>
      <c r="V144" s="12"/>
      <c r="W144" s="12"/>
      <c r="X144" s="12"/>
      <c r="Y144" s="16"/>
      <c r="Z144" s="17"/>
    </row>
    <row r="145" spans="19:26" x14ac:dyDescent="0.3">
      <c r="S145" s="14"/>
      <c r="T145" s="14"/>
      <c r="U145" s="14"/>
      <c r="V145" s="12"/>
      <c r="W145" s="12"/>
      <c r="X145" s="12"/>
      <c r="Y145" s="16"/>
      <c r="Z145" s="17"/>
    </row>
    <row r="146" spans="19:26" x14ac:dyDescent="0.3">
      <c r="S146" s="14"/>
      <c r="T146" s="14"/>
      <c r="U146" s="14"/>
      <c r="V146" s="12"/>
      <c r="W146" s="12"/>
      <c r="X146" s="12"/>
      <c r="Y146" s="16"/>
      <c r="Z146" s="17"/>
    </row>
    <row r="147" spans="19:26" x14ac:dyDescent="0.3">
      <c r="S147" s="14"/>
      <c r="T147" s="14"/>
      <c r="U147" s="14"/>
      <c r="V147" s="12"/>
      <c r="W147" s="12"/>
      <c r="X147" s="12"/>
      <c r="Y147" s="16"/>
      <c r="Z147" s="17"/>
    </row>
    <row r="148" spans="19:26" x14ac:dyDescent="0.3">
      <c r="S148" s="14"/>
      <c r="T148" s="14"/>
      <c r="U148" s="14"/>
      <c r="V148" s="12"/>
      <c r="W148" s="12"/>
      <c r="X148" s="12"/>
      <c r="Y148" s="16"/>
      <c r="Z148" s="17"/>
    </row>
    <row r="149" spans="19:26" x14ac:dyDescent="0.3">
      <c r="S149" s="14"/>
      <c r="T149" s="14"/>
      <c r="U149" s="14"/>
      <c r="V149" s="12"/>
      <c r="W149" s="12"/>
      <c r="X149" s="12"/>
      <c r="Y149" s="16"/>
      <c r="Z149" s="17"/>
    </row>
    <row r="150" spans="19:26" x14ac:dyDescent="0.3">
      <c r="S150" s="14"/>
      <c r="T150" s="14"/>
      <c r="U150" s="14"/>
      <c r="V150" s="12"/>
      <c r="W150" s="12"/>
      <c r="X150" s="12"/>
      <c r="Y150" s="16"/>
      <c r="Z150" s="17"/>
    </row>
    <row r="151" spans="19:26" x14ac:dyDescent="0.3">
      <c r="S151" s="14"/>
      <c r="T151" s="14"/>
      <c r="U151" s="14"/>
      <c r="V151" s="12"/>
      <c r="W151" s="12"/>
      <c r="X151" s="12"/>
      <c r="Y151" s="16"/>
      <c r="Z151" s="17"/>
    </row>
    <row r="152" spans="19:26" x14ac:dyDescent="0.3">
      <c r="S152" s="14"/>
      <c r="T152" s="14"/>
      <c r="U152" s="14"/>
      <c r="V152" s="12"/>
      <c r="W152" s="12"/>
      <c r="X152" s="12"/>
      <c r="Y152" s="16"/>
      <c r="Z152" s="17"/>
    </row>
    <row r="153" spans="19:26" x14ac:dyDescent="0.3">
      <c r="S153" s="14"/>
      <c r="T153" s="14"/>
      <c r="U153" s="14"/>
      <c r="V153" s="12"/>
      <c r="W153" s="12"/>
      <c r="X153" s="12"/>
      <c r="Y153" s="16"/>
      <c r="Z153" s="17"/>
    </row>
    <row r="154" spans="19:26" x14ac:dyDescent="0.3">
      <c r="S154" s="14"/>
      <c r="T154" s="14"/>
      <c r="U154" s="14"/>
      <c r="V154" s="12"/>
      <c r="W154" s="12"/>
      <c r="X154" s="12"/>
      <c r="Y154" s="16"/>
      <c r="Z154" s="17"/>
    </row>
    <row r="155" spans="19:26" x14ac:dyDescent="0.3">
      <c r="S155" s="14"/>
      <c r="T155" s="14"/>
      <c r="U155" s="14"/>
      <c r="V155" s="12"/>
      <c r="W155" s="12"/>
      <c r="X155" s="12"/>
      <c r="Y155" s="16"/>
      <c r="Z155" s="17"/>
    </row>
    <row r="156" spans="19:26" x14ac:dyDescent="0.3">
      <c r="S156" s="14"/>
      <c r="T156" s="14"/>
      <c r="U156" s="14"/>
      <c r="V156" s="12"/>
      <c r="W156" s="12"/>
      <c r="X156" s="12"/>
      <c r="Y156" s="16"/>
      <c r="Z156" s="17"/>
    </row>
    <row r="157" spans="19:26" x14ac:dyDescent="0.3">
      <c r="S157" s="14"/>
      <c r="T157" s="14"/>
      <c r="U157" s="14"/>
      <c r="V157" s="12"/>
      <c r="W157" s="12"/>
      <c r="X157" s="12"/>
      <c r="Y157" s="16"/>
      <c r="Z157" s="17"/>
    </row>
    <row r="158" spans="19:26" x14ac:dyDescent="0.3">
      <c r="S158" s="14"/>
      <c r="T158" s="14"/>
      <c r="U158" s="14"/>
      <c r="V158" s="12"/>
      <c r="W158" s="12"/>
      <c r="X158" s="12"/>
      <c r="Y158" s="16"/>
      <c r="Z158" s="17"/>
    </row>
    <row r="159" spans="19:26" x14ac:dyDescent="0.3">
      <c r="S159" s="14"/>
      <c r="T159" s="14"/>
      <c r="U159" s="14"/>
      <c r="V159" s="12"/>
      <c r="W159" s="12"/>
      <c r="X159" s="12"/>
      <c r="Y159" s="16"/>
      <c r="Z159" s="17"/>
    </row>
    <row r="160" spans="19:26" x14ac:dyDescent="0.3">
      <c r="S160" s="14"/>
      <c r="T160" s="14"/>
      <c r="U160" s="14"/>
      <c r="V160" s="12"/>
      <c r="W160" s="12"/>
      <c r="X160" s="12"/>
      <c r="Y160" s="16"/>
      <c r="Z160" s="17"/>
    </row>
    <row r="161" spans="19:26" x14ac:dyDescent="0.3">
      <c r="S161" s="14"/>
      <c r="T161" s="14"/>
      <c r="U161" s="14"/>
      <c r="V161" s="12"/>
      <c r="W161" s="12"/>
      <c r="X161" s="12"/>
      <c r="Y161" s="16"/>
      <c r="Z161" s="17"/>
    </row>
    <row r="162" spans="19:26" x14ac:dyDescent="0.3">
      <c r="S162" s="14"/>
      <c r="T162" s="14"/>
      <c r="U162" s="14"/>
      <c r="V162" s="12"/>
      <c r="W162" s="12"/>
      <c r="X162" s="12"/>
      <c r="Y162" s="16"/>
      <c r="Z162" s="17"/>
    </row>
    <row r="163" spans="19:26" x14ac:dyDescent="0.3">
      <c r="S163" s="14"/>
      <c r="T163" s="14"/>
      <c r="U163" s="14"/>
      <c r="V163" s="12"/>
      <c r="W163" s="12"/>
      <c r="X163" s="12"/>
      <c r="Y163" s="16"/>
      <c r="Z163" s="17"/>
    </row>
    <row r="164" spans="19:26" x14ac:dyDescent="0.3">
      <c r="S164" s="14"/>
      <c r="T164" s="14"/>
      <c r="U164" s="14"/>
      <c r="V164" s="12"/>
      <c r="W164" s="12"/>
      <c r="X164" s="12"/>
      <c r="Y164" s="16"/>
      <c r="Z164" s="17"/>
    </row>
    <row r="165" spans="19:26" x14ac:dyDescent="0.3">
      <c r="S165" s="14"/>
      <c r="T165" s="14"/>
      <c r="U165" s="14"/>
      <c r="V165" s="12"/>
      <c r="W165" s="12"/>
      <c r="X165" s="12"/>
      <c r="Y165" s="16"/>
      <c r="Z165" s="17"/>
    </row>
    <row r="166" spans="19:26" x14ac:dyDescent="0.3">
      <c r="S166" s="14"/>
      <c r="T166" s="14"/>
      <c r="U166" s="14"/>
      <c r="V166" s="12"/>
      <c r="W166" s="12"/>
      <c r="X166" s="12"/>
      <c r="Y166" s="16"/>
      <c r="Z166" s="17"/>
    </row>
    <row r="167" spans="19:26" x14ac:dyDescent="0.3">
      <c r="S167" s="14"/>
      <c r="T167" s="14"/>
      <c r="U167" s="14"/>
      <c r="V167" s="12"/>
      <c r="W167" s="12"/>
      <c r="X167" s="12"/>
      <c r="Y167" s="16"/>
      <c r="Z167" s="17"/>
    </row>
    <row r="168" spans="19:26" x14ac:dyDescent="0.3">
      <c r="S168" s="14"/>
      <c r="T168" s="14"/>
      <c r="U168" s="14"/>
      <c r="V168" s="12"/>
      <c r="W168" s="12"/>
      <c r="X168" s="12"/>
      <c r="Y168" s="16"/>
      <c r="Z168" s="17"/>
    </row>
    <row r="169" spans="19:26" x14ac:dyDescent="0.3">
      <c r="S169" s="14"/>
      <c r="T169" s="14"/>
      <c r="U169" s="14"/>
      <c r="V169" s="12"/>
      <c r="W169" s="12"/>
      <c r="X169" s="12"/>
      <c r="Y169" s="16"/>
      <c r="Z169" s="17"/>
    </row>
    <row r="170" spans="19:26" x14ac:dyDescent="0.3">
      <c r="S170" s="14"/>
      <c r="T170" s="14"/>
      <c r="U170" s="14"/>
      <c r="V170" s="12"/>
      <c r="W170" s="12"/>
      <c r="X170" s="12"/>
      <c r="Y170" s="16"/>
      <c r="Z170" s="17"/>
    </row>
    <row r="171" spans="19:26" x14ac:dyDescent="0.3">
      <c r="S171" s="14"/>
      <c r="T171" s="14"/>
      <c r="U171" s="14"/>
      <c r="V171" s="12"/>
      <c r="W171" s="12"/>
      <c r="X171" s="12"/>
      <c r="Y171" s="16"/>
      <c r="Z171" s="17"/>
    </row>
    <row r="172" spans="19:26" x14ac:dyDescent="0.3">
      <c r="S172" s="14"/>
      <c r="T172" s="14"/>
      <c r="U172" s="14"/>
      <c r="V172" s="12"/>
      <c r="W172" s="12"/>
      <c r="X172" s="12"/>
      <c r="Y172" s="16"/>
      <c r="Z172" s="17"/>
    </row>
    <row r="173" spans="19:26" x14ac:dyDescent="0.3">
      <c r="S173" s="14"/>
      <c r="T173" s="14"/>
      <c r="U173" s="14"/>
      <c r="V173" s="12"/>
      <c r="W173" s="12"/>
      <c r="X173" s="12"/>
      <c r="Y173" s="16"/>
      <c r="Z173" s="17"/>
    </row>
    <row r="174" spans="19:26" x14ac:dyDescent="0.3">
      <c r="S174" s="14"/>
      <c r="T174" s="14"/>
      <c r="U174" s="14"/>
      <c r="V174" s="12"/>
      <c r="W174" s="12"/>
      <c r="X174" s="12"/>
      <c r="Y174" s="16"/>
      <c r="Z174" s="17"/>
    </row>
    <row r="175" spans="19:26" x14ac:dyDescent="0.3">
      <c r="S175" s="14"/>
      <c r="T175" s="14"/>
      <c r="U175" s="14"/>
      <c r="V175" s="12"/>
      <c r="W175" s="12"/>
      <c r="X175" s="12"/>
      <c r="Y175" s="16"/>
      <c r="Z175" s="17"/>
    </row>
    <row r="176" spans="19:26" x14ac:dyDescent="0.3">
      <c r="S176" s="14"/>
      <c r="T176" s="14"/>
      <c r="U176" s="14"/>
      <c r="V176" s="12"/>
      <c r="W176" s="12"/>
      <c r="X176" s="12"/>
      <c r="Y176" s="16"/>
      <c r="Z176" s="17"/>
    </row>
    <row r="177" spans="19:26" x14ac:dyDescent="0.3">
      <c r="S177" s="14"/>
      <c r="T177" s="14"/>
      <c r="U177" s="14"/>
      <c r="V177" s="12"/>
      <c r="W177" s="12"/>
      <c r="X177" s="12"/>
      <c r="Y177" s="16"/>
      <c r="Z177" s="17"/>
    </row>
    <row r="178" spans="19:26" x14ac:dyDescent="0.3">
      <c r="S178" s="14"/>
      <c r="T178" s="14"/>
      <c r="U178" s="14"/>
      <c r="V178" s="12"/>
      <c r="W178" s="12"/>
      <c r="X178" s="12"/>
      <c r="Y178" s="16"/>
      <c r="Z178" s="17"/>
    </row>
    <row r="179" spans="19:26" x14ac:dyDescent="0.3">
      <c r="S179" s="14"/>
      <c r="T179" s="14"/>
      <c r="U179" s="14"/>
      <c r="V179" s="12"/>
      <c r="W179" s="12"/>
      <c r="X179" s="12"/>
      <c r="Y179" s="16"/>
      <c r="Z179" s="17"/>
    </row>
    <row r="180" spans="19:26" x14ac:dyDescent="0.3">
      <c r="S180" s="14"/>
      <c r="T180" s="14"/>
      <c r="U180" s="14"/>
      <c r="V180" s="12"/>
      <c r="W180" s="12"/>
      <c r="X180" s="12"/>
      <c r="Y180" s="16"/>
      <c r="Z180" s="17"/>
    </row>
    <row r="181" spans="19:26" x14ac:dyDescent="0.3">
      <c r="S181" s="14"/>
      <c r="T181" s="14"/>
      <c r="U181" s="14"/>
      <c r="V181" s="12"/>
      <c r="W181" s="12"/>
      <c r="X181" s="12"/>
      <c r="Y181" s="16"/>
      <c r="Z181" s="17"/>
    </row>
    <row r="182" spans="19:26" x14ac:dyDescent="0.3">
      <c r="S182" s="14"/>
      <c r="T182" s="14"/>
      <c r="U182" s="14"/>
      <c r="V182" s="12"/>
      <c r="W182" s="12"/>
      <c r="X182" s="12"/>
      <c r="Y182" s="16"/>
      <c r="Z182" s="17"/>
    </row>
    <row r="183" spans="19:26" x14ac:dyDescent="0.3">
      <c r="S183" s="14"/>
      <c r="T183" s="14"/>
      <c r="U183" s="14"/>
      <c r="V183" s="12"/>
      <c r="W183" s="12"/>
      <c r="X183" s="12"/>
      <c r="Y183" s="16"/>
      <c r="Z183" s="17"/>
    </row>
    <row r="184" spans="19:26" x14ac:dyDescent="0.3">
      <c r="S184" s="14"/>
      <c r="T184" s="14"/>
      <c r="U184" s="14"/>
      <c r="V184" s="12"/>
      <c r="W184" s="12"/>
      <c r="X184" s="12"/>
      <c r="Y184" s="16"/>
      <c r="Z184" s="17"/>
    </row>
    <row r="185" spans="19:26" x14ac:dyDescent="0.3">
      <c r="S185" s="14"/>
      <c r="T185" s="14"/>
      <c r="U185" s="14"/>
      <c r="V185" s="12"/>
      <c r="W185" s="12"/>
      <c r="X185" s="12"/>
      <c r="Y185" s="16"/>
      <c r="Z185" s="17"/>
    </row>
    <row r="186" spans="19:26" x14ac:dyDescent="0.3">
      <c r="S186" s="14"/>
      <c r="T186" s="14"/>
      <c r="U186" s="14"/>
      <c r="V186" s="12"/>
      <c r="W186" s="12"/>
      <c r="X186" s="12"/>
      <c r="Y186" s="16"/>
      <c r="Z186" s="17"/>
    </row>
    <row r="187" spans="19:26" x14ac:dyDescent="0.3">
      <c r="S187" s="14"/>
      <c r="T187" s="14"/>
      <c r="U187" s="14"/>
      <c r="V187" s="12"/>
      <c r="W187" s="12"/>
      <c r="X187" s="12"/>
      <c r="Y187" s="16"/>
      <c r="Z187" s="17"/>
    </row>
    <row r="188" spans="19:26" x14ac:dyDescent="0.3">
      <c r="S188" s="14"/>
      <c r="T188" s="14"/>
      <c r="U188" s="14"/>
      <c r="V188" s="12"/>
      <c r="W188" s="12"/>
      <c r="X188" s="12"/>
      <c r="Y188" s="16"/>
      <c r="Z188" s="17"/>
    </row>
    <row r="189" spans="19:26" x14ac:dyDescent="0.3">
      <c r="S189" s="14"/>
      <c r="T189" s="14"/>
      <c r="U189" s="14"/>
      <c r="V189" s="12"/>
      <c r="W189" s="12"/>
      <c r="X189" s="12"/>
      <c r="Y189" s="16"/>
      <c r="Z189" s="17"/>
    </row>
    <row r="190" spans="19:26" x14ac:dyDescent="0.3">
      <c r="S190" s="14"/>
      <c r="T190" s="14"/>
      <c r="U190" s="14"/>
      <c r="V190" s="12"/>
      <c r="W190" s="12"/>
      <c r="X190" s="12"/>
      <c r="Y190" s="16"/>
      <c r="Z190" s="17"/>
    </row>
    <row r="191" spans="19:26" x14ac:dyDescent="0.3">
      <c r="S191" s="14"/>
      <c r="T191" s="14"/>
      <c r="U191" s="14"/>
      <c r="V191" s="12"/>
      <c r="W191" s="12"/>
      <c r="X191" s="12"/>
      <c r="Y191" s="16"/>
      <c r="Z191" s="17"/>
    </row>
    <row r="192" spans="19:26" x14ac:dyDescent="0.3">
      <c r="S192" s="14"/>
      <c r="T192" s="14"/>
      <c r="U192" s="14"/>
      <c r="V192" s="12"/>
      <c r="W192" s="12"/>
      <c r="X192" s="12"/>
      <c r="Y192" s="16"/>
      <c r="Z192" s="17"/>
    </row>
    <row r="193" spans="19:26" x14ac:dyDescent="0.3">
      <c r="S193" s="14"/>
      <c r="T193" s="14"/>
      <c r="U193" s="14"/>
      <c r="V193" s="12"/>
      <c r="W193" s="12"/>
      <c r="X193" s="12"/>
      <c r="Y193" s="16"/>
      <c r="Z193" s="17"/>
    </row>
    <row r="194" spans="19:26" x14ac:dyDescent="0.3">
      <c r="S194" s="14"/>
      <c r="T194" s="14"/>
      <c r="U194" s="14"/>
      <c r="V194" s="12"/>
      <c r="W194" s="12"/>
      <c r="X194" s="12"/>
      <c r="Y194" s="16"/>
      <c r="Z194" s="17"/>
    </row>
    <row r="195" spans="19:26" x14ac:dyDescent="0.3">
      <c r="S195" s="14"/>
      <c r="T195" s="14"/>
      <c r="U195" s="14"/>
      <c r="V195" s="12"/>
      <c r="W195" s="12"/>
      <c r="X195" s="12"/>
      <c r="Y195" s="16"/>
      <c r="Z195" s="17"/>
    </row>
    <row r="196" spans="19:26" x14ac:dyDescent="0.3">
      <c r="S196" s="14"/>
      <c r="T196" s="14"/>
      <c r="U196" s="14"/>
      <c r="V196" s="12"/>
      <c r="W196" s="12"/>
      <c r="X196" s="12"/>
      <c r="Y196" s="16"/>
      <c r="Z196" s="17"/>
    </row>
    <row r="197" spans="19:26" x14ac:dyDescent="0.3">
      <c r="S197" s="14"/>
      <c r="T197" s="14"/>
      <c r="U197" s="14"/>
      <c r="V197" s="12"/>
      <c r="W197" s="12"/>
      <c r="X197" s="12"/>
      <c r="Y197" s="16"/>
      <c r="Z197" s="17"/>
    </row>
    <row r="198" spans="19:26" x14ac:dyDescent="0.3">
      <c r="S198" s="14"/>
      <c r="T198" s="14"/>
      <c r="U198" s="14"/>
      <c r="V198" s="12"/>
      <c r="W198" s="12"/>
      <c r="X198" s="12"/>
      <c r="Y198" s="16"/>
      <c r="Z198" s="17"/>
    </row>
    <row r="199" spans="19:26" x14ac:dyDescent="0.3">
      <c r="S199" s="14"/>
      <c r="T199" s="14"/>
      <c r="U199" s="14"/>
      <c r="V199" s="12"/>
      <c r="W199" s="12"/>
      <c r="X199" s="12"/>
      <c r="Y199" s="16"/>
      <c r="Z199" s="17"/>
    </row>
    <row r="200" spans="19:26" x14ac:dyDescent="0.3">
      <c r="S200" s="14"/>
      <c r="T200" s="14"/>
      <c r="U200" s="14"/>
      <c r="V200" s="12"/>
      <c r="W200" s="12"/>
      <c r="X200" s="12"/>
      <c r="Y200" s="16"/>
      <c r="Z200" s="17"/>
    </row>
    <row r="201" spans="19:26" x14ac:dyDescent="0.3">
      <c r="S201" s="14"/>
      <c r="T201" s="14"/>
      <c r="U201" s="14"/>
      <c r="V201" s="12"/>
      <c r="W201" s="12"/>
      <c r="X201" s="12"/>
      <c r="Y201" s="16"/>
      <c r="Z201" s="17"/>
    </row>
    <row r="202" spans="19:26" x14ac:dyDescent="0.3">
      <c r="S202" s="14"/>
      <c r="T202" s="14"/>
      <c r="U202" s="14"/>
      <c r="V202" s="12"/>
      <c r="W202" s="12"/>
      <c r="X202" s="12"/>
      <c r="Y202" s="16"/>
      <c r="Z202" s="17"/>
    </row>
    <row r="203" spans="19:26" x14ac:dyDescent="0.3">
      <c r="S203" s="14"/>
      <c r="T203" s="14"/>
      <c r="U203" s="14"/>
      <c r="V203" s="12"/>
      <c r="W203" s="12"/>
      <c r="X203" s="12"/>
      <c r="Y203" s="16"/>
      <c r="Z203" s="17"/>
    </row>
    <row r="204" spans="19:26" x14ac:dyDescent="0.3">
      <c r="S204" s="14"/>
      <c r="T204" s="14"/>
      <c r="U204" s="14"/>
      <c r="V204" s="12"/>
      <c r="W204" s="12"/>
      <c r="X204" s="12"/>
      <c r="Y204" s="16"/>
      <c r="Z204" s="17"/>
    </row>
    <row r="205" spans="19:26" x14ac:dyDescent="0.3">
      <c r="S205" s="14"/>
      <c r="T205" s="14"/>
      <c r="U205" s="14"/>
      <c r="V205" s="12"/>
      <c r="W205" s="12"/>
      <c r="X205" s="12"/>
      <c r="Y205" s="16"/>
      <c r="Z205" s="17"/>
    </row>
    <row r="206" spans="19:26" x14ac:dyDescent="0.3">
      <c r="S206" s="14"/>
      <c r="T206" s="14"/>
      <c r="U206" s="14"/>
      <c r="V206" s="12"/>
      <c r="W206" s="12"/>
      <c r="X206" s="12"/>
      <c r="Y206" s="16"/>
      <c r="Z206" s="17"/>
    </row>
    <row r="207" spans="19:26" x14ac:dyDescent="0.3">
      <c r="S207" s="14"/>
      <c r="T207" s="14"/>
      <c r="U207" s="14"/>
      <c r="V207" s="12"/>
      <c r="W207" s="12"/>
      <c r="X207" s="12"/>
      <c r="Y207" s="16"/>
      <c r="Z207" s="17"/>
    </row>
    <row r="208" spans="19:26" x14ac:dyDescent="0.3">
      <c r="S208" s="14"/>
      <c r="T208" s="14"/>
      <c r="U208" s="14"/>
      <c r="V208" s="12"/>
      <c r="W208" s="12"/>
      <c r="X208" s="12"/>
      <c r="Y208" s="16"/>
      <c r="Z208" s="17"/>
    </row>
    <row r="209" spans="19:26" x14ac:dyDescent="0.3">
      <c r="S209" s="14"/>
      <c r="T209" s="14"/>
      <c r="U209" s="14"/>
      <c r="V209" s="12"/>
      <c r="W209" s="12"/>
      <c r="X209" s="12"/>
      <c r="Y209" s="16"/>
      <c r="Z209" s="17"/>
    </row>
    <row r="210" spans="19:26" x14ac:dyDescent="0.3">
      <c r="S210" s="14"/>
      <c r="T210" s="14"/>
      <c r="U210" s="14"/>
      <c r="V210" s="12"/>
      <c r="W210" s="12"/>
      <c r="X210" s="12"/>
      <c r="Y210" s="16"/>
      <c r="Z210" s="17"/>
    </row>
    <row r="211" spans="19:26" x14ac:dyDescent="0.3">
      <c r="S211" s="14"/>
      <c r="T211" s="14"/>
      <c r="U211" s="14"/>
      <c r="V211" s="12"/>
      <c r="W211" s="12"/>
      <c r="X211" s="12"/>
      <c r="Y211" s="16"/>
      <c r="Z211" s="17"/>
    </row>
    <row r="212" spans="19:26" x14ac:dyDescent="0.3">
      <c r="S212" s="14"/>
      <c r="T212" s="14"/>
      <c r="U212" s="14"/>
      <c r="V212" s="12"/>
      <c r="W212" s="12"/>
      <c r="X212" s="12"/>
      <c r="Y212" s="16"/>
      <c r="Z212" s="17"/>
    </row>
    <row r="213" spans="19:26" x14ac:dyDescent="0.3">
      <c r="S213" s="14"/>
      <c r="T213" s="14"/>
      <c r="U213" s="14"/>
      <c r="V213" s="12"/>
      <c r="W213" s="12"/>
      <c r="X213" s="12"/>
      <c r="Y213" s="16"/>
      <c r="Z213" s="17"/>
    </row>
    <row r="214" spans="19:26" x14ac:dyDescent="0.3">
      <c r="S214" s="14"/>
      <c r="T214" s="14"/>
      <c r="U214" s="14"/>
      <c r="V214" s="12"/>
      <c r="W214" s="12"/>
      <c r="X214" s="12"/>
      <c r="Y214" s="16"/>
      <c r="Z214" s="17"/>
    </row>
    <row r="215" spans="19:26" x14ac:dyDescent="0.3">
      <c r="S215" s="14"/>
      <c r="T215" s="14"/>
      <c r="U215" s="14"/>
      <c r="V215" s="12"/>
      <c r="W215" s="12"/>
      <c r="X215" s="12"/>
      <c r="Y215" s="16"/>
      <c r="Z215" s="17"/>
    </row>
    <row r="216" spans="19:26" x14ac:dyDescent="0.3">
      <c r="S216" s="14"/>
      <c r="T216" s="14"/>
      <c r="U216" s="14"/>
      <c r="V216" s="12"/>
      <c r="W216" s="12"/>
      <c r="X216" s="12"/>
      <c r="Y216" s="16"/>
      <c r="Z216" s="17"/>
    </row>
    <row r="217" spans="19:26" x14ac:dyDescent="0.3">
      <c r="S217" s="14"/>
      <c r="T217" s="14"/>
      <c r="U217" s="14"/>
      <c r="V217" s="12"/>
      <c r="W217" s="12"/>
      <c r="X217" s="12"/>
      <c r="Y217" s="16"/>
      <c r="Z217" s="17"/>
    </row>
    <row r="218" spans="19:26" x14ac:dyDescent="0.3">
      <c r="S218" s="14"/>
      <c r="T218" s="14"/>
      <c r="U218" s="14"/>
      <c r="V218" s="12"/>
      <c r="W218" s="12"/>
      <c r="X218" s="12"/>
      <c r="Y218" s="16"/>
      <c r="Z218" s="17"/>
    </row>
    <row r="219" spans="19:26" x14ac:dyDescent="0.3">
      <c r="S219" s="14"/>
      <c r="T219" s="14"/>
      <c r="U219" s="14"/>
      <c r="V219" s="12"/>
      <c r="W219" s="12"/>
      <c r="X219" s="12"/>
      <c r="Y219" s="16"/>
      <c r="Z219" s="17"/>
    </row>
    <row r="220" spans="19:26" x14ac:dyDescent="0.3">
      <c r="S220" s="14"/>
      <c r="T220" s="14"/>
      <c r="U220" s="14"/>
      <c r="V220" s="12"/>
      <c r="W220" s="12"/>
      <c r="X220" s="12"/>
      <c r="Y220" s="16"/>
      <c r="Z220" s="17"/>
    </row>
    <row r="221" spans="19:26" x14ac:dyDescent="0.3">
      <c r="S221" s="14"/>
      <c r="T221" s="14"/>
      <c r="U221" s="14"/>
      <c r="V221" s="12"/>
      <c r="W221" s="12"/>
      <c r="X221" s="12"/>
      <c r="Y221" s="16"/>
      <c r="Z221" s="17"/>
    </row>
    <row r="222" spans="19:26" x14ac:dyDescent="0.3">
      <c r="S222" s="14"/>
      <c r="T222" s="14"/>
      <c r="U222" s="14"/>
      <c r="V222" s="12"/>
      <c r="W222" s="12"/>
      <c r="X222" s="12"/>
      <c r="Y222" s="16"/>
      <c r="Z222" s="17"/>
    </row>
    <row r="223" spans="19:26" x14ac:dyDescent="0.3">
      <c r="S223" s="14"/>
      <c r="T223" s="14"/>
      <c r="U223" s="14"/>
      <c r="V223" s="12"/>
      <c r="W223" s="12"/>
      <c r="X223" s="12"/>
      <c r="Y223" s="16"/>
      <c r="Z223" s="17"/>
    </row>
    <row r="224" spans="19:26" x14ac:dyDescent="0.3">
      <c r="S224" s="14"/>
      <c r="T224" s="14"/>
      <c r="U224" s="14"/>
      <c r="V224" s="12"/>
      <c r="W224" s="12"/>
      <c r="X224" s="12"/>
      <c r="Y224" s="16"/>
      <c r="Z224" s="17"/>
    </row>
    <row r="225" spans="19:26" x14ac:dyDescent="0.3">
      <c r="S225" s="14"/>
      <c r="T225" s="14"/>
      <c r="U225" s="14"/>
      <c r="V225" s="12"/>
      <c r="W225" s="12"/>
      <c r="X225" s="12"/>
      <c r="Y225" s="16"/>
      <c r="Z225" s="17"/>
    </row>
    <row r="226" spans="19:26" x14ac:dyDescent="0.3">
      <c r="S226" s="14"/>
      <c r="T226" s="14"/>
      <c r="U226" s="14"/>
      <c r="V226" s="12"/>
      <c r="W226" s="12"/>
      <c r="X226" s="12"/>
      <c r="Y226" s="16"/>
      <c r="Z226" s="17"/>
    </row>
    <row r="227" spans="19:26" x14ac:dyDescent="0.3">
      <c r="S227" s="14"/>
      <c r="T227" s="14"/>
      <c r="U227" s="14"/>
      <c r="V227" s="12"/>
      <c r="W227" s="12"/>
      <c r="X227" s="12"/>
      <c r="Y227" s="16"/>
      <c r="Z227" s="17"/>
    </row>
    <row r="228" spans="19:26" x14ac:dyDescent="0.3">
      <c r="S228" s="14"/>
      <c r="T228" s="14"/>
      <c r="U228" s="14"/>
      <c r="V228" s="12"/>
      <c r="W228" s="12"/>
      <c r="X228" s="12"/>
      <c r="Y228" s="16"/>
      <c r="Z228" s="17"/>
    </row>
    <row r="229" spans="19:26" x14ac:dyDescent="0.3">
      <c r="S229" s="14"/>
      <c r="T229" s="14"/>
      <c r="U229" s="14"/>
      <c r="V229" s="12"/>
      <c r="W229" s="12"/>
      <c r="X229" s="12"/>
      <c r="Y229" s="16"/>
      <c r="Z229" s="17"/>
    </row>
    <row r="230" spans="19:26" x14ac:dyDescent="0.3">
      <c r="S230" s="14"/>
      <c r="T230" s="14"/>
      <c r="U230" s="14"/>
      <c r="V230" s="12"/>
      <c r="W230" s="12"/>
      <c r="X230" s="12"/>
      <c r="Y230" s="16"/>
      <c r="Z230" s="17"/>
    </row>
    <row r="231" spans="19:26" x14ac:dyDescent="0.3">
      <c r="S231" s="14"/>
      <c r="T231" s="14"/>
      <c r="U231" s="14"/>
      <c r="V231" s="12"/>
      <c r="W231" s="12"/>
      <c r="X231" s="12"/>
      <c r="Y231" s="16"/>
      <c r="Z231" s="17"/>
    </row>
    <row r="232" spans="19:26" x14ac:dyDescent="0.3">
      <c r="S232" s="14"/>
      <c r="T232" s="14"/>
      <c r="U232" s="14"/>
      <c r="V232" s="12"/>
      <c r="W232" s="12"/>
      <c r="X232" s="12"/>
      <c r="Y232" s="16"/>
      <c r="Z232" s="17"/>
    </row>
    <row r="233" spans="19:26" x14ac:dyDescent="0.3">
      <c r="S233" s="14"/>
      <c r="T233" s="14"/>
      <c r="U233" s="14"/>
      <c r="V233" s="12"/>
      <c r="W233" s="12"/>
      <c r="X233" s="12"/>
      <c r="Y233" s="16"/>
      <c r="Z233" s="17"/>
    </row>
    <row r="234" spans="19:26" x14ac:dyDescent="0.3">
      <c r="S234" s="14"/>
      <c r="T234" s="14"/>
      <c r="U234" s="14"/>
      <c r="V234" s="12"/>
      <c r="W234" s="12"/>
      <c r="X234" s="12"/>
      <c r="Y234" s="16"/>
      <c r="Z234" s="17"/>
    </row>
    <row r="235" spans="19:26" x14ac:dyDescent="0.3">
      <c r="S235" s="14"/>
      <c r="T235" s="14"/>
      <c r="U235" s="14"/>
      <c r="V235" s="12"/>
      <c r="W235" s="12"/>
      <c r="X235" s="12"/>
      <c r="Y235" s="16"/>
      <c r="Z235" s="17"/>
    </row>
    <row r="236" spans="19:26" x14ac:dyDescent="0.3">
      <c r="S236" s="14"/>
      <c r="T236" s="14"/>
      <c r="U236" s="14"/>
      <c r="V236" s="12"/>
      <c r="W236" s="12"/>
      <c r="X236" s="12"/>
      <c r="Y236" s="16"/>
      <c r="Z236" s="17"/>
    </row>
    <row r="237" spans="19:26" x14ac:dyDescent="0.3">
      <c r="S237" s="14"/>
      <c r="T237" s="14"/>
      <c r="U237" s="14"/>
      <c r="V237" s="12"/>
      <c r="W237" s="12"/>
      <c r="X237" s="12"/>
      <c r="Y237" s="16"/>
      <c r="Z237" s="17"/>
    </row>
    <row r="238" spans="19:26" x14ac:dyDescent="0.3">
      <c r="S238" s="14"/>
      <c r="T238" s="14"/>
      <c r="U238" s="14"/>
      <c r="V238" s="12"/>
      <c r="W238" s="12"/>
      <c r="X238" s="12"/>
      <c r="Y238" s="16"/>
      <c r="Z238" s="17"/>
    </row>
    <row r="239" spans="19:26" x14ac:dyDescent="0.3">
      <c r="S239" s="14"/>
      <c r="T239" s="14"/>
      <c r="U239" s="14"/>
      <c r="V239" s="12"/>
      <c r="W239" s="12"/>
      <c r="X239" s="12"/>
      <c r="Y239" s="16"/>
      <c r="Z239" s="17"/>
    </row>
    <row r="240" spans="19:26" x14ac:dyDescent="0.3">
      <c r="S240" s="14"/>
      <c r="T240" s="14"/>
      <c r="U240" s="14"/>
      <c r="V240" s="12"/>
      <c r="W240" s="12"/>
      <c r="X240" s="12"/>
      <c r="Y240" s="16"/>
      <c r="Z240" s="17"/>
    </row>
    <row r="241" spans="19:26" x14ac:dyDescent="0.3">
      <c r="S241" s="14"/>
      <c r="T241" s="14"/>
      <c r="U241" s="14"/>
      <c r="V241" s="12"/>
      <c r="W241" s="12"/>
      <c r="X241" s="12"/>
      <c r="Y241" s="16"/>
      <c r="Z241" s="17"/>
    </row>
    <row r="242" spans="19:26" x14ac:dyDescent="0.3">
      <c r="S242" s="14"/>
      <c r="T242" s="14"/>
      <c r="U242" s="14"/>
      <c r="V242" s="12"/>
      <c r="W242" s="12"/>
      <c r="X242" s="12"/>
      <c r="Y242" s="16"/>
      <c r="Z242" s="17"/>
    </row>
    <row r="243" spans="19:26" x14ac:dyDescent="0.3">
      <c r="S243" s="14"/>
      <c r="T243" s="14"/>
      <c r="U243" s="14"/>
      <c r="V243" s="12"/>
      <c r="W243" s="12"/>
      <c r="X243" s="12"/>
      <c r="Y243" s="16"/>
      <c r="Z243" s="17"/>
    </row>
    <row r="244" spans="19:26" x14ac:dyDescent="0.3">
      <c r="S244" s="14"/>
      <c r="T244" s="14"/>
      <c r="U244" s="14"/>
      <c r="V244" s="12"/>
      <c r="W244" s="12"/>
      <c r="X244" s="12"/>
      <c r="Y244" s="16"/>
      <c r="Z244" s="17"/>
    </row>
    <row r="245" spans="19:26" x14ac:dyDescent="0.3">
      <c r="S245" s="14"/>
      <c r="T245" s="14"/>
      <c r="U245" s="14"/>
      <c r="V245" s="12"/>
      <c r="W245" s="12"/>
      <c r="X245" s="12"/>
      <c r="Y245" s="16"/>
      <c r="Z245" s="17"/>
    </row>
    <row r="246" spans="19:26" x14ac:dyDescent="0.3">
      <c r="S246" s="14"/>
      <c r="T246" s="14"/>
      <c r="U246" s="14"/>
      <c r="V246" s="12"/>
      <c r="W246" s="12"/>
      <c r="X246" s="12"/>
      <c r="Y246" s="16"/>
      <c r="Z246" s="17"/>
    </row>
    <row r="247" spans="19:26" x14ac:dyDescent="0.3">
      <c r="S247" s="14"/>
      <c r="T247" s="14"/>
      <c r="U247" s="14"/>
      <c r="V247" s="12"/>
      <c r="W247" s="12"/>
      <c r="X247" s="12"/>
      <c r="Y247" s="16"/>
      <c r="Z247" s="17"/>
    </row>
    <row r="248" spans="19:26" x14ac:dyDescent="0.3">
      <c r="S248" s="14"/>
      <c r="T248" s="14"/>
      <c r="U248" s="14"/>
      <c r="V248" s="12"/>
      <c r="W248" s="12"/>
      <c r="X248" s="12"/>
      <c r="Y248" s="16"/>
      <c r="Z248" s="17"/>
    </row>
    <row r="249" spans="19:26" x14ac:dyDescent="0.3">
      <c r="S249" s="14"/>
      <c r="T249" s="14"/>
      <c r="U249" s="14"/>
      <c r="V249" s="12"/>
      <c r="W249" s="12"/>
      <c r="X249" s="12"/>
      <c r="Y249" s="16"/>
      <c r="Z249" s="17"/>
    </row>
    <row r="250" spans="19:26" x14ac:dyDescent="0.3">
      <c r="S250" s="14"/>
      <c r="T250" s="14"/>
      <c r="U250" s="14"/>
      <c r="V250" s="12"/>
      <c r="W250" s="12"/>
      <c r="X250" s="12"/>
      <c r="Y250" s="16"/>
      <c r="Z250" s="17"/>
    </row>
    <row r="251" spans="19:26" x14ac:dyDescent="0.3">
      <c r="S251" s="14"/>
      <c r="T251" s="14"/>
      <c r="U251" s="14"/>
      <c r="V251" s="12"/>
      <c r="W251" s="12"/>
      <c r="X251" s="12"/>
      <c r="Y251" s="16"/>
      <c r="Z251" s="17"/>
    </row>
    <row r="252" spans="19:26" x14ac:dyDescent="0.3">
      <c r="S252" s="14"/>
      <c r="T252" s="14"/>
      <c r="U252" s="14"/>
      <c r="V252" s="12"/>
      <c r="W252" s="12"/>
      <c r="X252" s="12"/>
      <c r="Y252" s="16"/>
      <c r="Z252" s="17"/>
    </row>
    <row r="253" spans="19:26" x14ac:dyDescent="0.3">
      <c r="S253" s="14"/>
      <c r="T253" s="14"/>
      <c r="U253" s="14"/>
      <c r="V253" s="12"/>
      <c r="W253" s="12"/>
      <c r="X253" s="12"/>
      <c r="Y253" s="16"/>
      <c r="Z253" s="17"/>
    </row>
    <row r="254" spans="19:26" x14ac:dyDescent="0.3">
      <c r="S254" s="14"/>
      <c r="T254" s="14"/>
      <c r="U254" s="14"/>
      <c r="V254" s="12"/>
      <c r="W254" s="12"/>
      <c r="X254" s="12"/>
      <c r="Y254" s="16"/>
      <c r="Z254" s="17"/>
    </row>
    <row r="255" spans="19:26" x14ac:dyDescent="0.3">
      <c r="S255" s="14"/>
      <c r="T255" s="14"/>
      <c r="U255" s="14"/>
      <c r="V255" s="12"/>
      <c r="W255" s="12"/>
      <c r="X255" s="12"/>
      <c r="Y255" s="16"/>
      <c r="Z255" s="17"/>
    </row>
    <row r="256" spans="19:26" x14ac:dyDescent="0.3">
      <c r="S256" s="14"/>
      <c r="T256" s="14"/>
      <c r="U256" s="14"/>
      <c r="V256" s="12"/>
      <c r="W256" s="12"/>
      <c r="X256" s="12"/>
      <c r="Y256" s="16"/>
      <c r="Z256" s="17"/>
    </row>
    <row r="257" spans="19:26" x14ac:dyDescent="0.3">
      <c r="S257" s="14"/>
      <c r="T257" s="14"/>
      <c r="U257" s="14"/>
      <c r="V257" s="12"/>
      <c r="W257" s="12"/>
      <c r="X257" s="12"/>
      <c r="Y257" s="16"/>
      <c r="Z257" s="17"/>
    </row>
    <row r="258" spans="19:26" x14ac:dyDescent="0.3">
      <c r="S258" s="14"/>
      <c r="T258" s="14"/>
      <c r="U258" s="14"/>
      <c r="V258" s="12"/>
      <c r="W258" s="12"/>
      <c r="X258" s="12"/>
      <c r="Y258" s="16"/>
      <c r="Z258" s="17"/>
    </row>
    <row r="259" spans="19:26" x14ac:dyDescent="0.3">
      <c r="S259" s="14"/>
      <c r="T259" s="14"/>
      <c r="U259" s="14"/>
      <c r="V259" s="12"/>
      <c r="W259" s="12"/>
      <c r="X259" s="12"/>
      <c r="Y259" s="16"/>
      <c r="Z259" s="17"/>
    </row>
    <row r="260" spans="19:26" x14ac:dyDescent="0.3">
      <c r="S260" s="14"/>
      <c r="T260" s="14"/>
      <c r="U260" s="14"/>
      <c r="V260" s="12"/>
      <c r="W260" s="12"/>
      <c r="X260" s="12"/>
      <c r="Y260" s="16"/>
      <c r="Z260" s="17"/>
    </row>
    <row r="261" spans="19:26" x14ac:dyDescent="0.3">
      <c r="S261" s="14"/>
      <c r="T261" s="14"/>
      <c r="U261" s="14"/>
      <c r="V261" s="12"/>
      <c r="W261" s="12"/>
      <c r="X261" s="12"/>
      <c r="Y261" s="16"/>
      <c r="Z261" s="17"/>
    </row>
    <row r="262" spans="19:26" x14ac:dyDescent="0.3">
      <c r="S262" s="14"/>
      <c r="T262" s="14"/>
      <c r="U262" s="14"/>
      <c r="V262" s="12"/>
      <c r="W262" s="12"/>
      <c r="X262" s="12"/>
      <c r="Y262" s="16"/>
      <c r="Z262" s="17"/>
    </row>
    <row r="263" spans="19:26" x14ac:dyDescent="0.3">
      <c r="S263" s="14"/>
      <c r="T263" s="14"/>
      <c r="U263" s="14"/>
      <c r="V263" s="12"/>
      <c r="W263" s="12"/>
      <c r="X263" s="12"/>
      <c r="Y263" s="16"/>
      <c r="Z263" s="17"/>
    </row>
    <row r="264" spans="19:26" x14ac:dyDescent="0.3">
      <c r="S264" s="14"/>
      <c r="T264" s="14"/>
      <c r="U264" s="14"/>
      <c r="V264" s="12"/>
      <c r="W264" s="12"/>
      <c r="X264" s="12"/>
      <c r="Y264" s="16"/>
      <c r="Z264" s="17"/>
    </row>
    <row r="265" spans="19:26" x14ac:dyDescent="0.3">
      <c r="S265" s="14"/>
      <c r="T265" s="14"/>
      <c r="U265" s="14"/>
      <c r="V265" s="12"/>
      <c r="W265" s="12"/>
      <c r="X265" s="12"/>
      <c r="Y265" s="16"/>
      <c r="Z265" s="17"/>
    </row>
    <row r="266" spans="19:26" x14ac:dyDescent="0.3">
      <c r="S266" s="14"/>
      <c r="T266" s="14"/>
      <c r="U266" s="14"/>
      <c r="V266" s="12"/>
      <c r="W266" s="12"/>
      <c r="X266" s="12"/>
      <c r="Y266" s="16"/>
      <c r="Z266" s="17"/>
    </row>
    <row r="267" spans="19:26" x14ac:dyDescent="0.3">
      <c r="S267" s="14"/>
      <c r="T267" s="14"/>
      <c r="U267" s="14"/>
      <c r="V267" s="12"/>
      <c r="W267" s="12"/>
      <c r="X267" s="12"/>
      <c r="Y267" s="16"/>
      <c r="Z267" s="17"/>
    </row>
    <row r="268" spans="19:26" x14ac:dyDescent="0.3">
      <c r="S268" s="14"/>
      <c r="T268" s="14"/>
      <c r="U268" s="14"/>
      <c r="V268" s="12"/>
      <c r="W268" s="12"/>
      <c r="X268" s="12"/>
      <c r="Y268" s="16"/>
      <c r="Z268" s="17"/>
    </row>
    <row r="269" spans="19:26" x14ac:dyDescent="0.3">
      <c r="S269" s="14"/>
      <c r="T269" s="14"/>
      <c r="U269" s="14"/>
      <c r="V269" s="12"/>
      <c r="W269" s="12"/>
      <c r="X269" s="12"/>
      <c r="Y269" s="16"/>
      <c r="Z269" s="17"/>
    </row>
    <row r="270" spans="19:26" x14ac:dyDescent="0.3">
      <c r="S270" s="14"/>
      <c r="T270" s="14"/>
      <c r="U270" s="14"/>
      <c r="V270" s="12"/>
      <c r="W270" s="12"/>
      <c r="X270" s="12"/>
      <c r="Y270" s="16"/>
      <c r="Z270" s="17"/>
    </row>
    <row r="271" spans="19:26" x14ac:dyDescent="0.3">
      <c r="S271" s="14"/>
      <c r="T271" s="14"/>
      <c r="U271" s="14"/>
      <c r="V271" s="12"/>
      <c r="W271" s="12"/>
      <c r="X271" s="12"/>
      <c r="Y271" s="16"/>
      <c r="Z271" s="17"/>
    </row>
    <row r="272" spans="19:26" x14ac:dyDescent="0.3">
      <c r="S272" s="14"/>
      <c r="T272" s="14"/>
      <c r="U272" s="14"/>
      <c r="V272" s="12"/>
      <c r="W272" s="12"/>
      <c r="X272" s="12"/>
      <c r="Y272" s="16"/>
      <c r="Z272" s="17"/>
    </row>
    <row r="273" spans="19:26" x14ac:dyDescent="0.3">
      <c r="S273" s="14"/>
      <c r="T273" s="14"/>
      <c r="U273" s="14"/>
      <c r="V273" s="12"/>
      <c r="W273" s="12"/>
      <c r="X273" s="12"/>
      <c r="Y273" s="16"/>
      <c r="Z273" s="17"/>
    </row>
    <row r="274" spans="19:26" x14ac:dyDescent="0.3">
      <c r="S274" s="14"/>
      <c r="T274" s="14"/>
      <c r="U274" s="14"/>
      <c r="V274" s="12"/>
      <c r="W274" s="12"/>
      <c r="X274" s="12"/>
      <c r="Y274" s="16"/>
      <c r="Z274" s="17"/>
    </row>
    <row r="275" spans="19:26" x14ac:dyDescent="0.3">
      <c r="S275" s="14"/>
      <c r="T275" s="14"/>
      <c r="U275" s="14"/>
      <c r="V275" s="12"/>
      <c r="W275" s="12"/>
      <c r="X275" s="12"/>
      <c r="Y275" s="16"/>
      <c r="Z275" s="17"/>
    </row>
    <row r="276" spans="19:26" x14ac:dyDescent="0.3">
      <c r="S276" s="14"/>
      <c r="T276" s="14"/>
      <c r="U276" s="14"/>
      <c r="V276" s="12"/>
      <c r="W276" s="12"/>
      <c r="X276" s="12"/>
      <c r="Y276" s="16"/>
      <c r="Z276" s="17"/>
    </row>
    <row r="277" spans="19:26" x14ac:dyDescent="0.3">
      <c r="S277" s="14"/>
      <c r="T277" s="14"/>
      <c r="U277" s="14"/>
      <c r="V277" s="12"/>
      <c r="W277" s="12"/>
      <c r="X277" s="12"/>
      <c r="Y277" s="16"/>
      <c r="Z277" s="17"/>
    </row>
    <row r="278" spans="19:26" x14ac:dyDescent="0.3">
      <c r="S278" s="14"/>
      <c r="T278" s="14"/>
      <c r="U278" s="14"/>
      <c r="V278" s="12"/>
      <c r="W278" s="12"/>
      <c r="X278" s="12"/>
      <c r="Y278" s="16"/>
      <c r="Z278" s="17"/>
    </row>
    <row r="279" spans="19:26" x14ac:dyDescent="0.3">
      <c r="S279" s="14"/>
      <c r="T279" s="14"/>
      <c r="U279" s="14"/>
      <c r="V279" s="12"/>
      <c r="W279" s="12"/>
      <c r="X279" s="12"/>
      <c r="Y279" s="16"/>
      <c r="Z279" s="17"/>
    </row>
    <row r="280" spans="19:26" x14ac:dyDescent="0.3">
      <c r="S280" s="14"/>
      <c r="T280" s="14"/>
      <c r="U280" s="14"/>
      <c r="V280" s="12"/>
      <c r="W280" s="12"/>
      <c r="X280" s="12"/>
      <c r="Y280" s="16"/>
      <c r="Z280" s="17"/>
    </row>
    <row r="281" spans="19:26" x14ac:dyDescent="0.3">
      <c r="S281" s="14"/>
      <c r="T281" s="14"/>
      <c r="U281" s="14"/>
      <c r="V281" s="12"/>
      <c r="W281" s="12"/>
      <c r="X281" s="12"/>
      <c r="Y281" s="16"/>
      <c r="Z281" s="17"/>
    </row>
    <row r="282" spans="19:26" x14ac:dyDescent="0.3">
      <c r="S282" s="14"/>
      <c r="T282" s="14"/>
      <c r="U282" s="14"/>
      <c r="V282" s="12"/>
      <c r="W282" s="12"/>
      <c r="X282" s="12"/>
      <c r="Y282" s="16"/>
      <c r="Z282" s="17"/>
    </row>
    <row r="283" spans="19:26" x14ac:dyDescent="0.3">
      <c r="S283" s="14"/>
      <c r="T283" s="14"/>
      <c r="U283" s="14"/>
      <c r="V283" s="12"/>
      <c r="W283" s="12"/>
      <c r="X283" s="12"/>
      <c r="Y283" s="16"/>
      <c r="Z283" s="17"/>
    </row>
    <row r="284" spans="19:26" x14ac:dyDescent="0.3">
      <c r="S284" s="14"/>
      <c r="T284" s="14"/>
      <c r="U284" s="14"/>
      <c r="V284" s="12"/>
      <c r="W284" s="12"/>
      <c r="X284" s="12"/>
      <c r="Y284" s="16"/>
      <c r="Z284" s="17"/>
    </row>
    <row r="285" spans="19:26" x14ac:dyDescent="0.3">
      <c r="S285" s="14"/>
      <c r="T285" s="14"/>
      <c r="U285" s="14"/>
      <c r="V285" s="12"/>
      <c r="W285" s="12"/>
      <c r="X285" s="12"/>
      <c r="Y285" s="16"/>
      <c r="Z285" s="17"/>
    </row>
    <row r="286" spans="19:26" x14ac:dyDescent="0.3">
      <c r="S286" s="14"/>
      <c r="T286" s="14"/>
      <c r="U286" s="14"/>
      <c r="V286" s="12"/>
      <c r="W286" s="12"/>
      <c r="X286" s="12"/>
      <c r="Y286" s="16"/>
      <c r="Z286" s="17"/>
    </row>
    <row r="287" spans="19:26" x14ac:dyDescent="0.3">
      <c r="S287" s="14"/>
      <c r="T287" s="14"/>
      <c r="U287" s="14"/>
      <c r="V287" s="12"/>
      <c r="W287" s="12"/>
      <c r="X287" s="12"/>
      <c r="Y287" s="16"/>
      <c r="Z287" s="17"/>
    </row>
    <row r="288" spans="19:26" x14ac:dyDescent="0.3">
      <c r="S288" s="14"/>
      <c r="T288" s="14"/>
      <c r="U288" s="14"/>
      <c r="V288" s="12"/>
      <c r="W288" s="12"/>
      <c r="X288" s="12"/>
      <c r="Y288" s="16"/>
      <c r="Z288" s="17"/>
    </row>
    <row r="289" spans="1:26" x14ac:dyDescent="0.3">
      <c r="S289" s="14"/>
      <c r="T289" s="14"/>
      <c r="U289" s="14"/>
      <c r="V289" s="12"/>
      <c r="W289" s="12"/>
      <c r="X289" s="12"/>
      <c r="Y289" s="16"/>
      <c r="Z289" s="17"/>
    </row>
    <row r="290" spans="1:26" x14ac:dyDescent="0.3">
      <c r="S290" s="14"/>
      <c r="T290" s="14"/>
      <c r="U290" s="14"/>
      <c r="V290" s="12"/>
      <c r="W290" s="12"/>
      <c r="X290" s="12"/>
      <c r="Y290" s="16"/>
      <c r="Z290" s="17"/>
    </row>
    <row r="291" spans="1:26" x14ac:dyDescent="0.3">
      <c r="S291" s="14"/>
      <c r="T291" s="14"/>
      <c r="U291" s="14"/>
      <c r="V291" s="12"/>
      <c r="W291" s="12"/>
      <c r="X291" s="12"/>
      <c r="Y291" s="16"/>
      <c r="Z291" s="17"/>
    </row>
    <row r="292" spans="1:26" x14ac:dyDescent="0.3">
      <c r="S292" s="14"/>
      <c r="T292" s="14"/>
      <c r="U292" s="14"/>
      <c r="V292" s="12"/>
      <c r="W292" s="12"/>
      <c r="X292" s="12"/>
      <c r="Y292" s="16"/>
      <c r="Z292" s="17"/>
    </row>
    <row r="293" spans="1:26" x14ac:dyDescent="0.3">
      <c r="S293" s="14"/>
      <c r="T293" s="14"/>
      <c r="U293" s="14"/>
      <c r="V293" s="12"/>
      <c r="W293" s="12"/>
      <c r="X293" s="12"/>
      <c r="Y293" s="16"/>
      <c r="Z293" s="17"/>
    </row>
    <row r="294" spans="1:26" x14ac:dyDescent="0.3">
      <c r="S294" s="14"/>
      <c r="T294" s="14"/>
      <c r="U294" s="14"/>
      <c r="V294" s="12"/>
      <c r="W294" s="12"/>
      <c r="X294" s="12"/>
      <c r="Y294" s="16"/>
      <c r="Z294" s="17"/>
    </row>
    <row r="295" spans="1:26" x14ac:dyDescent="0.3">
      <c r="S295" s="14"/>
      <c r="T295" s="14"/>
      <c r="U295" s="14"/>
      <c r="V295" s="12"/>
      <c r="W295" s="12"/>
      <c r="X295" s="12"/>
      <c r="Y295" s="16"/>
      <c r="Z295" s="17"/>
    </row>
    <row r="296" spans="1:26" x14ac:dyDescent="0.3">
      <c r="A296" s="14"/>
      <c r="B296" s="14"/>
      <c r="C296" s="14"/>
      <c r="D296" s="14"/>
      <c r="E296" s="14"/>
      <c r="F296" s="14"/>
      <c r="G296" s="14"/>
      <c r="H296" s="14"/>
      <c r="I296" s="14"/>
      <c r="J296" s="14"/>
      <c r="K296" s="14"/>
      <c r="L296" s="14"/>
      <c r="M296" s="14"/>
      <c r="N296" s="14"/>
      <c r="O296" s="14"/>
      <c r="P296" s="14"/>
      <c r="Q296" s="14"/>
      <c r="R296" s="15"/>
      <c r="S296" s="14"/>
      <c r="T296" s="14"/>
      <c r="U296" s="14"/>
      <c r="V296" s="12"/>
      <c r="W296" s="12"/>
      <c r="X296" s="12"/>
      <c r="Y296" s="16"/>
      <c r="Z296" s="17"/>
    </row>
    <row r="297" spans="1:26" x14ac:dyDescent="0.3">
      <c r="S297" s="14"/>
      <c r="T297" s="14"/>
      <c r="U297" s="14"/>
      <c r="V297" s="12"/>
      <c r="W297" s="12"/>
      <c r="X297" s="12"/>
      <c r="Y297" s="16"/>
      <c r="Z297" s="17"/>
    </row>
    <row r="298" spans="1:26" x14ac:dyDescent="0.3">
      <c r="S298" s="14"/>
      <c r="T298" s="14"/>
      <c r="U298" s="14"/>
      <c r="V298" s="12"/>
      <c r="W298" s="12"/>
      <c r="X298" s="12"/>
      <c r="Y298" s="16"/>
      <c r="Z298" s="17"/>
    </row>
    <row r="299" spans="1:26" x14ac:dyDescent="0.3">
      <c r="S299" s="14"/>
      <c r="T299" s="14"/>
      <c r="U299" s="14"/>
      <c r="V299" s="12"/>
      <c r="W299" s="12"/>
      <c r="X299" s="12"/>
      <c r="Y299" s="16"/>
      <c r="Z299" s="17"/>
    </row>
    <row r="300" spans="1:26" x14ac:dyDescent="0.3">
      <c r="S300" s="14"/>
      <c r="T300" s="14"/>
      <c r="U300" s="14"/>
      <c r="V300" s="12"/>
      <c r="W300" s="12"/>
      <c r="X300" s="12"/>
      <c r="Y300" s="16"/>
      <c r="Z300" s="17"/>
    </row>
    <row r="301" spans="1:26" x14ac:dyDescent="0.3">
      <c r="S301" s="14"/>
      <c r="T301" s="14"/>
      <c r="U301" s="14"/>
      <c r="V301" s="12"/>
      <c r="W301" s="12"/>
      <c r="X301" s="12"/>
      <c r="Y301" s="16"/>
      <c r="Z301" s="17"/>
    </row>
    <row r="302" spans="1:26" x14ac:dyDescent="0.3">
      <c r="S302" s="14"/>
      <c r="T302" s="14"/>
      <c r="U302" s="14"/>
      <c r="V302" s="12"/>
      <c r="W302" s="12"/>
      <c r="X302" s="12"/>
      <c r="Y302" s="16"/>
      <c r="Z302" s="17"/>
    </row>
    <row r="303" spans="1:26" x14ac:dyDescent="0.3">
      <c r="S303" s="14"/>
      <c r="T303" s="14"/>
      <c r="U303" s="14"/>
      <c r="V303" s="12"/>
      <c r="W303" s="12"/>
      <c r="X303" s="12"/>
      <c r="Y303" s="16"/>
      <c r="Z303" s="17"/>
    </row>
    <row r="304" spans="1:26" x14ac:dyDescent="0.3">
      <c r="S304" s="14"/>
      <c r="T304" s="14"/>
      <c r="U304" s="14"/>
      <c r="V304" s="12"/>
      <c r="W304" s="12"/>
      <c r="X304" s="12"/>
      <c r="Y304" s="16"/>
      <c r="Z304" s="17"/>
    </row>
    <row r="305" spans="1:26" x14ac:dyDescent="0.3">
      <c r="S305" s="14"/>
      <c r="T305" s="14"/>
      <c r="U305" s="14"/>
      <c r="V305" s="12"/>
      <c r="W305" s="12"/>
      <c r="X305" s="12"/>
      <c r="Y305" s="16"/>
      <c r="Z305" s="17"/>
    </row>
    <row r="306" spans="1:26" x14ac:dyDescent="0.3">
      <c r="A306" s="14"/>
      <c r="B306" s="14"/>
      <c r="C306" s="14"/>
      <c r="D306" s="14"/>
      <c r="E306" s="14"/>
      <c r="F306" s="14"/>
      <c r="G306" s="14"/>
      <c r="H306" s="14"/>
      <c r="I306" s="14"/>
      <c r="J306" s="14"/>
      <c r="K306" s="14"/>
      <c r="L306" s="14"/>
      <c r="M306" s="14"/>
      <c r="N306" s="14"/>
      <c r="O306" s="14"/>
      <c r="P306" s="14"/>
      <c r="Q306" s="14"/>
      <c r="R306" s="15"/>
      <c r="S306" s="14"/>
      <c r="T306" s="14"/>
      <c r="U306" s="14"/>
      <c r="V306" s="12"/>
      <c r="W306" s="12"/>
      <c r="X306" s="12"/>
      <c r="Y306" s="16"/>
      <c r="Z306" s="17"/>
    </row>
    <row r="307" spans="1:26" x14ac:dyDescent="0.3">
      <c r="S307" s="14"/>
      <c r="T307" s="14"/>
      <c r="U307" s="14"/>
      <c r="V307" s="12"/>
      <c r="W307" s="12"/>
      <c r="X307" s="12"/>
      <c r="Y307" s="16"/>
      <c r="Z307" s="17"/>
    </row>
    <row r="308" spans="1:26" x14ac:dyDescent="0.3">
      <c r="S308" s="14"/>
      <c r="T308" s="14"/>
      <c r="U308" s="14"/>
      <c r="V308" s="12"/>
      <c r="W308" s="12"/>
      <c r="X308" s="12"/>
      <c r="Y308" s="16"/>
      <c r="Z308" s="17"/>
    </row>
    <row r="309" spans="1:26" x14ac:dyDescent="0.3">
      <c r="S309" s="14"/>
      <c r="T309" s="14"/>
      <c r="U309" s="14"/>
      <c r="V309" s="12"/>
      <c r="W309" s="12"/>
      <c r="X309" s="12"/>
      <c r="Y309" s="16"/>
      <c r="Z309" s="17"/>
    </row>
    <row r="310" spans="1:26" x14ac:dyDescent="0.3">
      <c r="S310" s="14"/>
      <c r="T310" s="14"/>
      <c r="U310" s="14"/>
      <c r="V310" s="12"/>
      <c r="W310" s="12"/>
      <c r="X310" s="12"/>
      <c r="Y310" s="16"/>
      <c r="Z310" s="17"/>
    </row>
    <row r="311" spans="1:26" x14ac:dyDescent="0.3">
      <c r="A311" s="14"/>
      <c r="B311" s="14"/>
      <c r="C311" s="14"/>
      <c r="D311" s="14"/>
      <c r="E311" s="14"/>
      <c r="F311" s="14"/>
      <c r="G311" s="14"/>
      <c r="H311" s="14"/>
      <c r="I311" s="14"/>
      <c r="J311" s="14"/>
      <c r="K311" s="14"/>
      <c r="L311" s="14"/>
      <c r="M311" s="14"/>
      <c r="N311" s="14"/>
      <c r="O311" s="14"/>
      <c r="P311" s="14"/>
      <c r="Q311" s="14"/>
      <c r="R311" s="15"/>
      <c r="S311" s="14"/>
      <c r="T311" s="14"/>
      <c r="U311" s="14"/>
      <c r="V311" s="12"/>
      <c r="W311" s="12"/>
      <c r="X311" s="12"/>
      <c r="Y311" s="16"/>
      <c r="Z311" s="17"/>
    </row>
    <row r="312" spans="1:26" x14ac:dyDescent="0.3">
      <c r="S312" s="14"/>
      <c r="T312" s="14"/>
      <c r="U312" s="14"/>
      <c r="V312" s="12"/>
      <c r="W312" s="12"/>
      <c r="X312" s="12"/>
      <c r="Y312" s="16"/>
      <c r="Z312" s="17"/>
    </row>
    <row r="313" spans="1:26" x14ac:dyDescent="0.3">
      <c r="S313" s="14"/>
      <c r="T313" s="14"/>
      <c r="U313" s="14"/>
      <c r="V313" s="12"/>
      <c r="W313" s="12"/>
      <c r="X313" s="12"/>
      <c r="Y313" s="16"/>
      <c r="Z313" s="17"/>
    </row>
    <row r="314" spans="1:26" x14ac:dyDescent="0.3">
      <c r="S314" s="14"/>
      <c r="T314" s="14"/>
      <c r="U314" s="14"/>
      <c r="V314" s="12"/>
      <c r="W314" s="12"/>
      <c r="X314" s="12"/>
      <c r="Y314" s="16"/>
      <c r="Z314" s="17"/>
    </row>
    <row r="315" spans="1:26" x14ac:dyDescent="0.3">
      <c r="S315" s="14"/>
      <c r="T315" s="14"/>
      <c r="U315" s="14"/>
      <c r="V315" s="12"/>
      <c r="W315" s="12"/>
      <c r="X315" s="12"/>
      <c r="Y315" s="16"/>
      <c r="Z315" s="17"/>
    </row>
    <row r="316" spans="1:26" x14ac:dyDescent="0.3">
      <c r="S316" s="14"/>
      <c r="T316" s="14"/>
      <c r="U316" s="14"/>
      <c r="V316" s="12"/>
      <c r="W316" s="12"/>
      <c r="X316" s="12"/>
      <c r="Y316" s="16"/>
      <c r="Z316" s="17"/>
    </row>
    <row r="317" spans="1:26" x14ac:dyDescent="0.3">
      <c r="S317" s="14"/>
      <c r="T317" s="14"/>
      <c r="U317" s="14"/>
      <c r="V317" s="12"/>
      <c r="W317" s="12"/>
      <c r="X317" s="12"/>
      <c r="Y317" s="16"/>
      <c r="Z317" s="17"/>
    </row>
    <row r="318" spans="1:26" x14ac:dyDescent="0.3">
      <c r="S318" s="14"/>
      <c r="T318" s="14"/>
      <c r="U318" s="14"/>
      <c r="V318" s="12"/>
      <c r="W318" s="12"/>
      <c r="X318" s="12"/>
      <c r="Y318" s="16"/>
      <c r="Z318" s="17"/>
    </row>
    <row r="319" spans="1:26" x14ac:dyDescent="0.3">
      <c r="S319" s="14"/>
      <c r="T319" s="14"/>
      <c r="U319" s="14"/>
      <c r="V319" s="12"/>
      <c r="W319" s="12"/>
      <c r="X319" s="12"/>
      <c r="Y319" s="16"/>
      <c r="Z319" s="17"/>
    </row>
    <row r="320" spans="1:26" x14ac:dyDescent="0.3">
      <c r="S320" s="14"/>
      <c r="T320" s="14"/>
      <c r="U320" s="14"/>
      <c r="V320" s="12"/>
      <c r="W320" s="12"/>
      <c r="X320" s="12"/>
      <c r="Y320" s="16"/>
      <c r="Z320" s="17"/>
    </row>
    <row r="321" spans="1:26" x14ac:dyDescent="0.3">
      <c r="A321" s="14"/>
      <c r="B321" s="14"/>
      <c r="C321" s="14"/>
      <c r="D321" s="14"/>
      <c r="E321" s="14"/>
      <c r="F321" s="14"/>
      <c r="G321" s="14"/>
      <c r="H321" s="14"/>
      <c r="I321" s="14"/>
      <c r="J321" s="14"/>
      <c r="K321" s="14"/>
      <c r="L321" s="14"/>
      <c r="M321" s="14"/>
      <c r="N321" s="14"/>
      <c r="O321" s="14"/>
      <c r="P321" s="14"/>
      <c r="Q321" s="14"/>
      <c r="R321" s="15"/>
      <c r="S321" s="14"/>
      <c r="T321" s="14"/>
      <c r="U321" s="14"/>
      <c r="V321" s="12"/>
      <c r="W321" s="12"/>
      <c r="X321" s="12"/>
      <c r="Y321" s="16"/>
      <c r="Z321" s="17"/>
    </row>
    <row r="322" spans="1:26" x14ac:dyDescent="0.3">
      <c r="S322" s="14"/>
      <c r="T322" s="14"/>
      <c r="U322" s="14"/>
      <c r="V322" s="12"/>
      <c r="W322" s="12"/>
      <c r="X322" s="12"/>
      <c r="Y322" s="16"/>
      <c r="Z322" s="17"/>
    </row>
    <row r="323" spans="1:26" x14ac:dyDescent="0.3">
      <c r="S323" s="14"/>
      <c r="T323" s="14"/>
      <c r="U323" s="14"/>
      <c r="V323" s="12"/>
      <c r="W323" s="12"/>
      <c r="X323" s="12"/>
      <c r="Y323" s="16"/>
      <c r="Z323" s="17"/>
    </row>
    <row r="324" spans="1:26" x14ac:dyDescent="0.3">
      <c r="S324" s="14"/>
      <c r="T324" s="14"/>
      <c r="U324" s="14"/>
      <c r="V324" s="12"/>
      <c r="W324" s="12"/>
      <c r="X324" s="12"/>
      <c r="Y324" s="16"/>
      <c r="Z324" s="17"/>
    </row>
    <row r="325" spans="1:26" x14ac:dyDescent="0.3">
      <c r="S325" s="14"/>
      <c r="T325" s="14"/>
      <c r="U325" s="14"/>
      <c r="V325" s="12"/>
      <c r="W325" s="12"/>
      <c r="X325" s="12"/>
      <c r="Y325" s="16"/>
      <c r="Z325" s="17"/>
    </row>
    <row r="326" spans="1:26" x14ac:dyDescent="0.3">
      <c r="S326" s="14"/>
      <c r="T326" s="14"/>
      <c r="U326" s="14"/>
      <c r="V326" s="12"/>
      <c r="W326" s="12"/>
      <c r="X326" s="12"/>
      <c r="Y326" s="16"/>
      <c r="Z326" s="17"/>
    </row>
    <row r="327" spans="1:26" x14ac:dyDescent="0.3">
      <c r="A327" s="14"/>
      <c r="B327" s="14"/>
      <c r="C327" s="14"/>
      <c r="D327" s="14"/>
      <c r="E327" s="14"/>
      <c r="F327" s="14"/>
      <c r="G327" s="14"/>
      <c r="H327" s="14"/>
      <c r="I327" s="14"/>
      <c r="J327" s="14"/>
      <c r="K327" s="14"/>
      <c r="L327" s="14"/>
      <c r="M327" s="14"/>
      <c r="N327" s="14"/>
      <c r="O327" s="14"/>
      <c r="P327" s="14"/>
      <c r="Q327" s="14"/>
      <c r="R327" s="15"/>
      <c r="S327" s="14"/>
      <c r="T327" s="14"/>
      <c r="U327" s="14"/>
      <c r="V327" s="12"/>
      <c r="W327" s="12"/>
      <c r="X327" s="12"/>
      <c r="Y327" s="16"/>
      <c r="Z327" s="17"/>
    </row>
    <row r="328" spans="1:26" x14ac:dyDescent="0.3">
      <c r="S328" s="14"/>
      <c r="T328" s="14"/>
      <c r="U328" s="14"/>
      <c r="V328" s="12"/>
      <c r="W328" s="12"/>
      <c r="X328" s="12"/>
      <c r="Y328" s="16"/>
      <c r="Z328" s="17"/>
    </row>
    <row r="329" spans="1:26" x14ac:dyDescent="0.3">
      <c r="S329" s="14"/>
      <c r="T329" s="14"/>
      <c r="U329" s="14"/>
      <c r="V329" s="12"/>
      <c r="W329" s="12"/>
      <c r="X329" s="12"/>
      <c r="Y329" s="16"/>
      <c r="Z329" s="17"/>
    </row>
    <row r="330" spans="1:26" x14ac:dyDescent="0.3">
      <c r="S330" s="14"/>
      <c r="T330" s="14"/>
      <c r="U330" s="14"/>
      <c r="V330" s="12"/>
      <c r="W330" s="12"/>
      <c r="X330" s="12"/>
      <c r="Y330" s="16"/>
      <c r="Z330" s="17"/>
    </row>
    <row r="331" spans="1:26" x14ac:dyDescent="0.3">
      <c r="S331" s="14"/>
      <c r="T331" s="14"/>
      <c r="U331" s="14"/>
      <c r="V331" s="12"/>
      <c r="W331" s="12"/>
      <c r="X331" s="12"/>
      <c r="Y331" s="16"/>
      <c r="Z331" s="17"/>
    </row>
    <row r="332" spans="1:26" x14ac:dyDescent="0.3">
      <c r="S332" s="14"/>
      <c r="T332" s="14"/>
      <c r="U332" s="14"/>
      <c r="V332" s="12"/>
      <c r="W332" s="12"/>
      <c r="X332" s="12"/>
      <c r="Y332" s="16"/>
      <c r="Z332" s="17"/>
    </row>
    <row r="333" spans="1:26" x14ac:dyDescent="0.3">
      <c r="S333" s="14"/>
      <c r="T333" s="14"/>
      <c r="U333" s="14"/>
      <c r="V333" s="12"/>
      <c r="W333" s="12"/>
      <c r="X333" s="12"/>
      <c r="Y333" s="16"/>
      <c r="Z333" s="17"/>
    </row>
    <row r="334" spans="1:26" x14ac:dyDescent="0.3">
      <c r="S334" s="14"/>
      <c r="T334" s="14"/>
      <c r="U334" s="14"/>
      <c r="V334" s="12"/>
      <c r="W334" s="12"/>
      <c r="X334" s="12"/>
      <c r="Y334" s="16"/>
      <c r="Z334" s="17"/>
    </row>
    <row r="335" spans="1:26" x14ac:dyDescent="0.3">
      <c r="S335" s="14"/>
      <c r="T335" s="14"/>
      <c r="U335" s="14"/>
      <c r="V335" s="12"/>
      <c r="W335" s="12"/>
      <c r="X335" s="12"/>
      <c r="Y335" s="16"/>
      <c r="Z335" s="17"/>
    </row>
    <row r="336" spans="1:26" x14ac:dyDescent="0.3">
      <c r="S336" s="14"/>
      <c r="T336" s="14"/>
      <c r="U336" s="14"/>
      <c r="V336" s="12"/>
      <c r="W336" s="12"/>
      <c r="X336" s="12"/>
      <c r="Y336" s="16"/>
      <c r="Z336" s="17"/>
    </row>
    <row r="337" spans="1:26" x14ac:dyDescent="0.3">
      <c r="S337" s="14"/>
      <c r="T337" s="14"/>
      <c r="U337" s="14"/>
      <c r="V337" s="12"/>
      <c r="W337" s="12"/>
      <c r="X337" s="12"/>
      <c r="Y337" s="16"/>
      <c r="Z337" s="17"/>
    </row>
    <row r="338" spans="1:26" x14ac:dyDescent="0.3">
      <c r="S338" s="14"/>
      <c r="T338" s="14"/>
      <c r="U338" s="14"/>
      <c r="V338" s="12"/>
      <c r="W338" s="12"/>
      <c r="X338" s="12"/>
      <c r="Y338" s="16"/>
      <c r="Z338" s="17"/>
    </row>
    <row r="339" spans="1:26" x14ac:dyDescent="0.3">
      <c r="A339" s="14"/>
      <c r="B339" s="14"/>
      <c r="C339" s="14"/>
      <c r="D339" s="14"/>
      <c r="E339" s="14"/>
      <c r="F339" s="14"/>
      <c r="G339" s="14"/>
      <c r="H339" s="14"/>
      <c r="I339" s="14"/>
      <c r="J339" s="14"/>
      <c r="K339" s="14"/>
      <c r="L339" s="14"/>
      <c r="M339" s="14"/>
      <c r="N339" s="14"/>
      <c r="O339" s="14"/>
      <c r="P339" s="14"/>
      <c r="Q339" s="14"/>
      <c r="R339" s="15"/>
      <c r="S339" s="14"/>
      <c r="T339" s="14"/>
      <c r="U339" s="14"/>
      <c r="V339" s="12"/>
      <c r="W339" s="12"/>
      <c r="X339" s="12"/>
      <c r="Y339" s="16"/>
      <c r="Z339" s="17"/>
    </row>
    <row r="340" spans="1:26" x14ac:dyDescent="0.3">
      <c r="S340" s="14"/>
      <c r="T340" s="14"/>
      <c r="U340" s="14"/>
      <c r="V340" s="12"/>
      <c r="W340" s="12"/>
      <c r="X340" s="12"/>
      <c r="Y340" s="16"/>
      <c r="Z340" s="17"/>
    </row>
    <row r="341" spans="1:26" x14ac:dyDescent="0.3">
      <c r="S341" s="14"/>
      <c r="T341" s="14"/>
      <c r="U341" s="14"/>
      <c r="V341" s="12"/>
      <c r="W341" s="12"/>
      <c r="X341" s="12"/>
      <c r="Y341" s="16"/>
      <c r="Z341" s="17"/>
    </row>
    <row r="342" spans="1:26" x14ac:dyDescent="0.3">
      <c r="S342" s="14"/>
      <c r="T342" s="14"/>
      <c r="U342" s="14"/>
      <c r="V342" s="12"/>
      <c r="W342" s="12"/>
      <c r="X342" s="12"/>
      <c r="Y342" s="16"/>
      <c r="Z342" s="17"/>
    </row>
    <row r="343" spans="1:26" x14ac:dyDescent="0.3">
      <c r="S343" s="14"/>
      <c r="T343" s="14"/>
      <c r="U343" s="14"/>
      <c r="V343" s="12"/>
      <c r="W343" s="12"/>
      <c r="X343" s="12"/>
      <c r="Y343" s="16"/>
      <c r="Z343" s="17"/>
    </row>
    <row r="344" spans="1:26" x14ac:dyDescent="0.3">
      <c r="S344" s="14"/>
      <c r="T344" s="14"/>
      <c r="U344" s="14"/>
      <c r="V344" s="12"/>
      <c r="W344" s="12"/>
      <c r="X344" s="12"/>
      <c r="Y344" s="16"/>
      <c r="Z344" s="17"/>
    </row>
    <row r="345" spans="1:26" x14ac:dyDescent="0.3">
      <c r="S345" s="14"/>
      <c r="T345" s="14"/>
      <c r="U345" s="14"/>
      <c r="V345" s="12"/>
      <c r="W345" s="12"/>
      <c r="X345" s="12"/>
      <c r="Y345" s="16"/>
      <c r="Z345" s="17"/>
    </row>
    <row r="346" spans="1:26" x14ac:dyDescent="0.3">
      <c r="S346" s="14"/>
      <c r="T346" s="14"/>
      <c r="U346" s="14"/>
      <c r="V346" s="12"/>
      <c r="W346" s="12"/>
      <c r="X346" s="12"/>
      <c r="Y346" s="16"/>
      <c r="Z346" s="17"/>
    </row>
    <row r="347" spans="1:26" x14ac:dyDescent="0.3">
      <c r="S347" s="14"/>
      <c r="T347" s="14"/>
      <c r="U347" s="14"/>
      <c r="V347" s="12"/>
      <c r="W347" s="12"/>
      <c r="X347" s="12"/>
      <c r="Y347" s="16"/>
      <c r="Z347" s="17"/>
    </row>
    <row r="348" spans="1:26" x14ac:dyDescent="0.3">
      <c r="S348" s="14"/>
      <c r="T348" s="14"/>
      <c r="U348" s="14"/>
      <c r="V348" s="12"/>
      <c r="W348" s="12"/>
      <c r="X348" s="12"/>
      <c r="Y348" s="16"/>
      <c r="Z348" s="17"/>
    </row>
    <row r="349" spans="1:26" x14ac:dyDescent="0.3">
      <c r="S349" s="14"/>
      <c r="T349" s="14"/>
      <c r="U349" s="14"/>
      <c r="V349" s="12"/>
      <c r="W349" s="12"/>
      <c r="X349" s="12"/>
      <c r="Y349" s="16"/>
      <c r="Z349" s="17"/>
    </row>
    <row r="350" spans="1:26" x14ac:dyDescent="0.3">
      <c r="S350" s="14"/>
      <c r="T350" s="14"/>
      <c r="U350" s="14"/>
      <c r="V350" s="12"/>
      <c r="W350" s="12"/>
      <c r="X350" s="12"/>
      <c r="Y350" s="16"/>
      <c r="Z350" s="17"/>
    </row>
    <row r="351" spans="1:26" x14ac:dyDescent="0.3">
      <c r="S351" s="14"/>
      <c r="T351" s="14"/>
      <c r="U351" s="14"/>
      <c r="V351" s="12"/>
      <c r="W351" s="12"/>
      <c r="X351" s="12"/>
      <c r="Y351" s="16"/>
      <c r="Z351" s="17"/>
    </row>
    <row r="352" spans="1:26" x14ac:dyDescent="0.3">
      <c r="S352" s="14"/>
      <c r="T352" s="14"/>
      <c r="U352" s="14"/>
      <c r="V352" s="12"/>
      <c r="W352" s="12"/>
      <c r="X352" s="12"/>
      <c r="Y352" s="16"/>
      <c r="Z352" s="17"/>
    </row>
    <row r="353" spans="1:26" x14ac:dyDescent="0.3">
      <c r="S353" s="14"/>
      <c r="T353" s="14"/>
      <c r="U353" s="14"/>
      <c r="V353" s="12"/>
      <c r="W353" s="12"/>
      <c r="X353" s="12"/>
      <c r="Y353" s="16"/>
      <c r="Z353" s="17"/>
    </row>
    <row r="354" spans="1:26" x14ac:dyDescent="0.3">
      <c r="S354" s="14"/>
      <c r="T354" s="14"/>
      <c r="U354" s="14"/>
      <c r="V354" s="12"/>
      <c r="W354" s="12"/>
      <c r="X354" s="12"/>
      <c r="Y354" s="16"/>
      <c r="Z354" s="17"/>
    </row>
    <row r="355" spans="1:26" x14ac:dyDescent="0.3">
      <c r="S355" s="14"/>
      <c r="T355" s="14"/>
      <c r="U355" s="14"/>
      <c r="V355" s="12"/>
      <c r="W355" s="12"/>
      <c r="X355" s="12"/>
      <c r="Y355" s="16"/>
      <c r="Z355" s="17"/>
    </row>
    <row r="356" spans="1:26" x14ac:dyDescent="0.3">
      <c r="S356" s="14"/>
      <c r="T356" s="14"/>
      <c r="U356" s="14"/>
      <c r="V356" s="12"/>
      <c r="W356" s="12"/>
      <c r="X356" s="12"/>
      <c r="Y356" s="16"/>
      <c r="Z356" s="17"/>
    </row>
    <row r="357" spans="1:26" x14ac:dyDescent="0.3">
      <c r="A357" s="14"/>
      <c r="B357" s="14"/>
      <c r="C357" s="14"/>
      <c r="D357" s="14"/>
      <c r="E357" s="14"/>
      <c r="F357" s="14"/>
      <c r="G357" s="14"/>
      <c r="H357" s="14"/>
      <c r="I357" s="14"/>
      <c r="J357" s="14"/>
      <c r="K357" s="14"/>
      <c r="L357" s="14"/>
      <c r="M357" s="14"/>
      <c r="N357" s="14"/>
      <c r="O357" s="14"/>
      <c r="P357" s="14"/>
      <c r="Q357" s="14"/>
      <c r="R357" s="15"/>
      <c r="S357" s="14"/>
      <c r="T357" s="14"/>
      <c r="U357" s="14"/>
      <c r="V357" s="12"/>
      <c r="W357" s="12"/>
      <c r="X357" s="12"/>
      <c r="Y357" s="16"/>
      <c r="Z357" s="17"/>
    </row>
    <row r="358" spans="1:26" x14ac:dyDescent="0.3">
      <c r="S358" s="14"/>
      <c r="T358" s="14"/>
      <c r="U358" s="14"/>
      <c r="V358" s="12"/>
      <c r="W358" s="12"/>
      <c r="X358" s="12"/>
      <c r="Y358" s="16"/>
      <c r="Z358" s="17"/>
    </row>
    <row r="359" spans="1:26" x14ac:dyDescent="0.3">
      <c r="S359" s="14"/>
      <c r="T359" s="14"/>
      <c r="U359" s="14"/>
      <c r="V359" s="12"/>
      <c r="W359" s="12"/>
      <c r="X359" s="12"/>
      <c r="Y359" s="16"/>
      <c r="Z359" s="17"/>
    </row>
    <row r="360" spans="1:26" x14ac:dyDescent="0.3">
      <c r="S360" s="14"/>
      <c r="T360" s="14"/>
      <c r="U360" s="14"/>
      <c r="V360" s="12"/>
      <c r="W360" s="12"/>
      <c r="X360" s="12"/>
      <c r="Y360" s="16"/>
      <c r="Z360" s="17"/>
    </row>
    <row r="361" spans="1:26" x14ac:dyDescent="0.3">
      <c r="S361" s="14"/>
      <c r="T361" s="14"/>
      <c r="U361" s="14"/>
      <c r="V361" s="12"/>
      <c r="W361" s="12"/>
      <c r="X361" s="12"/>
      <c r="Y361" s="16"/>
      <c r="Z361" s="17"/>
    </row>
    <row r="362" spans="1:26" x14ac:dyDescent="0.3">
      <c r="S362" s="14"/>
      <c r="T362" s="14"/>
      <c r="U362" s="14"/>
      <c r="V362" s="12"/>
      <c r="W362" s="12"/>
      <c r="X362" s="12"/>
      <c r="Y362" s="16"/>
      <c r="Z362" s="17"/>
    </row>
    <row r="363" spans="1:26" x14ac:dyDescent="0.3">
      <c r="S363" s="14"/>
      <c r="T363" s="14"/>
      <c r="U363" s="14"/>
      <c r="V363" s="12"/>
      <c r="W363" s="12"/>
      <c r="X363" s="12"/>
      <c r="Y363" s="16"/>
      <c r="Z363" s="17"/>
    </row>
    <row r="364" spans="1:26" x14ac:dyDescent="0.3">
      <c r="S364" s="14"/>
      <c r="T364" s="14"/>
      <c r="U364" s="14"/>
      <c r="V364" s="12"/>
      <c r="W364" s="12"/>
      <c r="X364" s="12"/>
      <c r="Y364" s="16"/>
      <c r="Z364" s="17"/>
    </row>
    <row r="365" spans="1:26" x14ac:dyDescent="0.3">
      <c r="S365" s="14"/>
      <c r="T365" s="14"/>
      <c r="U365" s="14"/>
      <c r="V365" s="12"/>
      <c r="W365" s="12"/>
      <c r="X365" s="12"/>
      <c r="Y365" s="16"/>
      <c r="Z365" s="17"/>
    </row>
    <row r="366" spans="1:26" x14ac:dyDescent="0.3">
      <c r="A366" s="14"/>
      <c r="B366" s="14"/>
      <c r="C366" s="14"/>
      <c r="D366" s="14"/>
      <c r="E366" s="14"/>
      <c r="F366" s="14"/>
      <c r="G366" s="14"/>
      <c r="H366" s="14"/>
      <c r="I366" s="14"/>
      <c r="J366" s="14"/>
      <c r="K366" s="14"/>
      <c r="L366" s="14"/>
      <c r="M366" s="14"/>
      <c r="N366" s="14"/>
      <c r="O366" s="14"/>
      <c r="P366" s="14"/>
      <c r="Q366" s="14"/>
      <c r="R366" s="15"/>
      <c r="S366" s="14"/>
      <c r="T366" s="14"/>
      <c r="U366" s="14"/>
      <c r="V366" s="12"/>
      <c r="W366" s="12"/>
      <c r="X366" s="12"/>
      <c r="Y366" s="16"/>
      <c r="Z366" s="17"/>
    </row>
    <row r="367" spans="1:26" x14ac:dyDescent="0.3">
      <c r="S367" s="14"/>
      <c r="T367" s="14"/>
      <c r="U367" s="14"/>
      <c r="V367" s="12"/>
      <c r="W367" s="12"/>
      <c r="X367" s="12"/>
      <c r="Y367" s="16"/>
      <c r="Z367" s="17"/>
    </row>
    <row r="368" spans="1:26" x14ac:dyDescent="0.3">
      <c r="S368" s="14"/>
      <c r="T368" s="14"/>
      <c r="U368" s="14"/>
      <c r="V368" s="12"/>
      <c r="W368" s="12"/>
      <c r="X368" s="12"/>
      <c r="Y368" s="16"/>
      <c r="Z368" s="17"/>
    </row>
    <row r="369" spans="1:26" x14ac:dyDescent="0.3">
      <c r="S369" s="14"/>
      <c r="T369" s="14"/>
      <c r="U369" s="14"/>
      <c r="V369" s="12"/>
      <c r="W369" s="12"/>
      <c r="X369" s="12"/>
      <c r="Y369" s="16"/>
      <c r="Z369" s="17"/>
    </row>
    <row r="370" spans="1:26" x14ac:dyDescent="0.3">
      <c r="S370" s="14"/>
      <c r="T370" s="14"/>
      <c r="U370" s="14"/>
      <c r="V370" s="12"/>
      <c r="W370" s="12"/>
      <c r="X370" s="12"/>
      <c r="Y370" s="16"/>
      <c r="Z370" s="17"/>
    </row>
    <row r="371" spans="1:26" x14ac:dyDescent="0.3">
      <c r="S371" s="14"/>
      <c r="T371" s="14"/>
      <c r="U371" s="14"/>
      <c r="V371" s="12"/>
      <c r="W371" s="12"/>
      <c r="X371" s="12"/>
      <c r="Y371" s="16"/>
      <c r="Z371" s="17"/>
    </row>
    <row r="372" spans="1:26" x14ac:dyDescent="0.3">
      <c r="S372" s="14"/>
      <c r="T372" s="14"/>
      <c r="U372" s="14"/>
      <c r="V372" s="12"/>
      <c r="W372" s="12"/>
      <c r="X372" s="12"/>
      <c r="Y372" s="16"/>
      <c r="Z372" s="17"/>
    </row>
    <row r="373" spans="1:26" x14ac:dyDescent="0.3">
      <c r="S373" s="14"/>
      <c r="T373" s="14"/>
      <c r="U373" s="14"/>
      <c r="V373" s="12"/>
      <c r="W373" s="12"/>
      <c r="X373" s="12"/>
      <c r="Y373" s="16"/>
      <c r="Z373" s="17"/>
    </row>
    <row r="374" spans="1:26" x14ac:dyDescent="0.3">
      <c r="S374" s="14"/>
      <c r="T374" s="14"/>
      <c r="U374" s="14"/>
      <c r="V374" s="12"/>
      <c r="W374" s="12"/>
      <c r="X374" s="12"/>
      <c r="Y374" s="16"/>
      <c r="Z374" s="17"/>
    </row>
    <row r="375" spans="1:26" x14ac:dyDescent="0.3">
      <c r="S375" s="14"/>
      <c r="T375" s="14"/>
      <c r="U375" s="14"/>
      <c r="V375" s="12"/>
      <c r="W375" s="12"/>
      <c r="X375" s="12"/>
      <c r="Y375" s="16"/>
      <c r="Z375" s="17"/>
    </row>
    <row r="376" spans="1:26" x14ac:dyDescent="0.3">
      <c r="S376" s="14"/>
      <c r="T376" s="14"/>
      <c r="U376" s="14"/>
      <c r="V376" s="12"/>
      <c r="W376" s="12"/>
      <c r="X376" s="12"/>
      <c r="Y376" s="16"/>
      <c r="Z376" s="17"/>
    </row>
    <row r="377" spans="1:26" x14ac:dyDescent="0.3">
      <c r="S377" s="14"/>
      <c r="T377" s="14"/>
      <c r="U377" s="14"/>
      <c r="V377" s="12"/>
      <c r="W377" s="12"/>
      <c r="X377" s="12"/>
      <c r="Y377" s="16"/>
      <c r="Z377" s="17"/>
    </row>
    <row r="378" spans="1:26" x14ac:dyDescent="0.3">
      <c r="S378" s="14"/>
      <c r="T378" s="14"/>
      <c r="U378" s="14"/>
      <c r="V378" s="12"/>
      <c r="W378" s="12"/>
      <c r="X378" s="12"/>
      <c r="Y378" s="16"/>
      <c r="Z378" s="17"/>
    </row>
    <row r="379" spans="1:26" x14ac:dyDescent="0.3">
      <c r="S379" s="14"/>
      <c r="T379" s="14"/>
      <c r="U379" s="14"/>
      <c r="V379" s="12"/>
      <c r="W379" s="12"/>
      <c r="X379" s="12"/>
      <c r="Y379" s="16"/>
      <c r="Z379" s="17"/>
    </row>
    <row r="380" spans="1:26" x14ac:dyDescent="0.3">
      <c r="S380" s="14"/>
      <c r="T380" s="14"/>
      <c r="U380" s="14"/>
      <c r="V380" s="12"/>
      <c r="W380" s="12"/>
      <c r="X380" s="12"/>
      <c r="Y380" s="16"/>
      <c r="Z380" s="17"/>
    </row>
    <row r="381" spans="1:26" x14ac:dyDescent="0.3">
      <c r="S381" s="14"/>
      <c r="T381" s="14"/>
      <c r="U381" s="14"/>
      <c r="V381" s="12"/>
      <c r="W381" s="12"/>
      <c r="X381" s="12"/>
      <c r="Y381" s="16"/>
      <c r="Z381" s="17"/>
    </row>
    <row r="382" spans="1:26" x14ac:dyDescent="0.3">
      <c r="S382" s="14"/>
      <c r="T382" s="14"/>
      <c r="U382" s="14"/>
      <c r="V382" s="12"/>
      <c r="W382" s="12"/>
      <c r="X382" s="12"/>
      <c r="Y382" s="16"/>
      <c r="Z382" s="17"/>
    </row>
    <row r="383" spans="1:26" x14ac:dyDescent="0.3">
      <c r="S383" s="14"/>
      <c r="T383" s="14"/>
      <c r="U383" s="14"/>
      <c r="V383" s="12"/>
      <c r="W383" s="12"/>
      <c r="X383" s="12"/>
      <c r="Y383" s="16"/>
      <c r="Z383" s="17"/>
    </row>
    <row r="384" spans="1:26" x14ac:dyDescent="0.3">
      <c r="A384" s="14"/>
      <c r="B384" s="14"/>
      <c r="C384" s="14"/>
      <c r="D384" s="14"/>
      <c r="E384" s="14"/>
      <c r="F384" s="14"/>
      <c r="G384" s="14"/>
      <c r="H384" s="14"/>
      <c r="I384" s="14"/>
      <c r="J384" s="14"/>
      <c r="K384" s="14"/>
      <c r="L384" s="14"/>
      <c r="M384" s="14"/>
      <c r="N384" s="14"/>
      <c r="O384" s="14"/>
      <c r="P384" s="14"/>
      <c r="Q384" s="14"/>
      <c r="R384" s="15"/>
      <c r="S384" s="14"/>
      <c r="T384" s="14"/>
      <c r="U384" s="14"/>
      <c r="V384" s="12"/>
      <c r="W384" s="12"/>
      <c r="X384" s="12"/>
      <c r="Y384" s="16"/>
      <c r="Z384" s="17"/>
    </row>
    <row r="385" spans="19:26" x14ac:dyDescent="0.3">
      <c r="S385" s="14"/>
      <c r="T385" s="14"/>
      <c r="U385" s="14"/>
      <c r="V385" s="12"/>
      <c r="W385" s="12"/>
      <c r="X385" s="12"/>
      <c r="Y385" s="16"/>
      <c r="Z385" s="17"/>
    </row>
    <row r="386" spans="19:26" x14ac:dyDescent="0.3">
      <c r="S386" s="14"/>
      <c r="T386" s="14"/>
      <c r="U386" s="14"/>
      <c r="V386" s="12"/>
      <c r="W386" s="12"/>
      <c r="X386" s="12"/>
      <c r="Y386" s="16"/>
      <c r="Z386" s="17"/>
    </row>
    <row r="387" spans="19:26" x14ac:dyDescent="0.3">
      <c r="S387" s="14"/>
      <c r="T387" s="14"/>
      <c r="U387" s="14"/>
      <c r="V387" s="12"/>
      <c r="W387" s="12"/>
      <c r="X387" s="12"/>
      <c r="Y387" s="16"/>
      <c r="Z387" s="17"/>
    </row>
    <row r="388" spans="19:26" x14ac:dyDescent="0.3">
      <c r="S388" s="14"/>
      <c r="T388" s="14"/>
      <c r="U388" s="14"/>
      <c r="V388" s="12"/>
      <c r="W388" s="12"/>
      <c r="X388" s="12"/>
      <c r="Y388" s="16"/>
      <c r="Z388" s="17"/>
    </row>
    <row r="389" spans="19:26" x14ac:dyDescent="0.3">
      <c r="S389" s="14"/>
      <c r="T389" s="14"/>
      <c r="U389" s="14"/>
      <c r="V389" s="12"/>
      <c r="W389" s="12"/>
      <c r="X389" s="12"/>
      <c r="Y389" s="16"/>
      <c r="Z389" s="17"/>
    </row>
    <row r="390" spans="19:26" x14ac:dyDescent="0.3">
      <c r="S390" s="14"/>
      <c r="T390" s="14"/>
      <c r="U390" s="14"/>
      <c r="V390" s="12"/>
      <c r="W390" s="12"/>
      <c r="X390" s="12"/>
      <c r="Y390" s="16"/>
      <c r="Z390" s="17"/>
    </row>
    <row r="391" spans="19:26" x14ac:dyDescent="0.3">
      <c r="S391" s="14"/>
      <c r="T391" s="14"/>
      <c r="U391" s="14"/>
      <c r="V391" s="12"/>
      <c r="W391" s="12"/>
      <c r="X391" s="12"/>
      <c r="Y391" s="16"/>
      <c r="Z391" s="17"/>
    </row>
    <row r="392" spans="19:26" x14ac:dyDescent="0.3">
      <c r="S392" s="14"/>
      <c r="T392" s="14"/>
      <c r="U392" s="14"/>
      <c r="V392" s="12"/>
      <c r="W392" s="12"/>
      <c r="X392" s="12"/>
      <c r="Y392" s="16"/>
      <c r="Z392" s="17"/>
    </row>
    <row r="393" spans="19:26" x14ac:dyDescent="0.3">
      <c r="S393" s="14"/>
      <c r="T393" s="14"/>
      <c r="U393" s="14"/>
      <c r="V393" s="12"/>
      <c r="W393" s="12"/>
      <c r="X393" s="12"/>
      <c r="Y393" s="16"/>
      <c r="Z393" s="17"/>
    </row>
    <row r="394" spans="19:26" x14ac:dyDescent="0.3">
      <c r="S394" s="14"/>
      <c r="T394" s="14"/>
      <c r="U394" s="14"/>
      <c r="V394" s="12"/>
      <c r="W394" s="12"/>
      <c r="X394" s="12"/>
      <c r="Y394" s="16"/>
      <c r="Z394" s="17"/>
    </row>
    <row r="395" spans="19:26" x14ac:dyDescent="0.3">
      <c r="S395" s="14"/>
      <c r="T395" s="14"/>
      <c r="U395" s="14"/>
      <c r="V395" s="12"/>
      <c r="W395" s="12"/>
      <c r="X395" s="12"/>
      <c r="Y395" s="16"/>
      <c r="Z395" s="17"/>
    </row>
    <row r="396" spans="19:26" x14ac:dyDescent="0.3">
      <c r="S396" s="14"/>
      <c r="T396" s="14"/>
      <c r="U396" s="14"/>
      <c r="V396" s="12"/>
      <c r="W396" s="12"/>
      <c r="X396" s="12"/>
      <c r="Y396" s="16"/>
      <c r="Z396" s="17"/>
    </row>
    <row r="397" spans="19:26" x14ac:dyDescent="0.3">
      <c r="S397" s="14"/>
      <c r="T397" s="14"/>
      <c r="U397" s="14"/>
      <c r="V397" s="12"/>
      <c r="W397" s="12"/>
      <c r="X397" s="12"/>
      <c r="Y397" s="16"/>
      <c r="Z397" s="17"/>
    </row>
    <row r="398" spans="19:26" x14ac:dyDescent="0.3">
      <c r="S398" s="14"/>
      <c r="T398" s="14"/>
      <c r="U398" s="14"/>
      <c r="V398" s="12"/>
      <c r="W398" s="12"/>
      <c r="X398" s="12"/>
      <c r="Y398" s="16"/>
      <c r="Z398" s="17"/>
    </row>
    <row r="399" spans="19:26" x14ac:dyDescent="0.3">
      <c r="S399" s="14"/>
      <c r="T399" s="14"/>
      <c r="U399" s="14"/>
      <c r="V399" s="12"/>
      <c r="W399" s="12"/>
      <c r="X399" s="12"/>
      <c r="Y399" s="16"/>
      <c r="Z399" s="17"/>
    </row>
    <row r="400" spans="19:26" x14ac:dyDescent="0.3">
      <c r="S400" s="14"/>
      <c r="T400" s="14"/>
      <c r="U400" s="14"/>
      <c r="V400" s="12"/>
      <c r="W400" s="12"/>
      <c r="X400" s="12"/>
      <c r="Y400" s="16"/>
      <c r="Z400" s="17"/>
    </row>
    <row r="401" spans="1:26" x14ac:dyDescent="0.3">
      <c r="S401" s="14"/>
      <c r="T401" s="14"/>
      <c r="U401" s="14"/>
      <c r="V401" s="12"/>
      <c r="W401" s="12"/>
      <c r="X401" s="12"/>
      <c r="Y401" s="16"/>
      <c r="Z401" s="17"/>
    </row>
    <row r="402" spans="1:26" x14ac:dyDescent="0.3">
      <c r="S402" s="14"/>
      <c r="T402" s="14"/>
      <c r="U402" s="14"/>
      <c r="V402" s="12"/>
      <c r="W402" s="12"/>
      <c r="X402" s="12"/>
      <c r="Y402" s="16"/>
      <c r="Z402" s="17"/>
    </row>
    <row r="403" spans="1:26" x14ac:dyDescent="0.3">
      <c r="S403" s="14"/>
      <c r="T403" s="14"/>
      <c r="U403" s="14"/>
      <c r="V403" s="12"/>
      <c r="W403" s="12"/>
      <c r="X403" s="12"/>
      <c r="Y403" s="16"/>
      <c r="Z403" s="17"/>
    </row>
    <row r="404" spans="1:26" x14ac:dyDescent="0.3">
      <c r="S404" s="14"/>
      <c r="T404" s="14"/>
      <c r="U404" s="14"/>
      <c r="V404" s="12"/>
      <c r="W404" s="12"/>
      <c r="X404" s="12"/>
      <c r="Y404" s="16"/>
      <c r="Z404" s="17"/>
    </row>
    <row r="405" spans="1:26" x14ac:dyDescent="0.3">
      <c r="S405" s="14"/>
      <c r="T405" s="14"/>
      <c r="U405" s="14"/>
      <c r="V405" s="12"/>
      <c r="W405" s="12"/>
      <c r="X405" s="12"/>
      <c r="Y405" s="16"/>
      <c r="Z405" s="17"/>
    </row>
    <row r="406" spans="1:26" x14ac:dyDescent="0.3">
      <c r="S406" s="14"/>
      <c r="T406" s="14"/>
      <c r="U406" s="14"/>
      <c r="V406" s="12"/>
      <c r="W406" s="12"/>
      <c r="X406" s="12"/>
      <c r="Y406" s="16"/>
      <c r="Z406" s="17"/>
    </row>
    <row r="407" spans="1:26" x14ac:dyDescent="0.3">
      <c r="S407" s="14"/>
      <c r="T407" s="14"/>
      <c r="U407" s="14"/>
      <c r="V407" s="12"/>
      <c r="W407" s="12"/>
      <c r="X407" s="12"/>
      <c r="Y407" s="16"/>
      <c r="Z407" s="17"/>
    </row>
    <row r="408" spans="1:26" x14ac:dyDescent="0.3">
      <c r="S408" s="14"/>
      <c r="T408" s="14"/>
      <c r="U408" s="14"/>
      <c r="V408" s="12"/>
      <c r="W408" s="12"/>
      <c r="X408" s="12"/>
      <c r="Y408" s="16"/>
      <c r="Z408" s="17"/>
    </row>
    <row r="409" spans="1:26" x14ac:dyDescent="0.3">
      <c r="S409" s="14"/>
      <c r="T409" s="14"/>
      <c r="U409" s="14"/>
      <c r="V409" s="12"/>
      <c r="W409" s="12"/>
      <c r="X409" s="12"/>
      <c r="Y409" s="16"/>
      <c r="Z409" s="17"/>
    </row>
    <row r="410" spans="1:26" x14ac:dyDescent="0.3">
      <c r="S410" s="14"/>
      <c r="T410" s="14"/>
      <c r="U410" s="14"/>
      <c r="V410" s="12"/>
      <c r="W410" s="12"/>
      <c r="X410" s="12"/>
      <c r="Y410" s="16"/>
      <c r="Z410" s="17"/>
    </row>
    <row r="411" spans="1:26" x14ac:dyDescent="0.3">
      <c r="A411" s="14"/>
      <c r="B411" s="14"/>
      <c r="C411" s="14"/>
      <c r="D411" s="14"/>
      <c r="E411" s="14"/>
      <c r="F411" s="14"/>
      <c r="G411" s="14"/>
      <c r="H411" s="14"/>
      <c r="I411" s="14"/>
      <c r="J411" s="14"/>
      <c r="K411" s="14"/>
      <c r="L411" s="14"/>
      <c r="M411" s="14"/>
      <c r="N411" s="14"/>
      <c r="O411" s="14"/>
      <c r="P411" s="14"/>
      <c r="Q411" s="14"/>
      <c r="R411" s="15"/>
      <c r="S411" s="14"/>
      <c r="T411" s="14"/>
      <c r="U411" s="14"/>
      <c r="V411" s="12"/>
      <c r="W411" s="12"/>
      <c r="X411" s="12"/>
      <c r="Y411" s="16"/>
      <c r="Z411" s="17"/>
    </row>
    <row r="412" spans="1:26" x14ac:dyDescent="0.3">
      <c r="S412" s="14"/>
      <c r="T412" s="14"/>
      <c r="U412" s="14"/>
      <c r="V412" s="12"/>
      <c r="W412" s="12"/>
      <c r="X412" s="12"/>
      <c r="Y412" s="16"/>
      <c r="Z412" s="17"/>
    </row>
    <row r="413" spans="1:26" x14ac:dyDescent="0.3">
      <c r="S413" s="14"/>
      <c r="T413" s="14"/>
      <c r="U413" s="14"/>
      <c r="V413" s="12"/>
      <c r="W413" s="12"/>
      <c r="X413" s="12"/>
      <c r="Y413" s="16"/>
      <c r="Z413" s="17"/>
    </row>
    <row r="414" spans="1:26" x14ac:dyDescent="0.3">
      <c r="S414" s="14"/>
      <c r="T414" s="14"/>
      <c r="U414" s="14"/>
      <c r="V414" s="12"/>
      <c r="W414" s="12"/>
      <c r="X414" s="12"/>
      <c r="Y414" s="16"/>
      <c r="Z414" s="17"/>
    </row>
    <row r="415" spans="1:26" x14ac:dyDescent="0.3">
      <c r="S415" s="14"/>
      <c r="T415" s="14"/>
      <c r="U415" s="14"/>
      <c r="V415" s="12"/>
      <c r="W415" s="12"/>
      <c r="X415" s="12"/>
      <c r="Y415" s="16"/>
      <c r="Z415" s="17"/>
    </row>
    <row r="416" spans="1:26" x14ac:dyDescent="0.3">
      <c r="S416" s="14"/>
      <c r="T416" s="14"/>
      <c r="U416" s="14"/>
      <c r="V416" s="12"/>
      <c r="W416" s="12"/>
      <c r="X416" s="12"/>
      <c r="Y416" s="16"/>
      <c r="Z416" s="17"/>
    </row>
    <row r="417" spans="19:26" x14ac:dyDescent="0.3">
      <c r="S417" s="14"/>
      <c r="T417" s="14"/>
      <c r="U417" s="14"/>
      <c r="V417" s="12"/>
      <c r="W417" s="12"/>
      <c r="X417" s="12"/>
      <c r="Y417" s="16"/>
      <c r="Z417" s="17"/>
    </row>
    <row r="418" spans="19:26" x14ac:dyDescent="0.3">
      <c r="S418" s="14"/>
      <c r="T418" s="14"/>
      <c r="U418" s="14"/>
      <c r="V418" s="12"/>
      <c r="W418" s="12"/>
      <c r="X418" s="12"/>
      <c r="Y418" s="16"/>
      <c r="Z418" s="17"/>
    </row>
    <row r="419" spans="19:26" x14ac:dyDescent="0.3">
      <c r="S419" s="14"/>
      <c r="T419" s="14"/>
      <c r="U419" s="14"/>
      <c r="V419" s="12"/>
      <c r="W419" s="12"/>
      <c r="X419" s="12"/>
      <c r="Y419" s="16"/>
      <c r="Z419" s="17"/>
    </row>
    <row r="420" spans="19:26" x14ac:dyDescent="0.3">
      <c r="S420" s="14"/>
      <c r="T420" s="14"/>
      <c r="U420" s="14"/>
      <c r="V420" s="12"/>
      <c r="W420" s="12"/>
      <c r="X420" s="12"/>
      <c r="Y420" s="16"/>
      <c r="Z420" s="17"/>
    </row>
    <row r="421" spans="19:26" x14ac:dyDescent="0.3">
      <c r="S421" s="14"/>
      <c r="T421" s="14"/>
      <c r="U421" s="14"/>
      <c r="V421" s="12"/>
      <c r="W421" s="12"/>
      <c r="X421" s="12"/>
      <c r="Y421" s="16"/>
      <c r="Z421" s="17"/>
    </row>
    <row r="422" spans="19:26" x14ac:dyDescent="0.3">
      <c r="S422" s="14"/>
      <c r="T422" s="14"/>
      <c r="U422" s="14"/>
      <c r="V422" s="12"/>
      <c r="W422" s="12"/>
      <c r="X422" s="12"/>
      <c r="Y422" s="16"/>
      <c r="Z422" s="17"/>
    </row>
    <row r="423" spans="19:26" x14ac:dyDescent="0.3">
      <c r="S423" s="14"/>
      <c r="T423" s="14"/>
      <c r="U423" s="14"/>
      <c r="V423" s="12"/>
      <c r="W423" s="12"/>
      <c r="X423" s="12"/>
      <c r="Y423" s="16"/>
      <c r="Z423" s="17"/>
    </row>
    <row r="424" spans="19:26" x14ac:dyDescent="0.3">
      <c r="S424" s="14"/>
      <c r="T424" s="14"/>
      <c r="U424" s="14"/>
      <c r="V424" s="12"/>
      <c r="W424" s="12"/>
      <c r="X424" s="12"/>
      <c r="Y424" s="16"/>
      <c r="Z424" s="17"/>
    </row>
    <row r="425" spans="19:26" x14ac:dyDescent="0.3">
      <c r="S425" s="14"/>
      <c r="T425" s="14"/>
      <c r="U425" s="14"/>
      <c r="V425" s="12"/>
      <c r="W425" s="12"/>
      <c r="X425" s="12"/>
      <c r="Y425" s="16"/>
      <c r="Z425" s="17"/>
    </row>
    <row r="426" spans="19:26" x14ac:dyDescent="0.3">
      <c r="S426" s="14"/>
      <c r="T426" s="14"/>
      <c r="U426" s="14"/>
      <c r="V426" s="12"/>
      <c r="W426" s="12"/>
      <c r="X426" s="12"/>
      <c r="Y426" s="16"/>
      <c r="Z426" s="17"/>
    </row>
    <row r="427" spans="19:26" x14ac:dyDescent="0.3">
      <c r="S427" s="14"/>
      <c r="T427" s="14"/>
      <c r="U427" s="14"/>
      <c r="V427" s="12"/>
      <c r="W427" s="12"/>
      <c r="X427" s="12"/>
      <c r="Y427" s="16"/>
      <c r="Z427" s="17"/>
    </row>
    <row r="428" spans="19:26" x14ac:dyDescent="0.3">
      <c r="S428" s="14"/>
      <c r="T428" s="14"/>
      <c r="U428" s="14"/>
      <c r="V428" s="12"/>
      <c r="W428" s="12"/>
      <c r="X428" s="12"/>
      <c r="Y428" s="16"/>
      <c r="Z428" s="17"/>
    </row>
    <row r="429" spans="19:26" x14ac:dyDescent="0.3">
      <c r="S429" s="14"/>
      <c r="T429" s="14"/>
      <c r="U429" s="14"/>
      <c r="V429" s="12"/>
      <c r="W429" s="12"/>
      <c r="X429" s="12"/>
      <c r="Y429" s="16"/>
      <c r="Z429" s="17"/>
    </row>
    <row r="430" spans="19:26" x14ac:dyDescent="0.3">
      <c r="S430" s="14"/>
      <c r="T430" s="14"/>
      <c r="U430" s="14"/>
      <c r="V430" s="12"/>
      <c r="W430" s="12"/>
      <c r="X430" s="12"/>
      <c r="Y430" s="16"/>
      <c r="Z430" s="17"/>
    </row>
    <row r="431" spans="19:26" x14ac:dyDescent="0.3">
      <c r="S431" s="14"/>
      <c r="T431" s="14"/>
      <c r="U431" s="14"/>
      <c r="V431" s="12"/>
      <c r="W431" s="12"/>
      <c r="X431" s="12"/>
      <c r="Y431" s="16"/>
      <c r="Z431" s="17"/>
    </row>
    <row r="432" spans="19:26" x14ac:dyDescent="0.3">
      <c r="S432" s="14"/>
      <c r="T432" s="14"/>
      <c r="U432" s="14"/>
      <c r="V432" s="12"/>
      <c r="W432" s="12"/>
      <c r="X432" s="12"/>
      <c r="Y432" s="16"/>
      <c r="Z432" s="17"/>
    </row>
    <row r="433" spans="19:26" x14ac:dyDescent="0.3">
      <c r="S433" s="14"/>
      <c r="T433" s="14"/>
      <c r="U433" s="14"/>
      <c r="V433" s="12"/>
      <c r="W433" s="12"/>
      <c r="X433" s="12"/>
      <c r="Y433" s="16"/>
      <c r="Z433" s="17"/>
    </row>
    <row r="434" spans="19:26" x14ac:dyDescent="0.3">
      <c r="S434" s="14"/>
      <c r="T434" s="14"/>
      <c r="U434" s="14"/>
      <c r="V434" s="12"/>
      <c r="W434" s="12"/>
      <c r="X434" s="12"/>
      <c r="Y434" s="16"/>
      <c r="Z434" s="17"/>
    </row>
    <row r="435" spans="19:26" x14ac:dyDescent="0.3">
      <c r="S435" s="14"/>
      <c r="T435" s="14"/>
      <c r="U435" s="14"/>
      <c r="V435" s="12"/>
      <c r="W435" s="12"/>
      <c r="X435" s="12"/>
      <c r="Y435" s="16"/>
      <c r="Z435" s="17"/>
    </row>
    <row r="436" spans="19:26" x14ac:dyDescent="0.3">
      <c r="S436" s="14"/>
      <c r="T436" s="14"/>
      <c r="U436" s="14"/>
      <c r="V436" s="12"/>
      <c r="W436" s="12"/>
      <c r="X436" s="12"/>
      <c r="Y436" s="16"/>
      <c r="Z436" s="17"/>
    </row>
    <row r="437" spans="19:26" x14ac:dyDescent="0.3">
      <c r="S437" s="14"/>
      <c r="T437" s="14"/>
      <c r="U437" s="14"/>
      <c r="V437" s="12"/>
      <c r="W437" s="12"/>
      <c r="X437" s="12"/>
      <c r="Y437" s="16"/>
      <c r="Z437" s="17"/>
    </row>
    <row r="438" spans="19:26" x14ac:dyDescent="0.3">
      <c r="S438" s="14"/>
      <c r="T438" s="14"/>
      <c r="U438" s="14"/>
      <c r="V438" s="12"/>
      <c r="W438" s="12"/>
      <c r="X438" s="12"/>
      <c r="Y438" s="16"/>
      <c r="Z438" s="17"/>
    </row>
    <row r="439" spans="19:26" x14ac:dyDescent="0.3">
      <c r="S439" s="14"/>
      <c r="T439" s="14"/>
      <c r="U439" s="14"/>
      <c r="V439" s="12"/>
      <c r="W439" s="12"/>
      <c r="X439" s="12"/>
      <c r="Y439" s="16"/>
      <c r="Z439" s="17"/>
    </row>
    <row r="440" spans="19:26" x14ac:dyDescent="0.3">
      <c r="S440" s="14"/>
      <c r="T440" s="14"/>
      <c r="U440" s="14"/>
      <c r="V440" s="12"/>
      <c r="W440" s="12"/>
      <c r="X440" s="12"/>
      <c r="Y440" s="16"/>
      <c r="Z440" s="17"/>
    </row>
    <row r="441" spans="19:26" x14ac:dyDescent="0.3">
      <c r="S441" s="14"/>
      <c r="T441" s="14"/>
      <c r="U441" s="14"/>
      <c r="V441" s="12"/>
      <c r="W441" s="12"/>
      <c r="X441" s="12"/>
      <c r="Y441" s="16"/>
      <c r="Z441" s="17"/>
    </row>
    <row r="442" spans="19:26" x14ac:dyDescent="0.3">
      <c r="S442" s="14"/>
      <c r="T442" s="14"/>
      <c r="U442" s="14"/>
      <c r="V442" s="12"/>
      <c r="W442" s="12"/>
      <c r="X442" s="12"/>
      <c r="Y442" s="16"/>
      <c r="Z442" s="17"/>
    </row>
    <row r="443" spans="19:26" x14ac:dyDescent="0.3">
      <c r="S443" s="14"/>
      <c r="T443" s="14"/>
      <c r="U443" s="14"/>
      <c r="V443" s="12"/>
      <c r="W443" s="12"/>
      <c r="X443" s="12"/>
      <c r="Y443" s="16"/>
      <c r="Z443" s="17"/>
    </row>
    <row r="444" spans="19:26" x14ac:dyDescent="0.3">
      <c r="S444" s="14"/>
      <c r="T444" s="14"/>
      <c r="U444" s="14"/>
      <c r="V444" s="12"/>
      <c r="W444" s="12"/>
      <c r="X444" s="12"/>
      <c r="Y444" s="16"/>
      <c r="Z444" s="17"/>
    </row>
    <row r="445" spans="19:26" x14ac:dyDescent="0.3">
      <c r="S445" s="14"/>
      <c r="T445" s="14"/>
      <c r="U445" s="14"/>
      <c r="V445" s="12"/>
      <c r="W445" s="12"/>
      <c r="X445" s="12"/>
      <c r="Y445" s="16"/>
      <c r="Z445" s="17"/>
    </row>
    <row r="446" spans="19:26" x14ac:dyDescent="0.3">
      <c r="S446" s="14"/>
      <c r="T446" s="14"/>
      <c r="U446" s="14"/>
      <c r="V446" s="12"/>
      <c r="W446" s="12"/>
      <c r="X446" s="12"/>
      <c r="Y446" s="16"/>
      <c r="Z446" s="17"/>
    </row>
    <row r="447" spans="19:26" x14ac:dyDescent="0.3">
      <c r="S447" s="14"/>
      <c r="T447" s="14"/>
      <c r="U447" s="14"/>
      <c r="V447" s="12"/>
      <c r="W447" s="12"/>
      <c r="X447" s="12"/>
      <c r="Y447" s="16"/>
      <c r="Z447" s="17"/>
    </row>
    <row r="448" spans="19:26" x14ac:dyDescent="0.3">
      <c r="S448" s="14"/>
      <c r="T448" s="14"/>
      <c r="U448" s="14"/>
      <c r="V448" s="12"/>
      <c r="W448" s="12"/>
      <c r="X448" s="12"/>
      <c r="Y448" s="16"/>
      <c r="Z448" s="17"/>
    </row>
    <row r="449" spans="19:26" x14ac:dyDescent="0.3">
      <c r="S449" s="14"/>
      <c r="T449" s="14"/>
      <c r="U449" s="14"/>
      <c r="V449" s="12"/>
      <c r="W449" s="12"/>
      <c r="X449" s="12"/>
      <c r="Y449" s="16"/>
      <c r="Z449" s="17"/>
    </row>
    <row r="450" spans="19:26" x14ac:dyDescent="0.3">
      <c r="S450" s="14"/>
      <c r="T450" s="14"/>
      <c r="U450" s="14"/>
      <c r="V450" s="12"/>
      <c r="W450" s="12"/>
      <c r="X450" s="12"/>
      <c r="Y450" s="16"/>
      <c r="Z450" s="17"/>
    </row>
    <row r="451" spans="19:26" x14ac:dyDescent="0.3">
      <c r="S451" s="14"/>
      <c r="T451" s="14"/>
      <c r="U451" s="14"/>
      <c r="V451" s="12"/>
      <c r="W451" s="12"/>
      <c r="X451" s="12"/>
      <c r="Y451" s="16"/>
      <c r="Z451" s="17"/>
    </row>
    <row r="452" spans="19:26" x14ac:dyDescent="0.3">
      <c r="S452" s="14"/>
      <c r="T452" s="14"/>
      <c r="U452" s="14"/>
      <c r="V452" s="12"/>
      <c r="W452" s="12"/>
      <c r="X452" s="12"/>
      <c r="Y452" s="16"/>
      <c r="Z452" s="17"/>
    </row>
    <row r="453" spans="19:26" x14ac:dyDescent="0.3">
      <c r="S453" s="14"/>
      <c r="T453" s="14"/>
      <c r="U453" s="14"/>
      <c r="V453" s="12"/>
      <c r="W453" s="12"/>
      <c r="X453" s="12"/>
      <c r="Y453" s="16"/>
      <c r="Z453" s="17"/>
    </row>
    <row r="454" spans="19:26" x14ac:dyDescent="0.3">
      <c r="S454" s="14"/>
      <c r="T454" s="14"/>
      <c r="U454" s="14"/>
      <c r="V454" s="12"/>
      <c r="W454" s="12"/>
      <c r="X454" s="12"/>
      <c r="Y454" s="16"/>
      <c r="Z454" s="17"/>
    </row>
    <row r="455" spans="19:26" x14ac:dyDescent="0.3">
      <c r="S455" s="14"/>
      <c r="T455" s="14"/>
      <c r="U455" s="14"/>
      <c r="V455" s="12"/>
      <c r="W455" s="12"/>
      <c r="X455" s="12"/>
      <c r="Y455" s="16"/>
      <c r="Z455" s="17"/>
    </row>
    <row r="456" spans="19:26" x14ac:dyDescent="0.3">
      <c r="S456" s="14"/>
      <c r="T456" s="14"/>
      <c r="U456" s="14"/>
      <c r="V456" s="12"/>
      <c r="W456" s="12"/>
      <c r="X456" s="12"/>
      <c r="Y456" s="16"/>
      <c r="Z456" s="17"/>
    </row>
    <row r="457" spans="19:26" x14ac:dyDescent="0.3">
      <c r="S457" s="14"/>
      <c r="T457" s="14"/>
      <c r="U457" s="14"/>
      <c r="V457" s="12"/>
      <c r="W457" s="12"/>
      <c r="X457" s="12"/>
      <c r="Y457" s="16"/>
      <c r="Z457" s="17"/>
    </row>
    <row r="458" spans="19:26" x14ac:dyDescent="0.3">
      <c r="S458" s="14"/>
      <c r="T458" s="14"/>
      <c r="U458" s="14"/>
      <c r="V458" s="12"/>
      <c r="W458" s="12"/>
      <c r="X458" s="12"/>
      <c r="Y458" s="16"/>
      <c r="Z458" s="17"/>
    </row>
    <row r="459" spans="19:26" x14ac:dyDescent="0.3">
      <c r="S459" s="14"/>
      <c r="T459" s="14"/>
      <c r="U459" s="14"/>
      <c r="V459" s="12"/>
      <c r="W459" s="12"/>
      <c r="X459" s="12"/>
      <c r="Y459" s="16"/>
      <c r="Z459" s="17"/>
    </row>
    <row r="460" spans="19:26" x14ac:dyDescent="0.3">
      <c r="S460" s="14"/>
      <c r="T460" s="14"/>
      <c r="U460" s="14"/>
      <c r="V460" s="12"/>
      <c r="W460" s="12"/>
      <c r="X460" s="12"/>
      <c r="Y460" s="16"/>
      <c r="Z460" s="17"/>
    </row>
    <row r="461" spans="19:26" x14ac:dyDescent="0.3">
      <c r="S461" s="14"/>
      <c r="T461" s="14"/>
      <c r="U461" s="14"/>
      <c r="V461" s="12"/>
      <c r="W461" s="12"/>
      <c r="X461" s="12"/>
      <c r="Y461" s="16"/>
      <c r="Z461" s="17"/>
    </row>
    <row r="462" spans="19:26" x14ac:dyDescent="0.3">
      <c r="S462" s="14"/>
      <c r="T462" s="14"/>
      <c r="U462" s="14"/>
      <c r="V462" s="12"/>
      <c r="W462" s="12"/>
      <c r="X462" s="12"/>
      <c r="Y462" s="16"/>
      <c r="Z462" s="17"/>
    </row>
    <row r="463" spans="19:26" x14ac:dyDescent="0.3">
      <c r="S463" s="14"/>
      <c r="T463" s="14"/>
      <c r="U463" s="14"/>
      <c r="V463" s="12"/>
      <c r="W463" s="12"/>
      <c r="X463" s="12"/>
      <c r="Y463" s="16"/>
      <c r="Z463" s="17"/>
    </row>
    <row r="464" spans="19:26" x14ac:dyDescent="0.3">
      <c r="S464" s="14"/>
      <c r="T464" s="14"/>
      <c r="U464" s="14"/>
      <c r="V464" s="12"/>
      <c r="W464" s="12"/>
      <c r="X464" s="12"/>
      <c r="Y464" s="16"/>
      <c r="Z464" s="17"/>
    </row>
    <row r="465" spans="19:26" x14ac:dyDescent="0.3">
      <c r="S465" s="14"/>
      <c r="T465" s="14"/>
      <c r="U465" s="14"/>
      <c r="V465" s="12"/>
      <c r="W465" s="12"/>
      <c r="X465" s="12"/>
      <c r="Y465" s="16"/>
      <c r="Z465" s="17"/>
    </row>
    <row r="466" spans="19:26" x14ac:dyDescent="0.3">
      <c r="S466" s="14"/>
      <c r="T466" s="14"/>
      <c r="U466" s="14"/>
      <c r="V466" s="12"/>
      <c r="W466" s="12"/>
      <c r="X466" s="12"/>
      <c r="Y466" s="16"/>
      <c r="Z466" s="17"/>
    </row>
    <row r="467" spans="19:26" x14ac:dyDescent="0.3">
      <c r="S467" s="14"/>
      <c r="T467" s="14"/>
      <c r="U467" s="14"/>
      <c r="V467" s="12"/>
      <c r="W467" s="12"/>
      <c r="X467" s="12"/>
      <c r="Y467" s="16"/>
      <c r="Z467" s="17"/>
    </row>
    <row r="468" spans="19:26" x14ac:dyDescent="0.3">
      <c r="S468" s="14"/>
      <c r="T468" s="14"/>
      <c r="U468" s="14"/>
      <c r="V468" s="12"/>
      <c r="W468" s="12"/>
      <c r="X468" s="12"/>
      <c r="Y468" s="16"/>
      <c r="Z468" s="17"/>
    </row>
    <row r="469" spans="19:26" x14ac:dyDescent="0.3">
      <c r="S469" s="14"/>
      <c r="T469" s="14"/>
      <c r="U469" s="14"/>
      <c r="V469" s="12"/>
      <c r="W469" s="12"/>
      <c r="X469" s="12"/>
      <c r="Y469" s="16"/>
      <c r="Z469" s="17"/>
    </row>
    <row r="470" spans="19:26" x14ac:dyDescent="0.3">
      <c r="S470" s="14"/>
      <c r="T470" s="14"/>
      <c r="U470" s="14"/>
      <c r="V470" s="12"/>
      <c r="W470" s="12"/>
      <c r="X470" s="12"/>
      <c r="Y470" s="16"/>
      <c r="Z470" s="17"/>
    </row>
    <row r="471" spans="19:26" x14ac:dyDescent="0.3">
      <c r="S471" s="14"/>
      <c r="T471" s="14"/>
      <c r="U471" s="14"/>
      <c r="V471" s="12"/>
      <c r="W471" s="12"/>
      <c r="X471" s="12"/>
      <c r="Y471" s="16"/>
      <c r="Z471" s="17"/>
    </row>
    <row r="472" spans="19:26" x14ac:dyDescent="0.3">
      <c r="S472" s="14"/>
      <c r="T472" s="14"/>
      <c r="U472" s="14"/>
      <c r="V472" s="12"/>
      <c r="W472" s="12"/>
      <c r="X472" s="12"/>
      <c r="Y472" s="16"/>
      <c r="Z472" s="17"/>
    </row>
    <row r="473" spans="19:26" x14ac:dyDescent="0.3">
      <c r="S473" s="14"/>
      <c r="T473" s="14"/>
      <c r="U473" s="14"/>
      <c r="V473" s="12"/>
      <c r="W473" s="12"/>
      <c r="X473" s="12"/>
      <c r="Y473" s="16"/>
      <c r="Z473" s="17"/>
    </row>
    <row r="474" spans="19:26" x14ac:dyDescent="0.3">
      <c r="S474" s="14"/>
      <c r="T474" s="14"/>
      <c r="U474" s="14"/>
      <c r="V474" s="12"/>
      <c r="W474" s="12"/>
      <c r="X474" s="12"/>
      <c r="Y474" s="16"/>
      <c r="Z474" s="17"/>
    </row>
    <row r="475" spans="19:26" x14ac:dyDescent="0.3">
      <c r="S475" s="14"/>
      <c r="T475" s="14"/>
      <c r="U475" s="14"/>
      <c r="V475" s="12"/>
      <c r="W475" s="12"/>
      <c r="X475" s="12"/>
      <c r="Y475" s="16"/>
      <c r="Z475" s="17"/>
    </row>
    <row r="476" spans="19:26" x14ac:dyDescent="0.3">
      <c r="S476" s="14"/>
      <c r="T476" s="14"/>
      <c r="U476" s="14"/>
      <c r="V476" s="12"/>
      <c r="W476" s="12"/>
      <c r="X476" s="12"/>
      <c r="Y476" s="16"/>
      <c r="Z476" s="17"/>
    </row>
    <row r="477" spans="19:26" x14ac:dyDescent="0.3">
      <c r="S477" s="14"/>
      <c r="T477" s="14"/>
      <c r="U477" s="14"/>
      <c r="V477" s="12"/>
      <c r="W477" s="12"/>
      <c r="X477" s="12"/>
      <c r="Y477" s="16"/>
      <c r="Z477" s="17"/>
    </row>
    <row r="478" spans="19:26" x14ac:dyDescent="0.3">
      <c r="S478" s="14"/>
      <c r="T478" s="14"/>
      <c r="U478" s="14"/>
      <c r="V478" s="12"/>
      <c r="W478" s="12"/>
      <c r="X478" s="12"/>
      <c r="Y478" s="16"/>
      <c r="Z478" s="17"/>
    </row>
    <row r="479" spans="19:26" x14ac:dyDescent="0.3">
      <c r="S479" s="14"/>
      <c r="T479" s="14"/>
      <c r="U479" s="14"/>
      <c r="V479" s="12"/>
      <c r="W479" s="12"/>
      <c r="X479" s="12"/>
      <c r="Y479" s="16"/>
      <c r="Z479" s="17"/>
    </row>
    <row r="480" spans="19:26" x14ac:dyDescent="0.3">
      <c r="S480" s="14"/>
      <c r="T480" s="14"/>
      <c r="U480" s="14"/>
      <c r="V480" s="12"/>
      <c r="W480" s="12"/>
      <c r="X480" s="12"/>
      <c r="Y480" s="16"/>
      <c r="Z480" s="17"/>
    </row>
    <row r="481" spans="19:26" x14ac:dyDescent="0.3">
      <c r="S481" s="14"/>
      <c r="T481" s="14"/>
      <c r="U481" s="14"/>
      <c r="V481" s="12"/>
      <c r="W481" s="12"/>
      <c r="X481" s="12"/>
      <c r="Y481" s="16"/>
      <c r="Z481" s="17"/>
    </row>
    <row r="482" spans="19:26" x14ac:dyDescent="0.3">
      <c r="S482" s="14"/>
      <c r="T482" s="14"/>
      <c r="U482" s="14"/>
      <c r="V482" s="12"/>
      <c r="W482" s="12"/>
      <c r="X482" s="12"/>
      <c r="Y482" s="16"/>
      <c r="Z482" s="17"/>
    </row>
    <row r="483" spans="19:26" x14ac:dyDescent="0.3">
      <c r="S483" s="14"/>
      <c r="T483" s="14"/>
      <c r="U483" s="14"/>
      <c r="V483" s="12"/>
      <c r="W483" s="12"/>
      <c r="X483" s="12"/>
      <c r="Y483" s="16"/>
      <c r="Z483" s="17"/>
    </row>
    <row r="484" spans="19:26" x14ac:dyDescent="0.3">
      <c r="S484" s="14"/>
      <c r="T484" s="14"/>
      <c r="U484" s="14"/>
      <c r="V484" s="12"/>
      <c r="W484" s="12"/>
      <c r="X484" s="12"/>
      <c r="Y484" s="16"/>
      <c r="Z484" s="17"/>
    </row>
    <row r="485" spans="19:26" x14ac:dyDescent="0.3">
      <c r="S485" s="14"/>
      <c r="T485" s="14"/>
      <c r="U485" s="14"/>
      <c r="V485" s="12"/>
      <c r="W485" s="12"/>
      <c r="X485" s="12"/>
      <c r="Y485" s="16"/>
      <c r="Z485" s="17"/>
    </row>
    <row r="486" spans="19:26" x14ac:dyDescent="0.3">
      <c r="S486" s="14"/>
      <c r="T486" s="14"/>
      <c r="U486" s="14"/>
      <c r="V486" s="12"/>
      <c r="W486" s="12"/>
      <c r="X486" s="12"/>
      <c r="Y486" s="16"/>
      <c r="Z486" s="17"/>
    </row>
    <row r="487" spans="19:26" x14ac:dyDescent="0.3">
      <c r="S487" s="14"/>
      <c r="T487" s="14"/>
      <c r="U487" s="14"/>
      <c r="V487" s="12"/>
      <c r="W487" s="12"/>
      <c r="X487" s="12"/>
      <c r="Y487" s="16"/>
      <c r="Z487" s="17"/>
    </row>
    <row r="488" spans="19:26" x14ac:dyDescent="0.3">
      <c r="S488" s="14"/>
      <c r="T488" s="14"/>
      <c r="U488" s="14"/>
      <c r="V488" s="12"/>
      <c r="W488" s="12"/>
      <c r="X488" s="12"/>
      <c r="Y488" s="16"/>
      <c r="Z488" s="17"/>
    </row>
    <row r="489" spans="19:26" x14ac:dyDescent="0.3">
      <c r="S489" s="14"/>
      <c r="T489" s="14"/>
      <c r="U489" s="14"/>
      <c r="V489" s="12"/>
      <c r="W489" s="12"/>
      <c r="X489" s="12"/>
      <c r="Y489" s="16"/>
      <c r="Z489" s="17"/>
    </row>
    <row r="490" spans="19:26" x14ac:dyDescent="0.3">
      <c r="S490" s="14"/>
      <c r="T490" s="14"/>
      <c r="U490" s="14"/>
      <c r="V490" s="12"/>
      <c r="W490" s="12"/>
      <c r="X490" s="12"/>
      <c r="Y490" s="16"/>
      <c r="Z490" s="17"/>
    </row>
    <row r="491" spans="19:26" x14ac:dyDescent="0.3">
      <c r="S491" s="14"/>
      <c r="T491" s="14"/>
      <c r="U491" s="14"/>
      <c r="V491" s="12"/>
      <c r="W491" s="12"/>
      <c r="X491" s="12"/>
      <c r="Y491" s="16"/>
      <c r="Z491" s="17"/>
    </row>
    <row r="492" spans="19:26" x14ac:dyDescent="0.3">
      <c r="S492" s="14"/>
      <c r="T492" s="14"/>
      <c r="U492" s="14"/>
      <c r="V492" s="12"/>
      <c r="W492" s="12"/>
      <c r="X492" s="12"/>
      <c r="Y492" s="16"/>
      <c r="Z492" s="17"/>
    </row>
    <row r="493" spans="19:26" x14ac:dyDescent="0.3">
      <c r="S493" s="14"/>
      <c r="T493" s="14"/>
      <c r="U493" s="14"/>
      <c r="V493" s="12"/>
      <c r="W493" s="12"/>
      <c r="X493" s="12"/>
      <c r="Y493" s="16"/>
      <c r="Z493" s="17"/>
    </row>
    <row r="494" spans="19:26" x14ac:dyDescent="0.3">
      <c r="S494" s="14"/>
      <c r="T494" s="14"/>
      <c r="U494" s="14"/>
      <c r="V494" s="12"/>
      <c r="W494" s="12"/>
      <c r="X494" s="12"/>
      <c r="Y494" s="16"/>
      <c r="Z494" s="17"/>
    </row>
    <row r="495" spans="19:26" x14ac:dyDescent="0.3">
      <c r="S495" s="14"/>
      <c r="T495" s="14"/>
      <c r="U495" s="14"/>
      <c r="V495" s="12"/>
      <c r="W495" s="12"/>
      <c r="X495" s="12"/>
      <c r="Y495" s="16"/>
      <c r="Z495" s="17"/>
    </row>
    <row r="496" spans="19:26" x14ac:dyDescent="0.3">
      <c r="S496" s="14"/>
      <c r="T496" s="14"/>
      <c r="U496" s="14"/>
      <c r="V496" s="12"/>
      <c r="W496" s="12"/>
      <c r="X496" s="12"/>
      <c r="Y496" s="16"/>
      <c r="Z496" s="17"/>
    </row>
    <row r="497" spans="19:26" x14ac:dyDescent="0.3">
      <c r="S497" s="14"/>
      <c r="T497" s="14"/>
      <c r="U497" s="14"/>
      <c r="V497" s="12"/>
      <c r="W497" s="12"/>
      <c r="X497" s="12"/>
      <c r="Y497" s="16"/>
      <c r="Z497" s="17"/>
    </row>
    <row r="498" spans="19:26" x14ac:dyDescent="0.3">
      <c r="S498" s="14"/>
      <c r="T498" s="14"/>
      <c r="U498" s="14"/>
      <c r="V498" s="12"/>
      <c r="W498" s="12"/>
      <c r="X498" s="12"/>
      <c r="Y498" s="16"/>
      <c r="Z498" s="17"/>
    </row>
    <row r="499" spans="19:26" x14ac:dyDescent="0.3">
      <c r="S499" s="14"/>
      <c r="T499" s="14"/>
      <c r="U499" s="14"/>
      <c r="V499" s="12"/>
      <c r="W499" s="12"/>
      <c r="X499" s="12"/>
      <c r="Y499" s="16"/>
      <c r="Z499" s="17"/>
    </row>
    <row r="500" spans="19:26" x14ac:dyDescent="0.3">
      <c r="S500" s="14"/>
      <c r="T500" s="14"/>
      <c r="U500" s="14"/>
      <c r="V500" s="12"/>
      <c r="W500" s="12"/>
      <c r="X500" s="12"/>
      <c r="Y500" s="16"/>
      <c r="Z500" s="17"/>
    </row>
    <row r="501" spans="19:26" x14ac:dyDescent="0.3">
      <c r="S501" s="14"/>
      <c r="T501" s="14"/>
      <c r="U501" s="14"/>
      <c r="V501" s="12"/>
      <c r="W501" s="12"/>
      <c r="X501" s="12"/>
      <c r="Y501" s="16"/>
      <c r="Z501" s="17"/>
    </row>
    <row r="502" spans="19:26" x14ac:dyDescent="0.3">
      <c r="S502" s="14"/>
      <c r="T502" s="14"/>
      <c r="U502" s="14"/>
      <c r="V502" s="12"/>
      <c r="W502" s="12"/>
      <c r="X502" s="12"/>
      <c r="Y502" s="16"/>
      <c r="Z502" s="17"/>
    </row>
    <row r="503" spans="19:26" x14ac:dyDescent="0.3">
      <c r="S503" s="14"/>
      <c r="T503" s="14"/>
      <c r="U503" s="14"/>
      <c r="V503" s="12"/>
      <c r="W503" s="12"/>
      <c r="X503" s="12"/>
      <c r="Y503" s="16"/>
      <c r="Z503" s="17"/>
    </row>
    <row r="504" spans="19:26" x14ac:dyDescent="0.3">
      <c r="S504" s="14"/>
      <c r="T504" s="14"/>
      <c r="U504" s="14"/>
      <c r="V504" s="12"/>
      <c r="W504" s="12"/>
      <c r="X504" s="12"/>
      <c r="Y504" s="16"/>
      <c r="Z504" s="17"/>
    </row>
    <row r="505" spans="19:26" x14ac:dyDescent="0.3">
      <c r="S505" s="14"/>
      <c r="T505" s="14"/>
      <c r="U505" s="14"/>
      <c r="V505" s="12"/>
      <c r="W505" s="12"/>
      <c r="X505" s="12"/>
      <c r="Y505" s="16"/>
      <c r="Z505" s="17"/>
    </row>
    <row r="506" spans="19:26" x14ac:dyDescent="0.3">
      <c r="S506" s="14"/>
      <c r="T506" s="14"/>
      <c r="U506" s="14"/>
      <c r="V506" s="12"/>
      <c r="W506" s="12"/>
      <c r="X506" s="12"/>
      <c r="Y506" s="16"/>
      <c r="Z506" s="17"/>
    </row>
    <row r="507" spans="19:26" x14ac:dyDescent="0.3">
      <c r="S507" s="14"/>
      <c r="T507" s="14"/>
      <c r="U507" s="14"/>
      <c r="V507" s="12"/>
      <c r="W507" s="12"/>
      <c r="X507" s="12"/>
      <c r="Y507" s="16"/>
      <c r="Z507" s="17"/>
    </row>
    <row r="508" spans="19:26" x14ac:dyDescent="0.3">
      <c r="S508" s="14"/>
      <c r="T508" s="14"/>
      <c r="U508" s="14"/>
      <c r="V508" s="12"/>
      <c r="W508" s="12"/>
      <c r="X508" s="12"/>
      <c r="Y508" s="16"/>
      <c r="Z508" s="17"/>
    </row>
    <row r="509" spans="19:26" x14ac:dyDescent="0.3">
      <c r="S509" s="14"/>
      <c r="T509" s="14"/>
      <c r="U509" s="14"/>
      <c r="V509" s="12"/>
      <c r="W509" s="12"/>
      <c r="X509" s="12"/>
      <c r="Y509" s="16"/>
      <c r="Z509" s="17"/>
    </row>
    <row r="510" spans="19:26" x14ac:dyDescent="0.3">
      <c r="S510" s="14"/>
      <c r="T510" s="14"/>
      <c r="U510" s="14"/>
      <c r="V510" s="12"/>
      <c r="W510" s="12"/>
      <c r="X510" s="12"/>
      <c r="Y510" s="16"/>
      <c r="Z510" s="17"/>
    </row>
    <row r="511" spans="19:26" x14ac:dyDescent="0.3">
      <c r="S511" s="14"/>
      <c r="T511" s="14"/>
      <c r="U511" s="14"/>
      <c r="V511" s="12"/>
      <c r="W511" s="12"/>
      <c r="X511" s="12"/>
      <c r="Y511" s="16"/>
      <c r="Z511" s="17"/>
    </row>
    <row r="512" spans="19:26" x14ac:dyDescent="0.3">
      <c r="S512" s="14"/>
      <c r="T512" s="14"/>
      <c r="U512" s="14"/>
      <c r="V512" s="12"/>
      <c r="W512" s="12"/>
      <c r="X512" s="12"/>
      <c r="Y512" s="16"/>
      <c r="Z512" s="17"/>
    </row>
    <row r="513" spans="19:26" x14ac:dyDescent="0.3">
      <c r="S513" s="14"/>
      <c r="T513" s="14"/>
      <c r="U513" s="14"/>
      <c r="V513" s="12"/>
      <c r="W513" s="12"/>
      <c r="X513" s="12"/>
      <c r="Y513" s="16"/>
      <c r="Z513" s="17"/>
    </row>
    <row r="514" spans="19:26" x14ac:dyDescent="0.3">
      <c r="S514" s="14"/>
      <c r="T514" s="14"/>
      <c r="U514" s="14"/>
      <c r="V514" s="12"/>
      <c r="W514" s="12"/>
      <c r="X514" s="12"/>
      <c r="Y514" s="16"/>
      <c r="Z514" s="17"/>
    </row>
    <row r="515" spans="19:26" x14ac:dyDescent="0.3">
      <c r="S515" s="14"/>
      <c r="T515" s="14"/>
      <c r="U515" s="14"/>
      <c r="V515" s="12"/>
      <c r="W515" s="12"/>
      <c r="X515" s="12"/>
      <c r="Y515" s="16"/>
      <c r="Z515" s="17"/>
    </row>
    <row r="516" spans="19:26" x14ac:dyDescent="0.3">
      <c r="S516" s="14"/>
      <c r="T516" s="14"/>
      <c r="U516" s="14"/>
      <c r="V516" s="12"/>
      <c r="W516" s="12"/>
      <c r="X516" s="12"/>
      <c r="Y516" s="16"/>
      <c r="Z516" s="17"/>
    </row>
    <row r="517" spans="19:26" x14ac:dyDescent="0.3">
      <c r="S517" s="14"/>
      <c r="T517" s="14"/>
      <c r="U517" s="14"/>
      <c r="V517" s="12"/>
      <c r="W517" s="12"/>
      <c r="X517" s="12"/>
      <c r="Y517" s="16"/>
      <c r="Z517" s="17"/>
    </row>
    <row r="518" spans="19:26" x14ac:dyDescent="0.3">
      <c r="S518" s="14"/>
      <c r="T518" s="14"/>
      <c r="U518" s="14"/>
      <c r="V518" s="12"/>
      <c r="W518" s="12"/>
      <c r="X518" s="12"/>
      <c r="Y518" s="16"/>
      <c r="Z518" s="17"/>
    </row>
    <row r="519" spans="19:26" x14ac:dyDescent="0.3">
      <c r="S519" s="14"/>
      <c r="T519" s="14"/>
      <c r="U519" s="14"/>
      <c r="V519" s="12"/>
      <c r="W519" s="12"/>
      <c r="X519" s="12"/>
      <c r="Y519" s="16"/>
      <c r="Z519" s="17"/>
    </row>
    <row r="520" spans="19:26" x14ac:dyDescent="0.3">
      <c r="S520" s="14"/>
      <c r="T520" s="14"/>
      <c r="U520" s="14"/>
      <c r="V520" s="12"/>
      <c r="W520" s="12"/>
      <c r="X520" s="12"/>
      <c r="Y520" s="16"/>
      <c r="Z520" s="17"/>
    </row>
    <row r="521" spans="19:26" x14ac:dyDescent="0.3">
      <c r="S521" s="14"/>
      <c r="T521" s="14"/>
      <c r="U521" s="14"/>
      <c r="V521" s="12"/>
      <c r="W521" s="12"/>
      <c r="X521" s="12"/>
      <c r="Y521" s="16"/>
      <c r="Z521" s="17"/>
    </row>
    <row r="522" spans="19:26" x14ac:dyDescent="0.3">
      <c r="S522" s="14"/>
      <c r="T522" s="14"/>
      <c r="U522" s="14"/>
      <c r="V522" s="12"/>
      <c r="W522" s="12"/>
      <c r="X522" s="12"/>
      <c r="Y522" s="16"/>
      <c r="Z522" s="17"/>
    </row>
    <row r="523" spans="19:26" x14ac:dyDescent="0.3">
      <c r="S523" s="14"/>
      <c r="T523" s="14"/>
      <c r="U523" s="14"/>
      <c r="V523" s="12"/>
      <c r="W523" s="12"/>
      <c r="X523" s="12"/>
      <c r="Y523" s="16"/>
      <c r="Z523" s="17"/>
    </row>
    <row r="524" spans="19:26" x14ac:dyDescent="0.3">
      <c r="S524" s="14"/>
      <c r="T524" s="14"/>
      <c r="U524" s="14"/>
      <c r="V524" s="12"/>
      <c r="W524" s="12"/>
      <c r="X524" s="12"/>
      <c r="Y524" s="16"/>
      <c r="Z524" s="17"/>
    </row>
    <row r="525" spans="19:26" x14ac:dyDescent="0.3">
      <c r="S525" s="14"/>
      <c r="T525" s="14"/>
      <c r="U525" s="14"/>
      <c r="V525" s="12"/>
      <c r="W525" s="12"/>
      <c r="X525" s="12"/>
      <c r="Y525" s="16"/>
      <c r="Z525" s="17"/>
    </row>
    <row r="526" spans="19:26" x14ac:dyDescent="0.3">
      <c r="S526" s="14"/>
      <c r="T526" s="14"/>
      <c r="U526" s="14"/>
      <c r="V526" s="12"/>
      <c r="W526" s="12"/>
      <c r="X526" s="12"/>
      <c r="Y526" s="16"/>
      <c r="Z526" s="17"/>
    </row>
    <row r="527" spans="19:26" x14ac:dyDescent="0.3">
      <c r="S527" s="14"/>
      <c r="T527" s="14"/>
      <c r="U527" s="14"/>
      <c r="V527" s="12"/>
      <c r="W527" s="12"/>
      <c r="X527" s="12"/>
      <c r="Y527" s="16"/>
      <c r="Z527" s="17"/>
    </row>
    <row r="528" spans="19:26" x14ac:dyDescent="0.3">
      <c r="S528" s="14"/>
      <c r="T528" s="14"/>
      <c r="U528" s="14"/>
      <c r="V528" s="12"/>
      <c r="W528" s="12"/>
      <c r="X528" s="12"/>
      <c r="Y528" s="16"/>
      <c r="Z528" s="17"/>
    </row>
    <row r="529" spans="19:26" x14ac:dyDescent="0.3">
      <c r="S529" s="14"/>
      <c r="T529" s="14"/>
      <c r="U529" s="14"/>
      <c r="V529" s="12"/>
      <c r="W529" s="12"/>
      <c r="X529" s="12"/>
      <c r="Y529" s="16"/>
      <c r="Z529" s="17"/>
    </row>
    <row r="530" spans="19:26" x14ac:dyDescent="0.3">
      <c r="S530" s="14"/>
      <c r="T530" s="14"/>
      <c r="U530" s="14"/>
      <c r="V530" s="12"/>
      <c r="W530" s="12"/>
      <c r="X530" s="12"/>
      <c r="Y530" s="16"/>
      <c r="Z530" s="17"/>
    </row>
    <row r="531" spans="19:26" x14ac:dyDescent="0.3">
      <c r="S531" s="14"/>
      <c r="T531" s="14"/>
      <c r="U531" s="14"/>
      <c r="V531" s="12"/>
      <c r="W531" s="12"/>
      <c r="X531" s="12"/>
      <c r="Y531" s="16"/>
      <c r="Z531" s="17"/>
    </row>
    <row r="532" spans="19:26" x14ac:dyDescent="0.3">
      <c r="S532" s="14"/>
      <c r="T532" s="14"/>
      <c r="U532" s="14"/>
      <c r="V532" s="12"/>
      <c r="W532" s="12"/>
      <c r="X532" s="12"/>
      <c r="Y532" s="16"/>
      <c r="Z532" s="17"/>
    </row>
    <row r="533" spans="19:26" x14ac:dyDescent="0.3">
      <c r="S533" s="14"/>
      <c r="T533" s="14"/>
      <c r="U533" s="14"/>
      <c r="V533" s="12"/>
      <c r="W533" s="12"/>
      <c r="X533" s="12"/>
      <c r="Y533" s="16"/>
      <c r="Z533" s="17"/>
    </row>
    <row r="534" spans="19:26" x14ac:dyDescent="0.3">
      <c r="S534" s="14"/>
      <c r="T534" s="14"/>
      <c r="U534" s="14"/>
      <c r="V534" s="12"/>
      <c r="W534" s="12"/>
      <c r="X534" s="12"/>
      <c r="Y534" s="16"/>
      <c r="Z534" s="17"/>
    </row>
    <row r="535" spans="19:26" x14ac:dyDescent="0.3">
      <c r="S535" s="14"/>
      <c r="T535" s="14"/>
      <c r="U535" s="14"/>
      <c r="V535" s="12"/>
      <c r="W535" s="12"/>
      <c r="X535" s="12"/>
      <c r="Y535" s="16"/>
      <c r="Z535" s="17"/>
    </row>
    <row r="536" spans="19:26" x14ac:dyDescent="0.3">
      <c r="S536" s="14"/>
      <c r="T536" s="14"/>
      <c r="U536" s="14"/>
      <c r="V536" s="12"/>
      <c r="W536" s="12"/>
      <c r="X536" s="12"/>
      <c r="Y536" s="16"/>
      <c r="Z536" s="17"/>
    </row>
    <row r="537" spans="19:26" x14ac:dyDescent="0.3">
      <c r="S537" s="14"/>
      <c r="T537" s="14"/>
      <c r="U537" s="14"/>
      <c r="V537" s="12"/>
      <c r="W537" s="12"/>
      <c r="X537" s="12"/>
      <c r="Y537" s="16"/>
      <c r="Z537" s="17"/>
    </row>
    <row r="538" spans="19:26" x14ac:dyDescent="0.3">
      <c r="S538" s="14"/>
      <c r="T538" s="14"/>
      <c r="U538" s="14"/>
      <c r="V538" s="12"/>
      <c r="W538" s="12"/>
      <c r="X538" s="12"/>
      <c r="Y538" s="16"/>
      <c r="Z538" s="17"/>
    </row>
    <row r="539" spans="19:26" x14ac:dyDescent="0.3">
      <c r="S539" s="14"/>
      <c r="T539" s="14"/>
      <c r="U539" s="14"/>
      <c r="V539" s="12"/>
      <c r="W539" s="12"/>
      <c r="X539" s="12"/>
      <c r="Y539" s="16"/>
      <c r="Z539" s="17"/>
    </row>
    <row r="540" spans="19:26" x14ac:dyDescent="0.3">
      <c r="S540" s="14"/>
      <c r="T540" s="14"/>
      <c r="U540" s="14"/>
      <c r="V540" s="12"/>
      <c r="W540" s="12"/>
      <c r="X540" s="12"/>
      <c r="Y540" s="16"/>
      <c r="Z540" s="17"/>
    </row>
    <row r="541" spans="19:26" x14ac:dyDescent="0.3">
      <c r="S541" s="14"/>
      <c r="T541" s="14"/>
      <c r="U541" s="14"/>
      <c r="V541" s="12"/>
      <c r="W541" s="12"/>
      <c r="X541" s="12"/>
      <c r="Y541" s="16"/>
      <c r="Z541" s="17"/>
    </row>
    <row r="542" spans="19:26" x14ac:dyDescent="0.3">
      <c r="S542" s="14"/>
      <c r="T542" s="14"/>
      <c r="U542" s="14"/>
      <c r="V542" s="12"/>
      <c r="W542" s="12"/>
      <c r="X542" s="12"/>
      <c r="Y542" s="16"/>
      <c r="Z542" s="17"/>
    </row>
    <row r="543" spans="19:26" x14ac:dyDescent="0.3">
      <c r="S543" s="14"/>
      <c r="T543" s="14"/>
      <c r="U543" s="14"/>
      <c r="V543" s="12"/>
      <c r="W543" s="12"/>
      <c r="X543" s="12"/>
      <c r="Y543" s="16"/>
      <c r="Z543" s="17"/>
    </row>
    <row r="544" spans="19:26" x14ac:dyDescent="0.3">
      <c r="S544" s="14"/>
      <c r="T544" s="14"/>
      <c r="U544" s="14"/>
      <c r="V544" s="12"/>
      <c r="W544" s="12"/>
      <c r="X544" s="12"/>
      <c r="Y544" s="16"/>
      <c r="Z544" s="17"/>
    </row>
    <row r="545" spans="19:26" x14ac:dyDescent="0.3">
      <c r="S545" s="14"/>
      <c r="T545" s="14"/>
      <c r="U545" s="14"/>
      <c r="V545" s="12"/>
      <c r="W545" s="12"/>
      <c r="X545" s="12"/>
      <c r="Y545" s="16"/>
      <c r="Z545" s="17"/>
    </row>
    <row r="546" spans="19:26" x14ac:dyDescent="0.3">
      <c r="S546" s="14"/>
      <c r="T546" s="14"/>
      <c r="U546" s="14"/>
      <c r="V546" s="12"/>
      <c r="W546" s="12"/>
      <c r="X546" s="12"/>
      <c r="Y546" s="16"/>
      <c r="Z546" s="17"/>
    </row>
    <row r="547" spans="19:26" x14ac:dyDescent="0.3">
      <c r="S547" s="14"/>
      <c r="T547" s="14"/>
      <c r="U547" s="14"/>
      <c r="V547" s="12"/>
      <c r="W547" s="12"/>
      <c r="X547" s="12"/>
      <c r="Y547" s="16"/>
      <c r="Z547" s="17"/>
    </row>
    <row r="548" spans="19:26" x14ac:dyDescent="0.3">
      <c r="S548" s="14"/>
      <c r="T548" s="14"/>
      <c r="U548" s="14"/>
      <c r="V548" s="12"/>
      <c r="W548" s="12"/>
      <c r="X548" s="12"/>
      <c r="Y548" s="16"/>
      <c r="Z548" s="17"/>
    </row>
    <row r="549" spans="19:26" x14ac:dyDescent="0.3">
      <c r="S549" s="14"/>
      <c r="T549" s="14"/>
      <c r="U549" s="14"/>
      <c r="V549" s="12"/>
      <c r="W549" s="12"/>
      <c r="X549" s="12"/>
      <c r="Y549" s="16"/>
      <c r="Z549" s="17"/>
    </row>
    <row r="550" spans="19:26" x14ac:dyDescent="0.3">
      <c r="S550" s="14"/>
      <c r="T550" s="14"/>
      <c r="U550" s="14"/>
      <c r="V550" s="12"/>
      <c r="W550" s="12"/>
      <c r="X550" s="12"/>
      <c r="Y550" s="16"/>
      <c r="Z550" s="17"/>
    </row>
    <row r="551" spans="19:26" x14ac:dyDescent="0.3">
      <c r="S551" s="14"/>
      <c r="T551" s="14"/>
      <c r="U551" s="14"/>
      <c r="V551" s="12"/>
      <c r="W551" s="12"/>
      <c r="X551" s="12"/>
      <c r="Y551" s="16"/>
      <c r="Z551" s="17"/>
    </row>
    <row r="552" spans="19:26" x14ac:dyDescent="0.3">
      <c r="S552" s="14"/>
      <c r="T552" s="14"/>
      <c r="U552" s="14"/>
      <c r="V552" s="12"/>
      <c r="W552" s="12"/>
      <c r="X552" s="12"/>
      <c r="Y552" s="16"/>
      <c r="Z552" s="17"/>
    </row>
    <row r="553" spans="19:26" x14ac:dyDescent="0.3">
      <c r="S553" s="14"/>
      <c r="T553" s="14"/>
      <c r="U553" s="14"/>
      <c r="V553" s="12"/>
      <c r="W553" s="12"/>
      <c r="X553" s="12"/>
      <c r="Y553" s="16"/>
      <c r="Z553" s="17"/>
    </row>
    <row r="554" spans="19:26" x14ac:dyDescent="0.3">
      <c r="S554" s="14"/>
      <c r="T554" s="14"/>
      <c r="U554" s="14"/>
      <c r="V554" s="12"/>
      <c r="W554" s="12"/>
      <c r="X554" s="12"/>
      <c r="Y554" s="16"/>
      <c r="Z554" s="17"/>
    </row>
    <row r="555" spans="19:26" x14ac:dyDescent="0.3">
      <c r="S555" s="14"/>
      <c r="T555" s="14"/>
      <c r="U555" s="14"/>
      <c r="V555" s="12"/>
      <c r="W555" s="12"/>
      <c r="X555" s="12"/>
      <c r="Y555" s="16"/>
      <c r="Z555" s="17"/>
    </row>
    <row r="556" spans="19:26" x14ac:dyDescent="0.3">
      <c r="S556" s="14"/>
      <c r="T556" s="14"/>
      <c r="U556" s="14"/>
      <c r="V556" s="12"/>
      <c r="W556" s="12"/>
      <c r="X556" s="12"/>
      <c r="Y556" s="16"/>
      <c r="Z556" s="17"/>
    </row>
    <row r="557" spans="19:26" x14ac:dyDescent="0.3">
      <c r="S557" s="14"/>
      <c r="T557" s="14"/>
      <c r="U557" s="14"/>
      <c r="V557" s="12"/>
      <c r="W557" s="12"/>
      <c r="X557" s="12"/>
      <c r="Y557" s="16"/>
      <c r="Z557" s="17"/>
    </row>
    <row r="558" spans="19:26" x14ac:dyDescent="0.3">
      <c r="S558" s="14"/>
      <c r="T558" s="14"/>
      <c r="U558" s="14"/>
      <c r="V558" s="12"/>
      <c r="W558" s="12"/>
      <c r="X558" s="12"/>
      <c r="Y558" s="16"/>
      <c r="Z558" s="17"/>
    </row>
    <row r="559" spans="19:26" x14ac:dyDescent="0.3">
      <c r="S559" s="14"/>
      <c r="T559" s="14"/>
      <c r="U559" s="14"/>
      <c r="V559" s="12"/>
      <c r="W559" s="12"/>
      <c r="X559" s="12"/>
      <c r="Y559" s="16"/>
      <c r="Z559" s="17"/>
    </row>
    <row r="560" spans="19:26" x14ac:dyDescent="0.3">
      <c r="S560" s="14"/>
      <c r="T560" s="14"/>
      <c r="U560" s="14"/>
      <c r="V560" s="12"/>
      <c r="W560" s="12"/>
      <c r="X560" s="12"/>
      <c r="Y560" s="16"/>
      <c r="Z560" s="17"/>
    </row>
    <row r="561" spans="19:26" x14ac:dyDescent="0.3">
      <c r="S561" s="14"/>
      <c r="T561" s="14"/>
      <c r="U561" s="14"/>
      <c r="V561" s="12"/>
      <c r="W561" s="12"/>
      <c r="X561" s="12"/>
      <c r="Y561" s="16"/>
      <c r="Z561" s="17"/>
    </row>
    <row r="562" spans="19:26" x14ac:dyDescent="0.3">
      <c r="S562" s="14"/>
      <c r="T562" s="14"/>
      <c r="U562" s="14"/>
      <c r="V562" s="12"/>
      <c r="W562" s="12"/>
      <c r="X562" s="12"/>
      <c r="Y562" s="16"/>
      <c r="Z562" s="17"/>
    </row>
    <row r="563" spans="19:26" x14ac:dyDescent="0.3">
      <c r="S563" s="14"/>
      <c r="T563" s="14"/>
      <c r="U563" s="14"/>
      <c r="V563" s="12"/>
      <c r="W563" s="12"/>
      <c r="X563" s="12"/>
      <c r="Y563" s="16"/>
      <c r="Z563" s="17"/>
    </row>
    <row r="564" spans="19:26" x14ac:dyDescent="0.3">
      <c r="S564" s="14"/>
      <c r="T564" s="14"/>
      <c r="U564" s="14"/>
      <c r="V564" s="12"/>
      <c r="W564" s="12"/>
      <c r="X564" s="12"/>
      <c r="Y564" s="16"/>
      <c r="Z564" s="17"/>
    </row>
    <row r="565" spans="19:26" x14ac:dyDescent="0.3">
      <c r="S565" s="14"/>
      <c r="T565" s="14"/>
      <c r="U565" s="14"/>
      <c r="V565" s="12"/>
      <c r="W565" s="12"/>
      <c r="X565" s="12"/>
      <c r="Y565" s="16"/>
      <c r="Z565" s="17"/>
    </row>
    <row r="566" spans="19:26" x14ac:dyDescent="0.3">
      <c r="S566" s="14"/>
      <c r="T566" s="14"/>
      <c r="U566" s="14"/>
      <c r="V566" s="12"/>
      <c r="W566" s="12"/>
      <c r="X566" s="12"/>
      <c r="Y566" s="16"/>
      <c r="Z566" s="17"/>
    </row>
    <row r="567" spans="19:26" x14ac:dyDescent="0.3">
      <c r="S567" s="14"/>
      <c r="T567" s="14"/>
      <c r="U567" s="14"/>
      <c r="V567" s="12"/>
      <c r="W567" s="12"/>
      <c r="X567" s="12"/>
      <c r="Y567" s="16"/>
      <c r="Z567" s="17"/>
    </row>
    <row r="568" spans="19:26" x14ac:dyDescent="0.3">
      <c r="S568" s="14"/>
      <c r="T568" s="14"/>
      <c r="U568" s="14"/>
      <c r="V568" s="12"/>
      <c r="W568" s="12"/>
      <c r="X568" s="12"/>
      <c r="Y568" s="16"/>
      <c r="Z568" s="17"/>
    </row>
    <row r="569" spans="19:26" x14ac:dyDescent="0.3">
      <c r="S569" s="14"/>
      <c r="T569" s="14"/>
      <c r="U569" s="14"/>
      <c r="V569" s="12"/>
      <c r="W569" s="12"/>
      <c r="X569" s="12"/>
      <c r="Y569" s="16"/>
      <c r="Z569" s="17"/>
    </row>
    <row r="570" spans="19:26" x14ac:dyDescent="0.3">
      <c r="S570" s="14"/>
      <c r="T570" s="14"/>
      <c r="U570" s="14"/>
      <c r="V570" s="12"/>
      <c r="W570" s="12"/>
      <c r="X570" s="12"/>
      <c r="Y570" s="16"/>
      <c r="Z570" s="17"/>
    </row>
    <row r="571" spans="19:26" x14ac:dyDescent="0.3">
      <c r="S571" s="14"/>
      <c r="T571" s="14"/>
      <c r="U571" s="14"/>
      <c r="V571" s="12"/>
      <c r="W571" s="12"/>
      <c r="X571" s="12"/>
      <c r="Y571" s="16"/>
      <c r="Z571" s="17"/>
    </row>
    <row r="572" spans="19:26" x14ac:dyDescent="0.3">
      <c r="S572" s="14"/>
      <c r="T572" s="14"/>
      <c r="U572" s="14"/>
      <c r="V572" s="12"/>
      <c r="W572" s="12"/>
      <c r="X572" s="12"/>
      <c r="Y572" s="16"/>
      <c r="Z572" s="17"/>
    </row>
    <row r="573" spans="19:26" x14ac:dyDescent="0.3">
      <c r="S573" s="14"/>
      <c r="T573" s="14"/>
      <c r="U573" s="14"/>
      <c r="V573" s="12"/>
      <c r="W573" s="12"/>
      <c r="X573" s="12"/>
      <c r="Y573" s="16"/>
      <c r="Z573" s="17"/>
    </row>
    <row r="574" spans="19:26" x14ac:dyDescent="0.3">
      <c r="S574" s="14"/>
      <c r="T574" s="14"/>
      <c r="U574" s="14"/>
      <c r="V574" s="12"/>
      <c r="W574" s="12"/>
      <c r="X574" s="12"/>
      <c r="Y574" s="16"/>
      <c r="Z574" s="17"/>
    </row>
    <row r="575" spans="19:26" x14ac:dyDescent="0.3">
      <c r="S575" s="14"/>
      <c r="T575" s="14"/>
      <c r="U575" s="14"/>
      <c r="V575" s="12"/>
      <c r="W575" s="12"/>
      <c r="X575" s="12"/>
      <c r="Y575" s="16"/>
      <c r="Z575" s="17"/>
    </row>
    <row r="576" spans="19:26" x14ac:dyDescent="0.3">
      <c r="S576" s="14"/>
      <c r="T576" s="14"/>
      <c r="U576" s="14"/>
      <c r="V576" s="12"/>
      <c r="W576" s="12"/>
      <c r="X576" s="12"/>
      <c r="Y576" s="16"/>
      <c r="Z576" s="17"/>
    </row>
    <row r="577" spans="19:26" x14ac:dyDescent="0.3">
      <c r="S577" s="14"/>
      <c r="T577" s="14"/>
      <c r="U577" s="14"/>
      <c r="V577" s="12"/>
      <c r="W577" s="12"/>
      <c r="X577" s="12"/>
      <c r="Y577" s="16"/>
      <c r="Z577" s="17"/>
    </row>
    <row r="578" spans="19:26" x14ac:dyDescent="0.3">
      <c r="S578" s="14"/>
      <c r="T578" s="14"/>
      <c r="U578" s="14"/>
      <c r="V578" s="12"/>
      <c r="W578" s="12"/>
      <c r="X578" s="12"/>
      <c r="Y578" s="16"/>
      <c r="Z578" s="17"/>
    </row>
    <row r="579" spans="19:26" x14ac:dyDescent="0.3">
      <c r="S579" s="14"/>
      <c r="T579" s="14"/>
      <c r="U579" s="14"/>
      <c r="V579" s="12"/>
      <c r="W579" s="12"/>
      <c r="X579" s="12"/>
      <c r="Y579" s="16"/>
      <c r="Z579" s="17"/>
    </row>
    <row r="580" spans="19:26" x14ac:dyDescent="0.3">
      <c r="S580" s="14"/>
      <c r="T580" s="14"/>
      <c r="U580" s="14"/>
      <c r="V580" s="12"/>
      <c r="W580" s="12"/>
      <c r="X580" s="12"/>
      <c r="Y580" s="16"/>
      <c r="Z580" s="17"/>
    </row>
    <row r="581" spans="19:26" x14ac:dyDescent="0.3">
      <c r="S581" s="14"/>
      <c r="T581" s="14"/>
      <c r="U581" s="14"/>
      <c r="V581" s="12"/>
      <c r="W581" s="12"/>
      <c r="X581" s="12"/>
      <c r="Y581" s="16"/>
      <c r="Z581" s="17"/>
    </row>
    <row r="582" spans="19:26" x14ac:dyDescent="0.3">
      <c r="S582" s="14"/>
      <c r="T582" s="14"/>
      <c r="U582" s="14"/>
      <c r="V582" s="12"/>
      <c r="W582" s="12"/>
      <c r="X582" s="12"/>
      <c r="Y582" s="16"/>
      <c r="Z582" s="17"/>
    </row>
    <row r="583" spans="19:26" x14ac:dyDescent="0.3">
      <c r="S583" s="14"/>
      <c r="T583" s="14"/>
      <c r="U583" s="14"/>
      <c r="V583" s="12"/>
      <c r="W583" s="12"/>
      <c r="X583" s="12"/>
      <c r="Y583" s="16"/>
      <c r="Z583" s="17"/>
    </row>
    <row r="584" spans="19:26" x14ac:dyDescent="0.3">
      <c r="S584" s="14"/>
      <c r="T584" s="14"/>
      <c r="U584" s="14"/>
      <c r="V584" s="12"/>
      <c r="W584" s="12"/>
      <c r="X584" s="12"/>
      <c r="Y584" s="16"/>
      <c r="Z584" s="17"/>
    </row>
    <row r="585" spans="19:26" x14ac:dyDescent="0.3">
      <c r="S585" s="14"/>
      <c r="T585" s="14"/>
      <c r="U585" s="14"/>
      <c r="V585" s="12"/>
      <c r="W585" s="12"/>
      <c r="X585" s="12"/>
      <c r="Y585" s="16"/>
      <c r="Z585" s="17"/>
    </row>
    <row r="586" spans="19:26" x14ac:dyDescent="0.3">
      <c r="S586" s="14"/>
      <c r="T586" s="14"/>
      <c r="U586" s="14"/>
      <c r="V586" s="12"/>
      <c r="W586" s="12"/>
      <c r="X586" s="12"/>
      <c r="Y586" s="16"/>
      <c r="Z586" s="17"/>
    </row>
    <row r="587" spans="19:26" x14ac:dyDescent="0.3">
      <c r="S587" s="14"/>
      <c r="T587" s="14"/>
      <c r="U587" s="14"/>
      <c r="V587" s="12"/>
      <c r="W587" s="12"/>
      <c r="X587" s="12"/>
      <c r="Y587" s="16"/>
      <c r="Z587" s="17"/>
    </row>
    <row r="588" spans="19:26" x14ac:dyDescent="0.3">
      <c r="S588" s="14"/>
      <c r="T588" s="14"/>
      <c r="U588" s="14"/>
      <c r="V588" s="12"/>
      <c r="W588" s="12"/>
      <c r="X588" s="12"/>
      <c r="Y588" s="16"/>
      <c r="Z588" s="17"/>
    </row>
    <row r="589" spans="19:26" x14ac:dyDescent="0.3">
      <c r="S589" s="14"/>
      <c r="T589" s="14"/>
      <c r="U589" s="14"/>
      <c r="V589" s="12"/>
      <c r="W589" s="12"/>
      <c r="X589" s="12"/>
      <c r="Y589" s="16"/>
      <c r="Z589" s="17"/>
    </row>
    <row r="590" spans="19:26" x14ac:dyDescent="0.3">
      <c r="S590" s="14"/>
      <c r="T590" s="14"/>
      <c r="U590" s="14"/>
      <c r="V590" s="12"/>
      <c r="W590" s="12"/>
      <c r="X590" s="12"/>
      <c r="Y590" s="16"/>
      <c r="Z590" s="17"/>
    </row>
    <row r="591" spans="19:26" x14ac:dyDescent="0.3">
      <c r="S591" s="14"/>
      <c r="T591" s="14"/>
      <c r="U591" s="14"/>
      <c r="V591" s="12"/>
      <c r="W591" s="12"/>
      <c r="X591" s="12"/>
      <c r="Y591" s="16"/>
      <c r="Z591" s="17"/>
    </row>
    <row r="592" spans="19:26" x14ac:dyDescent="0.3">
      <c r="S592" s="14"/>
      <c r="T592" s="14"/>
      <c r="U592" s="14"/>
      <c r="V592" s="12"/>
      <c r="W592" s="12"/>
      <c r="X592" s="12"/>
      <c r="Y592" s="16"/>
      <c r="Z592" s="17"/>
    </row>
    <row r="593" spans="19:26" x14ac:dyDescent="0.3">
      <c r="S593" s="14"/>
      <c r="T593" s="14"/>
      <c r="U593" s="14"/>
      <c r="V593" s="12"/>
      <c r="W593" s="12"/>
      <c r="X593" s="12"/>
      <c r="Y593" s="16"/>
      <c r="Z593" s="17"/>
    </row>
    <row r="594" spans="19:26" x14ac:dyDescent="0.3">
      <c r="S594" s="14"/>
      <c r="T594" s="14"/>
      <c r="U594" s="14"/>
      <c r="V594" s="12"/>
      <c r="W594" s="12"/>
      <c r="X594" s="12"/>
      <c r="Y594" s="16"/>
      <c r="Z594" s="17"/>
    </row>
    <row r="595" spans="19:26" x14ac:dyDescent="0.3">
      <c r="S595" s="14"/>
      <c r="T595" s="14"/>
      <c r="U595" s="14"/>
      <c r="V595" s="12"/>
      <c r="W595" s="12"/>
      <c r="X595" s="12"/>
      <c r="Y595" s="16"/>
      <c r="Z595" s="17"/>
    </row>
    <row r="596" spans="19:26" x14ac:dyDescent="0.3">
      <c r="S596" s="14"/>
      <c r="T596" s="14"/>
      <c r="U596" s="14"/>
      <c r="V596" s="12"/>
      <c r="W596" s="12"/>
      <c r="X596" s="12"/>
      <c r="Y596" s="16"/>
      <c r="Z596" s="17"/>
    </row>
    <row r="597" spans="19:26" x14ac:dyDescent="0.3">
      <c r="S597" s="14"/>
      <c r="T597" s="14"/>
      <c r="U597" s="14"/>
      <c r="V597" s="12"/>
      <c r="W597" s="12"/>
      <c r="X597" s="12"/>
      <c r="Y597" s="16"/>
      <c r="Z597" s="17"/>
    </row>
    <row r="598" spans="19:26" x14ac:dyDescent="0.3">
      <c r="S598" s="14"/>
      <c r="T598" s="14"/>
      <c r="U598" s="14"/>
      <c r="V598" s="12"/>
      <c r="W598" s="12"/>
      <c r="X598" s="12"/>
      <c r="Y598" s="16"/>
      <c r="Z598" s="17"/>
    </row>
    <row r="599" spans="19:26" x14ac:dyDescent="0.3">
      <c r="S599" s="14"/>
      <c r="T599" s="14"/>
      <c r="U599" s="14"/>
      <c r="V599" s="12"/>
      <c r="W599" s="12"/>
      <c r="X599" s="12"/>
      <c r="Y599" s="16"/>
      <c r="Z599" s="17"/>
    </row>
    <row r="600" spans="19:26" x14ac:dyDescent="0.3">
      <c r="S600" s="14"/>
      <c r="T600" s="14"/>
      <c r="U600" s="14"/>
      <c r="V600" s="12"/>
      <c r="W600" s="12"/>
      <c r="X600" s="12"/>
      <c r="Y600" s="16"/>
      <c r="Z600" s="17"/>
    </row>
    <row r="601" spans="19:26" x14ac:dyDescent="0.3">
      <c r="S601" s="14"/>
      <c r="T601" s="14"/>
      <c r="U601" s="14"/>
      <c r="V601" s="12"/>
      <c r="W601" s="12"/>
      <c r="X601" s="12"/>
      <c r="Y601" s="16"/>
      <c r="Z601" s="17"/>
    </row>
    <row r="602" spans="19:26" x14ac:dyDescent="0.3">
      <c r="S602" s="14"/>
      <c r="T602" s="14"/>
      <c r="U602" s="14"/>
      <c r="V602" s="12"/>
      <c r="W602" s="12"/>
      <c r="X602" s="12"/>
      <c r="Y602" s="16"/>
      <c r="Z602" s="17"/>
    </row>
    <row r="603" spans="19:26" x14ac:dyDescent="0.3">
      <c r="S603" s="14"/>
      <c r="T603" s="14"/>
      <c r="U603" s="14"/>
      <c r="V603" s="12"/>
      <c r="W603" s="12"/>
      <c r="X603" s="12"/>
      <c r="Y603" s="16"/>
      <c r="Z603" s="17"/>
    </row>
    <row r="604" spans="19:26" x14ac:dyDescent="0.3">
      <c r="S604" s="14"/>
      <c r="T604" s="14"/>
      <c r="U604" s="14"/>
      <c r="V604" s="12"/>
      <c r="W604" s="12"/>
      <c r="X604" s="12"/>
      <c r="Y604" s="16"/>
      <c r="Z604" s="17"/>
    </row>
    <row r="605" spans="19:26" x14ac:dyDescent="0.3">
      <c r="S605" s="14"/>
      <c r="T605" s="14"/>
      <c r="U605" s="14"/>
      <c r="V605" s="12"/>
      <c r="W605" s="12"/>
      <c r="X605" s="12"/>
      <c r="Y605" s="16"/>
      <c r="Z605" s="17"/>
    </row>
    <row r="606" spans="19:26" x14ac:dyDescent="0.3">
      <c r="S606" s="14"/>
      <c r="T606" s="14"/>
      <c r="U606" s="14"/>
      <c r="V606" s="12"/>
      <c r="W606" s="12"/>
      <c r="X606" s="12"/>
      <c r="Y606" s="16"/>
      <c r="Z606" s="17"/>
    </row>
    <row r="607" spans="19:26" x14ac:dyDescent="0.3">
      <c r="S607" s="14"/>
      <c r="T607" s="14"/>
      <c r="U607" s="14"/>
      <c r="V607" s="12"/>
      <c r="W607" s="12"/>
      <c r="X607" s="12"/>
      <c r="Y607" s="16"/>
      <c r="Z607" s="17"/>
    </row>
    <row r="608" spans="19:26" x14ac:dyDescent="0.3">
      <c r="S608" s="14"/>
      <c r="T608" s="14"/>
      <c r="U608" s="14"/>
      <c r="V608" s="12"/>
      <c r="W608" s="12"/>
      <c r="X608" s="12"/>
      <c r="Y608" s="16"/>
      <c r="Z608" s="17"/>
    </row>
    <row r="609" spans="19:26" x14ac:dyDescent="0.3">
      <c r="S609" s="14"/>
      <c r="T609" s="14"/>
      <c r="U609" s="14"/>
      <c r="V609" s="12"/>
      <c r="W609" s="12"/>
      <c r="X609" s="12"/>
      <c r="Y609" s="16"/>
      <c r="Z609" s="17"/>
    </row>
    <row r="610" spans="19:26" x14ac:dyDescent="0.3">
      <c r="S610" s="14"/>
      <c r="T610" s="14"/>
      <c r="U610" s="14"/>
      <c r="V610" s="12"/>
      <c r="W610" s="12"/>
      <c r="X610" s="12"/>
      <c r="Y610" s="16"/>
      <c r="Z610" s="17"/>
    </row>
    <row r="611" spans="19:26" x14ac:dyDescent="0.3">
      <c r="S611" s="14"/>
      <c r="T611" s="14"/>
      <c r="U611" s="14"/>
      <c r="V611" s="12"/>
      <c r="W611" s="12"/>
      <c r="X611" s="12"/>
      <c r="Y611" s="16"/>
      <c r="Z611" s="17"/>
    </row>
    <row r="612" spans="19:26" x14ac:dyDescent="0.3">
      <c r="S612" s="14"/>
      <c r="T612" s="14"/>
      <c r="U612" s="14"/>
      <c r="V612" s="12"/>
      <c r="W612" s="12"/>
      <c r="X612" s="12"/>
      <c r="Y612" s="16"/>
      <c r="Z612" s="17"/>
    </row>
    <row r="613" spans="19:26" x14ac:dyDescent="0.3">
      <c r="S613" s="14"/>
      <c r="T613" s="14"/>
      <c r="U613" s="14"/>
      <c r="V613" s="12"/>
      <c r="W613" s="12"/>
      <c r="X613" s="12"/>
      <c r="Y613" s="16"/>
      <c r="Z613" s="17"/>
    </row>
    <row r="614" spans="19:26" x14ac:dyDescent="0.3">
      <c r="S614" s="14"/>
      <c r="T614" s="14"/>
      <c r="U614" s="14"/>
      <c r="V614" s="12"/>
      <c r="W614" s="12"/>
      <c r="X614" s="12"/>
      <c r="Y614" s="16"/>
      <c r="Z614" s="17"/>
    </row>
    <row r="615" spans="19:26" x14ac:dyDescent="0.3">
      <c r="S615" s="14"/>
      <c r="T615" s="14"/>
      <c r="U615" s="14"/>
      <c r="V615" s="12"/>
      <c r="W615" s="12"/>
      <c r="X615" s="12"/>
      <c r="Y615" s="16"/>
      <c r="Z615" s="17"/>
    </row>
    <row r="616" spans="19:26" x14ac:dyDescent="0.3">
      <c r="S616" s="14"/>
      <c r="T616" s="14"/>
      <c r="U616" s="14"/>
      <c r="V616" s="12"/>
      <c r="W616" s="12"/>
      <c r="X616" s="12"/>
      <c r="Y616" s="16"/>
      <c r="Z616" s="17"/>
    </row>
    <row r="617" spans="19:26" x14ac:dyDescent="0.3">
      <c r="S617" s="14"/>
      <c r="T617" s="14"/>
      <c r="U617" s="14"/>
      <c r="V617" s="12"/>
      <c r="W617" s="12"/>
      <c r="X617" s="12"/>
      <c r="Y617" s="16"/>
      <c r="Z617" s="17"/>
    </row>
    <row r="618" spans="19:26" x14ac:dyDescent="0.3">
      <c r="S618" s="14"/>
      <c r="T618" s="14"/>
      <c r="U618" s="14"/>
      <c r="V618" s="12"/>
      <c r="W618" s="12"/>
      <c r="X618" s="12"/>
      <c r="Y618" s="16"/>
      <c r="Z618" s="17"/>
    </row>
    <row r="619" spans="19:26" x14ac:dyDescent="0.3">
      <c r="S619" s="14"/>
      <c r="T619" s="14"/>
      <c r="U619" s="14"/>
      <c r="V619" s="12"/>
      <c r="W619" s="12"/>
      <c r="X619" s="12"/>
      <c r="Y619" s="16"/>
      <c r="Z619" s="17"/>
    </row>
    <row r="620" spans="19:26" x14ac:dyDescent="0.3">
      <c r="S620" s="14"/>
      <c r="T620" s="14"/>
      <c r="U620" s="14"/>
      <c r="V620" s="12"/>
      <c r="W620" s="12"/>
      <c r="X620" s="12"/>
      <c r="Y620" s="16"/>
      <c r="Z620" s="17"/>
    </row>
    <row r="621" spans="19:26" x14ac:dyDescent="0.3">
      <c r="S621" s="14"/>
      <c r="T621" s="14"/>
      <c r="U621" s="14"/>
      <c r="V621" s="12"/>
      <c r="W621" s="12"/>
      <c r="X621" s="12"/>
      <c r="Y621" s="16"/>
      <c r="Z621" s="17"/>
    </row>
    <row r="622" spans="19:26" x14ac:dyDescent="0.3">
      <c r="S622" s="14"/>
      <c r="T622" s="14"/>
      <c r="U622" s="14"/>
      <c r="V622" s="12"/>
      <c r="W622" s="12"/>
      <c r="X622" s="12"/>
      <c r="Y622" s="16"/>
      <c r="Z622" s="17"/>
    </row>
    <row r="623" spans="19:26" x14ac:dyDescent="0.3">
      <c r="S623" s="14"/>
      <c r="T623" s="14"/>
      <c r="U623" s="14"/>
      <c r="V623" s="12"/>
      <c r="W623" s="12"/>
      <c r="X623" s="12"/>
      <c r="Y623" s="16"/>
      <c r="Z623" s="17"/>
    </row>
    <row r="624" spans="19:26" x14ac:dyDescent="0.3">
      <c r="S624" s="14"/>
      <c r="T624" s="14"/>
      <c r="U624" s="14"/>
      <c r="V624" s="12"/>
      <c r="W624" s="12"/>
      <c r="X624" s="12"/>
      <c r="Y624" s="16"/>
      <c r="Z624" s="17"/>
    </row>
    <row r="625" spans="19:26" x14ac:dyDescent="0.3">
      <c r="S625" s="14"/>
      <c r="T625" s="14"/>
      <c r="U625" s="14"/>
      <c r="V625" s="12"/>
      <c r="W625" s="12"/>
      <c r="X625" s="12"/>
      <c r="Y625" s="16"/>
      <c r="Z625" s="17"/>
    </row>
    <row r="626" spans="19:26" x14ac:dyDescent="0.3">
      <c r="S626" s="14"/>
      <c r="T626" s="14"/>
      <c r="U626" s="14"/>
      <c r="V626" s="12"/>
      <c r="W626" s="12"/>
      <c r="X626" s="12"/>
      <c r="Y626" s="16"/>
      <c r="Z626" s="17"/>
    </row>
    <row r="627" spans="19:26" x14ac:dyDescent="0.3">
      <c r="S627" s="14"/>
      <c r="T627" s="14"/>
      <c r="U627" s="14"/>
      <c r="V627" s="12"/>
      <c r="W627" s="12"/>
      <c r="X627" s="12"/>
      <c r="Y627" s="16"/>
      <c r="Z627" s="17"/>
    </row>
    <row r="628" spans="19:26" x14ac:dyDescent="0.3">
      <c r="S628" s="14"/>
      <c r="T628" s="14"/>
      <c r="U628" s="14"/>
      <c r="V628" s="12"/>
      <c r="W628" s="12"/>
      <c r="X628" s="12"/>
      <c r="Y628" s="16"/>
      <c r="Z628" s="17"/>
    </row>
    <row r="629" spans="19:26" x14ac:dyDescent="0.3">
      <c r="S629" s="14"/>
      <c r="T629" s="14"/>
      <c r="U629" s="14"/>
      <c r="V629" s="12"/>
      <c r="W629" s="12"/>
      <c r="X629" s="12"/>
      <c r="Y629" s="16"/>
      <c r="Z629" s="17"/>
    </row>
    <row r="630" spans="19:26" x14ac:dyDescent="0.3">
      <c r="S630" s="14"/>
      <c r="T630" s="14"/>
      <c r="U630" s="14"/>
      <c r="V630" s="12"/>
      <c r="W630" s="12"/>
      <c r="X630" s="12"/>
      <c r="Y630" s="16"/>
      <c r="Z630" s="17"/>
    </row>
    <row r="631" spans="19:26" x14ac:dyDescent="0.3">
      <c r="S631" s="14"/>
      <c r="T631" s="14"/>
      <c r="U631" s="14"/>
      <c r="V631" s="12"/>
      <c r="W631" s="12"/>
      <c r="X631" s="12"/>
      <c r="Y631" s="16"/>
      <c r="Z631" s="17"/>
    </row>
    <row r="632" spans="19:26" x14ac:dyDescent="0.3">
      <c r="S632" s="14"/>
      <c r="T632" s="14"/>
      <c r="U632" s="14"/>
      <c r="V632" s="12"/>
      <c r="W632" s="12"/>
      <c r="X632" s="12"/>
      <c r="Y632" s="16"/>
      <c r="Z632" s="17"/>
    </row>
    <row r="633" spans="19:26" x14ac:dyDescent="0.3">
      <c r="S633" s="14"/>
      <c r="T633" s="14"/>
      <c r="U633" s="14"/>
      <c r="V633" s="12"/>
      <c r="W633" s="12"/>
      <c r="X633" s="12"/>
      <c r="Y633" s="16"/>
      <c r="Z633" s="17"/>
    </row>
    <row r="634" spans="19:26" x14ac:dyDescent="0.3">
      <c r="S634" s="14"/>
      <c r="T634" s="14"/>
      <c r="U634" s="14"/>
      <c r="V634" s="12"/>
      <c r="W634" s="12"/>
      <c r="X634" s="12"/>
      <c r="Y634" s="16"/>
      <c r="Z634" s="17"/>
    </row>
    <row r="635" spans="19:26" x14ac:dyDescent="0.3">
      <c r="S635" s="14"/>
      <c r="T635" s="14"/>
      <c r="U635" s="14"/>
      <c r="V635" s="12"/>
      <c r="W635" s="12"/>
      <c r="X635" s="12"/>
      <c r="Y635" s="16"/>
      <c r="Z635" s="17"/>
    </row>
    <row r="636" spans="19:26" x14ac:dyDescent="0.3">
      <c r="S636" s="14"/>
      <c r="T636" s="14"/>
      <c r="U636" s="14"/>
      <c r="V636" s="12"/>
      <c r="W636" s="12"/>
      <c r="X636" s="12"/>
      <c r="Y636" s="16"/>
      <c r="Z636" s="17"/>
    </row>
    <row r="637" spans="19:26" x14ac:dyDescent="0.3">
      <c r="S637" s="14"/>
      <c r="T637" s="14"/>
      <c r="U637" s="14"/>
      <c r="V637" s="12"/>
      <c r="W637" s="12"/>
      <c r="X637" s="12"/>
      <c r="Y637" s="16"/>
      <c r="Z637" s="17"/>
    </row>
    <row r="638" spans="19:26" x14ac:dyDescent="0.3">
      <c r="S638" s="14"/>
      <c r="T638" s="14"/>
      <c r="U638" s="14"/>
      <c r="V638" s="12"/>
      <c r="W638" s="12"/>
      <c r="X638" s="12"/>
      <c r="Y638" s="16"/>
      <c r="Z638" s="17"/>
    </row>
    <row r="639" spans="19:26" x14ac:dyDescent="0.3">
      <c r="S639" s="14"/>
      <c r="T639" s="14"/>
      <c r="U639" s="14"/>
      <c r="V639" s="12"/>
      <c r="W639" s="12"/>
      <c r="X639" s="12"/>
      <c r="Y639" s="16"/>
      <c r="Z639" s="17"/>
    </row>
    <row r="640" spans="19:26" x14ac:dyDescent="0.3">
      <c r="S640" s="14"/>
      <c r="T640" s="14"/>
      <c r="U640" s="14"/>
      <c r="V640" s="12"/>
      <c r="W640" s="12"/>
      <c r="X640" s="12"/>
      <c r="Y640" s="16"/>
      <c r="Z640" s="17"/>
    </row>
    <row r="641" spans="19:26" x14ac:dyDescent="0.3">
      <c r="S641" s="14"/>
      <c r="T641" s="14"/>
      <c r="U641" s="14"/>
      <c r="V641" s="12"/>
      <c r="W641" s="12"/>
      <c r="X641" s="12"/>
      <c r="Y641" s="16"/>
      <c r="Z641" s="17"/>
    </row>
    <row r="642" spans="19:26" x14ac:dyDescent="0.3">
      <c r="S642" s="14"/>
      <c r="T642" s="14"/>
      <c r="U642" s="14"/>
      <c r="V642" s="12"/>
      <c r="W642" s="12"/>
      <c r="X642" s="12"/>
      <c r="Y642" s="16"/>
      <c r="Z642" s="17"/>
    </row>
    <row r="643" spans="19:26" x14ac:dyDescent="0.3">
      <c r="S643" s="14"/>
      <c r="T643" s="14"/>
      <c r="U643" s="14"/>
      <c r="V643" s="12"/>
      <c r="W643" s="12"/>
      <c r="X643" s="12"/>
      <c r="Y643" s="16"/>
      <c r="Z643" s="17"/>
    </row>
    <row r="644" spans="19:26" x14ac:dyDescent="0.3">
      <c r="S644" s="14"/>
      <c r="T644" s="14"/>
      <c r="U644" s="14"/>
      <c r="V644" s="12"/>
      <c r="W644" s="12"/>
      <c r="X644" s="12"/>
      <c r="Y644" s="16"/>
      <c r="Z644" s="17"/>
    </row>
    <row r="645" spans="19:26" x14ac:dyDescent="0.3">
      <c r="S645" s="14"/>
      <c r="T645" s="14"/>
      <c r="U645" s="14"/>
      <c r="V645" s="12"/>
      <c r="W645" s="12"/>
      <c r="X645" s="12"/>
      <c r="Y645" s="16"/>
      <c r="Z645" s="17"/>
    </row>
    <row r="646" spans="19:26" x14ac:dyDescent="0.3">
      <c r="S646" s="14"/>
      <c r="T646" s="14"/>
      <c r="U646" s="14"/>
      <c r="V646" s="12"/>
      <c r="W646" s="12"/>
      <c r="X646" s="12"/>
      <c r="Y646" s="16"/>
      <c r="Z646" s="17"/>
    </row>
    <row r="647" spans="19:26" x14ac:dyDescent="0.3">
      <c r="S647" s="14"/>
      <c r="T647" s="14"/>
      <c r="U647" s="14"/>
      <c r="V647" s="12"/>
      <c r="W647" s="12"/>
      <c r="X647" s="12"/>
      <c r="Y647" s="16"/>
      <c r="Z647" s="17"/>
    </row>
    <row r="648" spans="19:26" x14ac:dyDescent="0.3">
      <c r="S648" s="14"/>
      <c r="T648" s="14"/>
      <c r="U648" s="14"/>
      <c r="V648" s="12"/>
      <c r="W648" s="12"/>
      <c r="X648" s="12"/>
      <c r="Y648" s="16"/>
      <c r="Z648" s="17"/>
    </row>
    <row r="649" spans="19:26" x14ac:dyDescent="0.3">
      <c r="S649" s="14"/>
      <c r="T649" s="14"/>
      <c r="U649" s="14"/>
      <c r="V649" s="12"/>
      <c r="W649" s="12"/>
      <c r="X649" s="12"/>
      <c r="Y649" s="16"/>
      <c r="Z649" s="17"/>
    </row>
    <row r="650" spans="19:26" x14ac:dyDescent="0.3">
      <c r="S650" s="14"/>
      <c r="T650" s="14"/>
      <c r="U650" s="14"/>
      <c r="V650" s="12"/>
      <c r="W650" s="12"/>
      <c r="X650" s="12"/>
      <c r="Y650" s="16"/>
      <c r="Z650" s="17"/>
    </row>
    <row r="651" spans="19:26" x14ac:dyDescent="0.3">
      <c r="S651" s="14"/>
      <c r="T651" s="14"/>
      <c r="U651" s="14"/>
      <c r="V651" s="12"/>
      <c r="W651" s="12"/>
      <c r="X651" s="12"/>
      <c r="Y651" s="16"/>
      <c r="Z651" s="17"/>
    </row>
    <row r="652" spans="19:26" x14ac:dyDescent="0.3">
      <c r="S652" s="14"/>
      <c r="T652" s="14"/>
      <c r="U652" s="14"/>
      <c r="V652" s="12"/>
      <c r="W652" s="12"/>
      <c r="X652" s="12"/>
      <c r="Y652" s="16"/>
      <c r="Z652" s="17"/>
    </row>
    <row r="653" spans="19:26" x14ac:dyDescent="0.3">
      <c r="S653" s="14"/>
      <c r="T653" s="14"/>
      <c r="U653" s="14"/>
      <c r="V653" s="12"/>
      <c r="W653" s="12"/>
      <c r="X653" s="12"/>
      <c r="Y653" s="16"/>
      <c r="Z653" s="17"/>
    </row>
    <row r="654" spans="19:26" x14ac:dyDescent="0.3">
      <c r="S654" s="14"/>
      <c r="T654" s="14"/>
      <c r="U654" s="14"/>
      <c r="V654" s="12"/>
      <c r="W654" s="12"/>
      <c r="X654" s="12"/>
      <c r="Y654" s="16"/>
      <c r="Z654" s="17"/>
    </row>
    <row r="655" spans="19:26" x14ac:dyDescent="0.3">
      <c r="S655" s="14"/>
      <c r="T655" s="14"/>
      <c r="U655" s="14"/>
      <c r="V655" s="12"/>
      <c r="W655" s="12"/>
      <c r="X655" s="12"/>
      <c r="Y655" s="16"/>
      <c r="Z655" s="17"/>
    </row>
    <row r="656" spans="19:26" x14ac:dyDescent="0.3">
      <c r="S656" s="14"/>
      <c r="T656" s="14"/>
      <c r="U656" s="14"/>
      <c r="V656" s="12"/>
      <c r="W656" s="12"/>
      <c r="X656" s="12"/>
      <c r="Y656" s="16"/>
      <c r="Z656" s="17"/>
    </row>
    <row r="657" spans="19:26" x14ac:dyDescent="0.3">
      <c r="S657" s="14"/>
      <c r="T657" s="14"/>
      <c r="U657" s="14"/>
      <c r="V657" s="12"/>
      <c r="W657" s="12"/>
      <c r="X657" s="12"/>
      <c r="Y657" s="16"/>
      <c r="Z657" s="17"/>
    </row>
    <row r="658" spans="19:26" x14ac:dyDescent="0.3">
      <c r="S658" s="14"/>
      <c r="T658" s="14"/>
      <c r="U658" s="14"/>
      <c r="V658" s="12"/>
      <c r="W658" s="12"/>
      <c r="X658" s="12"/>
      <c r="Y658" s="16"/>
      <c r="Z658" s="17"/>
    </row>
    <row r="659" spans="19:26" x14ac:dyDescent="0.3">
      <c r="S659" s="14"/>
      <c r="T659" s="14"/>
      <c r="U659" s="14"/>
      <c r="V659" s="12"/>
      <c r="W659" s="12"/>
      <c r="X659" s="12"/>
      <c r="Y659" s="16"/>
      <c r="Z659" s="17"/>
    </row>
    <row r="660" spans="19:26" x14ac:dyDescent="0.3">
      <c r="S660" s="14"/>
      <c r="T660" s="14"/>
      <c r="U660" s="14"/>
      <c r="V660" s="12"/>
      <c r="W660" s="12"/>
      <c r="X660" s="12"/>
      <c r="Y660" s="16"/>
      <c r="Z660" s="17"/>
    </row>
    <row r="661" spans="19:26" x14ac:dyDescent="0.3">
      <c r="S661" s="14"/>
      <c r="T661" s="14"/>
      <c r="U661" s="14"/>
      <c r="V661" s="12"/>
      <c r="W661" s="12"/>
      <c r="X661" s="12"/>
      <c r="Y661" s="16"/>
      <c r="Z661" s="17"/>
    </row>
    <row r="662" spans="19:26" x14ac:dyDescent="0.3">
      <c r="S662" s="14"/>
      <c r="T662" s="14"/>
      <c r="U662" s="14"/>
      <c r="V662" s="12"/>
      <c r="W662" s="12"/>
      <c r="X662" s="12"/>
      <c r="Y662" s="16"/>
      <c r="Z662" s="17"/>
    </row>
    <row r="663" spans="19:26" x14ac:dyDescent="0.3">
      <c r="S663" s="14"/>
      <c r="T663" s="14"/>
      <c r="U663" s="14"/>
      <c r="V663" s="12"/>
      <c r="W663" s="12"/>
      <c r="X663" s="12"/>
      <c r="Y663" s="16"/>
      <c r="Z663" s="17"/>
    </row>
    <row r="664" spans="19:26" x14ac:dyDescent="0.3">
      <c r="S664" s="14"/>
      <c r="T664" s="14"/>
      <c r="U664" s="14"/>
      <c r="V664" s="12"/>
      <c r="W664" s="12"/>
      <c r="X664" s="12"/>
      <c r="Y664" s="16"/>
      <c r="Z664" s="17"/>
    </row>
    <row r="665" spans="19:26" x14ac:dyDescent="0.3">
      <c r="S665" s="14"/>
      <c r="T665" s="14"/>
      <c r="U665" s="14"/>
      <c r="V665" s="12"/>
      <c r="W665" s="12"/>
      <c r="X665" s="12"/>
      <c r="Y665" s="16"/>
      <c r="Z665" s="17"/>
    </row>
    <row r="666" spans="19:26" x14ac:dyDescent="0.3">
      <c r="S666" s="14"/>
      <c r="T666" s="14"/>
      <c r="U666" s="14"/>
      <c r="V666" s="12"/>
      <c r="W666" s="12"/>
      <c r="X666" s="12"/>
      <c r="Y666" s="16"/>
      <c r="Z666" s="17"/>
    </row>
    <row r="667" spans="19:26" x14ac:dyDescent="0.3">
      <c r="S667" s="14"/>
      <c r="T667" s="14"/>
      <c r="U667" s="14"/>
      <c r="V667" s="12"/>
      <c r="W667" s="12"/>
      <c r="X667" s="12"/>
      <c r="Y667" s="16"/>
      <c r="Z667" s="17"/>
    </row>
    <row r="668" spans="19:26" x14ac:dyDescent="0.3">
      <c r="S668" s="14"/>
      <c r="T668" s="14"/>
      <c r="U668" s="14"/>
      <c r="V668" s="12"/>
      <c r="W668" s="12"/>
      <c r="X668" s="12"/>
      <c r="Y668" s="16"/>
      <c r="Z668" s="17"/>
    </row>
    <row r="669" spans="19:26" x14ac:dyDescent="0.3">
      <c r="S669" s="14"/>
      <c r="T669" s="14"/>
      <c r="U669" s="14"/>
      <c r="V669" s="12"/>
      <c r="W669" s="12"/>
      <c r="X669" s="12"/>
      <c r="Y669" s="16"/>
      <c r="Z669" s="17"/>
    </row>
    <row r="670" spans="19:26" x14ac:dyDescent="0.3">
      <c r="S670" s="14"/>
      <c r="T670" s="14"/>
      <c r="U670" s="14"/>
      <c r="V670" s="12"/>
      <c r="W670" s="12"/>
      <c r="X670" s="12"/>
      <c r="Y670" s="16"/>
      <c r="Z670" s="17"/>
    </row>
    <row r="671" spans="19:26" x14ac:dyDescent="0.3">
      <c r="S671" s="14"/>
      <c r="T671" s="14"/>
      <c r="U671" s="14"/>
      <c r="V671" s="12"/>
      <c r="W671" s="12"/>
      <c r="X671" s="12"/>
      <c r="Y671" s="16"/>
      <c r="Z671" s="17"/>
    </row>
    <row r="672" spans="19:26" x14ac:dyDescent="0.3">
      <c r="S672" s="14"/>
      <c r="T672" s="14"/>
      <c r="U672" s="14"/>
      <c r="V672" s="12"/>
      <c r="W672" s="12"/>
      <c r="X672" s="12"/>
      <c r="Y672" s="16"/>
      <c r="Z672" s="17"/>
    </row>
    <row r="673" spans="19:26" x14ac:dyDescent="0.3">
      <c r="S673" s="14"/>
      <c r="T673" s="14"/>
      <c r="U673" s="14"/>
      <c r="V673" s="12"/>
      <c r="W673" s="12"/>
      <c r="X673" s="12"/>
      <c r="Y673" s="16"/>
      <c r="Z673" s="17"/>
    </row>
    <row r="674" spans="19:26" x14ac:dyDescent="0.3">
      <c r="S674" s="14"/>
      <c r="T674" s="14"/>
      <c r="U674" s="14"/>
      <c r="V674" s="12"/>
      <c r="W674" s="12"/>
      <c r="X674" s="12"/>
      <c r="Y674" s="16"/>
      <c r="Z674" s="17"/>
    </row>
    <row r="675" spans="19:26" x14ac:dyDescent="0.3">
      <c r="S675" s="14"/>
      <c r="T675" s="14"/>
      <c r="U675" s="14"/>
      <c r="V675" s="12"/>
      <c r="W675" s="12"/>
      <c r="X675" s="12"/>
      <c r="Y675" s="16"/>
      <c r="Z675" s="17"/>
    </row>
    <row r="676" spans="19:26" x14ac:dyDescent="0.3">
      <c r="S676" s="14"/>
      <c r="T676" s="14"/>
      <c r="U676" s="14"/>
      <c r="V676" s="12"/>
      <c r="W676" s="12"/>
      <c r="X676" s="12"/>
      <c r="Y676" s="16"/>
      <c r="Z676" s="17"/>
    </row>
    <row r="677" spans="19:26" x14ac:dyDescent="0.3">
      <c r="S677" s="14"/>
      <c r="T677" s="14"/>
      <c r="U677" s="14"/>
      <c r="V677" s="12"/>
      <c r="W677" s="12"/>
      <c r="X677" s="12"/>
      <c r="Y677" s="16"/>
      <c r="Z677" s="17"/>
    </row>
    <row r="678" spans="19:26" x14ac:dyDescent="0.3">
      <c r="S678" s="14"/>
      <c r="T678" s="14"/>
      <c r="U678" s="14"/>
      <c r="V678" s="12"/>
      <c r="W678" s="12"/>
      <c r="X678" s="12"/>
      <c r="Y678" s="16"/>
      <c r="Z678" s="17"/>
    </row>
    <row r="679" spans="19:26" x14ac:dyDescent="0.3">
      <c r="S679" s="14"/>
      <c r="T679" s="14"/>
      <c r="U679" s="14"/>
      <c r="V679" s="12"/>
      <c r="W679" s="12"/>
      <c r="X679" s="12"/>
      <c r="Y679" s="16"/>
      <c r="Z679" s="17"/>
    </row>
    <row r="680" spans="19:26" x14ac:dyDescent="0.3">
      <c r="S680" s="14"/>
      <c r="T680" s="14"/>
      <c r="U680" s="14"/>
      <c r="V680" s="12"/>
      <c r="W680" s="12"/>
      <c r="X680" s="12"/>
      <c r="Y680" s="16"/>
      <c r="Z680" s="17"/>
    </row>
    <row r="681" spans="19:26" x14ac:dyDescent="0.3">
      <c r="S681" s="14"/>
      <c r="T681" s="14"/>
      <c r="U681" s="14"/>
      <c r="V681" s="12"/>
      <c r="W681" s="12"/>
      <c r="X681" s="12"/>
      <c r="Y681" s="16"/>
      <c r="Z681" s="17"/>
    </row>
    <row r="682" spans="19:26" x14ac:dyDescent="0.3">
      <c r="S682" s="14"/>
      <c r="T682" s="14"/>
      <c r="U682" s="14"/>
      <c r="V682" s="12"/>
      <c r="W682" s="12"/>
      <c r="X682" s="12"/>
      <c r="Y682" s="16"/>
      <c r="Z682" s="17"/>
    </row>
    <row r="683" spans="19:26" x14ac:dyDescent="0.3">
      <c r="S683" s="14"/>
      <c r="T683" s="14"/>
      <c r="U683" s="14"/>
      <c r="V683" s="12"/>
      <c r="W683" s="12"/>
      <c r="X683" s="12"/>
      <c r="Y683" s="16"/>
      <c r="Z683" s="17"/>
    </row>
    <row r="684" spans="19:26" x14ac:dyDescent="0.3">
      <c r="S684" s="14"/>
      <c r="T684" s="14"/>
      <c r="U684" s="14"/>
      <c r="V684" s="12"/>
      <c r="W684" s="12"/>
      <c r="X684" s="12"/>
      <c r="Y684" s="16"/>
      <c r="Z684" s="17"/>
    </row>
    <row r="685" spans="19:26" x14ac:dyDescent="0.3">
      <c r="S685" s="14"/>
      <c r="T685" s="14"/>
      <c r="U685" s="14"/>
      <c r="V685" s="12"/>
      <c r="W685" s="12"/>
      <c r="X685" s="12"/>
      <c r="Y685" s="16"/>
      <c r="Z685" s="17"/>
    </row>
    <row r="686" spans="19:26" x14ac:dyDescent="0.3">
      <c r="S686" s="14"/>
      <c r="T686" s="14"/>
      <c r="U686" s="14"/>
      <c r="V686" s="12"/>
      <c r="W686" s="12"/>
      <c r="X686" s="12"/>
      <c r="Y686" s="16"/>
      <c r="Z686" s="17"/>
    </row>
    <row r="687" spans="19:26" x14ac:dyDescent="0.3">
      <c r="S687" s="14"/>
      <c r="T687" s="14"/>
      <c r="U687" s="14"/>
      <c r="V687" s="12"/>
      <c r="W687" s="12"/>
      <c r="X687" s="12"/>
      <c r="Y687" s="16"/>
      <c r="Z687" s="17"/>
    </row>
    <row r="688" spans="19:26" x14ac:dyDescent="0.3">
      <c r="S688" s="14"/>
      <c r="T688" s="14"/>
      <c r="U688" s="14"/>
      <c r="V688" s="12"/>
      <c r="W688" s="12"/>
      <c r="X688" s="12"/>
      <c r="Y688" s="16"/>
      <c r="Z688" s="17"/>
    </row>
    <row r="689" spans="19:26" x14ac:dyDescent="0.3">
      <c r="S689" s="14"/>
      <c r="T689" s="14"/>
      <c r="U689" s="14"/>
      <c r="V689" s="12"/>
      <c r="W689" s="12"/>
      <c r="X689" s="12"/>
      <c r="Y689" s="16"/>
      <c r="Z689" s="17"/>
    </row>
    <row r="690" spans="19:26" x14ac:dyDescent="0.3">
      <c r="S690" s="14"/>
      <c r="T690" s="14"/>
      <c r="U690" s="14"/>
      <c r="V690" s="12"/>
      <c r="W690" s="12"/>
      <c r="X690" s="12"/>
      <c r="Y690" s="16"/>
      <c r="Z690" s="17"/>
    </row>
    <row r="691" spans="19:26" x14ac:dyDescent="0.3">
      <c r="S691" s="14"/>
      <c r="T691" s="14"/>
      <c r="U691" s="14"/>
      <c r="V691" s="12"/>
      <c r="W691" s="12"/>
      <c r="X691" s="12"/>
      <c r="Y691" s="16"/>
      <c r="Z691" s="17"/>
    </row>
    <row r="692" spans="19:26" x14ac:dyDescent="0.3">
      <c r="S692" s="14"/>
      <c r="T692" s="14"/>
      <c r="U692" s="14"/>
      <c r="V692" s="12"/>
      <c r="W692" s="12"/>
      <c r="X692" s="12"/>
      <c r="Y692" s="16"/>
      <c r="Z692" s="17"/>
    </row>
    <row r="693" spans="19:26" x14ac:dyDescent="0.3">
      <c r="S693" s="14"/>
      <c r="T693" s="14"/>
      <c r="U693" s="14"/>
      <c r="V693" s="12"/>
      <c r="W693" s="12"/>
      <c r="X693" s="12"/>
      <c r="Y693" s="16"/>
      <c r="Z693" s="17"/>
    </row>
    <row r="694" spans="19:26" x14ac:dyDescent="0.3">
      <c r="S694" s="14"/>
      <c r="T694" s="14"/>
      <c r="U694" s="14"/>
      <c r="V694" s="12"/>
      <c r="W694" s="12"/>
      <c r="X694" s="12"/>
      <c r="Y694" s="16"/>
      <c r="Z694" s="17"/>
    </row>
    <row r="695" spans="19:26" x14ac:dyDescent="0.3">
      <c r="S695" s="14"/>
      <c r="T695" s="14"/>
      <c r="U695" s="14"/>
      <c r="V695" s="12"/>
      <c r="W695" s="12"/>
      <c r="X695" s="12"/>
      <c r="Y695" s="16"/>
      <c r="Z695" s="17"/>
    </row>
    <row r="696" spans="19:26" x14ac:dyDescent="0.3">
      <c r="S696" s="14"/>
      <c r="T696" s="14"/>
      <c r="U696" s="14"/>
      <c r="V696" s="12"/>
      <c r="W696" s="12"/>
      <c r="X696" s="12"/>
      <c r="Y696" s="16"/>
      <c r="Z696" s="17"/>
    </row>
    <row r="697" spans="19:26" x14ac:dyDescent="0.3">
      <c r="S697" s="14"/>
      <c r="T697" s="14"/>
      <c r="U697" s="14"/>
      <c r="V697" s="12"/>
      <c r="W697" s="12"/>
      <c r="X697" s="12"/>
      <c r="Y697" s="16"/>
      <c r="Z697" s="17"/>
    </row>
    <row r="698" spans="19:26" x14ac:dyDescent="0.3">
      <c r="S698" s="14"/>
      <c r="T698" s="14"/>
      <c r="U698" s="14"/>
      <c r="V698" s="12"/>
      <c r="W698" s="12"/>
      <c r="X698" s="12"/>
      <c r="Y698" s="16"/>
      <c r="Z698" s="17"/>
    </row>
    <row r="699" spans="19:26" x14ac:dyDescent="0.3">
      <c r="S699" s="14"/>
      <c r="T699" s="14"/>
      <c r="U699" s="14"/>
      <c r="V699" s="12"/>
      <c r="W699" s="12"/>
      <c r="X699" s="12"/>
      <c r="Y699" s="16"/>
      <c r="Z699" s="17"/>
    </row>
    <row r="700" spans="19:26" x14ac:dyDescent="0.3">
      <c r="S700" s="14"/>
      <c r="T700" s="14"/>
      <c r="U700" s="14"/>
      <c r="V700" s="12"/>
      <c r="W700" s="12"/>
      <c r="X700" s="12"/>
      <c r="Y700" s="16"/>
      <c r="Z700" s="17"/>
    </row>
    <row r="701" spans="19:26" x14ac:dyDescent="0.3">
      <c r="S701" s="14"/>
      <c r="T701" s="14"/>
      <c r="U701" s="14"/>
      <c r="V701" s="12"/>
      <c r="W701" s="12"/>
      <c r="X701" s="12"/>
      <c r="Y701" s="16"/>
      <c r="Z701" s="17"/>
    </row>
    <row r="702" spans="19:26" x14ac:dyDescent="0.3">
      <c r="S702" s="14"/>
      <c r="T702" s="14"/>
      <c r="U702" s="14"/>
      <c r="V702" s="12"/>
      <c r="W702" s="12"/>
      <c r="X702" s="12"/>
      <c r="Y702" s="16"/>
      <c r="Z702" s="17"/>
    </row>
    <row r="703" spans="19:26" x14ac:dyDescent="0.3">
      <c r="S703" s="14"/>
      <c r="T703" s="14"/>
      <c r="U703" s="14"/>
      <c r="V703" s="12"/>
      <c r="W703" s="12"/>
      <c r="X703" s="12"/>
      <c r="Y703" s="16"/>
      <c r="Z703" s="17"/>
    </row>
    <row r="704" spans="19:26" x14ac:dyDescent="0.3">
      <c r="S704" s="14"/>
      <c r="T704" s="14"/>
      <c r="U704" s="14"/>
      <c r="V704" s="12"/>
      <c r="W704" s="12"/>
      <c r="X704" s="12"/>
      <c r="Y704" s="16"/>
      <c r="Z704" s="17"/>
    </row>
    <row r="705" spans="19:26" x14ac:dyDescent="0.3">
      <c r="S705" s="14"/>
      <c r="T705" s="14"/>
      <c r="U705" s="14"/>
      <c r="V705" s="12"/>
      <c r="W705" s="12"/>
      <c r="X705" s="12"/>
      <c r="Y705" s="16"/>
      <c r="Z705" s="17"/>
    </row>
    <row r="706" spans="19:26" x14ac:dyDescent="0.3">
      <c r="S706" s="14"/>
      <c r="T706" s="14"/>
      <c r="U706" s="14"/>
      <c r="V706" s="12"/>
      <c r="W706" s="12"/>
      <c r="X706" s="12"/>
      <c r="Y706" s="16"/>
      <c r="Z706" s="17"/>
    </row>
    <row r="707" spans="19:26" x14ac:dyDescent="0.3">
      <c r="S707" s="14"/>
      <c r="T707" s="14"/>
      <c r="U707" s="14"/>
      <c r="V707" s="12"/>
      <c r="W707" s="12"/>
      <c r="X707" s="12"/>
      <c r="Y707" s="16"/>
      <c r="Z707" s="17"/>
    </row>
    <row r="708" spans="19:26" x14ac:dyDescent="0.3">
      <c r="S708" s="14"/>
      <c r="T708" s="14"/>
      <c r="U708" s="14"/>
      <c r="V708" s="12"/>
      <c r="W708" s="12"/>
      <c r="X708" s="12"/>
      <c r="Y708" s="16"/>
      <c r="Z708" s="17"/>
    </row>
    <row r="709" spans="19:26" x14ac:dyDescent="0.3">
      <c r="S709" s="14"/>
      <c r="T709" s="14"/>
      <c r="U709" s="14"/>
      <c r="V709" s="12"/>
      <c r="W709" s="12"/>
      <c r="X709" s="12"/>
      <c r="Y709" s="16"/>
      <c r="Z709" s="17"/>
    </row>
    <row r="710" spans="19:26" x14ac:dyDescent="0.3">
      <c r="S710" s="14"/>
      <c r="T710" s="14"/>
      <c r="U710" s="14"/>
      <c r="V710" s="12"/>
      <c r="W710" s="12"/>
      <c r="X710" s="12"/>
      <c r="Y710" s="16"/>
      <c r="Z710" s="17"/>
    </row>
    <row r="711" spans="19:26" x14ac:dyDescent="0.3">
      <c r="S711" s="14"/>
      <c r="T711" s="14"/>
      <c r="U711" s="14"/>
      <c r="V711" s="12"/>
      <c r="W711" s="12"/>
      <c r="X711" s="12"/>
      <c r="Y711" s="16"/>
      <c r="Z711" s="17"/>
    </row>
    <row r="712" spans="19:26" x14ac:dyDescent="0.3">
      <c r="S712" s="14"/>
      <c r="T712" s="14"/>
      <c r="U712" s="14"/>
      <c r="V712" s="12"/>
      <c r="W712" s="12"/>
      <c r="X712" s="12"/>
      <c r="Y712" s="16"/>
      <c r="Z712" s="17"/>
    </row>
    <row r="713" spans="19:26" x14ac:dyDescent="0.3">
      <c r="S713" s="14"/>
      <c r="T713" s="14"/>
      <c r="U713" s="14"/>
      <c r="V713" s="12"/>
      <c r="W713" s="12"/>
      <c r="X713" s="12"/>
      <c r="Y713" s="16"/>
      <c r="Z713" s="17"/>
    </row>
    <row r="714" spans="19:26" x14ac:dyDescent="0.3">
      <c r="S714" s="14"/>
      <c r="T714" s="14"/>
      <c r="U714" s="14"/>
      <c r="V714" s="12"/>
      <c r="W714" s="12"/>
      <c r="X714" s="12"/>
      <c r="Y714" s="16"/>
      <c r="Z714" s="17"/>
    </row>
    <row r="715" spans="19:26" x14ac:dyDescent="0.3">
      <c r="S715" s="14"/>
      <c r="T715" s="14"/>
      <c r="U715" s="14"/>
      <c r="V715" s="12"/>
      <c r="W715" s="12"/>
      <c r="X715" s="12"/>
      <c r="Y715" s="16"/>
      <c r="Z715" s="17"/>
    </row>
    <row r="716" spans="19:26" x14ac:dyDescent="0.3">
      <c r="S716" s="14"/>
      <c r="T716" s="14"/>
      <c r="U716" s="14"/>
      <c r="V716" s="12"/>
      <c r="W716" s="12"/>
      <c r="X716" s="12"/>
      <c r="Y716" s="16"/>
      <c r="Z716" s="17"/>
    </row>
    <row r="717" spans="19:26" x14ac:dyDescent="0.3">
      <c r="S717" s="14"/>
      <c r="T717" s="14"/>
      <c r="U717" s="14"/>
      <c r="V717" s="12"/>
      <c r="W717" s="12"/>
      <c r="X717" s="12"/>
      <c r="Y717" s="16"/>
      <c r="Z717" s="17"/>
    </row>
    <row r="718" spans="19:26" x14ac:dyDescent="0.3">
      <c r="S718" s="14"/>
      <c r="T718" s="14"/>
      <c r="U718" s="14"/>
      <c r="V718" s="12"/>
      <c r="W718" s="12"/>
      <c r="X718" s="12"/>
      <c r="Y718" s="16"/>
      <c r="Z718" s="17"/>
    </row>
    <row r="719" spans="19:26" x14ac:dyDescent="0.3">
      <c r="S719" s="14"/>
      <c r="T719" s="14"/>
      <c r="U719" s="14"/>
      <c r="V719" s="12"/>
      <c r="W719" s="12"/>
      <c r="X719" s="12"/>
      <c r="Y719" s="16"/>
      <c r="Z719" s="17"/>
    </row>
    <row r="720" spans="19:26" x14ac:dyDescent="0.3">
      <c r="S720" s="14"/>
      <c r="T720" s="14"/>
      <c r="U720" s="14"/>
      <c r="V720" s="12"/>
      <c r="W720" s="12"/>
      <c r="X720" s="12"/>
      <c r="Y720" s="16"/>
      <c r="Z720" s="17"/>
    </row>
    <row r="721" spans="19:26" x14ac:dyDescent="0.3">
      <c r="S721" s="14"/>
      <c r="T721" s="14"/>
      <c r="U721" s="14"/>
      <c r="V721" s="12"/>
      <c r="W721" s="12"/>
      <c r="X721" s="12"/>
      <c r="Y721" s="16"/>
      <c r="Z721" s="17"/>
    </row>
    <row r="722" spans="19:26" x14ac:dyDescent="0.3">
      <c r="S722" s="14"/>
      <c r="T722" s="14"/>
      <c r="U722" s="14"/>
      <c r="V722" s="12"/>
      <c r="W722" s="12"/>
      <c r="X722" s="12"/>
      <c r="Y722" s="16"/>
      <c r="Z722" s="17"/>
    </row>
    <row r="723" spans="19:26" x14ac:dyDescent="0.3">
      <c r="S723" s="14"/>
      <c r="T723" s="14"/>
      <c r="U723" s="14"/>
      <c r="V723" s="12"/>
      <c r="W723" s="12"/>
      <c r="X723" s="12"/>
      <c r="Y723" s="16"/>
      <c r="Z723" s="17"/>
    </row>
    <row r="724" spans="19:26" x14ac:dyDescent="0.3">
      <c r="S724" s="14"/>
      <c r="T724" s="14"/>
      <c r="U724" s="14"/>
      <c r="V724" s="12"/>
      <c r="W724" s="12"/>
      <c r="X724" s="12"/>
      <c r="Y724" s="16"/>
      <c r="Z724" s="17"/>
    </row>
    <row r="725" spans="19:26" x14ac:dyDescent="0.3">
      <c r="S725" s="14"/>
      <c r="T725" s="14"/>
      <c r="U725" s="14"/>
      <c r="V725" s="12"/>
      <c r="W725" s="12"/>
      <c r="X725" s="12"/>
      <c r="Y725" s="16"/>
      <c r="Z725" s="17"/>
    </row>
    <row r="726" spans="19:26" x14ac:dyDescent="0.3">
      <c r="S726" s="14"/>
      <c r="T726" s="14"/>
      <c r="U726" s="14"/>
      <c r="V726" s="12"/>
      <c r="W726" s="12"/>
      <c r="X726" s="12"/>
      <c r="Y726" s="16"/>
      <c r="Z726" s="17"/>
    </row>
    <row r="727" spans="19:26" x14ac:dyDescent="0.3">
      <c r="S727" s="14"/>
      <c r="T727" s="14"/>
      <c r="U727" s="14"/>
      <c r="V727" s="12"/>
      <c r="W727" s="12"/>
      <c r="X727" s="12"/>
      <c r="Y727" s="16"/>
      <c r="Z727" s="17"/>
    </row>
    <row r="728" spans="19:26" x14ac:dyDescent="0.3">
      <c r="S728" s="14"/>
      <c r="T728" s="14"/>
      <c r="U728" s="14"/>
      <c r="V728" s="12"/>
      <c r="W728" s="12"/>
      <c r="X728" s="12"/>
      <c r="Y728" s="16"/>
      <c r="Z728" s="17"/>
    </row>
    <row r="729" spans="19:26" x14ac:dyDescent="0.3">
      <c r="S729" s="14"/>
      <c r="T729" s="14"/>
      <c r="U729" s="14"/>
      <c r="V729" s="12"/>
      <c r="W729" s="12"/>
      <c r="X729" s="12"/>
      <c r="Y729" s="16"/>
      <c r="Z729" s="17"/>
    </row>
    <row r="730" spans="19:26" x14ac:dyDescent="0.3">
      <c r="S730" s="14"/>
      <c r="T730" s="14"/>
      <c r="U730" s="14"/>
      <c r="V730" s="12"/>
      <c r="W730" s="12"/>
      <c r="X730" s="12"/>
      <c r="Y730" s="16"/>
      <c r="Z730" s="17"/>
    </row>
    <row r="731" spans="19:26" x14ac:dyDescent="0.3">
      <c r="S731" s="14"/>
      <c r="T731" s="14"/>
      <c r="U731" s="14"/>
      <c r="V731" s="12"/>
      <c r="W731" s="12"/>
      <c r="X731" s="12"/>
      <c r="Y731" s="16"/>
      <c r="Z731" s="17"/>
    </row>
    <row r="732" spans="19:26" x14ac:dyDescent="0.3">
      <c r="S732" s="14"/>
      <c r="T732" s="14"/>
      <c r="U732" s="14"/>
      <c r="V732" s="12"/>
      <c r="W732" s="12"/>
      <c r="X732" s="12"/>
      <c r="Y732" s="16"/>
      <c r="Z732" s="17"/>
    </row>
    <row r="733" spans="19:26" x14ac:dyDescent="0.3">
      <c r="S733" s="14"/>
      <c r="T733" s="14"/>
      <c r="U733" s="14"/>
      <c r="V733" s="12"/>
      <c r="W733" s="12"/>
      <c r="X733" s="12"/>
      <c r="Y733" s="16"/>
      <c r="Z733" s="17"/>
    </row>
    <row r="734" spans="19:26" x14ac:dyDescent="0.3">
      <c r="S734" s="14"/>
      <c r="T734" s="14"/>
      <c r="U734" s="14"/>
      <c r="V734" s="12"/>
      <c r="W734" s="12"/>
      <c r="X734" s="12"/>
      <c r="Y734" s="16"/>
      <c r="Z734" s="17"/>
    </row>
    <row r="735" spans="19:26" x14ac:dyDescent="0.3">
      <c r="S735" s="14"/>
      <c r="T735" s="14"/>
      <c r="U735" s="14"/>
      <c r="V735" s="12"/>
      <c r="W735" s="12"/>
      <c r="X735" s="12"/>
      <c r="Y735" s="16"/>
      <c r="Z735" s="17"/>
    </row>
    <row r="736" spans="19:26" x14ac:dyDescent="0.3">
      <c r="S736" s="14"/>
      <c r="T736" s="14"/>
      <c r="U736" s="14"/>
      <c r="V736" s="12"/>
      <c r="W736" s="12"/>
      <c r="X736" s="12"/>
      <c r="Y736" s="16"/>
      <c r="Z736" s="17"/>
    </row>
    <row r="737" spans="19:26" x14ac:dyDescent="0.3">
      <c r="S737" s="14"/>
      <c r="T737" s="14"/>
      <c r="U737" s="14"/>
      <c r="V737" s="12"/>
      <c r="W737" s="12"/>
      <c r="X737" s="12"/>
      <c r="Y737" s="16"/>
      <c r="Z737" s="17"/>
    </row>
    <row r="738" spans="19:26" x14ac:dyDescent="0.3">
      <c r="S738" s="14"/>
      <c r="T738" s="14"/>
      <c r="U738" s="14"/>
      <c r="V738" s="12"/>
      <c r="W738" s="12"/>
      <c r="X738" s="12"/>
      <c r="Y738" s="16"/>
      <c r="Z738" s="17"/>
    </row>
    <row r="739" spans="19:26" x14ac:dyDescent="0.3">
      <c r="S739" s="14"/>
      <c r="T739" s="14"/>
      <c r="U739" s="14"/>
      <c r="V739" s="12"/>
      <c r="W739" s="12"/>
      <c r="X739" s="12"/>
      <c r="Y739" s="16"/>
      <c r="Z739" s="17"/>
    </row>
    <row r="740" spans="19:26" x14ac:dyDescent="0.3">
      <c r="S740" s="14"/>
      <c r="T740" s="14"/>
      <c r="U740" s="14"/>
      <c r="V740" s="12"/>
      <c r="W740" s="12"/>
      <c r="X740" s="12"/>
      <c r="Y740" s="16"/>
      <c r="Z740" s="17"/>
    </row>
    <row r="741" spans="19:26" x14ac:dyDescent="0.3">
      <c r="S741" s="14"/>
      <c r="T741" s="14"/>
      <c r="U741" s="14"/>
      <c r="V741" s="12"/>
      <c r="W741" s="12"/>
      <c r="X741" s="12"/>
      <c r="Y741" s="16"/>
      <c r="Z741" s="17"/>
    </row>
    <row r="742" spans="19:26" x14ac:dyDescent="0.3">
      <c r="S742" s="14"/>
      <c r="T742" s="14"/>
      <c r="U742" s="14"/>
      <c r="V742" s="12"/>
      <c r="W742" s="12"/>
      <c r="X742" s="12"/>
      <c r="Y742" s="16"/>
      <c r="Z742" s="17"/>
    </row>
    <row r="743" spans="19:26" x14ac:dyDescent="0.3">
      <c r="S743" s="14"/>
      <c r="T743" s="14"/>
      <c r="U743" s="14"/>
      <c r="V743" s="12"/>
      <c r="W743" s="12"/>
      <c r="X743" s="12"/>
      <c r="Y743" s="16"/>
      <c r="Z743" s="17"/>
    </row>
    <row r="744" spans="19:26" x14ac:dyDescent="0.3">
      <c r="S744" s="14"/>
      <c r="T744" s="14"/>
      <c r="U744" s="14"/>
      <c r="V744" s="12"/>
      <c r="W744" s="12"/>
      <c r="X744" s="12"/>
      <c r="Y744" s="16"/>
      <c r="Z744" s="17"/>
    </row>
    <row r="745" spans="19:26" x14ac:dyDescent="0.3">
      <c r="S745" s="14"/>
      <c r="T745" s="14"/>
      <c r="U745" s="14"/>
      <c r="V745" s="12"/>
      <c r="W745" s="12"/>
      <c r="X745" s="12"/>
      <c r="Y745" s="16"/>
      <c r="Z745" s="17"/>
    </row>
    <row r="746" spans="19:26" x14ac:dyDescent="0.3">
      <c r="S746" s="14"/>
      <c r="T746" s="14"/>
      <c r="U746" s="14"/>
      <c r="V746" s="12"/>
      <c r="W746" s="12"/>
      <c r="X746" s="12"/>
      <c r="Y746" s="16"/>
      <c r="Z746" s="17"/>
    </row>
    <row r="747" spans="19:26" x14ac:dyDescent="0.3">
      <c r="S747" s="14"/>
      <c r="T747" s="14"/>
      <c r="U747" s="14"/>
      <c r="V747" s="12"/>
      <c r="W747" s="12"/>
      <c r="X747" s="12"/>
      <c r="Y747" s="16"/>
      <c r="Z747" s="17"/>
    </row>
    <row r="748" spans="19:26" x14ac:dyDescent="0.3">
      <c r="S748" s="14"/>
      <c r="T748" s="14"/>
      <c r="U748" s="14"/>
      <c r="V748" s="12"/>
      <c r="W748" s="12"/>
      <c r="X748" s="12"/>
      <c r="Y748" s="16"/>
      <c r="Z748" s="17"/>
    </row>
    <row r="749" spans="19:26" x14ac:dyDescent="0.3">
      <c r="S749" s="14"/>
      <c r="T749" s="14"/>
      <c r="U749" s="14"/>
      <c r="V749" s="12"/>
      <c r="W749" s="12"/>
      <c r="X749" s="12"/>
      <c r="Y749" s="16"/>
      <c r="Z749" s="17"/>
    </row>
    <row r="750" spans="19:26" x14ac:dyDescent="0.3">
      <c r="S750" s="14"/>
      <c r="T750" s="14"/>
      <c r="U750" s="14"/>
      <c r="V750" s="12"/>
      <c r="W750" s="12"/>
      <c r="X750" s="12"/>
      <c r="Y750" s="16"/>
      <c r="Z750" s="17"/>
    </row>
    <row r="751" spans="19:26" x14ac:dyDescent="0.3">
      <c r="S751" s="14"/>
      <c r="T751" s="14"/>
      <c r="U751" s="14"/>
      <c r="V751" s="12"/>
      <c r="W751" s="12"/>
      <c r="X751" s="12"/>
      <c r="Y751" s="16"/>
      <c r="Z751" s="17"/>
    </row>
    <row r="752" spans="19:26" x14ac:dyDescent="0.3">
      <c r="S752" s="14"/>
      <c r="T752" s="14"/>
      <c r="U752" s="14"/>
      <c r="V752" s="12"/>
      <c r="W752" s="12"/>
      <c r="X752" s="12"/>
      <c r="Y752" s="16"/>
      <c r="Z752" s="17"/>
    </row>
    <row r="753" spans="19:26" x14ac:dyDescent="0.3">
      <c r="S753" s="14"/>
      <c r="T753" s="14"/>
      <c r="U753" s="14"/>
      <c r="V753" s="12"/>
      <c r="W753" s="12"/>
      <c r="X753" s="12"/>
      <c r="Y753" s="16"/>
      <c r="Z753" s="17"/>
    </row>
    <row r="754" spans="19:26" x14ac:dyDescent="0.3">
      <c r="S754" s="14"/>
      <c r="T754" s="14"/>
      <c r="U754" s="14"/>
      <c r="V754" s="12"/>
      <c r="W754" s="12"/>
      <c r="X754" s="12"/>
      <c r="Y754" s="16"/>
      <c r="Z754" s="17"/>
    </row>
    <row r="755" spans="19:26" x14ac:dyDescent="0.3">
      <c r="S755" s="14"/>
      <c r="T755" s="14"/>
      <c r="U755" s="14"/>
      <c r="V755" s="12"/>
      <c r="W755" s="12"/>
      <c r="X755" s="12"/>
      <c r="Y755" s="16"/>
      <c r="Z755" s="17"/>
    </row>
    <row r="756" spans="19:26" x14ac:dyDescent="0.3">
      <c r="S756" s="14"/>
      <c r="T756" s="14"/>
      <c r="U756" s="14"/>
      <c r="V756" s="12"/>
      <c r="W756" s="12"/>
      <c r="X756" s="12"/>
      <c r="Y756" s="16"/>
      <c r="Z756" s="17"/>
    </row>
    <row r="757" spans="19:26" x14ac:dyDescent="0.3">
      <c r="S757" s="14"/>
      <c r="T757" s="14"/>
      <c r="U757" s="14"/>
      <c r="V757" s="12"/>
      <c r="W757" s="12"/>
      <c r="X757" s="12"/>
      <c r="Y757" s="16"/>
      <c r="Z757" s="17"/>
    </row>
    <row r="758" spans="19:26" x14ac:dyDescent="0.3">
      <c r="S758" s="14"/>
      <c r="T758" s="14"/>
      <c r="U758" s="14"/>
      <c r="V758" s="12"/>
      <c r="W758" s="12"/>
      <c r="X758" s="12"/>
      <c r="Y758" s="16"/>
      <c r="Z758" s="17"/>
    </row>
    <row r="759" spans="19:26" x14ac:dyDescent="0.3">
      <c r="S759" s="14"/>
      <c r="T759" s="14"/>
      <c r="U759" s="14"/>
      <c r="V759" s="12"/>
      <c r="W759" s="12"/>
      <c r="X759" s="12"/>
      <c r="Y759" s="16"/>
      <c r="Z759" s="17"/>
    </row>
    <row r="760" spans="19:26" x14ac:dyDescent="0.3">
      <c r="S760" s="14"/>
      <c r="T760" s="14"/>
      <c r="U760" s="14"/>
      <c r="V760" s="12"/>
      <c r="W760" s="12"/>
      <c r="X760" s="12"/>
      <c r="Y760" s="16"/>
      <c r="Z760" s="17"/>
    </row>
    <row r="761" spans="19:26" x14ac:dyDescent="0.3">
      <c r="S761" s="14"/>
      <c r="T761" s="14"/>
      <c r="U761" s="14"/>
      <c r="V761" s="12"/>
      <c r="W761" s="12"/>
      <c r="X761" s="12"/>
      <c r="Y761" s="16"/>
      <c r="Z761" s="17"/>
    </row>
    <row r="762" spans="19:26" x14ac:dyDescent="0.3">
      <c r="S762" s="14"/>
      <c r="T762" s="14"/>
      <c r="U762" s="14"/>
      <c r="V762" s="12"/>
      <c r="W762" s="12"/>
      <c r="X762" s="12"/>
      <c r="Y762" s="16"/>
      <c r="Z762" s="17"/>
    </row>
    <row r="763" spans="19:26" x14ac:dyDescent="0.3">
      <c r="S763" s="14"/>
      <c r="T763" s="14"/>
      <c r="U763" s="14"/>
      <c r="V763" s="12"/>
      <c r="W763" s="12"/>
      <c r="X763" s="12"/>
      <c r="Y763" s="16"/>
      <c r="Z763" s="17"/>
    </row>
    <row r="764" spans="19:26" x14ac:dyDescent="0.3">
      <c r="S764" s="14"/>
      <c r="T764" s="14"/>
      <c r="U764" s="14"/>
      <c r="V764" s="12"/>
      <c r="W764" s="12"/>
      <c r="X764" s="12"/>
      <c r="Y764" s="16"/>
      <c r="Z764" s="17"/>
    </row>
    <row r="765" spans="19:26" x14ac:dyDescent="0.3">
      <c r="S765" s="14"/>
      <c r="T765" s="14"/>
      <c r="U765" s="14"/>
      <c r="V765" s="12"/>
      <c r="W765" s="12"/>
      <c r="X765" s="12"/>
      <c r="Y765" s="16"/>
      <c r="Z765" s="17"/>
    </row>
    <row r="766" spans="19:26" x14ac:dyDescent="0.3">
      <c r="S766" s="14"/>
      <c r="T766" s="14"/>
      <c r="U766" s="14"/>
      <c r="V766" s="12"/>
      <c r="W766" s="12"/>
      <c r="X766" s="12"/>
      <c r="Y766" s="16"/>
      <c r="Z766" s="17"/>
    </row>
    <row r="767" spans="19:26" x14ac:dyDescent="0.3">
      <c r="S767" s="14"/>
      <c r="T767" s="14"/>
      <c r="U767" s="14"/>
      <c r="V767" s="12"/>
      <c r="W767" s="12"/>
      <c r="X767" s="12"/>
      <c r="Y767" s="16"/>
      <c r="Z767" s="17"/>
    </row>
    <row r="768" spans="19:26" x14ac:dyDescent="0.3">
      <c r="S768" s="14"/>
      <c r="T768" s="14"/>
      <c r="U768" s="14"/>
      <c r="V768" s="12"/>
      <c r="W768" s="12"/>
      <c r="X768" s="12"/>
      <c r="Y768" s="16"/>
      <c r="Z768" s="17"/>
    </row>
    <row r="769" spans="19:26" x14ac:dyDescent="0.3">
      <c r="S769" s="14"/>
      <c r="T769" s="14"/>
      <c r="U769" s="14"/>
      <c r="V769" s="12"/>
      <c r="W769" s="12"/>
      <c r="X769" s="12"/>
      <c r="Y769" s="16"/>
      <c r="Z769" s="17"/>
    </row>
    <row r="770" spans="19:26" x14ac:dyDescent="0.3">
      <c r="S770" s="14"/>
      <c r="T770" s="14"/>
      <c r="U770" s="14"/>
      <c r="V770" s="12"/>
      <c r="W770" s="12"/>
      <c r="X770" s="12"/>
      <c r="Y770" s="16"/>
      <c r="Z770" s="17"/>
    </row>
    <row r="771" spans="19:26" x14ac:dyDescent="0.3">
      <c r="S771" s="14"/>
      <c r="T771" s="14"/>
      <c r="U771" s="14"/>
      <c r="V771" s="12"/>
      <c r="W771" s="12"/>
      <c r="X771" s="12"/>
      <c r="Y771" s="16"/>
      <c r="Z771" s="17"/>
    </row>
    <row r="772" spans="19:26" x14ac:dyDescent="0.3">
      <c r="S772" s="14"/>
      <c r="T772" s="14"/>
      <c r="U772" s="14"/>
      <c r="V772" s="12"/>
      <c r="W772" s="12"/>
      <c r="X772" s="12"/>
      <c r="Y772" s="16"/>
      <c r="Z772" s="17"/>
    </row>
    <row r="773" spans="19:26" x14ac:dyDescent="0.3">
      <c r="S773" s="14"/>
      <c r="T773" s="14"/>
      <c r="U773" s="14"/>
      <c r="V773" s="12"/>
      <c r="W773" s="12"/>
      <c r="X773" s="12"/>
      <c r="Y773" s="16"/>
      <c r="Z773" s="17"/>
    </row>
    <row r="774" spans="19:26" x14ac:dyDescent="0.3">
      <c r="S774" s="14"/>
      <c r="T774" s="14"/>
      <c r="U774" s="14"/>
      <c r="V774" s="12"/>
      <c r="W774" s="12"/>
      <c r="X774" s="12"/>
      <c r="Y774" s="16"/>
      <c r="Z774" s="17"/>
    </row>
    <row r="775" spans="19:26" x14ac:dyDescent="0.3">
      <c r="S775" s="14"/>
      <c r="T775" s="14"/>
      <c r="U775" s="14"/>
      <c r="V775" s="12"/>
      <c r="W775" s="12"/>
      <c r="X775" s="12"/>
      <c r="Y775" s="16"/>
      <c r="Z775" s="17"/>
    </row>
    <row r="776" spans="19:26" x14ac:dyDescent="0.3">
      <c r="S776" s="14"/>
      <c r="T776" s="14"/>
      <c r="U776" s="14"/>
      <c r="V776" s="12"/>
      <c r="W776" s="12"/>
      <c r="X776" s="12"/>
      <c r="Y776" s="16"/>
      <c r="Z776" s="17"/>
    </row>
    <row r="777" spans="19:26" x14ac:dyDescent="0.3">
      <c r="S777" s="14"/>
      <c r="T777" s="14"/>
      <c r="U777" s="14"/>
      <c r="V777" s="12"/>
      <c r="W777" s="12"/>
      <c r="X777" s="12"/>
      <c r="Y777" s="16"/>
      <c r="Z777" s="17"/>
    </row>
    <row r="778" spans="19:26" x14ac:dyDescent="0.3">
      <c r="S778" s="14"/>
      <c r="T778" s="14"/>
      <c r="U778" s="14"/>
      <c r="V778" s="12"/>
      <c r="W778" s="12"/>
      <c r="X778" s="12"/>
      <c r="Y778" s="16"/>
      <c r="Z778" s="17"/>
    </row>
    <row r="779" spans="19:26" x14ac:dyDescent="0.3">
      <c r="S779" s="14"/>
      <c r="T779" s="14"/>
      <c r="U779" s="14"/>
      <c r="V779" s="12"/>
      <c r="W779" s="12"/>
      <c r="X779" s="12"/>
      <c r="Y779" s="16"/>
      <c r="Z779" s="17"/>
    </row>
    <row r="780" spans="19:26" x14ac:dyDescent="0.3">
      <c r="S780" s="14"/>
      <c r="T780" s="14"/>
      <c r="U780" s="14"/>
      <c r="V780" s="12"/>
      <c r="W780" s="12"/>
      <c r="X780" s="12"/>
      <c r="Y780" s="16"/>
      <c r="Z780" s="17"/>
    </row>
    <row r="781" spans="19:26" x14ac:dyDescent="0.3">
      <c r="S781" s="14"/>
      <c r="T781" s="14"/>
      <c r="U781" s="14"/>
      <c r="V781" s="12"/>
      <c r="W781" s="12"/>
      <c r="X781" s="12"/>
      <c r="Y781" s="16"/>
      <c r="Z781" s="17"/>
    </row>
    <row r="782" spans="19:26" x14ac:dyDescent="0.3">
      <c r="S782" s="14"/>
      <c r="T782" s="14"/>
      <c r="U782" s="14"/>
      <c r="V782" s="12"/>
      <c r="W782" s="12"/>
      <c r="X782" s="12"/>
      <c r="Y782" s="16"/>
      <c r="Z782" s="17"/>
    </row>
    <row r="783" spans="19:26" x14ac:dyDescent="0.3">
      <c r="S783" s="14"/>
      <c r="T783" s="14"/>
      <c r="U783" s="14"/>
      <c r="V783" s="12"/>
      <c r="W783" s="12"/>
      <c r="X783" s="12"/>
      <c r="Y783" s="16"/>
      <c r="Z783" s="17"/>
    </row>
    <row r="784" spans="19:26" x14ac:dyDescent="0.3">
      <c r="S784" s="14"/>
      <c r="T784" s="14"/>
      <c r="U784" s="14"/>
      <c r="V784" s="12"/>
      <c r="W784" s="12"/>
      <c r="X784" s="12"/>
      <c r="Y784" s="16"/>
      <c r="Z784" s="17"/>
    </row>
    <row r="785" spans="19:26" x14ac:dyDescent="0.3">
      <c r="S785" s="14"/>
      <c r="T785" s="14"/>
      <c r="U785" s="14"/>
      <c r="V785" s="12"/>
      <c r="W785" s="12"/>
      <c r="X785" s="12"/>
      <c r="Y785" s="16"/>
      <c r="Z785" s="17"/>
    </row>
    <row r="786" spans="19:26" x14ac:dyDescent="0.3">
      <c r="S786" s="14"/>
      <c r="T786" s="14"/>
      <c r="U786" s="14"/>
      <c r="V786" s="12"/>
      <c r="W786" s="12"/>
      <c r="X786" s="12"/>
      <c r="Y786" s="16"/>
      <c r="Z786" s="17"/>
    </row>
    <row r="787" spans="19:26" x14ac:dyDescent="0.3">
      <c r="S787" s="14"/>
      <c r="T787" s="14"/>
      <c r="U787" s="14"/>
      <c r="V787" s="12"/>
      <c r="W787" s="12"/>
      <c r="X787" s="12"/>
      <c r="Y787" s="16"/>
      <c r="Z787" s="17"/>
    </row>
    <row r="788" spans="19:26" x14ac:dyDescent="0.3">
      <c r="S788" s="14"/>
      <c r="T788" s="14"/>
      <c r="U788" s="14"/>
      <c r="V788" s="12"/>
      <c r="W788" s="12"/>
      <c r="X788" s="12"/>
      <c r="Y788" s="16"/>
      <c r="Z788" s="17"/>
    </row>
    <row r="789" spans="19:26" x14ac:dyDescent="0.3">
      <c r="S789" s="14"/>
      <c r="T789" s="14"/>
      <c r="U789" s="14"/>
      <c r="V789" s="12"/>
      <c r="W789" s="12"/>
      <c r="X789" s="12"/>
      <c r="Y789" s="16"/>
      <c r="Z789" s="17"/>
    </row>
    <row r="790" spans="19:26" x14ac:dyDescent="0.3">
      <c r="S790" s="14"/>
      <c r="T790" s="14"/>
      <c r="U790" s="14"/>
      <c r="V790" s="12"/>
      <c r="W790" s="12"/>
      <c r="X790" s="12"/>
      <c r="Y790" s="16"/>
      <c r="Z790" s="17"/>
    </row>
    <row r="791" spans="19:26" x14ac:dyDescent="0.3">
      <c r="S791" s="14"/>
      <c r="T791" s="14"/>
      <c r="U791" s="14"/>
      <c r="V791" s="12"/>
      <c r="W791" s="12"/>
      <c r="X791" s="12"/>
      <c r="Y791" s="16"/>
      <c r="Z791" s="17"/>
    </row>
    <row r="792" spans="19:26" x14ac:dyDescent="0.3">
      <c r="S792" s="14"/>
      <c r="T792" s="14"/>
      <c r="U792" s="14"/>
      <c r="V792" s="12"/>
      <c r="W792" s="12"/>
      <c r="X792" s="12"/>
      <c r="Y792" s="16"/>
      <c r="Z792" s="17"/>
    </row>
    <row r="793" spans="19:26" x14ac:dyDescent="0.3">
      <c r="S793" s="14"/>
      <c r="T793" s="14"/>
      <c r="U793" s="14"/>
      <c r="V793" s="12"/>
      <c r="W793" s="12"/>
      <c r="X793" s="12"/>
      <c r="Y793" s="16"/>
      <c r="Z793" s="17"/>
    </row>
    <row r="794" spans="19:26" x14ac:dyDescent="0.3">
      <c r="S794" s="14"/>
      <c r="T794" s="14"/>
      <c r="U794" s="14"/>
      <c r="V794" s="12"/>
      <c r="W794" s="12"/>
      <c r="X794" s="12"/>
      <c r="Y794" s="16"/>
      <c r="Z794" s="17"/>
    </row>
    <row r="795" spans="19:26" x14ac:dyDescent="0.3">
      <c r="S795" s="14"/>
      <c r="T795" s="14"/>
      <c r="U795" s="14"/>
      <c r="V795" s="12"/>
      <c r="W795" s="12"/>
      <c r="X795" s="12"/>
      <c r="Y795" s="16"/>
      <c r="Z795" s="17"/>
    </row>
    <row r="796" spans="19:26" x14ac:dyDescent="0.3">
      <c r="S796" s="14"/>
      <c r="T796" s="14"/>
      <c r="U796" s="14"/>
      <c r="V796" s="12"/>
      <c r="W796" s="12"/>
      <c r="X796" s="12"/>
      <c r="Y796" s="16"/>
      <c r="Z796" s="17"/>
    </row>
    <row r="797" spans="19:26" x14ac:dyDescent="0.3">
      <c r="S797" s="14"/>
      <c r="T797" s="14"/>
      <c r="U797" s="14"/>
      <c r="V797" s="12"/>
      <c r="W797" s="12"/>
      <c r="X797" s="12"/>
      <c r="Y797" s="16"/>
      <c r="Z797" s="17"/>
    </row>
    <row r="798" spans="19:26" x14ac:dyDescent="0.3">
      <c r="S798" s="14"/>
      <c r="T798" s="14"/>
      <c r="U798" s="14"/>
      <c r="V798" s="12"/>
      <c r="W798" s="12"/>
      <c r="X798" s="12"/>
      <c r="Y798" s="16"/>
      <c r="Z798" s="17"/>
    </row>
    <row r="799" spans="19:26" x14ac:dyDescent="0.3">
      <c r="S799" s="14"/>
      <c r="T799" s="14"/>
      <c r="U799" s="14"/>
      <c r="V799" s="12"/>
      <c r="W799" s="12"/>
      <c r="X799" s="12"/>
      <c r="Y799" s="16"/>
      <c r="Z799" s="17"/>
    </row>
    <row r="800" spans="19:26" x14ac:dyDescent="0.3">
      <c r="S800" s="14"/>
      <c r="T800" s="14"/>
      <c r="U800" s="14"/>
      <c r="V800" s="12"/>
      <c r="W800" s="12"/>
      <c r="X800" s="12"/>
      <c r="Y800" s="16"/>
      <c r="Z800" s="17"/>
    </row>
    <row r="801" spans="1:26" x14ac:dyDescent="0.3">
      <c r="S801" s="14"/>
      <c r="T801" s="14"/>
      <c r="U801" s="14"/>
      <c r="V801" s="12"/>
      <c r="W801" s="12"/>
      <c r="X801" s="12"/>
      <c r="Y801" s="16"/>
      <c r="Z801" s="17"/>
    </row>
    <row r="802" spans="1:26" x14ac:dyDescent="0.3">
      <c r="S802" s="14"/>
      <c r="T802" s="14"/>
      <c r="U802" s="14"/>
      <c r="V802" s="12"/>
      <c r="W802" s="12"/>
      <c r="X802" s="12"/>
      <c r="Y802" s="16"/>
      <c r="Z802" s="17"/>
    </row>
    <row r="803" spans="1:26" x14ac:dyDescent="0.3">
      <c r="S803" s="14"/>
      <c r="T803" s="14"/>
      <c r="U803" s="14"/>
      <c r="V803" s="12"/>
      <c r="W803" s="12"/>
      <c r="X803" s="12"/>
      <c r="Y803" s="16"/>
      <c r="Z803" s="17"/>
    </row>
    <row r="804" spans="1:26" x14ac:dyDescent="0.3">
      <c r="S804" s="14"/>
      <c r="T804" s="14"/>
      <c r="U804" s="14"/>
      <c r="V804" s="12"/>
      <c r="W804" s="12"/>
      <c r="X804" s="12"/>
      <c r="Y804" s="16"/>
      <c r="Z804" s="17"/>
    </row>
    <row r="805" spans="1:26" x14ac:dyDescent="0.3">
      <c r="A805" s="14"/>
      <c r="B805" s="14"/>
      <c r="C805" s="14"/>
      <c r="D805" s="14"/>
      <c r="E805" s="14"/>
      <c r="F805" s="14"/>
      <c r="G805" s="14"/>
      <c r="H805" s="14"/>
      <c r="I805" s="14"/>
      <c r="J805" s="14"/>
      <c r="K805" s="14"/>
      <c r="L805" s="14"/>
      <c r="M805" s="14"/>
      <c r="N805" s="14"/>
      <c r="O805" s="14"/>
      <c r="P805" s="14"/>
      <c r="Q805" s="14"/>
      <c r="R805" s="15"/>
      <c r="S805" s="14"/>
      <c r="T805" s="14"/>
      <c r="U805" s="14"/>
      <c r="V805" s="12"/>
      <c r="W805" s="12"/>
      <c r="X805" s="12"/>
      <c r="Y805" s="16"/>
      <c r="Z805" s="17"/>
    </row>
    <row r="806" spans="1:26" x14ac:dyDescent="0.3">
      <c r="S806" s="14"/>
      <c r="T806" s="14"/>
      <c r="U806" s="14"/>
      <c r="V806" s="12"/>
      <c r="W806" s="12"/>
      <c r="X806" s="12"/>
      <c r="Y806" s="16"/>
      <c r="Z806" s="17"/>
    </row>
    <row r="807" spans="1:26" x14ac:dyDescent="0.3">
      <c r="S807" s="14"/>
      <c r="T807" s="14"/>
      <c r="U807" s="14"/>
      <c r="V807" s="12"/>
      <c r="W807" s="12"/>
      <c r="X807" s="12"/>
      <c r="Y807" s="16"/>
      <c r="Z807" s="17"/>
    </row>
    <row r="808" spans="1:26" x14ac:dyDescent="0.3">
      <c r="S808" s="14"/>
      <c r="T808" s="14"/>
      <c r="U808" s="14"/>
      <c r="V808" s="12"/>
      <c r="W808" s="12"/>
      <c r="X808" s="12"/>
      <c r="Y808" s="16"/>
      <c r="Z808" s="17"/>
    </row>
    <row r="809" spans="1:26" x14ac:dyDescent="0.3">
      <c r="S809" s="14"/>
      <c r="T809" s="14"/>
      <c r="U809" s="14"/>
      <c r="V809" s="12"/>
      <c r="W809" s="12"/>
      <c r="X809" s="12"/>
      <c r="Y809" s="16"/>
      <c r="Z809" s="17"/>
    </row>
    <row r="810" spans="1:26" x14ac:dyDescent="0.3">
      <c r="S810" s="14"/>
      <c r="T810" s="14"/>
      <c r="U810" s="14"/>
      <c r="V810" s="12"/>
      <c r="W810" s="12"/>
      <c r="X810" s="12"/>
      <c r="Y810" s="16"/>
      <c r="Z810" s="17"/>
    </row>
    <row r="811" spans="1:26" x14ac:dyDescent="0.3">
      <c r="S811" s="14"/>
      <c r="T811" s="14"/>
      <c r="U811" s="14"/>
      <c r="V811" s="12"/>
      <c r="W811" s="12"/>
      <c r="X811" s="12"/>
      <c r="Y811" s="16"/>
      <c r="Z811" s="17"/>
    </row>
    <row r="812" spans="1:26" x14ac:dyDescent="0.3">
      <c r="S812" s="14"/>
      <c r="T812" s="14"/>
      <c r="U812" s="14"/>
      <c r="V812" s="12"/>
      <c r="W812" s="12"/>
      <c r="X812" s="12"/>
      <c r="Y812" s="16"/>
      <c r="Z812" s="17"/>
    </row>
    <row r="813" spans="1:26" x14ac:dyDescent="0.3">
      <c r="S813" s="14"/>
      <c r="T813" s="14"/>
      <c r="U813" s="14"/>
      <c r="V813" s="12"/>
      <c r="W813" s="12"/>
      <c r="X813" s="12"/>
      <c r="Y813" s="16"/>
      <c r="Z813" s="17"/>
    </row>
    <row r="814" spans="1:26" x14ac:dyDescent="0.3">
      <c r="S814" s="14"/>
      <c r="T814" s="14"/>
      <c r="U814" s="14"/>
      <c r="V814" s="12"/>
      <c r="W814" s="12"/>
      <c r="X814" s="12"/>
      <c r="Y814" s="16"/>
      <c r="Z814" s="17"/>
    </row>
    <row r="815" spans="1:26" x14ac:dyDescent="0.3">
      <c r="S815" s="14"/>
      <c r="T815" s="14"/>
      <c r="U815" s="14"/>
      <c r="V815" s="12"/>
      <c r="W815" s="12"/>
      <c r="X815" s="12"/>
      <c r="Y815" s="16"/>
      <c r="Z815" s="17"/>
    </row>
    <row r="816" spans="1:26" x14ac:dyDescent="0.3">
      <c r="S816" s="14"/>
      <c r="T816" s="14"/>
      <c r="U816" s="14"/>
      <c r="V816" s="12"/>
      <c r="W816" s="12"/>
      <c r="X816" s="12"/>
      <c r="Y816" s="16"/>
      <c r="Z816" s="17"/>
    </row>
    <row r="817" spans="19:26" x14ac:dyDescent="0.3">
      <c r="S817" s="14"/>
      <c r="T817" s="14"/>
      <c r="U817" s="14"/>
      <c r="V817" s="12"/>
      <c r="W817" s="12"/>
      <c r="X817" s="12"/>
      <c r="Y817" s="16"/>
      <c r="Z817" s="17"/>
    </row>
    <row r="818" spans="19:26" x14ac:dyDescent="0.3">
      <c r="S818" s="14"/>
      <c r="T818" s="14"/>
      <c r="U818" s="14"/>
      <c r="V818" s="12"/>
      <c r="W818" s="12"/>
      <c r="X818" s="12"/>
      <c r="Y818" s="16"/>
      <c r="Z818" s="17"/>
    </row>
    <row r="819" spans="19:26" x14ac:dyDescent="0.3">
      <c r="S819" s="14"/>
      <c r="T819" s="14"/>
      <c r="U819" s="14"/>
      <c r="V819" s="12"/>
      <c r="W819" s="12"/>
      <c r="X819" s="12"/>
      <c r="Y819" s="16"/>
      <c r="Z819" s="17"/>
    </row>
    <row r="820" spans="19:26" x14ac:dyDescent="0.3">
      <c r="S820" s="14"/>
      <c r="T820" s="14"/>
      <c r="U820" s="14"/>
      <c r="V820" s="12"/>
      <c r="W820" s="12"/>
      <c r="X820" s="12"/>
      <c r="Y820" s="16"/>
      <c r="Z820" s="17"/>
    </row>
    <row r="821" spans="19:26" x14ac:dyDescent="0.3">
      <c r="S821" s="14"/>
      <c r="T821" s="14"/>
      <c r="U821" s="14"/>
      <c r="V821" s="12"/>
      <c r="W821" s="12"/>
      <c r="X821" s="12"/>
      <c r="Y821" s="16"/>
      <c r="Z821" s="17"/>
    </row>
    <row r="822" spans="19:26" x14ac:dyDescent="0.3">
      <c r="S822" s="14"/>
      <c r="T822" s="14"/>
      <c r="U822" s="14"/>
      <c r="V822" s="12"/>
      <c r="W822" s="12"/>
      <c r="X822" s="12"/>
      <c r="Y822" s="16"/>
      <c r="Z822" s="17"/>
    </row>
    <row r="823" spans="19:26" x14ac:dyDescent="0.3">
      <c r="S823" s="14"/>
      <c r="T823" s="14"/>
      <c r="U823" s="14"/>
      <c r="V823" s="12"/>
      <c r="W823" s="12"/>
      <c r="X823" s="12"/>
      <c r="Y823" s="16"/>
      <c r="Z823" s="17"/>
    </row>
    <row r="824" spans="19:26" x14ac:dyDescent="0.3">
      <c r="S824" s="14"/>
      <c r="T824" s="14"/>
      <c r="U824" s="14"/>
      <c r="V824" s="12"/>
      <c r="W824" s="12"/>
      <c r="X824" s="12"/>
      <c r="Y824" s="16"/>
      <c r="Z824" s="17"/>
    </row>
    <row r="825" spans="19:26" x14ac:dyDescent="0.3">
      <c r="S825" s="14"/>
      <c r="T825" s="14"/>
      <c r="U825" s="14"/>
      <c r="V825" s="12"/>
      <c r="W825" s="12"/>
      <c r="X825" s="12"/>
      <c r="Y825" s="16"/>
      <c r="Z825" s="17"/>
    </row>
    <row r="826" spans="19:26" x14ac:dyDescent="0.3">
      <c r="S826" s="14"/>
      <c r="T826" s="14"/>
      <c r="U826" s="14"/>
      <c r="V826" s="12"/>
      <c r="W826" s="12"/>
      <c r="X826" s="12"/>
      <c r="Y826" s="16"/>
      <c r="Z826" s="17"/>
    </row>
    <row r="827" spans="19:26" x14ac:dyDescent="0.3">
      <c r="S827" s="14"/>
      <c r="T827" s="14"/>
      <c r="U827" s="14"/>
      <c r="V827" s="12"/>
      <c r="W827" s="12"/>
      <c r="X827" s="12"/>
      <c r="Y827" s="16"/>
      <c r="Z827" s="17"/>
    </row>
    <row r="828" spans="19:26" x14ac:dyDescent="0.3">
      <c r="S828" s="14"/>
      <c r="T828" s="14"/>
      <c r="U828" s="14"/>
      <c r="V828" s="12"/>
      <c r="W828" s="12"/>
      <c r="X828" s="12"/>
      <c r="Y828" s="16"/>
      <c r="Z828" s="17"/>
    </row>
    <row r="829" spans="19:26" x14ac:dyDescent="0.3">
      <c r="S829" s="14"/>
      <c r="T829" s="14"/>
      <c r="U829" s="14"/>
      <c r="V829" s="12"/>
      <c r="W829" s="12"/>
      <c r="X829" s="12"/>
      <c r="Y829" s="16"/>
      <c r="Z829" s="17"/>
    </row>
    <row r="830" spans="19:26" x14ac:dyDescent="0.3">
      <c r="S830" s="14"/>
      <c r="T830" s="14"/>
      <c r="U830" s="14"/>
      <c r="V830" s="12"/>
      <c r="W830" s="12"/>
      <c r="X830" s="12"/>
      <c r="Y830" s="16"/>
      <c r="Z830" s="17"/>
    </row>
    <row r="831" spans="19:26" x14ac:dyDescent="0.3">
      <c r="S831" s="14"/>
      <c r="T831" s="14"/>
      <c r="U831" s="14"/>
      <c r="V831" s="12"/>
      <c r="W831" s="12"/>
      <c r="X831" s="12"/>
      <c r="Y831" s="16"/>
      <c r="Z831" s="17"/>
    </row>
    <row r="832" spans="19:26" x14ac:dyDescent="0.3">
      <c r="S832" s="14"/>
      <c r="T832" s="14"/>
      <c r="U832" s="14"/>
      <c r="V832" s="12"/>
      <c r="W832" s="12"/>
      <c r="X832" s="12"/>
      <c r="Y832" s="16"/>
      <c r="Z832" s="17"/>
    </row>
    <row r="833" spans="19:26" x14ac:dyDescent="0.3">
      <c r="S833" s="14"/>
      <c r="T833" s="14"/>
      <c r="U833" s="14"/>
      <c r="V833" s="12"/>
      <c r="W833" s="12"/>
      <c r="X833" s="12"/>
      <c r="Y833" s="16"/>
      <c r="Z833" s="17"/>
    </row>
    <row r="834" spans="19:26" x14ac:dyDescent="0.3">
      <c r="S834" s="14"/>
      <c r="T834" s="14"/>
      <c r="U834" s="14"/>
      <c r="V834" s="12"/>
      <c r="W834" s="12"/>
      <c r="X834" s="12"/>
      <c r="Y834" s="16"/>
      <c r="Z834" s="17"/>
    </row>
    <row r="835" spans="19:26" x14ac:dyDescent="0.3">
      <c r="S835" s="14"/>
      <c r="T835" s="14"/>
      <c r="U835" s="14"/>
      <c r="V835" s="12"/>
      <c r="W835" s="12"/>
      <c r="X835" s="12"/>
      <c r="Y835" s="16"/>
      <c r="Z835" s="17"/>
    </row>
    <row r="836" spans="19:26" x14ac:dyDescent="0.3">
      <c r="S836" s="14"/>
      <c r="T836" s="14"/>
      <c r="U836" s="14"/>
      <c r="V836" s="12"/>
      <c r="W836" s="12"/>
      <c r="X836" s="12"/>
      <c r="Y836" s="16"/>
      <c r="Z836" s="17"/>
    </row>
    <row r="837" spans="19:26" x14ac:dyDescent="0.3">
      <c r="S837" s="14"/>
      <c r="T837" s="14"/>
      <c r="U837" s="14"/>
      <c r="V837" s="12"/>
      <c r="W837" s="12"/>
      <c r="X837" s="12"/>
      <c r="Y837" s="16"/>
      <c r="Z837" s="17"/>
    </row>
    <row r="838" spans="19:26" x14ac:dyDescent="0.3">
      <c r="S838" s="14"/>
      <c r="T838" s="14"/>
      <c r="U838" s="14"/>
      <c r="V838" s="12"/>
      <c r="W838" s="12"/>
      <c r="X838" s="12"/>
      <c r="Y838" s="16"/>
      <c r="Z838" s="17"/>
    </row>
    <row r="839" spans="19:26" x14ac:dyDescent="0.3">
      <c r="S839" s="14"/>
      <c r="T839" s="14"/>
      <c r="U839" s="14"/>
      <c r="V839" s="12"/>
      <c r="W839" s="12"/>
      <c r="X839" s="12"/>
      <c r="Y839" s="16"/>
      <c r="Z839" s="17"/>
    </row>
    <row r="840" spans="19:26" x14ac:dyDescent="0.3">
      <c r="S840" s="14"/>
      <c r="T840" s="14"/>
      <c r="U840" s="14"/>
      <c r="V840" s="12"/>
      <c r="W840" s="12"/>
      <c r="X840" s="12"/>
      <c r="Y840" s="16"/>
      <c r="Z840" s="17"/>
    </row>
    <row r="841" spans="19:26" x14ac:dyDescent="0.3">
      <c r="S841" s="14"/>
      <c r="T841" s="14"/>
      <c r="U841" s="14"/>
      <c r="V841" s="12"/>
      <c r="W841" s="12"/>
      <c r="X841" s="12"/>
      <c r="Y841" s="16"/>
      <c r="Z841" s="17"/>
    </row>
    <row r="842" spans="19:26" x14ac:dyDescent="0.3">
      <c r="S842" s="14"/>
      <c r="T842" s="14"/>
      <c r="U842" s="14"/>
      <c r="V842" s="12"/>
      <c r="W842" s="12"/>
      <c r="X842" s="12"/>
      <c r="Y842" s="16"/>
      <c r="Z842" s="17"/>
    </row>
    <row r="843" spans="19:26" x14ac:dyDescent="0.3">
      <c r="S843" s="14"/>
      <c r="T843" s="14"/>
      <c r="U843" s="14"/>
      <c r="V843" s="12"/>
      <c r="W843" s="12"/>
      <c r="X843" s="12"/>
      <c r="Y843" s="16"/>
      <c r="Z843" s="17"/>
    </row>
    <row r="844" spans="19:26" x14ac:dyDescent="0.3">
      <c r="S844" s="14"/>
      <c r="T844" s="14"/>
      <c r="U844" s="14"/>
      <c r="V844" s="12"/>
      <c r="W844" s="12"/>
      <c r="X844" s="12"/>
      <c r="Y844" s="16"/>
      <c r="Z844" s="17"/>
    </row>
    <row r="845" spans="19:26" x14ac:dyDescent="0.3">
      <c r="S845" s="14"/>
      <c r="T845" s="14"/>
      <c r="U845" s="14"/>
      <c r="V845" s="12"/>
      <c r="W845" s="12"/>
      <c r="X845" s="12"/>
      <c r="Y845" s="16"/>
      <c r="Z845" s="17"/>
    </row>
    <row r="846" spans="19:26" x14ac:dyDescent="0.3">
      <c r="S846" s="14"/>
      <c r="T846" s="14"/>
      <c r="U846" s="14"/>
      <c r="V846" s="12"/>
      <c r="W846" s="12"/>
      <c r="X846" s="12"/>
      <c r="Y846" s="16"/>
      <c r="Z846" s="17"/>
    </row>
    <row r="847" spans="19:26" x14ac:dyDescent="0.3">
      <c r="S847" s="14"/>
      <c r="T847" s="14"/>
      <c r="U847" s="14"/>
      <c r="V847" s="12"/>
      <c r="W847" s="12"/>
      <c r="X847" s="12"/>
      <c r="Y847" s="16"/>
      <c r="Z847" s="17"/>
    </row>
    <row r="848" spans="19:26" x14ac:dyDescent="0.3">
      <c r="S848" s="14"/>
      <c r="T848" s="14"/>
      <c r="U848" s="14"/>
      <c r="V848" s="12"/>
      <c r="W848" s="12"/>
      <c r="X848" s="12"/>
      <c r="Y848" s="16"/>
      <c r="Z848" s="17"/>
    </row>
    <row r="849" spans="19:26" x14ac:dyDescent="0.3">
      <c r="S849" s="14"/>
      <c r="T849" s="14"/>
      <c r="U849" s="14"/>
      <c r="V849" s="12"/>
      <c r="W849" s="12"/>
      <c r="X849" s="12"/>
      <c r="Y849" s="16"/>
      <c r="Z849" s="17"/>
    </row>
    <row r="850" spans="19:26" x14ac:dyDescent="0.3">
      <c r="S850" s="14"/>
      <c r="T850" s="14"/>
      <c r="U850" s="14"/>
      <c r="V850" s="12"/>
      <c r="W850" s="12"/>
      <c r="X850" s="12"/>
      <c r="Y850" s="16"/>
      <c r="Z850" s="17"/>
    </row>
    <row r="851" spans="19:26" x14ac:dyDescent="0.3">
      <c r="S851" s="14"/>
      <c r="T851" s="14"/>
      <c r="U851" s="14"/>
      <c r="V851" s="12"/>
      <c r="W851" s="12"/>
      <c r="X851" s="12"/>
      <c r="Y851" s="16"/>
      <c r="Z851" s="17"/>
    </row>
    <row r="852" spans="19:26" x14ac:dyDescent="0.3">
      <c r="S852" s="14"/>
      <c r="T852" s="14"/>
      <c r="U852" s="14"/>
      <c r="V852" s="12"/>
      <c r="W852" s="12"/>
      <c r="X852" s="12"/>
      <c r="Y852" s="16"/>
      <c r="Z852" s="17"/>
    </row>
    <row r="853" spans="19:26" x14ac:dyDescent="0.3">
      <c r="S853" s="14"/>
      <c r="T853" s="14"/>
      <c r="U853" s="14"/>
      <c r="V853" s="12"/>
      <c r="W853" s="12"/>
      <c r="X853" s="12"/>
      <c r="Y853" s="16"/>
      <c r="Z853" s="17"/>
    </row>
    <row r="854" spans="19:26" x14ac:dyDescent="0.3">
      <c r="S854" s="14"/>
      <c r="T854" s="14"/>
      <c r="U854" s="14"/>
      <c r="V854" s="12"/>
      <c r="W854" s="12"/>
      <c r="X854" s="12"/>
      <c r="Y854" s="16"/>
      <c r="Z854" s="17"/>
    </row>
    <row r="855" spans="19:26" x14ac:dyDescent="0.3">
      <c r="S855" s="14"/>
      <c r="T855" s="14"/>
      <c r="U855" s="14"/>
      <c r="V855" s="12"/>
      <c r="W855" s="12"/>
      <c r="X855" s="12"/>
      <c r="Y855" s="16"/>
      <c r="Z855" s="17"/>
    </row>
    <row r="856" spans="19:26" x14ac:dyDescent="0.3">
      <c r="S856" s="14"/>
      <c r="T856" s="14"/>
      <c r="U856" s="14"/>
      <c r="V856" s="12"/>
      <c r="W856" s="12"/>
      <c r="X856" s="12"/>
      <c r="Y856" s="16"/>
      <c r="Z856" s="17"/>
    </row>
    <row r="857" spans="19:26" x14ac:dyDescent="0.3">
      <c r="S857" s="14"/>
      <c r="T857" s="14"/>
      <c r="U857" s="14"/>
      <c r="V857" s="12"/>
      <c r="W857" s="12"/>
      <c r="X857" s="12"/>
      <c r="Y857" s="16"/>
      <c r="Z857" s="17"/>
    </row>
    <row r="858" spans="19:26" x14ac:dyDescent="0.3">
      <c r="S858" s="14"/>
      <c r="T858" s="14"/>
      <c r="U858" s="14"/>
      <c r="V858" s="12"/>
      <c r="W858" s="12"/>
      <c r="X858" s="12"/>
      <c r="Y858" s="16"/>
      <c r="Z858" s="17"/>
    </row>
    <row r="859" spans="19:26" x14ac:dyDescent="0.3">
      <c r="S859" s="14"/>
      <c r="T859" s="14"/>
      <c r="U859" s="14"/>
      <c r="V859" s="12"/>
      <c r="W859" s="12"/>
      <c r="X859" s="12"/>
      <c r="Y859" s="16"/>
      <c r="Z859" s="17"/>
    </row>
    <row r="860" spans="19:26" x14ac:dyDescent="0.3">
      <c r="S860" s="14"/>
      <c r="T860" s="14"/>
      <c r="U860" s="14"/>
      <c r="V860" s="12"/>
      <c r="W860" s="12"/>
      <c r="X860" s="12"/>
      <c r="Y860" s="16"/>
      <c r="Z860" s="17"/>
    </row>
    <row r="861" spans="19:26" x14ac:dyDescent="0.3">
      <c r="S861" s="14"/>
      <c r="T861" s="14"/>
      <c r="U861" s="14"/>
      <c r="V861" s="12"/>
      <c r="W861" s="12"/>
      <c r="X861" s="12"/>
      <c r="Y861" s="16"/>
      <c r="Z861" s="17"/>
    </row>
    <row r="862" spans="19:26" x14ac:dyDescent="0.3">
      <c r="S862" s="14"/>
      <c r="T862" s="14"/>
      <c r="U862" s="14"/>
      <c r="V862" s="12"/>
      <c r="W862" s="12"/>
      <c r="X862" s="12"/>
      <c r="Y862" s="16"/>
      <c r="Z862" s="17"/>
    </row>
    <row r="863" spans="19:26" x14ac:dyDescent="0.3">
      <c r="S863" s="14"/>
      <c r="T863" s="14"/>
      <c r="U863" s="14"/>
      <c r="V863" s="12"/>
      <c r="W863" s="12"/>
      <c r="X863" s="12"/>
      <c r="Y863" s="16"/>
      <c r="Z863" s="17"/>
    </row>
    <row r="864" spans="19:26" x14ac:dyDescent="0.3">
      <c r="S864" s="14"/>
      <c r="T864" s="14"/>
      <c r="U864" s="14"/>
      <c r="V864" s="12"/>
      <c r="W864" s="12"/>
      <c r="X864" s="12"/>
      <c r="Y864" s="16"/>
      <c r="Z864" s="17"/>
    </row>
    <row r="865" spans="19:26" x14ac:dyDescent="0.3">
      <c r="S865" s="14"/>
      <c r="T865" s="14"/>
      <c r="U865" s="14"/>
      <c r="V865" s="12"/>
      <c r="W865" s="12"/>
      <c r="X865" s="12"/>
      <c r="Y865" s="16"/>
      <c r="Z865" s="17"/>
    </row>
    <row r="866" spans="19:26" x14ac:dyDescent="0.3">
      <c r="S866" s="14"/>
      <c r="T866" s="14"/>
      <c r="U866" s="14"/>
      <c r="V866" s="12"/>
      <c r="W866" s="12"/>
      <c r="X866" s="12"/>
      <c r="Y866" s="16"/>
      <c r="Z866" s="17"/>
    </row>
    <row r="867" spans="19:26" x14ac:dyDescent="0.3">
      <c r="S867" s="14"/>
      <c r="T867" s="14"/>
      <c r="U867" s="14"/>
      <c r="V867" s="12"/>
      <c r="W867" s="12"/>
      <c r="X867" s="12"/>
      <c r="Y867" s="16"/>
      <c r="Z867" s="17"/>
    </row>
    <row r="868" spans="19:26" x14ac:dyDescent="0.3">
      <c r="S868" s="14"/>
      <c r="T868" s="14"/>
      <c r="U868" s="14"/>
      <c r="V868" s="12"/>
      <c r="W868" s="12"/>
      <c r="X868" s="12"/>
      <c r="Y868" s="16"/>
      <c r="Z868" s="17"/>
    </row>
    <row r="869" spans="19:26" x14ac:dyDescent="0.3">
      <c r="S869" s="14"/>
      <c r="T869" s="14"/>
      <c r="U869" s="14"/>
      <c r="V869" s="12"/>
      <c r="W869" s="12"/>
      <c r="X869" s="12"/>
      <c r="Y869" s="16"/>
      <c r="Z869" s="17"/>
    </row>
    <row r="870" spans="19:26" x14ac:dyDescent="0.3">
      <c r="S870" s="14"/>
      <c r="T870" s="14"/>
      <c r="U870" s="14"/>
      <c r="V870" s="12"/>
      <c r="W870" s="12"/>
      <c r="X870" s="12"/>
      <c r="Y870" s="16"/>
      <c r="Z870" s="17"/>
    </row>
    <row r="871" spans="19:26" x14ac:dyDescent="0.3">
      <c r="S871" s="14"/>
      <c r="T871" s="14"/>
      <c r="U871" s="14"/>
      <c r="V871" s="12"/>
      <c r="W871" s="12"/>
      <c r="X871" s="12"/>
      <c r="Y871" s="16"/>
      <c r="Z871" s="17"/>
    </row>
    <row r="872" spans="19:26" x14ac:dyDescent="0.3">
      <c r="S872" s="14"/>
      <c r="T872" s="14"/>
      <c r="U872" s="14"/>
      <c r="V872" s="12"/>
      <c r="W872" s="12"/>
      <c r="X872" s="12"/>
      <c r="Y872" s="16"/>
      <c r="Z872" s="17"/>
    </row>
    <row r="873" spans="19:26" x14ac:dyDescent="0.3">
      <c r="S873" s="14"/>
      <c r="T873" s="14"/>
      <c r="U873" s="14"/>
      <c r="V873" s="12"/>
      <c r="W873" s="12"/>
      <c r="X873" s="12"/>
      <c r="Y873" s="16"/>
      <c r="Z873" s="17"/>
    </row>
    <row r="874" spans="19:26" x14ac:dyDescent="0.3">
      <c r="S874" s="14"/>
      <c r="T874" s="14"/>
      <c r="U874" s="14"/>
      <c r="V874" s="12"/>
      <c r="W874" s="12"/>
      <c r="X874" s="12"/>
      <c r="Y874" s="16"/>
      <c r="Z874" s="17"/>
    </row>
    <row r="875" spans="19:26" x14ac:dyDescent="0.3">
      <c r="S875" s="14"/>
      <c r="T875" s="14"/>
      <c r="U875" s="14"/>
      <c r="V875" s="12"/>
      <c r="W875" s="12"/>
      <c r="X875" s="12"/>
      <c r="Y875" s="16"/>
      <c r="Z875" s="17"/>
    </row>
    <row r="876" spans="19:26" x14ac:dyDescent="0.3">
      <c r="S876" s="14"/>
      <c r="T876" s="14"/>
      <c r="U876" s="14"/>
      <c r="V876" s="12"/>
      <c r="W876" s="12"/>
      <c r="X876" s="12"/>
      <c r="Y876" s="16"/>
      <c r="Z876" s="17"/>
    </row>
    <row r="877" spans="19:26" x14ac:dyDescent="0.3">
      <c r="S877" s="14"/>
      <c r="T877" s="14"/>
      <c r="U877" s="14"/>
      <c r="V877" s="12"/>
      <c r="W877" s="12"/>
      <c r="X877" s="12"/>
      <c r="Y877" s="16"/>
      <c r="Z877" s="17"/>
    </row>
    <row r="878" spans="19:26" x14ac:dyDescent="0.3">
      <c r="S878" s="14"/>
      <c r="T878" s="14"/>
      <c r="U878" s="14"/>
      <c r="V878" s="12"/>
      <c r="W878" s="12"/>
      <c r="X878" s="12"/>
      <c r="Y878" s="16"/>
      <c r="Z878" s="17"/>
    </row>
    <row r="879" spans="19:26" x14ac:dyDescent="0.3">
      <c r="S879" s="14"/>
      <c r="T879" s="14"/>
      <c r="U879" s="14"/>
      <c r="V879" s="12"/>
      <c r="W879" s="12"/>
      <c r="X879" s="12"/>
      <c r="Y879" s="16"/>
      <c r="Z879" s="17"/>
    </row>
    <row r="880" spans="19:26" x14ac:dyDescent="0.3">
      <c r="S880" s="14"/>
      <c r="T880" s="14"/>
      <c r="U880" s="14"/>
      <c r="V880" s="12"/>
      <c r="W880" s="12"/>
      <c r="X880" s="12"/>
      <c r="Y880" s="16"/>
      <c r="Z880" s="17"/>
    </row>
    <row r="881" spans="19:26" x14ac:dyDescent="0.3">
      <c r="S881" s="14"/>
      <c r="T881" s="14"/>
      <c r="U881" s="14"/>
      <c r="V881" s="12"/>
      <c r="W881" s="12"/>
      <c r="X881" s="12"/>
      <c r="Y881" s="16"/>
      <c r="Z881" s="17"/>
    </row>
    <row r="882" spans="19:26" x14ac:dyDescent="0.3">
      <c r="S882" s="14"/>
      <c r="T882" s="14"/>
      <c r="U882" s="14"/>
      <c r="V882" s="12"/>
      <c r="W882" s="12"/>
      <c r="X882" s="12"/>
      <c r="Y882" s="16"/>
      <c r="Z882" s="17"/>
    </row>
    <row r="883" spans="19:26" x14ac:dyDescent="0.3">
      <c r="S883" s="14"/>
      <c r="T883" s="14"/>
      <c r="U883" s="14"/>
      <c r="V883" s="12"/>
      <c r="W883" s="12"/>
      <c r="X883" s="12"/>
      <c r="Y883" s="16"/>
      <c r="Z883" s="17"/>
    </row>
    <row r="884" spans="19:26" x14ac:dyDescent="0.3">
      <c r="S884" s="14"/>
      <c r="T884" s="14"/>
      <c r="U884" s="14"/>
      <c r="V884" s="12"/>
      <c r="W884" s="12"/>
      <c r="X884" s="12"/>
      <c r="Y884" s="16"/>
      <c r="Z884" s="17"/>
    </row>
    <row r="885" spans="19:26" x14ac:dyDescent="0.3">
      <c r="S885" s="14"/>
      <c r="T885" s="14"/>
      <c r="U885" s="14"/>
      <c r="V885" s="12"/>
      <c r="W885" s="12"/>
      <c r="X885" s="12"/>
      <c r="Y885" s="16"/>
      <c r="Z885" s="17"/>
    </row>
    <row r="886" spans="19:26" x14ac:dyDescent="0.3">
      <c r="S886" s="14"/>
      <c r="T886" s="14"/>
      <c r="U886" s="14"/>
      <c r="V886" s="12"/>
      <c r="W886" s="12"/>
      <c r="X886" s="12"/>
      <c r="Y886" s="16"/>
      <c r="Z886" s="17"/>
    </row>
    <row r="887" spans="19:26" x14ac:dyDescent="0.3">
      <c r="S887" s="14"/>
      <c r="T887" s="14"/>
      <c r="U887" s="14"/>
      <c r="V887" s="12"/>
      <c r="W887" s="12"/>
      <c r="X887" s="12"/>
      <c r="Y887" s="16"/>
      <c r="Z887" s="17"/>
    </row>
    <row r="888" spans="19:26" x14ac:dyDescent="0.3">
      <c r="S888" s="14"/>
      <c r="T888" s="14"/>
      <c r="U888" s="14"/>
      <c r="V888" s="12"/>
      <c r="W888" s="12"/>
      <c r="X888" s="12"/>
      <c r="Y888" s="16"/>
      <c r="Z888" s="17"/>
    </row>
    <row r="889" spans="19:26" x14ac:dyDescent="0.3">
      <c r="S889" s="14"/>
      <c r="T889" s="14"/>
      <c r="U889" s="14"/>
      <c r="V889" s="12"/>
      <c r="W889" s="12"/>
      <c r="X889" s="12"/>
      <c r="Y889" s="16"/>
      <c r="Z889" s="17"/>
    </row>
    <row r="890" spans="19:26" x14ac:dyDescent="0.3">
      <c r="S890" s="14"/>
      <c r="T890" s="14"/>
      <c r="U890" s="14"/>
      <c r="V890" s="12"/>
      <c r="W890" s="12"/>
      <c r="X890" s="12"/>
      <c r="Y890" s="16"/>
      <c r="Z890" s="17"/>
    </row>
    <row r="891" spans="19:26" x14ac:dyDescent="0.3">
      <c r="S891" s="14"/>
      <c r="T891" s="14"/>
      <c r="U891" s="14"/>
      <c r="V891" s="12"/>
      <c r="W891" s="12"/>
      <c r="X891" s="12"/>
      <c r="Y891" s="16"/>
      <c r="Z891" s="17"/>
    </row>
    <row r="892" spans="19:26" x14ac:dyDescent="0.3">
      <c r="S892" s="14"/>
      <c r="T892" s="14"/>
      <c r="U892" s="14"/>
      <c r="V892" s="12"/>
      <c r="W892" s="12"/>
      <c r="X892" s="12"/>
      <c r="Y892" s="16"/>
      <c r="Z892" s="17"/>
    </row>
    <row r="893" spans="19:26" x14ac:dyDescent="0.3">
      <c r="S893" s="14"/>
      <c r="T893" s="14"/>
      <c r="U893" s="14"/>
      <c r="V893" s="12"/>
      <c r="W893" s="12"/>
      <c r="X893" s="12"/>
      <c r="Y893" s="16"/>
      <c r="Z893" s="17"/>
    </row>
    <row r="894" spans="19:26" x14ac:dyDescent="0.3">
      <c r="S894" s="14"/>
      <c r="T894" s="14"/>
      <c r="U894" s="14"/>
      <c r="V894" s="12"/>
      <c r="W894" s="12"/>
      <c r="X894" s="12"/>
      <c r="Y894" s="16"/>
      <c r="Z894" s="17"/>
    </row>
    <row r="895" spans="19:26" x14ac:dyDescent="0.3">
      <c r="S895" s="14"/>
      <c r="T895" s="14"/>
      <c r="U895" s="14"/>
      <c r="V895" s="12"/>
      <c r="W895" s="12"/>
      <c r="X895" s="12"/>
      <c r="Y895" s="16"/>
      <c r="Z895" s="17"/>
    </row>
    <row r="896" spans="19:26" x14ac:dyDescent="0.3">
      <c r="S896" s="14"/>
      <c r="T896" s="14"/>
      <c r="U896" s="14"/>
      <c r="V896" s="12"/>
      <c r="W896" s="12"/>
      <c r="X896" s="12"/>
      <c r="Y896" s="16"/>
      <c r="Z896" s="17"/>
    </row>
    <row r="897" spans="19:26" x14ac:dyDescent="0.3">
      <c r="S897" s="14"/>
      <c r="T897" s="14"/>
      <c r="U897" s="14"/>
      <c r="V897" s="12"/>
      <c r="W897" s="12"/>
      <c r="X897" s="12"/>
      <c r="Y897" s="16"/>
      <c r="Z897" s="17"/>
    </row>
    <row r="898" spans="19:26" x14ac:dyDescent="0.3">
      <c r="S898" s="14"/>
      <c r="T898" s="14"/>
      <c r="U898" s="14"/>
      <c r="V898" s="12"/>
      <c r="W898" s="12"/>
      <c r="X898" s="12"/>
      <c r="Y898" s="16"/>
      <c r="Z898" s="17"/>
    </row>
    <row r="899" spans="19:26" x14ac:dyDescent="0.3">
      <c r="S899" s="14"/>
      <c r="T899" s="14"/>
      <c r="U899" s="14"/>
      <c r="V899" s="12"/>
      <c r="W899" s="12"/>
      <c r="X899" s="12"/>
      <c r="Y899" s="16"/>
      <c r="Z899" s="17"/>
    </row>
    <row r="900" spans="19:26" x14ac:dyDescent="0.3">
      <c r="S900" s="14"/>
      <c r="T900" s="14"/>
      <c r="U900" s="14"/>
      <c r="V900" s="12"/>
      <c r="W900" s="12"/>
      <c r="X900" s="12"/>
      <c r="Y900" s="16"/>
      <c r="Z900" s="17"/>
    </row>
    <row r="901" spans="19:26" x14ac:dyDescent="0.3">
      <c r="S901" s="14"/>
      <c r="T901" s="14"/>
      <c r="U901" s="14"/>
      <c r="V901" s="12"/>
      <c r="W901" s="12"/>
      <c r="X901" s="12"/>
      <c r="Y901" s="16"/>
      <c r="Z901" s="17"/>
    </row>
    <row r="902" spans="19:26" x14ac:dyDescent="0.3">
      <c r="S902" s="14"/>
      <c r="T902" s="14"/>
      <c r="U902" s="14"/>
      <c r="V902" s="12"/>
      <c r="W902" s="12"/>
      <c r="X902" s="12"/>
      <c r="Y902" s="16"/>
      <c r="Z902" s="17"/>
    </row>
    <row r="903" spans="19:26" x14ac:dyDescent="0.3">
      <c r="S903" s="14"/>
      <c r="T903" s="14"/>
      <c r="U903" s="14"/>
      <c r="V903" s="12"/>
      <c r="W903" s="12"/>
      <c r="X903" s="12"/>
      <c r="Y903" s="16"/>
      <c r="Z903" s="17"/>
    </row>
    <row r="904" spans="19:26" x14ac:dyDescent="0.3">
      <c r="S904" s="14"/>
      <c r="T904" s="14"/>
      <c r="U904" s="14"/>
      <c r="V904" s="12"/>
      <c r="W904" s="12"/>
      <c r="X904" s="12"/>
      <c r="Y904" s="16"/>
      <c r="Z904" s="17"/>
    </row>
    <row r="905" spans="19:26" x14ac:dyDescent="0.3">
      <c r="S905" s="14"/>
      <c r="T905" s="14"/>
      <c r="U905" s="14"/>
      <c r="V905" s="12"/>
      <c r="W905" s="12"/>
      <c r="X905" s="12"/>
      <c r="Y905" s="16"/>
      <c r="Z905" s="17"/>
    </row>
    <row r="906" spans="19:26" x14ac:dyDescent="0.3">
      <c r="S906" s="14"/>
      <c r="T906" s="14"/>
      <c r="U906" s="14"/>
      <c r="V906" s="12"/>
      <c r="W906" s="12"/>
      <c r="X906" s="12"/>
      <c r="Y906" s="16"/>
      <c r="Z906" s="17"/>
    </row>
    <row r="907" spans="19:26" x14ac:dyDescent="0.3">
      <c r="S907" s="14"/>
      <c r="T907" s="14"/>
      <c r="U907" s="14"/>
      <c r="V907" s="12"/>
      <c r="W907" s="12"/>
      <c r="X907" s="12"/>
      <c r="Y907" s="16"/>
      <c r="Z907" s="17"/>
    </row>
    <row r="908" spans="19:26" x14ac:dyDescent="0.3">
      <c r="S908" s="14"/>
      <c r="T908" s="14"/>
      <c r="U908" s="14"/>
      <c r="V908" s="12"/>
      <c r="W908" s="12"/>
      <c r="X908" s="12"/>
      <c r="Y908" s="16"/>
      <c r="Z908" s="17"/>
    </row>
    <row r="909" spans="19:26" x14ac:dyDescent="0.3">
      <c r="S909" s="14"/>
      <c r="T909" s="14"/>
      <c r="U909" s="14"/>
      <c r="V909" s="12"/>
      <c r="W909" s="12"/>
      <c r="X909" s="12"/>
      <c r="Y909" s="16"/>
      <c r="Z909" s="17"/>
    </row>
    <row r="910" spans="19:26" x14ac:dyDescent="0.3">
      <c r="S910" s="14"/>
      <c r="T910" s="14"/>
      <c r="U910" s="14"/>
      <c r="V910" s="12"/>
      <c r="W910" s="12"/>
      <c r="X910" s="12"/>
      <c r="Y910" s="16"/>
      <c r="Z910" s="17"/>
    </row>
    <row r="911" spans="19:26" x14ac:dyDescent="0.3">
      <c r="S911" s="14"/>
      <c r="T911" s="14"/>
      <c r="U911" s="14"/>
      <c r="V911" s="12"/>
      <c r="W911" s="12"/>
      <c r="X911" s="12"/>
      <c r="Y911" s="16"/>
      <c r="Z911" s="17"/>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3"/>
  <sheetViews>
    <sheetView workbookViewId="0">
      <selection activeCell="C10" sqref="C10"/>
    </sheetView>
  </sheetViews>
  <sheetFormatPr defaultRowHeight="14.4" x14ac:dyDescent="0.3"/>
  <cols>
    <col min="3" max="3" width="16.88671875" bestFit="1" customWidth="1"/>
  </cols>
  <sheetData>
    <row r="3" spans="3:3" x14ac:dyDescent="0.3">
      <c r="C3" t="s">
        <v>203</v>
      </c>
    </row>
  </sheetData>
  <pageMargins left="0.7" right="0.7" top="0.75" bottom="0.75" header="0.3" footer="0.3"/>
  <drawing r:id="rId1"/>
  <legacyDrawing r:id="rId2"/>
  <controls>
    <mc:AlternateContent xmlns:mc="http://schemas.openxmlformats.org/markup-compatibility/2006">
      <mc:Choice Requires="x14">
        <control shapeId="11269" r:id="rId3" name="ListBox1">
          <controlPr autoLine="0" linkedCell="C3" r:id="rId4">
            <anchor moveWithCells="1" sizeWithCells="1">
              <from>
                <xdr:col>3</xdr:col>
                <xdr:colOff>0</xdr:colOff>
                <xdr:row>2</xdr:row>
                <xdr:rowOff>0</xdr:rowOff>
              </from>
              <to>
                <xdr:col>6</xdr:col>
                <xdr:colOff>0</xdr:colOff>
                <xdr:row>5</xdr:row>
                <xdr:rowOff>137160</xdr:rowOff>
              </to>
            </anchor>
          </controlPr>
        </control>
      </mc:Choice>
      <mc:Fallback>
        <control shapeId="11269" r:id="rId3" name="ListBox1"/>
      </mc:Fallback>
    </mc:AlternateContent>
    <mc:AlternateContent xmlns:mc="http://schemas.openxmlformats.org/markup-compatibility/2006">
      <mc:Choice Requires="x14">
        <control shapeId="11270" r:id="rId5" name="CommandButton1">
          <controlPr autoLine="0" r:id="rId6">
            <anchor moveWithCells="1">
              <from>
                <xdr:col>3</xdr:col>
                <xdr:colOff>0</xdr:colOff>
                <xdr:row>7</xdr:row>
                <xdr:rowOff>167640</xdr:rowOff>
              </from>
              <to>
                <xdr:col>3</xdr:col>
                <xdr:colOff>541020</xdr:colOff>
                <xdr:row>9</xdr:row>
                <xdr:rowOff>182880</xdr:rowOff>
              </to>
            </anchor>
          </controlPr>
        </control>
      </mc:Choice>
      <mc:Fallback>
        <control shapeId="11270" r:id="rId5" name="CommandButton1"/>
      </mc:Fallback>
    </mc:AlternateContent>
    <mc:AlternateContent xmlns:mc="http://schemas.openxmlformats.org/markup-compatibility/2006">
      <mc:Choice Requires="x14">
        <control shapeId="11271" r:id="rId7" name="CommandButton2">
          <controlPr autoLine="0" r:id="rId8">
            <anchor moveWithCells="1">
              <from>
                <xdr:col>4</xdr:col>
                <xdr:colOff>38100</xdr:colOff>
                <xdr:row>7</xdr:row>
                <xdr:rowOff>167640</xdr:rowOff>
              </from>
              <to>
                <xdr:col>4</xdr:col>
                <xdr:colOff>563880</xdr:colOff>
                <xdr:row>10</xdr:row>
                <xdr:rowOff>0</xdr:rowOff>
              </to>
            </anchor>
          </controlPr>
        </control>
      </mc:Choice>
      <mc:Fallback>
        <control shapeId="11271" r:id="rId7" name="CommandButton2"/>
      </mc:Fallback>
    </mc:AlternateContent>
    <mc:AlternateContent xmlns:mc="http://schemas.openxmlformats.org/markup-compatibility/2006">
      <mc:Choice Requires="x14">
        <control shapeId="11272" r:id="rId9" name="CommandButton3">
          <controlPr autoLine="0" r:id="rId10">
            <anchor moveWithCells="1">
              <from>
                <xdr:col>5</xdr:col>
                <xdr:colOff>38100</xdr:colOff>
                <xdr:row>7</xdr:row>
                <xdr:rowOff>167640</xdr:rowOff>
              </from>
              <to>
                <xdr:col>5</xdr:col>
                <xdr:colOff>601980</xdr:colOff>
                <xdr:row>10</xdr:row>
                <xdr:rowOff>0</xdr:rowOff>
              </to>
            </anchor>
          </controlPr>
        </control>
      </mc:Choice>
      <mc:Fallback>
        <control shapeId="11272" r:id="rId9"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TCvisor</vt:lpstr>
      <vt:lpstr>Sheet2</vt:lpstr>
      <vt:lpstr>Listas</vt:lpstr>
      <vt:lpstr>Template</vt:lpstr>
      <vt:lpstr>Sheet8</vt:lpstr>
      <vt:lpstr>Sheet9</vt:lpstr>
      <vt:lpstr>Sheet10</vt:lpstr>
      <vt:lpstr>Template (2)</vt:lpstr>
      <vt:lpstr>Sheet14</vt:lpstr>
      <vt:lpstr>costdesc</vt:lpstr>
      <vt:lpstr>dayname</vt:lpstr>
      <vt:lpstr>Template!lista99</vt:lpstr>
      <vt:lpstr>'Template (2)'!lista99</vt:lpstr>
      <vt:lpstr>lista99</vt:lpstr>
      <vt:lpstr>mesnome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Bravo, Juan Carlos</dc:creator>
  <cp:lastModifiedBy>Bravo, Juan Carlos</cp:lastModifiedBy>
  <dcterms:created xsi:type="dcterms:W3CDTF">2019-03-30T05:50:20Z</dcterms:created>
  <dcterms:modified xsi:type="dcterms:W3CDTF">2019-04-01T20:59:38Z</dcterms:modified>
</cp:coreProperties>
</file>