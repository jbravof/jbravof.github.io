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9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10.bin" ContentType="application/vnd.ms-office.activeX"/>
  <Override PartName="/xl/activeX/activeX12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2.bin" ContentType="application/vnd.ms-office.activeX"/>
  <Override PartName="/xl/activeX/activeX14.xml" ContentType="application/vnd.ms-office.activeX+xml"/>
  <Override PartName="/xl/activeX/activeX15.xml" ContentType="application/vnd.ms-office.activeX+xml"/>
  <Override PartName="/xl/activeX/activeX13.bin" ContentType="application/vnd.ms-office.activeX"/>
  <Override PartName="/xl/activeX/activeX16.xml" ContentType="application/vnd.ms-office.activeX+xml"/>
  <Override PartName="/xl/activeX/activeX14.bin" ContentType="application/vnd.ms-office.activeX"/>
  <Override PartName="/xl/activeX/activeX17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432" windowWidth="23064" windowHeight="956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Browser" sheetId="9" r:id="rId8"/>
  </sheets>
  <externalReferences>
    <externalReference r:id="rId9"/>
  </externalReferences>
  <definedNames>
    <definedName name="active01">[1]ProjectList!$A$2:$B$17</definedName>
    <definedName name="dataPT00402">[1]PT004!$A$4:$F$40</definedName>
    <definedName name="date">Sheet7!$C$2</definedName>
    <definedName name="date2">Sheet7!$F$2</definedName>
    <definedName name="datos01">[1]DataBase!$A$2:$F$34</definedName>
    <definedName name="days">Sheet7!$I$2</definedName>
    <definedName name="name05">[1]DataBaseScreen!$A$1:$A$14</definedName>
    <definedName name="plan07">[1]DataBase!$A$2:$F$34</definedName>
    <definedName name="select0">[1]db01!$A$1:$Q$6</definedName>
    <definedName name="start">Sheet7!$F$13</definedName>
  </definedNames>
  <calcPr calcId="145621"/>
</workbook>
</file>

<file path=xl/calcChain.xml><?xml version="1.0" encoding="utf-8"?>
<calcChain xmlns="http://schemas.openxmlformats.org/spreadsheetml/2006/main">
  <c r="L130" i="7" l="1"/>
  <c r="K130" i="7"/>
  <c r="J14" i="7"/>
  <c r="I14" i="7"/>
  <c r="H15" i="7"/>
  <c r="H16" i="7" s="1"/>
  <c r="H17" i="7" s="1"/>
  <c r="I17" i="7"/>
  <c r="J17" i="7"/>
  <c r="K17" i="7"/>
  <c r="M17" i="7"/>
  <c r="I16" i="7"/>
  <c r="J16" i="7"/>
  <c r="L16" i="7"/>
  <c r="M16" i="7"/>
  <c r="I15" i="7"/>
  <c r="J15" i="7"/>
  <c r="K15" i="7"/>
  <c r="L15" i="7"/>
  <c r="M15" i="7"/>
  <c r="K14" i="7"/>
  <c r="L14" i="7"/>
  <c r="M14" i="7"/>
  <c r="H18" i="7" l="1"/>
  <c r="L17" i="7"/>
  <c r="K16" i="7"/>
  <c r="I2" i="7"/>
  <c r="H19" i="7" l="1"/>
  <c r="I18" i="7"/>
  <c r="M18" i="7"/>
  <c r="J18" i="7"/>
  <c r="L18" i="7"/>
  <c r="K18" i="7"/>
  <c r="L2" i="7"/>
  <c r="H20" i="7" l="1"/>
  <c r="J19" i="7"/>
  <c r="I19" i="7"/>
  <c r="K19" i="7"/>
  <c r="M19" i="7"/>
  <c r="L19" i="7"/>
  <c r="H21" i="7" l="1"/>
  <c r="K20" i="7"/>
  <c r="I20" i="7"/>
  <c r="J20" i="7"/>
  <c r="L20" i="7"/>
  <c r="M20" i="7"/>
  <c r="H22" i="7" l="1"/>
  <c r="L21" i="7"/>
  <c r="I21" i="7"/>
  <c r="K21" i="7"/>
  <c r="J21" i="7"/>
  <c r="M21" i="7"/>
  <c r="H23" i="7" l="1"/>
  <c r="I22" i="7"/>
  <c r="M22" i="7"/>
  <c r="J22" i="7"/>
  <c r="L22" i="7"/>
  <c r="K22" i="7"/>
  <c r="H24" i="7" l="1"/>
  <c r="J23" i="7"/>
  <c r="M23" i="7"/>
  <c r="K23" i="7"/>
  <c r="I23" i="7"/>
  <c r="L23" i="7"/>
  <c r="H25" i="7" l="1"/>
  <c r="K24" i="7"/>
  <c r="M24" i="7"/>
  <c r="I24" i="7"/>
  <c r="J24" i="7"/>
  <c r="L24" i="7"/>
  <c r="H26" i="7" l="1"/>
  <c r="L25" i="7"/>
  <c r="M25" i="7"/>
  <c r="I25" i="7"/>
  <c r="K25" i="7"/>
  <c r="J25" i="7"/>
  <c r="H27" i="7" l="1"/>
  <c r="I26" i="7"/>
  <c r="M26" i="7"/>
  <c r="L26" i="7"/>
  <c r="J26" i="7"/>
  <c r="K26" i="7"/>
  <c r="H28" i="7" l="1"/>
  <c r="J27" i="7"/>
  <c r="K27" i="7"/>
  <c r="L27" i="7"/>
  <c r="M27" i="7"/>
  <c r="I27" i="7"/>
  <c r="K28" i="7" l="1"/>
  <c r="H29" i="7"/>
  <c r="L28" i="7"/>
  <c r="I28" i="7"/>
  <c r="J28" i="7"/>
  <c r="M28" i="7"/>
  <c r="H30" i="7" l="1"/>
  <c r="L29" i="7"/>
  <c r="I29" i="7"/>
  <c r="M29" i="7"/>
  <c r="K29" i="7"/>
  <c r="J29" i="7"/>
  <c r="H31" i="7" l="1"/>
  <c r="I30" i="7"/>
  <c r="M30" i="7"/>
  <c r="J30" i="7"/>
  <c r="K30" i="7"/>
  <c r="L30" i="7"/>
  <c r="H32" i="7" l="1"/>
  <c r="J31" i="7"/>
  <c r="K31" i="7"/>
  <c r="L31" i="7"/>
  <c r="I31" i="7"/>
  <c r="M31" i="7"/>
  <c r="H33" i="7" l="1"/>
  <c r="K32" i="7"/>
  <c r="L32" i="7"/>
  <c r="M32" i="7"/>
  <c r="I32" i="7"/>
  <c r="J32" i="7"/>
  <c r="H34" i="7" l="1"/>
  <c r="L33" i="7"/>
  <c r="I33" i="7"/>
  <c r="M33" i="7"/>
  <c r="J33" i="7"/>
  <c r="K33" i="7"/>
  <c r="H35" i="7" l="1"/>
  <c r="I34" i="7"/>
  <c r="M34" i="7"/>
  <c r="J34" i="7"/>
  <c r="K34" i="7"/>
  <c r="L34" i="7"/>
  <c r="H36" i="7" l="1"/>
  <c r="J35" i="7"/>
  <c r="K35" i="7"/>
  <c r="L35" i="7"/>
  <c r="M35" i="7"/>
  <c r="I35" i="7"/>
  <c r="H37" i="7" l="1"/>
  <c r="K36" i="7"/>
  <c r="L36" i="7"/>
  <c r="I36" i="7"/>
  <c r="J36" i="7"/>
  <c r="M36" i="7"/>
  <c r="H38" i="7" l="1"/>
  <c r="L37" i="7"/>
  <c r="I37" i="7"/>
  <c r="M37" i="7"/>
  <c r="J37" i="7"/>
  <c r="K37" i="7"/>
  <c r="H39" i="7" l="1"/>
  <c r="I38" i="7"/>
  <c r="M38" i="7"/>
  <c r="J38" i="7"/>
  <c r="K38" i="7"/>
  <c r="L38" i="7"/>
  <c r="H40" i="7" l="1"/>
  <c r="I39" i="7"/>
  <c r="M39" i="7"/>
  <c r="J39" i="7"/>
  <c r="L39" i="7"/>
  <c r="K39" i="7"/>
  <c r="J40" i="7" l="1"/>
  <c r="H41" i="7"/>
  <c r="M40" i="7"/>
  <c r="I40" i="7"/>
  <c r="K40" i="7"/>
  <c r="L40" i="7"/>
  <c r="H42" i="7" l="1"/>
  <c r="K41" i="7"/>
  <c r="M41" i="7"/>
  <c r="I41" i="7"/>
  <c r="J41" i="7"/>
  <c r="L41" i="7"/>
  <c r="H43" i="7" l="1"/>
  <c r="L42" i="7"/>
  <c r="M42" i="7"/>
  <c r="I42" i="7"/>
  <c r="J42" i="7"/>
  <c r="K42" i="7"/>
  <c r="H44" i="7" l="1"/>
  <c r="I43" i="7"/>
  <c r="M43" i="7"/>
  <c r="L43" i="7"/>
  <c r="J43" i="7"/>
  <c r="K43" i="7"/>
  <c r="J44" i="7" l="1"/>
  <c r="H45" i="7"/>
  <c r="L44" i="7"/>
  <c r="M44" i="7"/>
  <c r="I44" i="7"/>
  <c r="K44" i="7"/>
  <c r="H46" i="7" l="1"/>
  <c r="K45" i="7"/>
  <c r="L45" i="7"/>
  <c r="M45" i="7"/>
  <c r="J45" i="7"/>
  <c r="I45" i="7"/>
  <c r="H47" i="7" l="1"/>
  <c r="L46" i="7"/>
  <c r="K46" i="7"/>
  <c r="M46" i="7"/>
  <c r="I46" i="7"/>
  <c r="J46" i="7"/>
  <c r="H48" i="7" l="1"/>
  <c r="I47" i="7"/>
  <c r="M47" i="7"/>
  <c r="K47" i="7"/>
  <c r="L47" i="7"/>
  <c r="J47" i="7"/>
  <c r="J48" i="7" l="1"/>
  <c r="K48" i="7"/>
  <c r="H49" i="7"/>
  <c r="L48" i="7"/>
  <c r="M48" i="7"/>
  <c r="I48" i="7"/>
  <c r="H50" i="7" l="1"/>
  <c r="K49" i="7"/>
  <c r="J49" i="7"/>
  <c r="L49" i="7"/>
  <c r="M49" i="7"/>
  <c r="I49" i="7"/>
  <c r="H51" i="7" l="1"/>
  <c r="L50" i="7"/>
  <c r="J50" i="7"/>
  <c r="K50" i="7"/>
  <c r="I50" i="7"/>
  <c r="M50" i="7"/>
  <c r="H52" i="7" l="1"/>
  <c r="I51" i="7"/>
  <c r="M51" i="7"/>
  <c r="J51" i="7"/>
  <c r="K51" i="7"/>
  <c r="L51" i="7"/>
  <c r="H53" i="7" l="1"/>
  <c r="J52" i="7"/>
  <c r="I52" i="7"/>
  <c r="K52" i="7"/>
  <c r="M52" i="7"/>
  <c r="L52" i="7"/>
  <c r="H54" i="7" l="1"/>
  <c r="K53" i="7"/>
  <c r="I53" i="7"/>
  <c r="J53" i="7"/>
  <c r="L53" i="7"/>
  <c r="M53" i="7"/>
  <c r="H55" i="7" l="1"/>
  <c r="L54" i="7"/>
  <c r="I54" i="7"/>
  <c r="J54" i="7"/>
  <c r="K54" i="7"/>
  <c r="M54" i="7"/>
  <c r="H56" i="7" l="1"/>
  <c r="I55" i="7"/>
  <c r="M55" i="7"/>
  <c r="J55" i="7"/>
  <c r="K55" i="7"/>
  <c r="L55" i="7"/>
  <c r="J56" i="7" l="1"/>
  <c r="H57" i="7"/>
  <c r="M56" i="7"/>
  <c r="I56" i="7"/>
  <c r="L56" i="7"/>
  <c r="K56" i="7"/>
  <c r="H58" i="7" l="1"/>
  <c r="K57" i="7"/>
  <c r="M57" i="7"/>
  <c r="I57" i="7"/>
  <c r="J57" i="7"/>
  <c r="L57" i="7"/>
  <c r="H59" i="7" l="1"/>
  <c r="L58" i="7"/>
  <c r="M58" i="7"/>
  <c r="I58" i="7"/>
  <c r="J58" i="7"/>
  <c r="K58" i="7"/>
  <c r="H60" i="7" l="1"/>
  <c r="I59" i="7"/>
  <c r="M59" i="7"/>
  <c r="L59" i="7"/>
  <c r="J59" i="7"/>
  <c r="K59" i="7"/>
  <c r="J60" i="7" l="1"/>
  <c r="H61" i="7"/>
  <c r="L60" i="7"/>
  <c r="M60" i="7"/>
  <c r="I60" i="7"/>
  <c r="K60" i="7"/>
  <c r="H62" i="7" l="1"/>
  <c r="K61" i="7"/>
  <c r="L61" i="7"/>
  <c r="M61" i="7"/>
  <c r="I61" i="7"/>
  <c r="J61" i="7"/>
  <c r="H63" i="7" l="1"/>
  <c r="L62" i="7"/>
  <c r="K62" i="7"/>
  <c r="M62" i="7"/>
  <c r="J62" i="7"/>
  <c r="I62" i="7"/>
  <c r="H64" i="7" l="1"/>
  <c r="I63" i="7"/>
  <c r="M63" i="7"/>
  <c r="K63" i="7"/>
  <c r="L63" i="7"/>
  <c r="J63" i="7"/>
  <c r="J64" i="7" l="1"/>
  <c r="H65" i="7"/>
  <c r="K64" i="7"/>
  <c r="L64" i="7"/>
  <c r="M64" i="7"/>
  <c r="I64" i="7"/>
  <c r="H66" i="7" l="1"/>
  <c r="K65" i="7"/>
  <c r="J65" i="7"/>
  <c r="L65" i="7"/>
  <c r="M65" i="7"/>
  <c r="I65" i="7"/>
  <c r="H67" i="7" l="1"/>
  <c r="L66" i="7"/>
  <c r="J66" i="7"/>
  <c r="K66" i="7"/>
  <c r="M66" i="7"/>
  <c r="I66" i="7"/>
  <c r="H68" i="7" l="1"/>
  <c r="I67" i="7"/>
  <c r="M67" i="7"/>
  <c r="J67" i="7"/>
  <c r="K67" i="7"/>
  <c r="L67" i="7"/>
  <c r="H69" i="7" l="1"/>
  <c r="J68" i="7"/>
  <c r="I68" i="7"/>
  <c r="K68" i="7"/>
  <c r="L68" i="7"/>
  <c r="M68" i="7"/>
  <c r="H70" i="7" l="1"/>
  <c r="K69" i="7"/>
  <c r="I69" i="7"/>
  <c r="J69" i="7"/>
  <c r="M69" i="7"/>
  <c r="L69" i="7"/>
  <c r="H71" i="7" l="1"/>
  <c r="L70" i="7"/>
  <c r="I70" i="7"/>
  <c r="J70" i="7"/>
  <c r="K70" i="7"/>
  <c r="M70" i="7"/>
  <c r="H72" i="7" l="1"/>
  <c r="I71" i="7"/>
  <c r="M71" i="7"/>
  <c r="J71" i="7"/>
  <c r="K71" i="7"/>
  <c r="L71" i="7"/>
  <c r="J72" i="7" l="1"/>
  <c r="M72" i="7"/>
  <c r="H73" i="7"/>
  <c r="I72" i="7"/>
  <c r="K72" i="7"/>
  <c r="L72" i="7"/>
  <c r="H74" i="7" l="1"/>
  <c r="K73" i="7"/>
  <c r="M73" i="7"/>
  <c r="I73" i="7"/>
  <c r="J73" i="7"/>
  <c r="L73" i="7"/>
  <c r="H75" i="7" l="1"/>
  <c r="L74" i="7"/>
  <c r="M74" i="7"/>
  <c r="I74" i="7"/>
  <c r="J74" i="7"/>
  <c r="K74" i="7"/>
  <c r="H76" i="7" l="1"/>
  <c r="I75" i="7"/>
  <c r="M75" i="7"/>
  <c r="L75" i="7"/>
  <c r="J75" i="7"/>
  <c r="K75" i="7"/>
  <c r="J76" i="7" l="1"/>
  <c r="H77" i="7"/>
  <c r="L76" i="7"/>
  <c r="M76" i="7"/>
  <c r="I76" i="7"/>
  <c r="K76" i="7"/>
  <c r="H78" i="7" l="1"/>
  <c r="K77" i="7"/>
  <c r="L77" i="7"/>
  <c r="M77" i="7"/>
  <c r="J77" i="7"/>
  <c r="I77" i="7"/>
  <c r="H79" i="7" l="1"/>
  <c r="L78" i="7"/>
  <c r="K78" i="7"/>
  <c r="M78" i="7"/>
  <c r="I78" i="7"/>
  <c r="J78" i="7"/>
  <c r="H80" i="7" l="1"/>
  <c r="I79" i="7"/>
  <c r="M79" i="7"/>
  <c r="K79" i="7"/>
  <c r="L79" i="7"/>
  <c r="J79" i="7"/>
  <c r="J80" i="7" l="1"/>
  <c r="H81" i="7"/>
  <c r="K80" i="7"/>
  <c r="L80" i="7"/>
  <c r="M80" i="7"/>
  <c r="I80" i="7"/>
  <c r="H82" i="7" l="1"/>
  <c r="K81" i="7"/>
  <c r="J81" i="7"/>
  <c r="L81" i="7"/>
  <c r="M81" i="7"/>
  <c r="I81" i="7"/>
  <c r="H83" i="7" l="1"/>
  <c r="L82" i="7"/>
  <c r="J82" i="7"/>
  <c r="K82" i="7"/>
  <c r="I82" i="7"/>
  <c r="M82" i="7"/>
  <c r="H84" i="7" l="1"/>
  <c r="I83" i="7"/>
  <c r="M83" i="7"/>
  <c r="J83" i="7"/>
  <c r="K83" i="7"/>
  <c r="L83" i="7"/>
  <c r="H85" i="7" l="1"/>
  <c r="J84" i="7"/>
  <c r="I84" i="7"/>
  <c r="K84" i="7"/>
  <c r="L84" i="7"/>
  <c r="M84" i="7"/>
  <c r="H86" i="7" l="1"/>
  <c r="K85" i="7"/>
  <c r="I85" i="7"/>
  <c r="J85" i="7"/>
  <c r="L85" i="7"/>
  <c r="M85" i="7"/>
  <c r="H87" i="7" l="1"/>
  <c r="L86" i="7"/>
  <c r="I86" i="7"/>
  <c r="J86" i="7"/>
  <c r="K86" i="7"/>
  <c r="M86" i="7"/>
  <c r="H88" i="7" l="1"/>
  <c r="I87" i="7"/>
  <c r="K87" i="7"/>
  <c r="M87" i="7"/>
  <c r="J87" i="7"/>
  <c r="L87" i="7"/>
  <c r="J88" i="7" l="1"/>
  <c r="L88" i="7"/>
  <c r="K88" i="7"/>
  <c r="H89" i="7"/>
  <c r="I88" i="7"/>
  <c r="M88" i="7"/>
  <c r="K89" i="7" l="1"/>
  <c r="H90" i="7"/>
  <c r="I89" i="7"/>
  <c r="M89" i="7"/>
  <c r="J89" i="7"/>
  <c r="L89" i="7"/>
  <c r="H91" i="7" l="1"/>
  <c r="L90" i="7"/>
  <c r="J90" i="7"/>
  <c r="M90" i="7"/>
  <c r="I90" i="7"/>
  <c r="K90" i="7"/>
  <c r="H92" i="7" l="1"/>
  <c r="I91" i="7"/>
  <c r="M91" i="7"/>
  <c r="K91" i="7"/>
  <c r="J91" i="7"/>
  <c r="L91" i="7"/>
  <c r="J92" i="7" l="1"/>
  <c r="L92" i="7"/>
  <c r="I92" i="7"/>
  <c r="H93" i="7"/>
  <c r="K92" i="7"/>
  <c r="M92" i="7"/>
  <c r="K93" i="7" l="1"/>
  <c r="H94" i="7"/>
  <c r="I93" i="7"/>
  <c r="M93" i="7"/>
  <c r="L93" i="7"/>
  <c r="J93" i="7"/>
  <c r="H95" i="7" l="1"/>
  <c r="L94" i="7"/>
  <c r="J94" i="7"/>
  <c r="I94" i="7"/>
  <c r="K94" i="7"/>
  <c r="M94" i="7"/>
  <c r="H96" i="7" l="1"/>
  <c r="I95" i="7"/>
  <c r="M95" i="7"/>
  <c r="K95" i="7"/>
  <c r="L95" i="7"/>
  <c r="J95" i="7"/>
  <c r="I96" i="7" l="1"/>
  <c r="J96" i="7"/>
  <c r="L96" i="7"/>
  <c r="K96" i="7"/>
  <c r="H97" i="7"/>
  <c r="M96" i="7"/>
  <c r="J97" i="7" l="1"/>
  <c r="K97" i="7"/>
  <c r="H98" i="7"/>
  <c r="I97" i="7"/>
  <c r="M97" i="7"/>
  <c r="L97" i="7"/>
  <c r="H99" i="7" l="1"/>
  <c r="K98" i="7"/>
  <c r="L98" i="7"/>
  <c r="J98" i="7"/>
  <c r="M98" i="7"/>
  <c r="I98" i="7"/>
  <c r="L99" i="7" l="1"/>
  <c r="H100" i="7"/>
  <c r="I99" i="7"/>
  <c r="M99" i="7"/>
  <c r="K99" i="7"/>
  <c r="J99" i="7"/>
  <c r="I100" i="7" l="1"/>
  <c r="M100" i="7"/>
  <c r="J100" i="7"/>
  <c r="L100" i="7"/>
  <c r="H101" i="7"/>
  <c r="K100" i="7"/>
  <c r="J101" i="7" l="1"/>
  <c r="K101" i="7"/>
  <c r="H102" i="7"/>
  <c r="I101" i="7"/>
  <c r="M101" i="7"/>
  <c r="L101" i="7"/>
  <c r="H103" i="7" l="1"/>
  <c r="K102" i="7"/>
  <c r="L102" i="7"/>
  <c r="J102" i="7"/>
  <c r="I102" i="7"/>
  <c r="M102" i="7"/>
  <c r="L103" i="7" l="1"/>
  <c r="H104" i="7"/>
  <c r="I103" i="7"/>
  <c r="M103" i="7"/>
  <c r="K103" i="7"/>
  <c r="J103" i="7"/>
  <c r="I104" i="7" l="1"/>
  <c r="M104" i="7"/>
  <c r="J104" i="7"/>
  <c r="L104" i="7"/>
  <c r="H105" i="7"/>
  <c r="K104" i="7"/>
  <c r="J105" i="7" l="1"/>
  <c r="K105" i="7"/>
  <c r="H106" i="7"/>
  <c r="I105" i="7"/>
  <c r="M105" i="7"/>
  <c r="L105" i="7"/>
  <c r="H107" i="7" l="1"/>
  <c r="K106" i="7"/>
  <c r="L106" i="7"/>
  <c r="J106" i="7"/>
  <c r="M106" i="7"/>
  <c r="I106" i="7"/>
  <c r="L107" i="7" l="1"/>
  <c r="H108" i="7"/>
  <c r="I107" i="7"/>
  <c r="M107" i="7"/>
  <c r="K107" i="7"/>
  <c r="J107" i="7"/>
  <c r="I108" i="7" l="1"/>
  <c r="M108" i="7"/>
  <c r="J108" i="7"/>
  <c r="L108" i="7"/>
  <c r="H109" i="7"/>
  <c r="K108" i="7"/>
  <c r="J109" i="7" l="1"/>
  <c r="K109" i="7"/>
  <c r="H110" i="7"/>
  <c r="I109" i="7"/>
  <c r="M109" i="7"/>
  <c r="L109" i="7"/>
  <c r="H111" i="7" l="1"/>
  <c r="K110" i="7"/>
  <c r="L110" i="7"/>
  <c r="J110" i="7"/>
  <c r="I110" i="7"/>
  <c r="M110" i="7"/>
  <c r="L111" i="7" l="1"/>
  <c r="H112" i="7"/>
  <c r="I111" i="7"/>
  <c r="M111" i="7"/>
  <c r="K111" i="7"/>
  <c r="J111" i="7"/>
  <c r="I112" i="7" l="1"/>
  <c r="M112" i="7"/>
  <c r="J112" i="7"/>
  <c r="L112" i="7"/>
  <c r="K112" i="7"/>
  <c r="H113" i="7"/>
  <c r="J113" i="7" l="1"/>
  <c r="K113" i="7"/>
  <c r="H114" i="7"/>
  <c r="I113" i="7"/>
  <c r="M113" i="7"/>
  <c r="L113" i="7"/>
  <c r="H115" i="7" l="1"/>
  <c r="K114" i="7"/>
  <c r="L114" i="7"/>
  <c r="J114" i="7"/>
  <c r="I114" i="7"/>
  <c r="M114" i="7"/>
  <c r="L115" i="7" l="1"/>
  <c r="H116" i="7"/>
  <c r="I115" i="7"/>
  <c r="M115" i="7"/>
  <c r="K115" i="7"/>
  <c r="J115" i="7"/>
  <c r="I116" i="7" l="1"/>
  <c r="M116" i="7"/>
  <c r="J116" i="7"/>
  <c r="L116" i="7"/>
  <c r="H117" i="7"/>
  <c r="K116" i="7"/>
  <c r="J117" i="7" l="1"/>
  <c r="K117" i="7"/>
  <c r="H118" i="7"/>
  <c r="I117" i="7"/>
  <c r="M117" i="7"/>
  <c r="L117" i="7"/>
  <c r="H119" i="7" l="1"/>
  <c r="K118" i="7"/>
  <c r="L118" i="7"/>
  <c r="J118" i="7"/>
  <c r="I118" i="7"/>
  <c r="M118" i="7"/>
  <c r="L119" i="7" l="1"/>
  <c r="H120" i="7"/>
  <c r="I119" i="7"/>
  <c r="M119" i="7"/>
  <c r="K119" i="7"/>
  <c r="J119" i="7"/>
  <c r="I120" i="7" l="1"/>
  <c r="M120" i="7"/>
  <c r="J120" i="7"/>
  <c r="L120" i="7"/>
  <c r="H121" i="7"/>
  <c r="K120" i="7"/>
  <c r="J121" i="7" l="1"/>
  <c r="K121" i="7"/>
  <c r="H122" i="7"/>
  <c r="I121" i="7"/>
  <c r="M121" i="7"/>
  <c r="L121" i="7"/>
  <c r="H123" i="7" l="1"/>
  <c r="K122" i="7"/>
  <c r="L122" i="7"/>
  <c r="J122" i="7"/>
  <c r="M122" i="7"/>
  <c r="I122" i="7"/>
  <c r="L123" i="7" l="1"/>
  <c r="H124" i="7"/>
  <c r="I123" i="7"/>
  <c r="M123" i="7"/>
  <c r="K123" i="7"/>
  <c r="J123" i="7"/>
  <c r="I124" i="7" l="1"/>
  <c r="M124" i="7"/>
  <c r="J124" i="7"/>
  <c r="L124" i="7"/>
  <c r="H125" i="7"/>
  <c r="K124" i="7"/>
  <c r="J125" i="7" l="1"/>
  <c r="K125" i="7"/>
  <c r="H126" i="7"/>
  <c r="I125" i="7"/>
  <c r="M125" i="7"/>
  <c r="L125" i="7"/>
  <c r="H127" i="7" l="1"/>
  <c r="K126" i="7"/>
  <c r="L126" i="7"/>
  <c r="J126" i="7"/>
  <c r="M126" i="7"/>
  <c r="I126" i="7"/>
  <c r="L127" i="7" l="1"/>
  <c r="H128" i="7"/>
  <c r="I127" i="7"/>
  <c r="M127" i="7"/>
  <c r="K127" i="7"/>
  <c r="J127" i="7"/>
  <c r="I128" i="7" l="1"/>
  <c r="M128" i="7"/>
  <c r="J128" i="7"/>
  <c r="L128" i="7"/>
  <c r="K128" i="7"/>
  <c r="H129" i="7"/>
  <c r="J129" i="7" l="1"/>
  <c r="K129" i="7"/>
  <c r="H130" i="7"/>
  <c r="I129" i="7"/>
  <c r="M129" i="7"/>
  <c r="L129" i="7"/>
  <c r="H131" i="7" l="1"/>
  <c r="I130" i="7"/>
  <c r="M130" i="7"/>
  <c r="J130" i="7"/>
  <c r="J131" i="7" l="1"/>
  <c r="L131" i="7"/>
  <c r="I131" i="7"/>
  <c r="M131" i="7"/>
  <c r="K131" i="7"/>
</calcChain>
</file>

<file path=xl/sharedStrings.xml><?xml version="1.0" encoding="utf-8"?>
<sst xmlns="http://schemas.openxmlformats.org/spreadsheetml/2006/main" count="17" uniqueCount="17">
  <si>
    <t>Open</t>
  </si>
  <si>
    <t>Close</t>
  </si>
  <si>
    <t>Sheets</t>
  </si>
  <si>
    <t>Windows</t>
  </si>
  <si>
    <t>www.elmundo.es</t>
  </si>
  <si>
    <t>Date1</t>
  </si>
  <si>
    <t>Date2</t>
  </si>
  <si>
    <t>Days</t>
  </si>
  <si>
    <t>RUN !</t>
  </si>
  <si>
    <t>index</t>
  </si>
  <si>
    <t>day</t>
  </si>
  <si>
    <t>month</t>
  </si>
  <si>
    <t>year</t>
  </si>
  <si>
    <t>week</t>
  </si>
  <si>
    <t>date</t>
  </si>
  <si>
    <t>weekday</t>
  </si>
  <si>
    <t>WrkDays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</si>
</sst>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</font>
    <font>
      <b/>
      <sz val="9"/>
      <color rgb="FF0070C0"/>
      <name val="Calibri"/>
      <family val="2"/>
    </font>
    <font>
      <sz val="10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8" tint="-0.249977111117893"/>
      <name val="Calibri"/>
      <family val="2"/>
    </font>
    <font>
      <b/>
      <sz val="8"/>
      <color theme="8" tint="-0.24997711111789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14" fontId="0" fillId="0" borderId="0" xfId="0" applyNumberFormat="1"/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0" xfId="0" applyNumberFormat="1"/>
    <xf numFmtId="0" fontId="3" fillId="2" borderId="2" xfId="0" applyFont="1" applyFill="1" applyBorder="1" applyAlignment="1">
      <alignment horizontal="center" vertical="center" textRotation="90"/>
    </xf>
    <xf numFmtId="0" fontId="3" fillId="2" borderId="3" xfId="0" applyFont="1" applyFill="1" applyBorder="1" applyAlignment="1">
      <alignment horizontal="center" vertical="center" textRotation="90"/>
    </xf>
    <xf numFmtId="0" fontId="3" fillId="2" borderId="4" xfId="0" applyFont="1" applyFill="1" applyBorder="1" applyAlignment="1">
      <alignment horizontal="center" vertical="center" textRotation="90"/>
    </xf>
    <xf numFmtId="0" fontId="3" fillId="2" borderId="6" xfId="0" applyFont="1" applyFill="1" applyBorder="1" applyAlignment="1">
      <alignment horizontal="center" vertical="center" textRotation="90"/>
    </xf>
    <xf numFmtId="0" fontId="3" fillId="2" borderId="7" xfId="0" applyFont="1" applyFill="1" applyBorder="1" applyAlignment="1">
      <alignment horizontal="center" vertical="center" textRotation="90"/>
    </xf>
    <xf numFmtId="0" fontId="3" fillId="2" borderId="8" xfId="0" applyFont="1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Border="1" applyAlignment="1">
      <alignment vertical="center"/>
    </xf>
    <xf numFmtId="0" fontId="5" fillId="0" borderId="9" xfId="0" applyFont="1" applyBorder="1" applyAlignment="1">
      <alignment horizontal="left" vertical="center" indent="1"/>
    </xf>
    <xf numFmtId="0" fontId="5" fillId="0" borderId="10" xfId="0" applyFont="1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1" fontId="5" fillId="0" borderId="0" xfId="0" applyNumberFormat="1" applyFont="1" applyAlignment="1">
      <alignment horizontal="left" vertical="center" indent="1"/>
    </xf>
    <xf numFmtId="1" fontId="0" fillId="0" borderId="0" xfId="0" applyNumberFormat="1"/>
  </cellXfs>
  <cellStyles count="2">
    <cellStyle name="Normal" xfId="0" builtinId="0"/>
    <cellStyle name="Normal 2" xfId="1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alignment horizontal="left" vertical="center" textRotation="0" wrapText="0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21"/>
  <ax:ocxPr ax:name="_ExtentY" ax:value="21"/>
  <ax:ocxPr ax:name="_Version" ax:value="393216"/>
  <ax:ocxPr ax:name="Appearance" ax:value="0"/>
  <ax:ocxPr ax:name="Min" ax:value="1"/>
  <ax:ocxPr ax:name="Max" ax:value="4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296"/>
  <ax:ocxPr ax:name="_ExtentY" ax:value="7260"/>
  <ax:ocxPr ax:name="_Version" ax:value="393216"/>
  <ax:ocxPr ax:name="Appearance" ax:value="0"/>
  <ax:ocxPr ax:name="Min" ax:value="1"/>
  <ax:ocxPr ax:name="Max" ax:value="116"/>
  <ax:ocxPr ax:name="Orientation" ax:value="1"/>
</ax:ocx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304800</xdr:colOff>
          <xdr:row>1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7" name="Toggle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0</xdr:colOff>
          <xdr:row>1</xdr:row>
          <xdr:rowOff>167640</xdr:rowOff>
        </xdr:to>
        <xdr:sp macro="" textlink="">
          <xdr:nvSpPr>
            <xdr:cNvPr id="1030" name="List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30480</xdr:rowOff>
        </xdr:from>
        <xdr:to>
          <xdr:col>35</xdr:col>
          <xdr:colOff>457200</xdr:colOff>
          <xdr:row>6</xdr:row>
          <xdr:rowOff>30480</xdr:rowOff>
        </xdr:to>
        <xdr:sp macro="" textlink="">
          <xdr:nvSpPr>
            <xdr:cNvPr id="1032" name="ProgressBar2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0</xdr:row>
          <xdr:rowOff>0</xdr:rowOff>
        </xdr:from>
        <xdr:to>
          <xdr:col>31</xdr:col>
          <xdr:colOff>0</xdr:colOff>
          <xdr:row>2</xdr:row>
          <xdr:rowOff>83820</xdr:rowOff>
        </xdr:to>
        <xdr:sp macro="" textlink="">
          <xdr:nvSpPr>
            <xdr:cNvPr id="1034" name="List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0</xdr:row>
          <xdr:rowOff>0</xdr:rowOff>
        </xdr:from>
        <xdr:to>
          <xdr:col>33</xdr:col>
          <xdr:colOff>0</xdr:colOff>
          <xdr:row>1</xdr:row>
          <xdr:rowOff>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320040</xdr:colOff>
          <xdr:row>1</xdr:row>
          <xdr:rowOff>365760</xdr:rowOff>
        </xdr:from>
        <xdr:to>
          <xdr:col>35</xdr:col>
          <xdr:colOff>15240</xdr:colOff>
          <xdr:row>3</xdr:row>
          <xdr:rowOff>83820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381000</xdr:colOff>
          <xdr:row>0</xdr:row>
          <xdr:rowOff>99060</xdr:rowOff>
        </xdr:from>
        <xdr:to>
          <xdr:col>35</xdr:col>
          <xdr:colOff>76200</xdr:colOff>
          <xdr:row>1</xdr:row>
          <xdr:rowOff>220980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14</xdr:col>
      <xdr:colOff>0</xdr:colOff>
      <xdr:row>2</xdr:row>
      <xdr:rowOff>0</xdr:rowOff>
    </xdr:to>
    <xdr:sp macro="[0]!genera01" textlink="">
      <xdr:nvSpPr>
        <xdr:cNvPr id="2" name="Rectangle 1"/>
        <xdr:cNvSpPr/>
      </xdr:nvSpPr>
      <xdr:spPr>
        <a:xfrm>
          <a:off x="7581900" y="99060"/>
          <a:ext cx="609600" cy="228600"/>
        </a:xfrm>
        <a:prstGeom prst="rect">
          <a:avLst/>
        </a:prstGeom>
        <a:solidFill>
          <a:schemeClr val="accent2">
            <a:alpha val="59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15240</xdr:colOff>
          <xdr:row>4</xdr:row>
          <xdr:rowOff>0</xdr:rowOff>
        </xdr:to>
        <xdr:sp macro="" textlink="">
          <xdr:nvSpPr>
            <xdr:cNvPr id="12291" name="ScrollBar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2292" name="ScrollBar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5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2290" name="ProgressBar2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5</xdr:row>
          <xdr:rowOff>0</xdr:rowOff>
        </xdr:from>
        <xdr:to>
          <xdr:col>20</xdr:col>
          <xdr:colOff>38100</xdr:colOff>
          <xdr:row>11</xdr:row>
          <xdr:rowOff>0</xdr:rowOff>
        </xdr:to>
        <xdr:sp macro="" textlink="">
          <xdr:nvSpPr>
            <xdr:cNvPr id="12293" name="ListBox1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2294" name="CommandButton1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ravof/Google%20Drive/WebSites/webspace/files/Plan/Planning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"/>
      <sheetName val="SIE"/>
      <sheetName val="Lists"/>
      <sheetName val="Template01"/>
      <sheetName val="Template01 (2)"/>
      <sheetName val="Detail (2)"/>
      <sheetName val="Sheet7"/>
      <sheetName val="Sheet8"/>
      <sheetName val="Sheet9"/>
      <sheetName val="Sheet10"/>
      <sheetName val="db01"/>
      <sheetName val="command"/>
      <sheetName val="ProjectList"/>
      <sheetName val="ProjectDetail"/>
      <sheetName val="DB02"/>
      <sheetName val="LB-DB02"/>
      <sheetName val="DataBase"/>
      <sheetName val="Chart02"/>
      <sheetName val="Chart"/>
      <sheetName val="Sheet1"/>
      <sheetName val="Sheet4"/>
      <sheetName val="Sheet5"/>
      <sheetName val="Sheet6"/>
      <sheetName val="Sheet2"/>
      <sheetName val="Sheet3"/>
      <sheetName val="Sheet11"/>
      <sheetName val="Sheet12"/>
      <sheetName val="Sheet16"/>
      <sheetName val="calculos01"/>
      <sheetName val="projection"/>
      <sheetName val="PT004"/>
      <sheetName val="Data004"/>
      <sheetName val="DataBaseScreen"/>
      <sheetName val="Sheet14"/>
      <sheetName val="DataBaseScreen (2)"/>
      <sheetName val="Sheet13"/>
      <sheetName val="Tabla01"/>
      <sheetName val="Sheet17"/>
      <sheetName val="Tabla02"/>
      <sheetName val="browser01"/>
      <sheetName val="Planning1.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</row>
        <row r="2">
          <cell r="A2">
            <v>4</v>
          </cell>
          <cell r="B2">
            <v>5</v>
          </cell>
          <cell r="C2">
            <v>6</v>
          </cell>
          <cell r="D2">
            <v>7</v>
          </cell>
          <cell r="E2">
            <v>8</v>
          </cell>
          <cell r="F2">
            <v>9</v>
          </cell>
          <cell r="G2">
            <v>10</v>
          </cell>
          <cell r="H2">
            <v>11</v>
          </cell>
          <cell r="I2">
            <v>12</v>
          </cell>
          <cell r="J2">
            <v>1</v>
          </cell>
          <cell r="K2">
            <v>2</v>
          </cell>
          <cell r="L2">
            <v>3</v>
          </cell>
          <cell r="M2">
            <v>4</v>
          </cell>
          <cell r="N2">
            <v>5</v>
          </cell>
          <cell r="O2">
            <v>6</v>
          </cell>
          <cell r="P2">
            <v>7</v>
          </cell>
          <cell r="Q2">
            <v>8</v>
          </cell>
        </row>
        <row r="3">
          <cell r="A3">
            <v>2018</v>
          </cell>
          <cell r="B3">
            <v>2018</v>
          </cell>
          <cell r="C3">
            <v>2018</v>
          </cell>
          <cell r="D3">
            <v>2018</v>
          </cell>
          <cell r="E3">
            <v>2018</v>
          </cell>
          <cell r="F3">
            <v>2018</v>
          </cell>
          <cell r="G3">
            <v>2018</v>
          </cell>
          <cell r="H3">
            <v>2018</v>
          </cell>
          <cell r="I3">
            <v>2018</v>
          </cell>
          <cell r="J3">
            <v>2019</v>
          </cell>
          <cell r="K3">
            <v>2019</v>
          </cell>
          <cell r="L3">
            <v>2019</v>
          </cell>
          <cell r="M3">
            <v>2019</v>
          </cell>
          <cell r="N3">
            <v>2019</v>
          </cell>
          <cell r="O3">
            <v>2019</v>
          </cell>
          <cell r="P3">
            <v>2019</v>
          </cell>
          <cell r="Q3">
            <v>2019</v>
          </cell>
        </row>
        <row r="4">
          <cell r="A4">
            <v>43220</v>
          </cell>
          <cell r="B4">
            <v>43251</v>
          </cell>
          <cell r="C4">
            <v>43281</v>
          </cell>
          <cell r="D4">
            <v>43312</v>
          </cell>
          <cell r="E4">
            <v>43343</v>
          </cell>
          <cell r="F4">
            <v>43373</v>
          </cell>
          <cell r="G4">
            <v>43404</v>
          </cell>
          <cell r="H4">
            <v>43434</v>
          </cell>
          <cell r="I4">
            <v>43465</v>
          </cell>
          <cell r="J4">
            <v>43496</v>
          </cell>
          <cell r="K4">
            <v>43524</v>
          </cell>
          <cell r="L4">
            <v>43555</v>
          </cell>
          <cell r="M4">
            <v>43585</v>
          </cell>
          <cell r="N4">
            <v>43616</v>
          </cell>
          <cell r="O4">
            <v>43646</v>
          </cell>
          <cell r="P4">
            <v>43677</v>
          </cell>
          <cell r="Q4">
            <v>43708</v>
          </cell>
        </row>
        <row r="5">
          <cell r="A5">
            <v>4.3820751233921351E-3</v>
          </cell>
          <cell r="B5">
            <v>7.9349129589168545E-3</v>
          </cell>
          <cell r="C5">
            <v>1.3497741628297016E-2</v>
          </cell>
          <cell r="D5">
            <v>2.1569329706627883E-2</v>
          </cell>
          <cell r="E5">
            <v>3.2379398916472936E-2</v>
          </cell>
          <cell r="F5">
            <v>4.5662271347255479E-2</v>
          </cell>
          <cell r="G5">
            <v>6.0492681129785841E-2</v>
          </cell>
          <cell r="H5">
            <v>7.5284358038701107E-2</v>
          </cell>
          <cell r="I5">
            <v>8.8016331691074881E-2</v>
          </cell>
          <cell r="J5">
            <v>9.6667029200712309E-2</v>
          </cell>
          <cell r="K5">
            <v>9.9735570100358176E-2</v>
          </cell>
          <cell r="L5">
            <v>9.6667029200712309E-2</v>
          </cell>
          <cell r="M5">
            <v>8.8016331691074881E-2</v>
          </cell>
          <cell r="N5">
            <v>7.5284358038701107E-2</v>
          </cell>
          <cell r="O5">
            <v>6.0492681129785841E-2</v>
          </cell>
          <cell r="P5">
            <v>4.5662271347255479E-2</v>
          </cell>
          <cell r="Q5">
            <v>3.2379398916472936E-2</v>
          </cell>
        </row>
        <row r="6">
          <cell r="A6">
            <v>97941.899577425196</v>
          </cell>
          <cell r="B6">
            <v>177349.86879372565</v>
          </cell>
          <cell r="C6">
            <v>301682.28929342289</v>
          </cell>
          <cell r="D6">
            <v>482086.92562158039</v>
          </cell>
          <cell r="E6">
            <v>723698.19041342684</v>
          </cell>
          <cell r="F6">
            <v>1020578.0295496389</v>
          </cell>
          <cell r="G6">
            <v>1352046.2186408993</v>
          </cell>
          <cell r="H6">
            <v>1682648.7057277136</v>
          </cell>
          <cell r="I6">
            <v>1967215.6402895122</v>
          </cell>
          <cell r="J6">
            <v>2160563.7055111164</v>
          </cell>
          <cell r="K6">
            <v>2229147.3596429271</v>
          </cell>
          <cell r="L6">
            <v>2160563.7055111164</v>
          </cell>
          <cell r="M6">
            <v>1967215.6402895122</v>
          </cell>
          <cell r="N6">
            <v>1682648.7057277136</v>
          </cell>
          <cell r="O6">
            <v>1352046.2186408993</v>
          </cell>
          <cell r="P6">
            <v>1020578.0295496389</v>
          </cell>
          <cell r="Q6">
            <v>723698.19041342684</v>
          </cell>
        </row>
      </sheetData>
      <sheetData sheetId="11"/>
      <sheetData sheetId="12">
        <row r="2">
          <cell r="A2">
            <v>1</v>
          </cell>
          <cell r="B2" t="str">
            <v>Project001</v>
          </cell>
        </row>
        <row r="3">
          <cell r="A3">
            <v>2</v>
          </cell>
          <cell r="B3" t="str">
            <v>project002</v>
          </cell>
        </row>
        <row r="4">
          <cell r="A4">
            <v>3</v>
          </cell>
          <cell r="B4" t="str">
            <v>tres</v>
          </cell>
        </row>
        <row r="5">
          <cell r="A5">
            <v>4</v>
          </cell>
          <cell r="B5" t="str">
            <v>test5</v>
          </cell>
        </row>
        <row r="6">
          <cell r="A6">
            <v>5</v>
          </cell>
          <cell r="B6" t="str">
            <v>test6</v>
          </cell>
        </row>
        <row r="7">
          <cell r="A7">
            <v>6</v>
          </cell>
          <cell r="B7" t="str">
            <v>Project66</v>
          </cell>
        </row>
        <row r="8">
          <cell r="A8">
            <v>7</v>
          </cell>
          <cell r="B8" t="str">
            <v>Project77</v>
          </cell>
        </row>
        <row r="9">
          <cell r="A9">
            <v>8</v>
          </cell>
          <cell r="B9">
            <v>8888888</v>
          </cell>
        </row>
        <row r="10">
          <cell r="A10">
            <v>9</v>
          </cell>
          <cell r="B10" t="str">
            <v>nueve</v>
          </cell>
        </row>
        <row r="11">
          <cell r="A11">
            <v>10</v>
          </cell>
          <cell r="B11" t="str">
            <v>hhhhhhhhh</v>
          </cell>
        </row>
        <row r="12">
          <cell r="A12">
            <v>11</v>
          </cell>
          <cell r="B12">
            <v>1111</v>
          </cell>
        </row>
        <row r="13">
          <cell r="A13">
            <v>12</v>
          </cell>
          <cell r="B13" t="str">
            <v>New_Project_01</v>
          </cell>
        </row>
        <row r="14">
          <cell r="A14">
            <v>13</v>
          </cell>
          <cell r="B14" t="str">
            <v>New_Project_02</v>
          </cell>
        </row>
        <row r="15">
          <cell r="A15">
            <v>14</v>
          </cell>
          <cell r="B15" t="str">
            <v>Nuevo14</v>
          </cell>
        </row>
        <row r="16">
          <cell r="A16">
            <v>15</v>
          </cell>
          <cell r="B16" t="str">
            <v>Nuevo15</v>
          </cell>
        </row>
        <row r="17">
          <cell r="A17">
            <v>16</v>
          </cell>
        </row>
      </sheetData>
      <sheetData sheetId="13"/>
      <sheetData sheetId="14"/>
      <sheetData sheetId="15"/>
      <sheetData sheetId="16">
        <row r="2">
          <cell r="A2" t="str">
            <v>'</v>
          </cell>
          <cell r="B2">
            <v>4</v>
          </cell>
          <cell r="C2">
            <v>2018</v>
          </cell>
          <cell r="D2">
            <v>43220</v>
          </cell>
          <cell r="E2">
            <v>6.5336381123998373E-4</v>
          </cell>
          <cell r="F2">
            <v>82242.612851169732</v>
          </cell>
        </row>
        <row r="3">
          <cell r="A3">
            <v>2</v>
          </cell>
          <cell r="B3">
            <v>5</v>
          </cell>
          <cell r="C3">
            <v>2018</v>
          </cell>
          <cell r="D3">
            <v>43251</v>
          </cell>
          <cell r="E3">
            <v>1.1905064839551707E-3</v>
          </cell>
          <cell r="F3">
            <v>149855.81106935453</v>
          </cell>
        </row>
        <row r="4">
          <cell r="A4">
            <v>3</v>
          </cell>
          <cell r="B4">
            <v>6</v>
          </cell>
          <cell r="C4">
            <v>2018</v>
          </cell>
          <cell r="D4">
            <v>43281</v>
          </cell>
          <cell r="E4">
            <v>2.0841869628845182E-3</v>
          </cell>
          <cell r="F4">
            <v>262348.44744868699</v>
          </cell>
        </row>
        <row r="5">
          <cell r="A5">
            <v>4</v>
          </cell>
          <cell r="B5">
            <v>7</v>
          </cell>
          <cell r="C5">
            <v>2018</v>
          </cell>
          <cell r="D5">
            <v>43312</v>
          </cell>
          <cell r="E5">
            <v>3.5056600987137081E-3</v>
          </cell>
          <cell r="F5">
            <v>441277.34246426699</v>
          </cell>
        </row>
        <row r="6">
          <cell r="A6">
            <v>5</v>
          </cell>
          <cell r="B6">
            <v>8</v>
          </cell>
          <cell r="C6">
            <v>2018</v>
          </cell>
          <cell r="D6">
            <v>43343</v>
          </cell>
          <cell r="E6">
            <v>5.6654075483202372E-3</v>
          </cell>
          <cell r="F6">
            <v>713137.01742420916</v>
          </cell>
        </row>
        <row r="7">
          <cell r="A7">
            <v>6</v>
          </cell>
          <cell r="B7">
            <v>9</v>
          </cell>
          <cell r="C7">
            <v>2018</v>
          </cell>
          <cell r="D7">
            <v>43373</v>
          </cell>
          <cell r="E7">
            <v>8.7967191960854393E-3</v>
          </cell>
          <cell r="F7">
            <v>1107292.9947422135</v>
          </cell>
        </row>
        <row r="8">
          <cell r="A8">
            <v>7</v>
          </cell>
          <cell r="B8">
            <v>10</v>
          </cell>
          <cell r="C8">
            <v>2018</v>
          </cell>
          <cell r="D8">
            <v>43404</v>
          </cell>
          <cell r="E8">
            <v>1.3123162954935321E-2</v>
          </cell>
          <cell r="F8">
            <v>1651887.0370815995</v>
          </cell>
        </row>
        <row r="9">
          <cell r="A9">
            <v>8</v>
          </cell>
          <cell r="B9">
            <v>11</v>
          </cell>
          <cell r="C9">
            <v>2018</v>
          </cell>
          <cell r="D9">
            <v>43434</v>
          </cell>
          <cell r="E9">
            <v>1.8809815475377387E-2</v>
          </cell>
          <cell r="F9">
            <v>2367698.2797799842</v>
          </cell>
        </row>
        <row r="10">
          <cell r="A10">
            <v>9</v>
          </cell>
          <cell r="B10">
            <v>12</v>
          </cell>
          <cell r="C10">
            <v>2018</v>
          </cell>
          <cell r="D10">
            <v>43465</v>
          </cell>
          <cell r="E10">
            <v>2.5903519133178347E-2</v>
          </cell>
          <cell r="F10">
            <v>3260623.0386555004</v>
          </cell>
        </row>
        <row r="11">
          <cell r="A11">
            <v>10</v>
          </cell>
          <cell r="B11">
            <v>1</v>
          </cell>
          <cell r="C11">
            <v>2019</v>
          </cell>
          <cell r="D11">
            <v>43496</v>
          </cell>
          <cell r="E11">
            <v>3.427371840956147E-2</v>
          </cell>
          <cell r="F11">
            <v>4314227.5492393756</v>
          </cell>
        </row>
        <row r="12">
          <cell r="A12">
            <v>11</v>
          </cell>
          <cell r="B12">
            <v>2</v>
          </cell>
          <cell r="C12">
            <v>2019</v>
          </cell>
          <cell r="D12">
            <v>43524</v>
          </cell>
          <cell r="E12">
            <v>4.3570435406510108E-2</v>
          </cell>
          <cell r="F12">
            <v>5484458.106263753</v>
          </cell>
        </row>
        <row r="13">
          <cell r="A13">
            <v>12</v>
          </cell>
          <cell r="B13">
            <v>3</v>
          </cell>
          <cell r="C13">
            <v>2019</v>
          </cell>
          <cell r="D13">
            <v>43555</v>
          </cell>
          <cell r="E13">
            <v>5.3217049979750963E-2</v>
          </cell>
          <cell r="F13">
            <v>6698732.2580044493</v>
          </cell>
        </row>
        <row r="14">
          <cell r="A14">
            <v>13</v>
          </cell>
          <cell r="B14">
            <v>4</v>
          </cell>
          <cell r="C14">
            <v>2019</v>
          </cell>
          <cell r="D14">
            <v>43585</v>
          </cell>
          <cell r="E14">
            <v>6.2450786673352257E-2</v>
          </cell>
          <cell r="F14">
            <v>7861035.1266317377</v>
          </cell>
        </row>
        <row r="15">
          <cell r="A15">
            <v>14</v>
          </cell>
          <cell r="B15">
            <v>5</v>
          </cell>
          <cell r="C15">
            <v>2019</v>
          </cell>
          <cell r="D15">
            <v>43616</v>
          </cell>
          <cell r="E15">
            <v>7.0413065352859905E-2</v>
          </cell>
          <cell r="F15">
            <v>8863292.3554321639</v>
          </cell>
        </row>
        <row r="16">
          <cell r="A16">
            <v>15</v>
          </cell>
          <cell r="B16">
            <v>6</v>
          </cell>
          <cell r="C16">
            <v>2019</v>
          </cell>
          <cell r="D16">
            <v>43646</v>
          </cell>
          <cell r="E16">
            <v>7.6277563092104816E-2</v>
          </cell>
          <cell r="F16">
            <v>9601489.9856619835</v>
          </cell>
        </row>
        <row r="17">
          <cell r="A17">
            <v>16</v>
          </cell>
          <cell r="B17">
            <v>7</v>
          </cell>
          <cell r="C17">
            <v>2019</v>
          </cell>
          <cell r="D17">
            <v>43677</v>
          </cell>
          <cell r="E17">
            <v>7.9390509495402356E-2</v>
          </cell>
          <cell r="F17">
            <v>9993334.2253773119</v>
          </cell>
        </row>
        <row r="18">
          <cell r="A18">
            <v>17</v>
          </cell>
          <cell r="B18">
            <v>8</v>
          </cell>
          <cell r="C18">
            <v>2019</v>
          </cell>
          <cell r="D18">
            <v>43708</v>
          </cell>
          <cell r="E18">
            <v>7.9390509495402356E-2</v>
          </cell>
          <cell r="F18">
            <v>9993334.2253773119</v>
          </cell>
        </row>
        <row r="19">
          <cell r="A19">
            <v>18</v>
          </cell>
          <cell r="B19">
            <v>9</v>
          </cell>
          <cell r="C19">
            <v>2019</v>
          </cell>
          <cell r="D19">
            <v>43738</v>
          </cell>
          <cell r="E19">
            <v>7.6277563092104816E-2</v>
          </cell>
          <cell r="F19">
            <v>9601489.9856619835</v>
          </cell>
        </row>
        <row r="20">
          <cell r="A20">
            <v>19</v>
          </cell>
          <cell r="B20">
            <v>10</v>
          </cell>
          <cell r="C20">
            <v>2019</v>
          </cell>
          <cell r="D20">
            <v>43769</v>
          </cell>
          <cell r="E20">
            <v>7.0413065352859905E-2</v>
          </cell>
          <cell r="F20">
            <v>8863292.3554321639</v>
          </cell>
        </row>
        <row r="21">
          <cell r="A21">
            <v>20</v>
          </cell>
          <cell r="B21">
            <v>11</v>
          </cell>
          <cell r="C21">
            <v>2019</v>
          </cell>
          <cell r="D21">
            <v>43799</v>
          </cell>
          <cell r="E21">
            <v>6.2450786673352257E-2</v>
          </cell>
          <cell r="F21">
            <v>7861035.1266317377</v>
          </cell>
        </row>
        <row r="22">
          <cell r="A22">
            <v>21</v>
          </cell>
          <cell r="B22">
            <v>12</v>
          </cell>
          <cell r="C22">
            <v>2019</v>
          </cell>
          <cell r="D22">
            <v>43830</v>
          </cell>
          <cell r="E22">
            <v>5.3217049979750963E-2</v>
          </cell>
          <cell r="F22">
            <v>6698732.2580044493</v>
          </cell>
        </row>
        <row r="23">
          <cell r="A23">
            <v>22</v>
          </cell>
          <cell r="B23">
            <v>1</v>
          </cell>
          <cell r="C23">
            <v>2020</v>
          </cell>
          <cell r="D23">
            <v>43861</v>
          </cell>
          <cell r="E23">
            <v>4.3570435406510108E-2</v>
          </cell>
          <cell r="F23">
            <v>5484458.106263753</v>
          </cell>
        </row>
        <row r="24">
          <cell r="A24">
            <v>23</v>
          </cell>
          <cell r="B24">
            <v>2</v>
          </cell>
          <cell r="C24">
            <v>2020</v>
          </cell>
          <cell r="D24">
            <v>43890</v>
          </cell>
          <cell r="E24">
            <v>3.427371840956147E-2</v>
          </cell>
          <cell r="F24">
            <v>4314227.5492393756</v>
          </cell>
        </row>
        <row r="25">
          <cell r="A25">
            <v>24</v>
          </cell>
          <cell r="B25">
            <v>3</v>
          </cell>
          <cell r="C25">
            <v>2020</v>
          </cell>
          <cell r="D25">
            <v>43921</v>
          </cell>
          <cell r="E25">
            <v>2.5903519133178347E-2</v>
          </cell>
          <cell r="F25">
            <v>3260623.0386555004</v>
          </cell>
        </row>
        <row r="26">
          <cell r="A26">
            <v>25</v>
          </cell>
          <cell r="B26">
            <v>4</v>
          </cell>
          <cell r="C26">
            <v>2020</v>
          </cell>
          <cell r="D26">
            <v>43951</v>
          </cell>
          <cell r="E26">
            <v>1.8809815475377387E-2</v>
          </cell>
          <cell r="F26">
            <v>2367698.2797799842</v>
          </cell>
        </row>
        <row r="27">
          <cell r="A27">
            <v>26</v>
          </cell>
          <cell r="B27">
            <v>5</v>
          </cell>
          <cell r="C27">
            <v>2020</v>
          </cell>
          <cell r="D27">
            <v>43982</v>
          </cell>
          <cell r="E27">
            <v>1.3123162954935321E-2</v>
          </cell>
          <cell r="F27">
            <v>1651887.0370815995</v>
          </cell>
        </row>
        <row r="28">
          <cell r="A28">
            <v>27</v>
          </cell>
          <cell r="B28">
            <v>6</v>
          </cell>
          <cell r="C28">
            <v>2020</v>
          </cell>
          <cell r="D28">
            <v>44012</v>
          </cell>
          <cell r="E28">
            <v>8.7967191960854393E-3</v>
          </cell>
          <cell r="F28">
            <v>1107292.9947422135</v>
          </cell>
        </row>
        <row r="29">
          <cell r="A29">
            <v>28</v>
          </cell>
          <cell r="B29">
            <v>7</v>
          </cell>
          <cell r="C29">
            <v>2020</v>
          </cell>
          <cell r="D29">
            <v>44043</v>
          </cell>
          <cell r="E29">
            <v>5.6654075483202372E-3</v>
          </cell>
          <cell r="F29">
            <v>713137.01742420916</v>
          </cell>
        </row>
        <row r="30">
          <cell r="A30">
            <v>29</v>
          </cell>
          <cell r="B30">
            <v>8</v>
          </cell>
          <cell r="C30">
            <v>2020</v>
          </cell>
          <cell r="D30">
            <v>44074</v>
          </cell>
          <cell r="E30">
            <v>3.5056600987137081E-3</v>
          </cell>
          <cell r="F30">
            <v>441277.34246426699</v>
          </cell>
        </row>
        <row r="31">
          <cell r="A31">
            <v>30</v>
          </cell>
          <cell r="B31">
            <v>9</v>
          </cell>
          <cell r="C31">
            <v>2020</v>
          </cell>
          <cell r="D31">
            <v>44104</v>
          </cell>
          <cell r="E31">
            <v>2.0841869628845182E-3</v>
          </cell>
          <cell r="F31">
            <v>262348.44744868699</v>
          </cell>
        </row>
        <row r="32">
          <cell r="A32">
            <v>31</v>
          </cell>
          <cell r="B32">
            <v>10</v>
          </cell>
          <cell r="C32">
            <v>2020</v>
          </cell>
          <cell r="D32">
            <v>44135</v>
          </cell>
          <cell r="E32">
            <v>1.1905064839551707E-3</v>
          </cell>
          <cell r="F32">
            <v>149855.81106935453</v>
          </cell>
        </row>
        <row r="33">
          <cell r="A33">
            <v>32</v>
          </cell>
          <cell r="B33">
            <v>11</v>
          </cell>
          <cell r="C33">
            <v>2020</v>
          </cell>
          <cell r="D33">
            <v>44165</v>
          </cell>
          <cell r="E33">
            <v>6.5336381123998373E-4</v>
          </cell>
          <cell r="F33">
            <v>82242.612851169732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A4">
            <v>2018</v>
          </cell>
          <cell r="B4">
            <v>4</v>
          </cell>
          <cell r="C4" t="str">
            <v>4-2018</v>
          </cell>
          <cell r="D4">
            <v>82242.612851169732</v>
          </cell>
          <cell r="E4">
            <v>0</v>
          </cell>
        </row>
        <row r="5">
          <cell r="A5">
            <v>2018</v>
          </cell>
          <cell r="B5">
            <v>5</v>
          </cell>
          <cell r="C5" t="str">
            <v>5-2018</v>
          </cell>
          <cell r="D5">
            <v>149855.81106935453</v>
          </cell>
          <cell r="E5">
            <v>0</v>
          </cell>
        </row>
        <row r="6">
          <cell r="A6">
            <v>2018</v>
          </cell>
          <cell r="B6">
            <v>6</v>
          </cell>
          <cell r="C6" t="str">
            <v>6-2018</v>
          </cell>
          <cell r="D6">
            <v>262741.15466145758</v>
          </cell>
          <cell r="E6">
            <v>0</v>
          </cell>
          <cell r="F6">
            <v>0</v>
          </cell>
        </row>
        <row r="7">
          <cell r="A7">
            <v>2018</v>
          </cell>
          <cell r="B7">
            <v>7</v>
          </cell>
          <cell r="C7" t="str">
            <v>7-2018</v>
          </cell>
          <cell r="D7">
            <v>443271.67424963909</v>
          </cell>
          <cell r="E7">
            <v>0</v>
          </cell>
        </row>
        <row r="8">
          <cell r="A8">
            <v>2018</v>
          </cell>
          <cell r="B8">
            <v>8</v>
          </cell>
          <cell r="C8" t="str">
            <v>8-2018</v>
          </cell>
          <cell r="D8">
            <v>721024.75264631503</v>
          </cell>
          <cell r="E8">
            <v>0</v>
          </cell>
        </row>
        <row r="9">
          <cell r="A9">
            <v>2018</v>
          </cell>
          <cell r="B9">
            <v>9</v>
          </cell>
          <cell r="C9" t="str">
            <v>9-2018</v>
          </cell>
          <cell r="D9">
            <v>1131588.9296731481</v>
          </cell>
          <cell r="E9">
            <v>0</v>
          </cell>
        </row>
        <row r="10">
          <cell r="A10">
            <v>2018</v>
          </cell>
          <cell r="B10">
            <v>10</v>
          </cell>
          <cell r="C10" t="str">
            <v>10-2018</v>
          </cell>
          <cell r="D10">
            <v>1710169.9551312507</v>
          </cell>
          <cell r="E10">
            <v>0</v>
          </cell>
        </row>
        <row r="11">
          <cell r="A11">
            <v>2018</v>
          </cell>
          <cell r="B11">
            <v>11</v>
          </cell>
          <cell r="C11" t="str">
            <v>11-2018</v>
          </cell>
          <cell r="D11">
            <v>2476585.1058135987</v>
          </cell>
          <cell r="E11">
            <v>0</v>
          </cell>
        </row>
        <row r="12">
          <cell r="A12">
            <v>2018</v>
          </cell>
          <cell r="B12">
            <v>12</v>
          </cell>
          <cell r="C12" t="str">
            <v>12-2018</v>
          </cell>
          <cell r="D12">
            <v>3419052.435699435</v>
          </cell>
          <cell r="E12">
            <v>0</v>
          </cell>
        </row>
        <row r="13">
          <cell r="A13">
            <v>2019</v>
          </cell>
          <cell r="B13">
            <v>1</v>
          </cell>
          <cell r="C13" t="str">
            <v>1-2019</v>
          </cell>
          <cell r="D13">
            <v>4493751.5754200201</v>
          </cell>
          <cell r="E13">
            <v>0</v>
          </cell>
        </row>
        <row r="14">
          <cell r="A14">
            <v>2019</v>
          </cell>
          <cell r="B14">
            <v>2</v>
          </cell>
          <cell r="C14" t="str">
            <v>2-2019</v>
          </cell>
          <cell r="D14">
            <v>5642887.503307688</v>
          </cell>
          <cell r="E14">
            <v>0</v>
          </cell>
        </row>
        <row r="15">
          <cell r="A15">
            <v>2019</v>
          </cell>
          <cell r="B15">
            <v>3</v>
          </cell>
          <cell r="C15" t="str">
            <v>3-2019</v>
          </cell>
          <cell r="D15">
            <v>6807619.0840380639</v>
          </cell>
          <cell r="E15">
            <v>0</v>
          </cell>
        </row>
        <row r="16">
          <cell r="A16">
            <v>2019</v>
          </cell>
          <cell r="B16">
            <v>4</v>
          </cell>
          <cell r="C16" t="str">
            <v>4-2019</v>
          </cell>
          <cell r="D16">
            <v>7919318.0446813889</v>
          </cell>
          <cell r="E16">
            <v>0</v>
          </cell>
        </row>
        <row r="17">
          <cell r="A17">
            <v>2019</v>
          </cell>
          <cell r="B17">
            <v>5</v>
          </cell>
          <cell r="C17" t="str">
            <v>5-2019</v>
          </cell>
          <cell r="D17">
            <v>8887588.2903630994</v>
          </cell>
          <cell r="E17">
            <v>0</v>
          </cell>
        </row>
        <row r="18">
          <cell r="A18">
            <v>2019</v>
          </cell>
          <cell r="B18">
            <v>6</v>
          </cell>
          <cell r="C18" t="str">
            <v>6-2019</v>
          </cell>
          <cell r="D18">
            <v>9609377.7208840884</v>
          </cell>
          <cell r="E18">
            <v>0</v>
          </cell>
        </row>
        <row r="19">
          <cell r="A19">
            <v>2019</v>
          </cell>
          <cell r="B19">
            <v>7</v>
          </cell>
          <cell r="C19" t="str">
            <v>7-2019</v>
          </cell>
          <cell r="D19">
            <v>9995328.5571626835</v>
          </cell>
          <cell r="E19">
            <v>0</v>
          </cell>
        </row>
        <row r="20">
          <cell r="A20">
            <v>2019</v>
          </cell>
          <cell r="B20">
            <v>8</v>
          </cell>
          <cell r="C20" t="str">
            <v>8-2019</v>
          </cell>
          <cell r="D20">
            <v>9993334.2253773119</v>
          </cell>
          <cell r="E20">
            <v>0</v>
          </cell>
        </row>
        <row r="21">
          <cell r="A21">
            <v>2019</v>
          </cell>
          <cell r="B21">
            <v>9</v>
          </cell>
          <cell r="C21" t="str">
            <v>9-2019</v>
          </cell>
          <cell r="D21">
            <v>9601489.9856619835</v>
          </cell>
          <cell r="E21">
            <v>0</v>
          </cell>
        </row>
        <row r="22">
          <cell r="A22">
            <v>2019</v>
          </cell>
          <cell r="B22">
            <v>10</v>
          </cell>
          <cell r="C22" t="str">
            <v>10-2019</v>
          </cell>
          <cell r="D22">
            <v>8863292.3554321639</v>
          </cell>
          <cell r="E22">
            <v>0</v>
          </cell>
        </row>
        <row r="23">
          <cell r="A23">
            <v>2019</v>
          </cell>
          <cell r="B23">
            <v>11</v>
          </cell>
          <cell r="C23" t="str">
            <v>11-2019</v>
          </cell>
          <cell r="D23">
            <v>7861035.1266317377</v>
          </cell>
          <cell r="E23">
            <v>0</v>
          </cell>
        </row>
        <row r="24">
          <cell r="A24">
            <v>2019</v>
          </cell>
          <cell r="B24">
            <v>12</v>
          </cell>
          <cell r="C24" t="str">
            <v>12-2019</v>
          </cell>
          <cell r="D24">
            <v>6698732.2580044493</v>
          </cell>
          <cell r="E24">
            <v>0</v>
          </cell>
        </row>
        <row r="25">
          <cell r="A25">
            <v>2020</v>
          </cell>
          <cell r="B25">
            <v>1</v>
          </cell>
          <cell r="C25" t="str">
            <v>1-2020</v>
          </cell>
          <cell r="D25">
            <v>5484458.106263753</v>
          </cell>
          <cell r="E25">
            <v>0</v>
          </cell>
        </row>
        <row r="26">
          <cell r="A26">
            <v>2020</v>
          </cell>
          <cell r="B26">
            <v>2</v>
          </cell>
          <cell r="C26" t="str">
            <v>2-2020</v>
          </cell>
          <cell r="D26">
            <v>4314227.5492393756</v>
          </cell>
          <cell r="E26">
            <v>0</v>
          </cell>
        </row>
        <row r="27">
          <cell r="A27">
            <v>2020</v>
          </cell>
          <cell r="B27">
            <v>3</v>
          </cell>
          <cell r="C27" t="str">
            <v>3-2020</v>
          </cell>
          <cell r="D27">
            <v>3260623.0386555004</v>
          </cell>
          <cell r="E27">
            <v>0</v>
          </cell>
        </row>
        <row r="28">
          <cell r="A28">
            <v>2020</v>
          </cell>
          <cell r="B28">
            <v>4</v>
          </cell>
          <cell r="C28" t="str">
            <v>4-2020</v>
          </cell>
          <cell r="D28">
            <v>2367698.2797799842</v>
          </cell>
          <cell r="E28">
            <v>0</v>
          </cell>
        </row>
        <row r="29">
          <cell r="A29">
            <v>2020</v>
          </cell>
          <cell r="B29">
            <v>5</v>
          </cell>
          <cell r="C29" t="str">
            <v>5-2020</v>
          </cell>
          <cell r="D29">
            <v>1651887.0370815995</v>
          </cell>
          <cell r="E29">
            <v>0</v>
          </cell>
        </row>
        <row r="30">
          <cell r="A30">
            <v>2020</v>
          </cell>
          <cell r="B30">
            <v>6</v>
          </cell>
          <cell r="C30" t="str">
            <v>6-2020</v>
          </cell>
          <cell r="D30">
            <v>1107292.9947422135</v>
          </cell>
          <cell r="E30">
            <v>0</v>
          </cell>
        </row>
        <row r="31">
          <cell r="A31">
            <v>2020</v>
          </cell>
          <cell r="B31">
            <v>7</v>
          </cell>
          <cell r="C31" t="str">
            <v>7-2020</v>
          </cell>
          <cell r="D31">
            <v>713137.01742420916</v>
          </cell>
          <cell r="E31">
            <v>0</v>
          </cell>
        </row>
        <row r="32">
          <cell r="A32">
            <v>2020</v>
          </cell>
          <cell r="B32">
            <v>8</v>
          </cell>
          <cell r="C32" t="str">
            <v>8-2020</v>
          </cell>
          <cell r="D32">
            <v>441277.34246426699</v>
          </cell>
          <cell r="E32">
            <v>0</v>
          </cell>
        </row>
        <row r="33">
          <cell r="A33">
            <v>2020</v>
          </cell>
          <cell r="B33">
            <v>9</v>
          </cell>
          <cell r="C33" t="str">
            <v>9-2020</v>
          </cell>
          <cell r="D33">
            <v>262348.44744868699</v>
          </cell>
          <cell r="E33">
            <v>0</v>
          </cell>
        </row>
        <row r="34">
          <cell r="A34">
            <v>2020</v>
          </cell>
          <cell r="B34">
            <v>10</v>
          </cell>
          <cell r="C34" t="str">
            <v>10-2020</v>
          </cell>
          <cell r="D34">
            <v>149855.81106935453</v>
          </cell>
          <cell r="E34">
            <v>0</v>
          </cell>
        </row>
        <row r="35">
          <cell r="A35">
            <v>2020</v>
          </cell>
          <cell r="B35">
            <v>11</v>
          </cell>
          <cell r="C35" t="str">
            <v>11-2020</v>
          </cell>
          <cell r="D35">
            <v>82242.612851169732</v>
          </cell>
          <cell r="E35">
            <v>0</v>
          </cell>
        </row>
        <row r="36">
          <cell r="A36">
            <v>2020</v>
          </cell>
          <cell r="B36">
            <v>12</v>
          </cell>
          <cell r="C36" t="str">
            <v>12-2020</v>
          </cell>
          <cell r="D36">
            <v>0</v>
          </cell>
          <cell r="E36">
            <v>0</v>
          </cell>
        </row>
        <row r="37">
          <cell r="A37">
            <v>2021</v>
          </cell>
          <cell r="B37">
            <v>1</v>
          </cell>
          <cell r="C37" t="str">
            <v>1-2021</v>
          </cell>
          <cell r="D37">
            <v>0</v>
          </cell>
          <cell r="E37">
            <v>0</v>
          </cell>
        </row>
        <row r="38">
          <cell r="A38">
            <v>1900</v>
          </cell>
          <cell r="B38">
            <v>1</v>
          </cell>
          <cell r="C38" t="str">
            <v>1-1900</v>
          </cell>
          <cell r="D38">
            <v>0</v>
          </cell>
          <cell r="E38">
            <v>0</v>
          </cell>
        </row>
        <row r="39">
          <cell r="A39" t="str">
            <v>Grand Total</v>
          </cell>
          <cell r="B39">
            <v>0</v>
          </cell>
          <cell r="D39">
            <v>126605335.39578018</v>
          </cell>
          <cell r="E39">
            <v>0</v>
          </cell>
        </row>
        <row r="40">
          <cell r="B40">
            <v>0</v>
          </cell>
          <cell r="D40">
            <v>0</v>
          </cell>
          <cell r="E40">
            <v>0</v>
          </cell>
        </row>
      </sheetData>
      <sheetData sheetId="31"/>
      <sheetData sheetId="32">
        <row r="1">
          <cell r="A1" t="str">
            <v>datos01</v>
          </cell>
        </row>
        <row r="2">
          <cell r="A2" t="str">
            <v>datos02</v>
          </cell>
        </row>
        <row r="3">
          <cell r="A3" t="str">
            <v>name05</v>
          </cell>
        </row>
        <row r="4">
          <cell r="A4" t="str">
            <v>New_Project_02</v>
          </cell>
        </row>
        <row r="5">
          <cell r="A5" t="str">
            <v>Nuevo14</v>
          </cell>
        </row>
        <row r="6">
          <cell r="A6" t="str">
            <v>P01_14_test56</v>
          </cell>
        </row>
        <row r="7">
          <cell r="A7" t="str">
            <v>P01_15_free01</v>
          </cell>
        </row>
        <row r="8">
          <cell r="A8" t="str">
            <v>PJ_15_6.5_1_free</v>
          </cell>
        </row>
        <row r="9">
          <cell r="A9" t="str">
            <v>plan07</v>
          </cell>
        </row>
        <row r="10">
          <cell r="A10" t="str">
            <v>venga23</v>
          </cell>
        </row>
        <row r="11">
          <cell r="A11" t="str">
            <v>vengahombr88888</v>
          </cell>
        </row>
        <row r="12">
          <cell r="A12" t="str">
            <v>vengahombre</v>
          </cell>
        </row>
        <row r="13">
          <cell r="A13" t="str">
            <v>vengahombre333</v>
          </cell>
        </row>
        <row r="14">
          <cell r="A14" t="str">
            <v>vengahombre33377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tables/table1.xml><?xml version="1.0" encoding="utf-8"?>
<table xmlns="http://schemas.openxmlformats.org/spreadsheetml/2006/main" id="1" name="Table1" displayName="Table1" ref="G13:M131" totalsRowShown="0" headerRowDxfId="12">
  <tableColumns count="7">
    <tableColumn id="1" name="index"/>
    <tableColumn id="2" name="date" dataDxfId="11" totalsRowDxfId="7"/>
    <tableColumn id="3" name="day" dataDxfId="0" totalsRowDxfId="6">
      <calculatedColumnFormula>DAY(Table1[[#This Row],[date]])</calculatedColumnFormula>
    </tableColumn>
    <tableColumn id="4" name="month" dataDxfId="8" totalsRowDxfId="5">
      <calculatedColumnFormula>MONTH(Table1[[#This Row],[date]])</calculatedColumnFormula>
    </tableColumn>
    <tableColumn id="5" name="year" dataDxfId="1" totalsRowDxfId="4">
      <calculatedColumnFormula>YEAR(H14)</calculatedColumnFormula>
    </tableColumn>
    <tableColumn id="6" name="week" dataDxfId="10" totalsRowDxfId="3">
      <calculatedColumnFormula>WEEKDAY(Table1[[#This Row],[date]])</calculatedColumnFormula>
    </tableColumn>
    <tableColumn id="7" name="weekday" dataDxfId="9" totalsRowDxfId="2">
      <calculatedColumnFormula>WEEKDAY(Table1[[#This Row],[date]])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control" Target="../activeX/activeX17.xml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3"/>
  <sheetViews>
    <sheetView tabSelected="1" workbookViewId="0">
      <pane ySplit="4" topLeftCell="A6" activePane="bottomLeft" state="frozen"/>
      <selection pane="bottomLeft" activeCell="V4" sqref="V4"/>
    </sheetView>
  </sheetViews>
  <sheetFormatPr defaultRowHeight="14.4" x14ac:dyDescent="0.3"/>
  <cols>
    <col min="1" max="1" width="2.21875" customWidth="1"/>
    <col min="2" max="2" width="6.33203125" customWidth="1"/>
    <col min="3" max="4" width="2.21875" customWidth="1"/>
    <col min="5" max="5" width="6.33203125" customWidth="1"/>
    <col min="6" max="7" width="2.21875" customWidth="1"/>
    <col min="8" max="8" width="6.33203125" customWidth="1"/>
    <col min="9" max="10" width="2.21875" customWidth="1"/>
    <col min="11" max="11" width="6.33203125" customWidth="1"/>
    <col min="12" max="13" width="2.21875" customWidth="1"/>
    <col min="14" max="14" width="6.33203125" customWidth="1"/>
    <col min="15" max="16" width="2.21875" customWidth="1"/>
    <col min="17" max="17" width="6.33203125" customWidth="1"/>
    <col min="18" max="19" width="2.21875" customWidth="1"/>
    <col min="20" max="20" width="6.33203125" customWidth="1"/>
    <col min="21" max="21" width="2.21875" customWidth="1"/>
    <col min="32" max="32" width="2.21875" customWidth="1"/>
  </cols>
  <sheetData>
    <row r="1" spans="1:3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2" t="s">
        <v>2</v>
      </c>
      <c r="Z1" s="18"/>
      <c r="AA1" s="19"/>
      <c r="AB1" s="5"/>
      <c r="AC1" s="15" t="s">
        <v>3</v>
      </c>
      <c r="AD1" s="19"/>
      <c r="AE1" s="19"/>
      <c r="AF1" s="5"/>
      <c r="AG1" s="6" t="s">
        <v>1</v>
      </c>
    </row>
    <row r="2" spans="1:33" ht="31.8" customHeight="1" x14ac:dyDescent="0.3">
      <c r="A2" s="1"/>
      <c r="B2" s="2"/>
      <c r="C2" s="1"/>
      <c r="D2" s="1"/>
      <c r="E2" s="2"/>
      <c r="F2" s="1"/>
      <c r="G2" s="1"/>
      <c r="H2" s="3" t="s">
        <v>0</v>
      </c>
      <c r="I2" s="1"/>
      <c r="J2" s="1"/>
      <c r="K2" s="2"/>
      <c r="L2" s="1"/>
      <c r="M2" s="1"/>
      <c r="N2" s="2"/>
      <c r="O2" s="1"/>
      <c r="P2" s="1"/>
      <c r="Q2" s="2"/>
      <c r="R2" s="1"/>
      <c r="S2" s="1"/>
      <c r="T2" s="2"/>
      <c r="U2" s="1"/>
      <c r="V2" s="1"/>
      <c r="W2" s="1"/>
      <c r="X2" s="1"/>
      <c r="Y2" s="13"/>
      <c r="Z2" s="18"/>
      <c r="AA2" s="19"/>
      <c r="AB2" s="5"/>
      <c r="AC2" s="16"/>
      <c r="AD2" s="19"/>
      <c r="AE2" s="19"/>
      <c r="AF2" s="5"/>
      <c r="AG2" s="5"/>
    </row>
    <row r="3" spans="1:3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3"/>
      <c r="Z3" s="18"/>
      <c r="AA3" s="19"/>
      <c r="AB3" s="4"/>
      <c r="AC3" s="16"/>
      <c r="AD3" s="19"/>
      <c r="AE3" s="19"/>
      <c r="AF3" s="4"/>
      <c r="AG3" s="5"/>
    </row>
    <row r="4" spans="1:33" ht="15.6" customHeight="1" thickBo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4"/>
      <c r="Z4" s="18"/>
      <c r="AA4" s="19"/>
      <c r="AB4" s="4"/>
      <c r="AC4" s="17"/>
      <c r="AD4" s="19"/>
      <c r="AE4" s="19"/>
      <c r="AF4" s="4"/>
      <c r="AG4" s="5"/>
    </row>
    <row r="5" spans="1:3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4"/>
      <c r="Z5" s="4"/>
      <c r="AA5" s="4"/>
      <c r="AB5" s="4"/>
      <c r="AC5" s="4"/>
      <c r="AD5" s="4"/>
      <c r="AE5" s="4"/>
      <c r="AF5" s="4"/>
      <c r="AG5" s="5"/>
    </row>
    <row r="6" spans="1:3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</sheetData>
  <mergeCells count="4">
    <mergeCell ref="Y1:Y4"/>
    <mergeCell ref="AC1:AC4"/>
    <mergeCell ref="Z1:AA4"/>
    <mergeCell ref="AD1:AE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8">
          <controlPr autoLine="0" r:id="rId5">
            <anchor moveWithCells="1">
              <from>
                <xdr:col>33</xdr:col>
                <xdr:colOff>381000</xdr:colOff>
                <xdr:row>0</xdr:row>
                <xdr:rowOff>99060</xdr:rowOff>
              </from>
              <to>
                <xdr:col>35</xdr:col>
                <xdr:colOff>76200</xdr:colOff>
                <xdr:row>1</xdr:row>
                <xdr:rowOff>220980</xdr:rowOff>
              </to>
            </anchor>
          </controlPr>
        </control>
      </mc:Choice>
      <mc:Fallback>
        <control shapeId="1037" r:id="rId4" name="CommandButton8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23</xdr:col>
                <xdr:colOff>304800</xdr:colOff>
                <xdr:row>1</xdr:row>
                <xdr:rowOff>304800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ToggleButton1">
          <controlPr defaultSize="0" autoLine="0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8" name="ToggleButton1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10" name="CommandButton3"/>
      </mc:Fallback>
    </mc:AlternateContent>
    <mc:AlternateContent xmlns:mc="http://schemas.openxmlformats.org/markup-compatibility/2006">
      <mc:Choice Requires="x14">
        <control shapeId="1029" r:id="rId12" name="CommandButton4">
          <controlPr defaultSize="0" autoFill="0" autoLine="0" r:id="rId1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9" r:id="rId12" name="CommandButton4"/>
      </mc:Fallback>
    </mc:AlternateContent>
    <mc:AlternateContent xmlns:mc="http://schemas.openxmlformats.org/markup-compatibility/2006">
      <mc:Choice Requires="x14">
        <control shapeId="1030" r:id="rId14" name="ListBox1">
          <controlPr autoLine="0" r:id="rId15">
            <anchor moveWithCells="1" sizeWithCells="1">
              <from>
                <xdr:col>25</xdr:col>
                <xdr:colOff>0</xdr:colOff>
                <xdr:row>0</xdr:row>
                <xdr:rowOff>0</xdr:rowOff>
              </from>
              <to>
                <xdr:col>27</xdr:col>
                <xdr:colOff>0</xdr:colOff>
                <xdr:row>1</xdr:row>
                <xdr:rowOff>167640</xdr:rowOff>
              </to>
            </anchor>
          </controlPr>
        </control>
      </mc:Choice>
      <mc:Fallback>
        <control shapeId="1030" r:id="rId14" name="ListBox1"/>
      </mc:Fallback>
    </mc:AlternateContent>
    <mc:AlternateContent xmlns:mc="http://schemas.openxmlformats.org/markup-compatibility/2006">
      <mc:Choice Requires="x14">
        <control shapeId="1031" r:id="rId16" name="CommandButton5">
          <controlPr defaultSize="0" autoLine="0" r:id="rId17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1" r:id="rId16" name="CommandButton5"/>
      </mc:Fallback>
    </mc:AlternateContent>
    <mc:AlternateContent xmlns:mc="http://schemas.openxmlformats.org/markup-compatibility/2006">
      <mc:Choice Requires="x14">
        <control shapeId="1032" r:id="rId18" name="ProgressBar21">
          <controlPr autoLine="0" autoPict="0" r:id="rId19">
            <anchor moveWithCells="1">
              <from>
                <xdr:col>0</xdr:col>
                <xdr:colOff>0</xdr:colOff>
                <xdr:row>5</xdr:row>
                <xdr:rowOff>30480</xdr:rowOff>
              </from>
              <to>
                <xdr:col>35</xdr:col>
                <xdr:colOff>457200</xdr:colOff>
                <xdr:row>6</xdr:row>
                <xdr:rowOff>30480</xdr:rowOff>
              </to>
            </anchor>
          </controlPr>
        </control>
      </mc:Choice>
      <mc:Fallback>
        <control shapeId="1032" r:id="rId18" name="ProgressBar21"/>
      </mc:Fallback>
    </mc:AlternateContent>
    <mc:AlternateContent xmlns:mc="http://schemas.openxmlformats.org/markup-compatibility/2006">
      <mc:Choice Requires="x14">
        <control shapeId="1033" r:id="rId20" name="CommandButton6">
          <controlPr autoLine="0" r:id="rId21">
            <anchor moveWithCells="1">
              <from>
                <xdr:col>13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3" r:id="rId20" name="CommandButton6"/>
      </mc:Fallback>
    </mc:AlternateContent>
    <mc:AlternateContent xmlns:mc="http://schemas.openxmlformats.org/markup-compatibility/2006">
      <mc:Choice Requires="x14">
        <control shapeId="1034" r:id="rId22" name="ListBox2">
          <controlPr autoLine="0" r:id="rId23">
            <anchor moveWithCells="1" sizeWithCells="1">
              <from>
                <xdr:col>29</xdr:col>
                <xdr:colOff>0</xdr:colOff>
                <xdr:row>0</xdr:row>
                <xdr:rowOff>0</xdr:rowOff>
              </from>
              <to>
                <xdr:col>31</xdr:col>
                <xdr:colOff>0</xdr:colOff>
                <xdr:row>2</xdr:row>
                <xdr:rowOff>83820</xdr:rowOff>
              </to>
            </anchor>
          </controlPr>
        </control>
      </mc:Choice>
      <mc:Fallback>
        <control shapeId="1034" r:id="rId22" name="ListBox2"/>
      </mc:Fallback>
    </mc:AlternateContent>
    <mc:AlternateContent xmlns:mc="http://schemas.openxmlformats.org/markup-compatibility/2006">
      <mc:Choice Requires="x14">
        <control shapeId="1035" r:id="rId24" name="CommandButton2">
          <controlPr defaultSize="0" autoLine="0" r:id="rId25">
            <anchor moveWithCells="1">
              <from>
                <xdr:col>32</xdr:col>
                <xdr:colOff>0</xdr:colOff>
                <xdr:row>0</xdr:row>
                <xdr:rowOff>0</xdr:rowOff>
              </from>
              <to>
                <xdr:col>33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24" name="CommandButton2"/>
      </mc:Fallback>
    </mc:AlternateContent>
    <mc:AlternateContent xmlns:mc="http://schemas.openxmlformats.org/markup-compatibility/2006">
      <mc:Choice Requires="x14">
        <control shapeId="1036" r:id="rId26" name="CommandButton7">
          <controlPr autoLine="0" r:id="rId27">
            <anchor moveWithCells="1">
              <from>
                <xdr:col>33</xdr:col>
                <xdr:colOff>320040</xdr:colOff>
                <xdr:row>1</xdr:row>
                <xdr:rowOff>365760</xdr:rowOff>
              </from>
              <to>
                <xdr:col>35</xdr:col>
                <xdr:colOff>15240</xdr:colOff>
                <xdr:row>3</xdr:row>
                <xdr:rowOff>83820</xdr:rowOff>
              </to>
            </anchor>
          </controlPr>
        </control>
      </mc:Choice>
      <mc:Fallback>
        <control shapeId="1036" r:id="rId2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H29" sqref="H29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U131"/>
  <sheetViews>
    <sheetView showGridLines="0" zoomScaleNormal="100" workbookViewId="0">
      <selection activeCell="B12" sqref="B12"/>
    </sheetView>
  </sheetViews>
  <sheetFormatPr defaultRowHeight="14.4" x14ac:dyDescent="0.3"/>
  <cols>
    <col min="1" max="1" width="3.109375" customWidth="1"/>
    <col min="2" max="2" width="11.44140625" customWidth="1"/>
    <col min="3" max="3" width="11.6640625" customWidth="1"/>
    <col min="4" max="4" width="2.5546875" customWidth="1"/>
    <col min="5" max="6" width="12" customWidth="1"/>
    <col min="7" max="7" width="3" customWidth="1"/>
    <col min="8" max="8" width="12" customWidth="1"/>
    <col min="9" max="9" width="12.109375" customWidth="1"/>
    <col min="10" max="10" width="2.44140625" customWidth="1"/>
    <col min="11" max="11" width="12" customWidth="1"/>
    <col min="12" max="12" width="12.109375" customWidth="1"/>
    <col min="15" max="15" width="10.5546875" bestFit="1" customWidth="1"/>
  </cols>
  <sheetData>
    <row r="1" spans="2:21" ht="7.8" customHeight="1" thickBot="1" x14ac:dyDescent="0.35"/>
    <row r="2" spans="2:21" s="22" customFormat="1" ht="18" customHeight="1" thickBot="1" x14ac:dyDescent="0.35">
      <c r="B2" s="26" t="s">
        <v>5</v>
      </c>
      <c r="C2" s="27">
        <v>36526</v>
      </c>
      <c r="E2" s="25" t="s">
        <v>6</v>
      </c>
      <c r="F2" s="27">
        <v>36641</v>
      </c>
      <c r="H2" s="25" t="s">
        <v>7</v>
      </c>
      <c r="I2" s="27">
        <f>F2-C2 +1</f>
        <v>116</v>
      </c>
      <c r="K2" s="25" t="s">
        <v>16</v>
      </c>
      <c r="L2" s="27">
        <f>WORKDAY(date,days,1)</f>
        <v>36689</v>
      </c>
      <c r="N2" s="21" t="s">
        <v>8</v>
      </c>
      <c r="O2" s="20"/>
    </row>
    <row r="3" spans="2:21" s="22" customFormat="1" ht="8.4" customHeight="1" x14ac:dyDescent="0.3">
      <c r="B3" s="24"/>
      <c r="C3" s="23"/>
      <c r="F3" s="23"/>
      <c r="L3" s="23"/>
      <c r="N3" s="21"/>
      <c r="O3" s="20"/>
    </row>
    <row r="4" spans="2:21" x14ac:dyDescent="0.3">
      <c r="H4" s="28"/>
      <c r="I4" s="29"/>
      <c r="J4" s="29"/>
      <c r="K4" s="29"/>
      <c r="L4" s="29"/>
      <c r="M4" s="29"/>
      <c r="N4" s="30"/>
      <c r="O4" s="30"/>
      <c r="P4" s="29"/>
      <c r="Q4" s="29"/>
      <c r="R4" s="29"/>
      <c r="S4" s="29"/>
      <c r="T4" s="29"/>
      <c r="U4" s="29"/>
    </row>
    <row r="5" spans="2:21" x14ac:dyDescent="0.3">
      <c r="H5" s="28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</row>
    <row r="6" spans="2:21" hidden="1" x14ac:dyDescent="0.3">
      <c r="H6" s="28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2:21" hidden="1" x14ac:dyDescent="0.3">
      <c r="H7" s="28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2:21" hidden="1" x14ac:dyDescent="0.3">
      <c r="H8" s="28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2:21" hidden="1" x14ac:dyDescent="0.3">
      <c r="H9" s="28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2:21" hidden="1" x14ac:dyDescent="0.3">
      <c r="H10" s="2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</row>
    <row r="11" spans="2:21" ht="342.6" customHeight="1" x14ac:dyDescent="0.3">
      <c r="H11" s="28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</row>
    <row r="12" spans="2:21" ht="16.8" customHeight="1" x14ac:dyDescent="0.3"/>
    <row r="13" spans="2:21" s="9" customFormat="1" ht="18" customHeight="1" x14ac:dyDescent="0.3">
      <c r="G13" s="31" t="s">
        <v>9</v>
      </c>
      <c r="H13" s="10" t="s">
        <v>14</v>
      </c>
      <c r="I13" s="10" t="s">
        <v>10</v>
      </c>
      <c r="J13" s="10" t="s">
        <v>11</v>
      </c>
      <c r="K13" s="10" t="s">
        <v>12</v>
      </c>
      <c r="L13" s="10" t="s">
        <v>13</v>
      </c>
      <c r="M13" s="8" t="s">
        <v>15</v>
      </c>
    </row>
    <row r="14" spans="2:21" x14ac:dyDescent="0.3">
      <c r="C14" s="7"/>
      <c r="G14" s="32">
        <v>1</v>
      </c>
      <c r="H14" s="7">
        <v>36526</v>
      </c>
      <c r="I14">
        <f>DAY(Table1[[#This Row],[date]])</f>
        <v>1</v>
      </c>
      <c r="J14">
        <f>MONTH(Table1[[#This Row],[date]])</f>
        <v>1</v>
      </c>
      <c r="K14">
        <f>YEAR(H14)</f>
        <v>2000</v>
      </c>
      <c r="L14">
        <f>WEEKDAY(Table1[[#This Row],[date]])</f>
        <v>7</v>
      </c>
      <c r="M14">
        <f>WEEKDAY(Table1[[#This Row],[date]])</f>
        <v>7</v>
      </c>
    </row>
    <row r="15" spans="2:21" x14ac:dyDescent="0.3">
      <c r="G15" s="32">
        <v>2</v>
      </c>
      <c r="H15" s="7">
        <f t="shared" ref="H15:H46" si="0">H14 +1</f>
        <v>36527</v>
      </c>
      <c r="I15" s="11">
        <f>DAY(Table1[[#This Row],[date]])</f>
        <v>2</v>
      </c>
      <c r="J15" s="11">
        <f>MONTH(Table1[[#This Row],[date]])</f>
        <v>1</v>
      </c>
      <c r="K15" s="11">
        <f>YEAR(H15)</f>
        <v>2000</v>
      </c>
      <c r="L15" s="11">
        <f>WEEKDAY(Table1[[#This Row],[date]])</f>
        <v>1</v>
      </c>
      <c r="M15" s="11">
        <f>WEEKDAY(Table1[[#This Row],[date]])</f>
        <v>1</v>
      </c>
    </row>
    <row r="16" spans="2:21" x14ac:dyDescent="0.3">
      <c r="G16" s="32">
        <v>3</v>
      </c>
      <c r="H16" s="7">
        <f t="shared" si="0"/>
        <v>36528</v>
      </c>
      <c r="I16" s="11">
        <f>DAY(Table1[[#This Row],[date]])</f>
        <v>3</v>
      </c>
      <c r="J16" s="11">
        <f>MONTH(Table1[[#This Row],[date]])</f>
        <v>1</v>
      </c>
      <c r="K16" s="11">
        <f>YEAR(H16)</f>
        <v>2000</v>
      </c>
      <c r="L16" s="11">
        <f>WEEKDAY(Table1[[#This Row],[date]])</f>
        <v>2</v>
      </c>
      <c r="M16" s="11">
        <f>WEEKDAY(Table1[[#This Row],[date]])</f>
        <v>2</v>
      </c>
    </row>
    <row r="17" spans="7:13" x14ac:dyDescent="0.3">
      <c r="G17" s="32">
        <v>4</v>
      </c>
      <c r="H17" s="7">
        <f t="shared" si="0"/>
        <v>36529</v>
      </c>
      <c r="I17" s="11">
        <f>DAY(Table1[[#This Row],[date]])</f>
        <v>4</v>
      </c>
      <c r="J17" s="11">
        <f>MONTH(Table1[[#This Row],[date]])</f>
        <v>1</v>
      </c>
      <c r="K17" s="11">
        <f>YEAR(H17)</f>
        <v>2000</v>
      </c>
      <c r="L17" s="11">
        <f>WEEKDAY(Table1[[#This Row],[date]])</f>
        <v>3</v>
      </c>
      <c r="M17" s="11">
        <f>WEEKDAY(Table1[[#This Row],[date]])</f>
        <v>3</v>
      </c>
    </row>
    <row r="18" spans="7:13" x14ac:dyDescent="0.3">
      <c r="G18" s="32">
        <v>5</v>
      </c>
      <c r="H18" s="7">
        <f t="shared" si="0"/>
        <v>36530</v>
      </c>
      <c r="I18" s="11">
        <f>DAY(Table1[[#This Row],[date]])</f>
        <v>5</v>
      </c>
      <c r="J18" s="11">
        <f>MONTH(Table1[[#This Row],[date]])</f>
        <v>1</v>
      </c>
      <c r="K18" s="11">
        <f>YEAR(H18)</f>
        <v>2000</v>
      </c>
      <c r="L18" s="11">
        <f>WEEKDAY(Table1[[#This Row],[date]])</f>
        <v>4</v>
      </c>
      <c r="M18" s="11">
        <f>WEEKDAY(Table1[[#This Row],[date]])</f>
        <v>4</v>
      </c>
    </row>
    <row r="19" spans="7:13" x14ac:dyDescent="0.3">
      <c r="G19" s="32">
        <v>6</v>
      </c>
      <c r="H19" s="7">
        <f t="shared" si="0"/>
        <v>36531</v>
      </c>
      <c r="I19" s="11">
        <f>DAY(Table1[[#This Row],[date]])</f>
        <v>6</v>
      </c>
      <c r="J19" s="11">
        <f>MONTH(Table1[[#This Row],[date]])</f>
        <v>1</v>
      </c>
      <c r="K19" s="11">
        <f>YEAR(H19)</f>
        <v>2000</v>
      </c>
      <c r="L19" s="11">
        <f>WEEKDAY(Table1[[#This Row],[date]])</f>
        <v>5</v>
      </c>
      <c r="M19" s="11">
        <f>WEEKDAY(Table1[[#This Row],[date]])</f>
        <v>5</v>
      </c>
    </row>
    <row r="20" spans="7:13" x14ac:dyDescent="0.3">
      <c r="G20" s="32">
        <v>7</v>
      </c>
      <c r="H20" s="7">
        <f t="shared" si="0"/>
        <v>36532</v>
      </c>
      <c r="I20" s="11">
        <f>DAY(Table1[[#This Row],[date]])</f>
        <v>7</v>
      </c>
      <c r="J20" s="11">
        <f>MONTH(Table1[[#This Row],[date]])</f>
        <v>1</v>
      </c>
      <c r="K20" s="11">
        <f>YEAR(H20)</f>
        <v>2000</v>
      </c>
      <c r="L20" s="11">
        <f>WEEKDAY(Table1[[#This Row],[date]])</f>
        <v>6</v>
      </c>
      <c r="M20" s="11">
        <f>WEEKDAY(Table1[[#This Row],[date]])</f>
        <v>6</v>
      </c>
    </row>
    <row r="21" spans="7:13" x14ac:dyDescent="0.3">
      <c r="G21" s="32">
        <v>8</v>
      </c>
      <c r="H21" s="7">
        <f t="shared" si="0"/>
        <v>36533</v>
      </c>
      <c r="I21" s="11">
        <f>DAY(Table1[[#This Row],[date]])</f>
        <v>8</v>
      </c>
      <c r="J21" s="11">
        <f>MONTH(Table1[[#This Row],[date]])</f>
        <v>1</v>
      </c>
      <c r="K21" s="11">
        <f>YEAR(H21)</f>
        <v>2000</v>
      </c>
      <c r="L21" s="11">
        <f>WEEKDAY(Table1[[#This Row],[date]])</f>
        <v>7</v>
      </c>
      <c r="M21" s="11">
        <f>WEEKDAY(Table1[[#This Row],[date]])</f>
        <v>7</v>
      </c>
    </row>
    <row r="22" spans="7:13" x14ac:dyDescent="0.3">
      <c r="G22" s="32">
        <v>9</v>
      </c>
      <c r="H22" s="7">
        <f t="shared" si="0"/>
        <v>36534</v>
      </c>
      <c r="I22" s="11">
        <f>DAY(Table1[[#This Row],[date]])</f>
        <v>9</v>
      </c>
      <c r="J22" s="11">
        <f>MONTH(Table1[[#This Row],[date]])</f>
        <v>1</v>
      </c>
      <c r="K22" s="11">
        <f>YEAR(H22)</f>
        <v>2000</v>
      </c>
      <c r="L22" s="11">
        <f>WEEKDAY(Table1[[#This Row],[date]])</f>
        <v>1</v>
      </c>
      <c r="M22" s="11">
        <f>WEEKDAY(Table1[[#This Row],[date]])</f>
        <v>1</v>
      </c>
    </row>
    <row r="23" spans="7:13" x14ac:dyDescent="0.3">
      <c r="G23" s="32">
        <v>10</v>
      </c>
      <c r="H23" s="7">
        <f t="shared" si="0"/>
        <v>36535</v>
      </c>
      <c r="I23" s="11">
        <f>DAY(Table1[[#This Row],[date]])</f>
        <v>10</v>
      </c>
      <c r="J23" s="11">
        <f>MONTH(Table1[[#This Row],[date]])</f>
        <v>1</v>
      </c>
      <c r="K23" s="11">
        <f>YEAR(H23)</f>
        <v>2000</v>
      </c>
      <c r="L23" s="11">
        <f>WEEKDAY(Table1[[#This Row],[date]])</f>
        <v>2</v>
      </c>
      <c r="M23" s="11">
        <f>WEEKDAY(Table1[[#This Row],[date]])</f>
        <v>2</v>
      </c>
    </row>
    <row r="24" spans="7:13" x14ac:dyDescent="0.3">
      <c r="G24" s="32">
        <v>11</v>
      </c>
      <c r="H24" s="7">
        <f t="shared" si="0"/>
        <v>36536</v>
      </c>
      <c r="I24" s="11">
        <f>DAY(Table1[[#This Row],[date]])</f>
        <v>11</v>
      </c>
      <c r="J24" s="11">
        <f>MONTH(Table1[[#This Row],[date]])</f>
        <v>1</v>
      </c>
      <c r="K24" s="11">
        <f>YEAR(H24)</f>
        <v>2000</v>
      </c>
      <c r="L24" s="11">
        <f>WEEKDAY(Table1[[#This Row],[date]])</f>
        <v>3</v>
      </c>
      <c r="M24" s="11">
        <f>WEEKDAY(Table1[[#This Row],[date]])</f>
        <v>3</v>
      </c>
    </row>
    <row r="25" spans="7:13" x14ac:dyDescent="0.3">
      <c r="G25" s="32">
        <v>12</v>
      </c>
      <c r="H25" s="7">
        <f t="shared" si="0"/>
        <v>36537</v>
      </c>
      <c r="I25" s="11">
        <f>DAY(Table1[[#This Row],[date]])</f>
        <v>12</v>
      </c>
      <c r="J25" s="11">
        <f>MONTH(Table1[[#This Row],[date]])</f>
        <v>1</v>
      </c>
      <c r="K25" s="11">
        <f>YEAR(H25)</f>
        <v>2000</v>
      </c>
      <c r="L25" s="11">
        <f>WEEKDAY(Table1[[#This Row],[date]])</f>
        <v>4</v>
      </c>
      <c r="M25" s="11">
        <f>WEEKDAY(Table1[[#This Row],[date]])</f>
        <v>4</v>
      </c>
    </row>
    <row r="26" spans="7:13" x14ac:dyDescent="0.3">
      <c r="G26" s="32">
        <v>13</v>
      </c>
      <c r="H26" s="7">
        <f t="shared" si="0"/>
        <v>36538</v>
      </c>
      <c r="I26" s="11">
        <f>DAY(Table1[[#This Row],[date]])</f>
        <v>13</v>
      </c>
      <c r="J26" s="11">
        <f>MONTH(Table1[[#This Row],[date]])</f>
        <v>1</v>
      </c>
      <c r="K26" s="11">
        <f>YEAR(H26)</f>
        <v>2000</v>
      </c>
      <c r="L26" s="11">
        <f>WEEKDAY(Table1[[#This Row],[date]])</f>
        <v>5</v>
      </c>
      <c r="M26" s="11">
        <f>WEEKDAY(Table1[[#This Row],[date]])</f>
        <v>5</v>
      </c>
    </row>
    <row r="27" spans="7:13" x14ac:dyDescent="0.3">
      <c r="G27" s="32">
        <v>14</v>
      </c>
      <c r="H27" s="7">
        <f t="shared" si="0"/>
        <v>36539</v>
      </c>
      <c r="I27" s="11">
        <f>DAY(Table1[[#This Row],[date]])</f>
        <v>14</v>
      </c>
      <c r="J27" s="11">
        <f>MONTH(Table1[[#This Row],[date]])</f>
        <v>1</v>
      </c>
      <c r="K27" s="11">
        <f>YEAR(H27)</f>
        <v>2000</v>
      </c>
      <c r="L27" s="11">
        <f>WEEKDAY(Table1[[#This Row],[date]])</f>
        <v>6</v>
      </c>
      <c r="M27" s="11">
        <f>WEEKDAY(Table1[[#This Row],[date]])</f>
        <v>6</v>
      </c>
    </row>
    <row r="28" spans="7:13" x14ac:dyDescent="0.3">
      <c r="G28" s="32">
        <v>15</v>
      </c>
      <c r="H28" s="7">
        <f t="shared" si="0"/>
        <v>36540</v>
      </c>
      <c r="I28" s="11">
        <f>DAY(Table1[[#This Row],[date]])</f>
        <v>15</v>
      </c>
      <c r="J28" s="11">
        <f>MONTH(Table1[[#This Row],[date]])</f>
        <v>1</v>
      </c>
      <c r="K28" s="11">
        <f>YEAR(H28)</f>
        <v>2000</v>
      </c>
      <c r="L28" s="11">
        <f>WEEKDAY(Table1[[#This Row],[date]])</f>
        <v>7</v>
      </c>
      <c r="M28" s="11">
        <f>WEEKDAY(Table1[[#This Row],[date]])</f>
        <v>7</v>
      </c>
    </row>
    <row r="29" spans="7:13" x14ac:dyDescent="0.3">
      <c r="G29" s="32">
        <v>16</v>
      </c>
      <c r="H29" s="7">
        <f t="shared" si="0"/>
        <v>36541</v>
      </c>
      <c r="I29" s="11">
        <f>DAY(Table1[[#This Row],[date]])</f>
        <v>16</v>
      </c>
      <c r="J29" s="11">
        <f>MONTH(Table1[[#This Row],[date]])</f>
        <v>1</v>
      </c>
      <c r="K29" s="11">
        <f>YEAR(H29)</f>
        <v>2000</v>
      </c>
      <c r="L29" s="11">
        <f>WEEKDAY(Table1[[#This Row],[date]])</f>
        <v>1</v>
      </c>
      <c r="M29" s="11">
        <f>WEEKDAY(Table1[[#This Row],[date]])</f>
        <v>1</v>
      </c>
    </row>
    <row r="30" spans="7:13" x14ac:dyDescent="0.3">
      <c r="G30" s="32">
        <v>17</v>
      </c>
      <c r="H30" s="7">
        <f t="shared" si="0"/>
        <v>36542</v>
      </c>
      <c r="I30" s="11">
        <f>DAY(Table1[[#This Row],[date]])</f>
        <v>17</v>
      </c>
      <c r="J30" s="11">
        <f>MONTH(Table1[[#This Row],[date]])</f>
        <v>1</v>
      </c>
      <c r="K30" s="11">
        <f>YEAR(H30)</f>
        <v>2000</v>
      </c>
      <c r="L30" s="11">
        <f>WEEKDAY(Table1[[#This Row],[date]])</f>
        <v>2</v>
      </c>
      <c r="M30" s="11">
        <f>WEEKDAY(Table1[[#This Row],[date]])</f>
        <v>2</v>
      </c>
    </row>
    <row r="31" spans="7:13" x14ac:dyDescent="0.3">
      <c r="G31" s="32">
        <v>18</v>
      </c>
      <c r="H31" s="7">
        <f t="shared" si="0"/>
        <v>36543</v>
      </c>
      <c r="I31" s="11">
        <f>DAY(Table1[[#This Row],[date]])</f>
        <v>18</v>
      </c>
      <c r="J31" s="11">
        <f>MONTH(Table1[[#This Row],[date]])</f>
        <v>1</v>
      </c>
      <c r="K31" s="11">
        <f>YEAR(H31)</f>
        <v>2000</v>
      </c>
      <c r="L31" s="11">
        <f>WEEKDAY(Table1[[#This Row],[date]])</f>
        <v>3</v>
      </c>
      <c r="M31" s="11">
        <f>WEEKDAY(Table1[[#This Row],[date]])</f>
        <v>3</v>
      </c>
    </row>
    <row r="32" spans="7:13" x14ac:dyDescent="0.3">
      <c r="G32" s="32">
        <v>19</v>
      </c>
      <c r="H32" s="7">
        <f t="shared" si="0"/>
        <v>36544</v>
      </c>
      <c r="I32" s="11">
        <f>DAY(Table1[[#This Row],[date]])</f>
        <v>19</v>
      </c>
      <c r="J32" s="11">
        <f>MONTH(Table1[[#This Row],[date]])</f>
        <v>1</v>
      </c>
      <c r="K32" s="11">
        <f>YEAR(H32)</f>
        <v>2000</v>
      </c>
      <c r="L32" s="11">
        <f>WEEKDAY(Table1[[#This Row],[date]])</f>
        <v>4</v>
      </c>
      <c r="M32" s="11">
        <f>WEEKDAY(Table1[[#This Row],[date]])</f>
        <v>4</v>
      </c>
    </row>
    <row r="33" spans="7:13" x14ac:dyDescent="0.3">
      <c r="G33" s="32">
        <v>20</v>
      </c>
      <c r="H33" s="7">
        <f t="shared" si="0"/>
        <v>36545</v>
      </c>
      <c r="I33" s="11">
        <f>DAY(Table1[[#This Row],[date]])</f>
        <v>20</v>
      </c>
      <c r="J33" s="11">
        <f>MONTH(Table1[[#This Row],[date]])</f>
        <v>1</v>
      </c>
      <c r="K33" s="11">
        <f>YEAR(H33)</f>
        <v>2000</v>
      </c>
      <c r="L33" s="11">
        <f>WEEKDAY(Table1[[#This Row],[date]])</f>
        <v>5</v>
      </c>
      <c r="M33" s="11">
        <f>WEEKDAY(Table1[[#This Row],[date]])</f>
        <v>5</v>
      </c>
    </row>
    <row r="34" spans="7:13" x14ac:dyDescent="0.3">
      <c r="G34" s="32">
        <v>21</v>
      </c>
      <c r="H34" s="7">
        <f t="shared" si="0"/>
        <v>36546</v>
      </c>
      <c r="I34" s="11">
        <f>DAY(Table1[[#This Row],[date]])</f>
        <v>21</v>
      </c>
      <c r="J34" s="11">
        <f>MONTH(Table1[[#This Row],[date]])</f>
        <v>1</v>
      </c>
      <c r="K34" s="11">
        <f>YEAR(H34)</f>
        <v>2000</v>
      </c>
      <c r="L34" s="11">
        <f>WEEKDAY(Table1[[#This Row],[date]])</f>
        <v>6</v>
      </c>
      <c r="M34" s="11">
        <f>WEEKDAY(Table1[[#This Row],[date]])</f>
        <v>6</v>
      </c>
    </row>
    <row r="35" spans="7:13" x14ac:dyDescent="0.3">
      <c r="G35" s="32">
        <v>22</v>
      </c>
      <c r="H35" s="7">
        <f t="shared" si="0"/>
        <v>36547</v>
      </c>
      <c r="I35" s="11">
        <f>DAY(Table1[[#This Row],[date]])</f>
        <v>22</v>
      </c>
      <c r="J35" s="11">
        <f>MONTH(Table1[[#This Row],[date]])</f>
        <v>1</v>
      </c>
      <c r="K35" s="11">
        <f>YEAR(H35)</f>
        <v>2000</v>
      </c>
      <c r="L35" s="11">
        <f>WEEKDAY(Table1[[#This Row],[date]])</f>
        <v>7</v>
      </c>
      <c r="M35" s="11">
        <f>WEEKDAY(Table1[[#This Row],[date]])</f>
        <v>7</v>
      </c>
    </row>
    <row r="36" spans="7:13" x14ac:dyDescent="0.3">
      <c r="G36" s="32">
        <v>23</v>
      </c>
      <c r="H36" s="7">
        <f t="shared" si="0"/>
        <v>36548</v>
      </c>
      <c r="I36" s="11">
        <f>DAY(Table1[[#This Row],[date]])</f>
        <v>23</v>
      </c>
      <c r="J36" s="11">
        <f>MONTH(Table1[[#This Row],[date]])</f>
        <v>1</v>
      </c>
      <c r="K36" s="11">
        <f>YEAR(H36)</f>
        <v>2000</v>
      </c>
      <c r="L36" s="11">
        <f>WEEKDAY(Table1[[#This Row],[date]])</f>
        <v>1</v>
      </c>
      <c r="M36" s="11">
        <f>WEEKDAY(Table1[[#This Row],[date]])</f>
        <v>1</v>
      </c>
    </row>
    <row r="37" spans="7:13" x14ac:dyDescent="0.3">
      <c r="G37" s="32">
        <v>24</v>
      </c>
      <c r="H37" s="7">
        <f t="shared" si="0"/>
        <v>36549</v>
      </c>
      <c r="I37" s="11">
        <f>DAY(Table1[[#This Row],[date]])</f>
        <v>24</v>
      </c>
      <c r="J37" s="11">
        <f>MONTH(Table1[[#This Row],[date]])</f>
        <v>1</v>
      </c>
      <c r="K37" s="11">
        <f>YEAR(H37)</f>
        <v>2000</v>
      </c>
      <c r="L37" s="11">
        <f>WEEKDAY(Table1[[#This Row],[date]])</f>
        <v>2</v>
      </c>
      <c r="M37" s="11">
        <f>WEEKDAY(Table1[[#This Row],[date]])</f>
        <v>2</v>
      </c>
    </row>
    <row r="38" spans="7:13" x14ac:dyDescent="0.3">
      <c r="G38" s="32">
        <v>25</v>
      </c>
      <c r="H38" s="7">
        <f t="shared" si="0"/>
        <v>36550</v>
      </c>
      <c r="I38" s="11">
        <f>DAY(Table1[[#This Row],[date]])</f>
        <v>25</v>
      </c>
      <c r="J38" s="11">
        <f>MONTH(Table1[[#This Row],[date]])</f>
        <v>1</v>
      </c>
      <c r="K38" s="11">
        <f>YEAR(H38)</f>
        <v>2000</v>
      </c>
      <c r="L38" s="11">
        <f>WEEKDAY(Table1[[#This Row],[date]])</f>
        <v>3</v>
      </c>
      <c r="M38" s="11">
        <f>WEEKDAY(Table1[[#This Row],[date]])</f>
        <v>3</v>
      </c>
    </row>
    <row r="39" spans="7:13" x14ac:dyDescent="0.3">
      <c r="G39" s="32">
        <v>26</v>
      </c>
      <c r="H39" s="7">
        <f t="shared" si="0"/>
        <v>36551</v>
      </c>
      <c r="I39" s="11">
        <f>DAY(Table1[[#This Row],[date]])</f>
        <v>26</v>
      </c>
      <c r="J39" s="11">
        <f>MONTH(Table1[[#This Row],[date]])</f>
        <v>1</v>
      </c>
      <c r="K39" s="11">
        <f>YEAR(H39)</f>
        <v>2000</v>
      </c>
      <c r="L39" s="11">
        <f>WEEKDAY(Table1[[#This Row],[date]])</f>
        <v>4</v>
      </c>
      <c r="M39" s="11">
        <f>WEEKDAY(Table1[[#This Row],[date]])</f>
        <v>4</v>
      </c>
    </row>
    <row r="40" spans="7:13" x14ac:dyDescent="0.3">
      <c r="G40" s="32">
        <v>27</v>
      </c>
      <c r="H40" s="7">
        <f t="shared" si="0"/>
        <v>36552</v>
      </c>
      <c r="I40" s="11">
        <f>DAY(Table1[[#This Row],[date]])</f>
        <v>27</v>
      </c>
      <c r="J40" s="11">
        <f>MONTH(Table1[[#This Row],[date]])</f>
        <v>1</v>
      </c>
      <c r="K40" s="11">
        <f>YEAR(H40)</f>
        <v>2000</v>
      </c>
      <c r="L40" s="11">
        <f>WEEKDAY(Table1[[#This Row],[date]])</f>
        <v>5</v>
      </c>
      <c r="M40" s="11">
        <f>WEEKDAY(Table1[[#This Row],[date]])</f>
        <v>5</v>
      </c>
    </row>
    <row r="41" spans="7:13" x14ac:dyDescent="0.3">
      <c r="G41" s="32">
        <v>28</v>
      </c>
      <c r="H41" s="7">
        <f t="shared" si="0"/>
        <v>36553</v>
      </c>
      <c r="I41" s="11">
        <f>DAY(Table1[[#This Row],[date]])</f>
        <v>28</v>
      </c>
      <c r="J41" s="11">
        <f>MONTH(Table1[[#This Row],[date]])</f>
        <v>1</v>
      </c>
      <c r="K41" s="11">
        <f>YEAR(H41)</f>
        <v>2000</v>
      </c>
      <c r="L41" s="11">
        <f>WEEKDAY(Table1[[#This Row],[date]])</f>
        <v>6</v>
      </c>
      <c r="M41" s="11">
        <f>WEEKDAY(Table1[[#This Row],[date]])</f>
        <v>6</v>
      </c>
    </row>
    <row r="42" spans="7:13" x14ac:dyDescent="0.3">
      <c r="G42" s="32">
        <v>29</v>
      </c>
      <c r="H42" s="7">
        <f t="shared" si="0"/>
        <v>36554</v>
      </c>
      <c r="I42" s="11">
        <f>DAY(Table1[[#This Row],[date]])</f>
        <v>29</v>
      </c>
      <c r="J42" s="11">
        <f>MONTH(Table1[[#This Row],[date]])</f>
        <v>1</v>
      </c>
      <c r="K42" s="11">
        <f>YEAR(H42)</f>
        <v>2000</v>
      </c>
      <c r="L42" s="11">
        <f>WEEKDAY(Table1[[#This Row],[date]])</f>
        <v>7</v>
      </c>
      <c r="M42" s="11">
        <f>WEEKDAY(Table1[[#This Row],[date]])</f>
        <v>7</v>
      </c>
    </row>
    <row r="43" spans="7:13" x14ac:dyDescent="0.3">
      <c r="G43" s="32">
        <v>30</v>
      </c>
      <c r="H43" s="7">
        <f t="shared" si="0"/>
        <v>36555</v>
      </c>
      <c r="I43" s="11">
        <f>DAY(Table1[[#This Row],[date]])</f>
        <v>30</v>
      </c>
      <c r="J43" s="11">
        <f>MONTH(Table1[[#This Row],[date]])</f>
        <v>1</v>
      </c>
      <c r="K43" s="11">
        <f>YEAR(H43)</f>
        <v>2000</v>
      </c>
      <c r="L43" s="11">
        <f>WEEKDAY(Table1[[#This Row],[date]])</f>
        <v>1</v>
      </c>
      <c r="M43" s="11">
        <f>WEEKDAY(Table1[[#This Row],[date]])</f>
        <v>1</v>
      </c>
    </row>
    <row r="44" spans="7:13" x14ac:dyDescent="0.3">
      <c r="G44" s="32">
        <v>31</v>
      </c>
      <c r="H44" s="7">
        <f t="shared" si="0"/>
        <v>36556</v>
      </c>
      <c r="I44" s="11">
        <f>DAY(Table1[[#This Row],[date]])</f>
        <v>31</v>
      </c>
      <c r="J44" s="11">
        <f>MONTH(Table1[[#This Row],[date]])</f>
        <v>1</v>
      </c>
      <c r="K44" s="11">
        <f>YEAR(H44)</f>
        <v>2000</v>
      </c>
      <c r="L44" s="11">
        <f>WEEKDAY(Table1[[#This Row],[date]])</f>
        <v>2</v>
      </c>
      <c r="M44" s="11">
        <f>WEEKDAY(Table1[[#This Row],[date]])</f>
        <v>2</v>
      </c>
    </row>
    <row r="45" spans="7:13" x14ac:dyDescent="0.3">
      <c r="G45" s="32">
        <v>32</v>
      </c>
      <c r="H45" s="7">
        <f t="shared" si="0"/>
        <v>36557</v>
      </c>
      <c r="I45" s="11">
        <f>DAY(Table1[[#This Row],[date]])</f>
        <v>1</v>
      </c>
      <c r="J45" s="11">
        <f>MONTH(Table1[[#This Row],[date]])</f>
        <v>2</v>
      </c>
      <c r="K45" s="11">
        <f>YEAR(H45)</f>
        <v>2000</v>
      </c>
      <c r="L45" s="11">
        <f>WEEKDAY(Table1[[#This Row],[date]])</f>
        <v>3</v>
      </c>
      <c r="M45" s="11">
        <f>WEEKDAY(Table1[[#This Row],[date]])</f>
        <v>3</v>
      </c>
    </row>
    <row r="46" spans="7:13" x14ac:dyDescent="0.3">
      <c r="G46" s="32">
        <v>33</v>
      </c>
      <c r="H46" s="7">
        <f t="shared" si="0"/>
        <v>36558</v>
      </c>
      <c r="I46" s="11">
        <f>DAY(Table1[[#This Row],[date]])</f>
        <v>2</v>
      </c>
      <c r="J46" s="11">
        <f>MONTH(Table1[[#This Row],[date]])</f>
        <v>2</v>
      </c>
      <c r="K46" s="11">
        <f>YEAR(H46)</f>
        <v>2000</v>
      </c>
      <c r="L46" s="11">
        <f>WEEKDAY(Table1[[#This Row],[date]])</f>
        <v>4</v>
      </c>
      <c r="M46" s="11">
        <f>WEEKDAY(Table1[[#This Row],[date]])</f>
        <v>4</v>
      </c>
    </row>
    <row r="47" spans="7:13" x14ac:dyDescent="0.3">
      <c r="G47" s="32">
        <v>34</v>
      </c>
      <c r="H47" s="7">
        <f t="shared" ref="H47:H78" si="1">H46 +1</f>
        <v>36559</v>
      </c>
      <c r="I47" s="11">
        <f>DAY(Table1[[#This Row],[date]])</f>
        <v>3</v>
      </c>
      <c r="J47" s="11">
        <f>MONTH(Table1[[#This Row],[date]])</f>
        <v>2</v>
      </c>
      <c r="K47" s="11">
        <f>YEAR(H47)</f>
        <v>2000</v>
      </c>
      <c r="L47" s="11">
        <f>WEEKDAY(Table1[[#This Row],[date]])</f>
        <v>5</v>
      </c>
      <c r="M47" s="11">
        <f>WEEKDAY(Table1[[#This Row],[date]])</f>
        <v>5</v>
      </c>
    </row>
    <row r="48" spans="7:13" x14ac:dyDescent="0.3">
      <c r="G48" s="32">
        <v>35</v>
      </c>
      <c r="H48" s="7">
        <f t="shared" si="1"/>
        <v>36560</v>
      </c>
      <c r="I48" s="11">
        <f>DAY(Table1[[#This Row],[date]])</f>
        <v>4</v>
      </c>
      <c r="J48" s="11">
        <f>MONTH(Table1[[#This Row],[date]])</f>
        <v>2</v>
      </c>
      <c r="K48" s="11">
        <f>YEAR(H48)</f>
        <v>2000</v>
      </c>
      <c r="L48" s="11">
        <f>WEEKDAY(Table1[[#This Row],[date]])</f>
        <v>6</v>
      </c>
      <c r="M48" s="11">
        <f>WEEKDAY(Table1[[#This Row],[date]])</f>
        <v>6</v>
      </c>
    </row>
    <row r="49" spans="7:13" x14ac:dyDescent="0.3">
      <c r="G49" s="32">
        <v>36</v>
      </c>
      <c r="H49" s="7">
        <f t="shared" si="1"/>
        <v>36561</v>
      </c>
      <c r="I49" s="11">
        <f>DAY(Table1[[#This Row],[date]])</f>
        <v>5</v>
      </c>
      <c r="J49" s="11">
        <f>MONTH(Table1[[#This Row],[date]])</f>
        <v>2</v>
      </c>
      <c r="K49" s="11">
        <f>YEAR(H49)</f>
        <v>2000</v>
      </c>
      <c r="L49" s="11">
        <f>WEEKDAY(Table1[[#This Row],[date]])</f>
        <v>7</v>
      </c>
      <c r="M49" s="11">
        <f>WEEKDAY(Table1[[#This Row],[date]])</f>
        <v>7</v>
      </c>
    </row>
    <row r="50" spans="7:13" x14ac:dyDescent="0.3">
      <c r="G50" s="32">
        <v>37</v>
      </c>
      <c r="H50" s="7">
        <f t="shared" si="1"/>
        <v>36562</v>
      </c>
      <c r="I50" s="11">
        <f>DAY(Table1[[#This Row],[date]])</f>
        <v>6</v>
      </c>
      <c r="J50" s="11">
        <f>MONTH(Table1[[#This Row],[date]])</f>
        <v>2</v>
      </c>
      <c r="K50" s="11">
        <f>YEAR(H50)</f>
        <v>2000</v>
      </c>
      <c r="L50" s="11">
        <f>WEEKDAY(Table1[[#This Row],[date]])</f>
        <v>1</v>
      </c>
      <c r="M50" s="11">
        <f>WEEKDAY(Table1[[#This Row],[date]])</f>
        <v>1</v>
      </c>
    </row>
    <row r="51" spans="7:13" x14ac:dyDescent="0.3">
      <c r="G51" s="32">
        <v>38</v>
      </c>
      <c r="H51" s="7">
        <f t="shared" si="1"/>
        <v>36563</v>
      </c>
      <c r="I51" s="11">
        <f>DAY(Table1[[#This Row],[date]])</f>
        <v>7</v>
      </c>
      <c r="J51" s="11">
        <f>MONTH(Table1[[#This Row],[date]])</f>
        <v>2</v>
      </c>
      <c r="K51" s="11">
        <f>YEAR(H51)</f>
        <v>2000</v>
      </c>
      <c r="L51" s="11">
        <f>WEEKDAY(Table1[[#This Row],[date]])</f>
        <v>2</v>
      </c>
      <c r="M51" s="11">
        <f>WEEKDAY(Table1[[#This Row],[date]])</f>
        <v>2</v>
      </c>
    </row>
    <row r="52" spans="7:13" x14ac:dyDescent="0.3">
      <c r="G52" s="32">
        <v>39</v>
      </c>
      <c r="H52" s="7">
        <f t="shared" si="1"/>
        <v>36564</v>
      </c>
      <c r="I52" s="11">
        <f>DAY(Table1[[#This Row],[date]])</f>
        <v>8</v>
      </c>
      <c r="J52" s="11">
        <f>MONTH(Table1[[#This Row],[date]])</f>
        <v>2</v>
      </c>
      <c r="K52" s="11">
        <f>YEAR(H52)</f>
        <v>2000</v>
      </c>
      <c r="L52" s="11">
        <f>WEEKDAY(Table1[[#This Row],[date]])</f>
        <v>3</v>
      </c>
      <c r="M52" s="11">
        <f>WEEKDAY(Table1[[#This Row],[date]])</f>
        <v>3</v>
      </c>
    </row>
    <row r="53" spans="7:13" x14ac:dyDescent="0.3">
      <c r="G53" s="32">
        <v>40</v>
      </c>
      <c r="H53" s="7">
        <f t="shared" si="1"/>
        <v>36565</v>
      </c>
      <c r="I53" s="11">
        <f>DAY(Table1[[#This Row],[date]])</f>
        <v>9</v>
      </c>
      <c r="J53" s="11">
        <f>MONTH(Table1[[#This Row],[date]])</f>
        <v>2</v>
      </c>
      <c r="K53" s="11">
        <f>YEAR(H53)</f>
        <v>2000</v>
      </c>
      <c r="L53" s="11">
        <f>WEEKDAY(Table1[[#This Row],[date]])</f>
        <v>4</v>
      </c>
      <c r="M53" s="11">
        <f>WEEKDAY(Table1[[#This Row],[date]])</f>
        <v>4</v>
      </c>
    </row>
    <row r="54" spans="7:13" x14ac:dyDescent="0.3">
      <c r="G54" s="32">
        <v>41</v>
      </c>
      <c r="H54" s="7">
        <f t="shared" si="1"/>
        <v>36566</v>
      </c>
      <c r="I54" s="11">
        <f>DAY(Table1[[#This Row],[date]])</f>
        <v>10</v>
      </c>
      <c r="J54" s="11">
        <f>MONTH(Table1[[#This Row],[date]])</f>
        <v>2</v>
      </c>
      <c r="K54" s="11">
        <f>YEAR(H54)</f>
        <v>2000</v>
      </c>
      <c r="L54" s="11">
        <f>WEEKDAY(Table1[[#This Row],[date]])</f>
        <v>5</v>
      </c>
      <c r="M54" s="11">
        <f>WEEKDAY(Table1[[#This Row],[date]])</f>
        <v>5</v>
      </c>
    </row>
    <row r="55" spans="7:13" x14ac:dyDescent="0.3">
      <c r="G55" s="32">
        <v>42</v>
      </c>
      <c r="H55" s="7">
        <f t="shared" si="1"/>
        <v>36567</v>
      </c>
      <c r="I55" s="11">
        <f>DAY(Table1[[#This Row],[date]])</f>
        <v>11</v>
      </c>
      <c r="J55" s="11">
        <f>MONTH(Table1[[#This Row],[date]])</f>
        <v>2</v>
      </c>
      <c r="K55" s="11">
        <f>YEAR(H55)</f>
        <v>2000</v>
      </c>
      <c r="L55" s="11">
        <f>WEEKDAY(Table1[[#This Row],[date]])</f>
        <v>6</v>
      </c>
      <c r="M55" s="11">
        <f>WEEKDAY(Table1[[#This Row],[date]])</f>
        <v>6</v>
      </c>
    </row>
    <row r="56" spans="7:13" x14ac:dyDescent="0.3">
      <c r="G56" s="32">
        <v>43</v>
      </c>
      <c r="H56" s="7">
        <f t="shared" si="1"/>
        <v>36568</v>
      </c>
      <c r="I56" s="11">
        <f>DAY(Table1[[#This Row],[date]])</f>
        <v>12</v>
      </c>
      <c r="J56" s="11">
        <f>MONTH(Table1[[#This Row],[date]])</f>
        <v>2</v>
      </c>
      <c r="K56" s="11">
        <f>YEAR(H56)</f>
        <v>2000</v>
      </c>
      <c r="L56" s="11">
        <f>WEEKDAY(Table1[[#This Row],[date]])</f>
        <v>7</v>
      </c>
      <c r="M56" s="11">
        <f>WEEKDAY(Table1[[#This Row],[date]])</f>
        <v>7</v>
      </c>
    </row>
    <row r="57" spans="7:13" x14ac:dyDescent="0.3">
      <c r="G57" s="32">
        <v>44</v>
      </c>
      <c r="H57" s="7">
        <f t="shared" si="1"/>
        <v>36569</v>
      </c>
      <c r="I57" s="11">
        <f>DAY(Table1[[#This Row],[date]])</f>
        <v>13</v>
      </c>
      <c r="J57" s="11">
        <f>MONTH(Table1[[#This Row],[date]])</f>
        <v>2</v>
      </c>
      <c r="K57" s="11">
        <f>YEAR(H57)</f>
        <v>2000</v>
      </c>
      <c r="L57" s="11">
        <f>WEEKDAY(Table1[[#This Row],[date]])</f>
        <v>1</v>
      </c>
      <c r="M57" s="11">
        <f>WEEKDAY(Table1[[#This Row],[date]])</f>
        <v>1</v>
      </c>
    </row>
    <row r="58" spans="7:13" x14ac:dyDescent="0.3">
      <c r="G58" s="32">
        <v>45</v>
      </c>
      <c r="H58" s="7">
        <f t="shared" si="1"/>
        <v>36570</v>
      </c>
      <c r="I58" s="11">
        <f>DAY(Table1[[#This Row],[date]])</f>
        <v>14</v>
      </c>
      <c r="J58" s="11">
        <f>MONTH(Table1[[#This Row],[date]])</f>
        <v>2</v>
      </c>
      <c r="K58" s="11">
        <f>YEAR(H58)</f>
        <v>2000</v>
      </c>
      <c r="L58" s="11">
        <f>WEEKDAY(Table1[[#This Row],[date]])</f>
        <v>2</v>
      </c>
      <c r="M58" s="11">
        <f>WEEKDAY(Table1[[#This Row],[date]])</f>
        <v>2</v>
      </c>
    </row>
    <row r="59" spans="7:13" x14ac:dyDescent="0.3">
      <c r="G59" s="32">
        <v>46</v>
      </c>
      <c r="H59" s="7">
        <f t="shared" si="1"/>
        <v>36571</v>
      </c>
      <c r="I59" s="11">
        <f>DAY(Table1[[#This Row],[date]])</f>
        <v>15</v>
      </c>
      <c r="J59" s="11">
        <f>MONTH(Table1[[#This Row],[date]])</f>
        <v>2</v>
      </c>
      <c r="K59" s="11">
        <f>YEAR(H59)</f>
        <v>2000</v>
      </c>
      <c r="L59" s="11">
        <f>WEEKDAY(Table1[[#This Row],[date]])</f>
        <v>3</v>
      </c>
      <c r="M59" s="11">
        <f>WEEKDAY(Table1[[#This Row],[date]])</f>
        <v>3</v>
      </c>
    </row>
    <row r="60" spans="7:13" x14ac:dyDescent="0.3">
      <c r="G60" s="32">
        <v>47</v>
      </c>
      <c r="H60" s="7">
        <f t="shared" si="1"/>
        <v>36572</v>
      </c>
      <c r="I60" s="11">
        <f>DAY(Table1[[#This Row],[date]])</f>
        <v>16</v>
      </c>
      <c r="J60" s="11">
        <f>MONTH(Table1[[#This Row],[date]])</f>
        <v>2</v>
      </c>
      <c r="K60" s="11">
        <f>YEAR(H60)</f>
        <v>2000</v>
      </c>
      <c r="L60" s="11">
        <f>WEEKDAY(Table1[[#This Row],[date]])</f>
        <v>4</v>
      </c>
      <c r="M60" s="11">
        <f>WEEKDAY(Table1[[#This Row],[date]])</f>
        <v>4</v>
      </c>
    </row>
    <row r="61" spans="7:13" x14ac:dyDescent="0.3">
      <c r="G61" s="32">
        <v>48</v>
      </c>
      <c r="H61" s="7">
        <f t="shared" si="1"/>
        <v>36573</v>
      </c>
      <c r="I61" s="11">
        <f>DAY(Table1[[#This Row],[date]])</f>
        <v>17</v>
      </c>
      <c r="J61" s="11">
        <f>MONTH(Table1[[#This Row],[date]])</f>
        <v>2</v>
      </c>
      <c r="K61" s="11">
        <f>YEAR(H61)</f>
        <v>2000</v>
      </c>
      <c r="L61" s="11">
        <f>WEEKDAY(Table1[[#This Row],[date]])</f>
        <v>5</v>
      </c>
      <c r="M61" s="11">
        <f>WEEKDAY(Table1[[#This Row],[date]])</f>
        <v>5</v>
      </c>
    </row>
    <row r="62" spans="7:13" x14ac:dyDescent="0.3">
      <c r="G62" s="32">
        <v>49</v>
      </c>
      <c r="H62" s="7">
        <f t="shared" si="1"/>
        <v>36574</v>
      </c>
      <c r="I62" s="11">
        <f>DAY(Table1[[#This Row],[date]])</f>
        <v>18</v>
      </c>
      <c r="J62" s="11">
        <f>MONTH(Table1[[#This Row],[date]])</f>
        <v>2</v>
      </c>
      <c r="K62" s="11">
        <f>YEAR(H62)</f>
        <v>2000</v>
      </c>
      <c r="L62" s="11">
        <f>WEEKDAY(Table1[[#This Row],[date]])</f>
        <v>6</v>
      </c>
      <c r="M62" s="11">
        <f>WEEKDAY(Table1[[#This Row],[date]])</f>
        <v>6</v>
      </c>
    </row>
    <row r="63" spans="7:13" x14ac:dyDescent="0.3">
      <c r="G63" s="32">
        <v>50</v>
      </c>
      <c r="H63" s="7">
        <f t="shared" si="1"/>
        <v>36575</v>
      </c>
      <c r="I63" s="11">
        <f>DAY(Table1[[#This Row],[date]])</f>
        <v>19</v>
      </c>
      <c r="J63" s="11">
        <f>MONTH(Table1[[#This Row],[date]])</f>
        <v>2</v>
      </c>
      <c r="K63" s="11">
        <f>YEAR(H63)</f>
        <v>2000</v>
      </c>
      <c r="L63" s="11">
        <f>WEEKDAY(Table1[[#This Row],[date]])</f>
        <v>7</v>
      </c>
      <c r="M63" s="11">
        <f>WEEKDAY(Table1[[#This Row],[date]])</f>
        <v>7</v>
      </c>
    </row>
    <row r="64" spans="7:13" x14ac:dyDescent="0.3">
      <c r="G64" s="32">
        <v>51</v>
      </c>
      <c r="H64" s="7">
        <f t="shared" si="1"/>
        <v>36576</v>
      </c>
      <c r="I64" s="11">
        <f>DAY(Table1[[#This Row],[date]])</f>
        <v>20</v>
      </c>
      <c r="J64" s="11">
        <f>MONTH(Table1[[#This Row],[date]])</f>
        <v>2</v>
      </c>
      <c r="K64" s="11">
        <f>YEAR(H64)</f>
        <v>2000</v>
      </c>
      <c r="L64" s="11">
        <f>WEEKDAY(Table1[[#This Row],[date]])</f>
        <v>1</v>
      </c>
      <c r="M64" s="11">
        <f>WEEKDAY(Table1[[#This Row],[date]])</f>
        <v>1</v>
      </c>
    </row>
    <row r="65" spans="7:13" x14ac:dyDescent="0.3">
      <c r="G65" s="32">
        <v>52</v>
      </c>
      <c r="H65" s="7">
        <f t="shared" si="1"/>
        <v>36577</v>
      </c>
      <c r="I65" s="11">
        <f>DAY(Table1[[#This Row],[date]])</f>
        <v>21</v>
      </c>
      <c r="J65" s="11">
        <f>MONTH(Table1[[#This Row],[date]])</f>
        <v>2</v>
      </c>
      <c r="K65" s="11">
        <f>YEAR(H65)</f>
        <v>2000</v>
      </c>
      <c r="L65" s="11">
        <f>WEEKDAY(Table1[[#This Row],[date]])</f>
        <v>2</v>
      </c>
      <c r="M65" s="11">
        <f>WEEKDAY(Table1[[#This Row],[date]])</f>
        <v>2</v>
      </c>
    </row>
    <row r="66" spans="7:13" x14ac:dyDescent="0.3">
      <c r="G66" s="32">
        <v>53</v>
      </c>
      <c r="H66" s="7">
        <f t="shared" si="1"/>
        <v>36578</v>
      </c>
      <c r="I66" s="11">
        <f>DAY(Table1[[#This Row],[date]])</f>
        <v>22</v>
      </c>
      <c r="J66" s="11">
        <f>MONTH(Table1[[#This Row],[date]])</f>
        <v>2</v>
      </c>
      <c r="K66" s="11">
        <f>YEAR(H66)</f>
        <v>2000</v>
      </c>
      <c r="L66" s="11">
        <f>WEEKDAY(Table1[[#This Row],[date]])</f>
        <v>3</v>
      </c>
      <c r="M66" s="11">
        <f>WEEKDAY(Table1[[#This Row],[date]])</f>
        <v>3</v>
      </c>
    </row>
    <row r="67" spans="7:13" x14ac:dyDescent="0.3">
      <c r="G67" s="32">
        <v>54</v>
      </c>
      <c r="H67" s="7">
        <f t="shared" si="1"/>
        <v>36579</v>
      </c>
      <c r="I67" s="11">
        <f>DAY(Table1[[#This Row],[date]])</f>
        <v>23</v>
      </c>
      <c r="J67" s="11">
        <f>MONTH(Table1[[#This Row],[date]])</f>
        <v>2</v>
      </c>
      <c r="K67" s="11">
        <f>YEAR(H67)</f>
        <v>2000</v>
      </c>
      <c r="L67" s="11">
        <f>WEEKDAY(Table1[[#This Row],[date]])</f>
        <v>4</v>
      </c>
      <c r="M67" s="11">
        <f>WEEKDAY(Table1[[#This Row],[date]])</f>
        <v>4</v>
      </c>
    </row>
    <row r="68" spans="7:13" x14ac:dyDescent="0.3">
      <c r="G68" s="32">
        <v>55</v>
      </c>
      <c r="H68" s="7">
        <f t="shared" si="1"/>
        <v>36580</v>
      </c>
      <c r="I68" s="11">
        <f>DAY(Table1[[#This Row],[date]])</f>
        <v>24</v>
      </c>
      <c r="J68" s="11">
        <f>MONTH(Table1[[#This Row],[date]])</f>
        <v>2</v>
      </c>
      <c r="K68" s="11">
        <f>YEAR(H68)</f>
        <v>2000</v>
      </c>
      <c r="L68" s="11">
        <f>WEEKDAY(Table1[[#This Row],[date]])</f>
        <v>5</v>
      </c>
      <c r="M68" s="11">
        <f>WEEKDAY(Table1[[#This Row],[date]])</f>
        <v>5</v>
      </c>
    </row>
    <row r="69" spans="7:13" x14ac:dyDescent="0.3">
      <c r="G69" s="32">
        <v>56</v>
      </c>
      <c r="H69" s="7">
        <f t="shared" si="1"/>
        <v>36581</v>
      </c>
      <c r="I69" s="11">
        <f>DAY(Table1[[#This Row],[date]])</f>
        <v>25</v>
      </c>
      <c r="J69" s="11">
        <f>MONTH(Table1[[#This Row],[date]])</f>
        <v>2</v>
      </c>
      <c r="K69" s="11">
        <f>YEAR(H69)</f>
        <v>2000</v>
      </c>
      <c r="L69" s="11">
        <f>WEEKDAY(Table1[[#This Row],[date]])</f>
        <v>6</v>
      </c>
      <c r="M69" s="11">
        <f>WEEKDAY(Table1[[#This Row],[date]])</f>
        <v>6</v>
      </c>
    </row>
    <row r="70" spans="7:13" x14ac:dyDescent="0.3">
      <c r="G70" s="32">
        <v>57</v>
      </c>
      <c r="H70" s="7">
        <f t="shared" si="1"/>
        <v>36582</v>
      </c>
      <c r="I70" s="11">
        <f>DAY(Table1[[#This Row],[date]])</f>
        <v>26</v>
      </c>
      <c r="J70" s="11">
        <f>MONTH(Table1[[#This Row],[date]])</f>
        <v>2</v>
      </c>
      <c r="K70" s="11">
        <f>YEAR(H70)</f>
        <v>2000</v>
      </c>
      <c r="L70" s="11">
        <f>WEEKDAY(Table1[[#This Row],[date]])</f>
        <v>7</v>
      </c>
      <c r="M70" s="11">
        <f>WEEKDAY(Table1[[#This Row],[date]])</f>
        <v>7</v>
      </c>
    </row>
    <row r="71" spans="7:13" x14ac:dyDescent="0.3">
      <c r="G71" s="32">
        <v>58</v>
      </c>
      <c r="H71" s="7">
        <f t="shared" si="1"/>
        <v>36583</v>
      </c>
      <c r="I71" s="11">
        <f>DAY(Table1[[#This Row],[date]])</f>
        <v>27</v>
      </c>
      <c r="J71" s="11">
        <f>MONTH(Table1[[#This Row],[date]])</f>
        <v>2</v>
      </c>
      <c r="K71" s="11">
        <f>YEAR(H71)</f>
        <v>2000</v>
      </c>
      <c r="L71" s="11">
        <f>WEEKDAY(Table1[[#This Row],[date]])</f>
        <v>1</v>
      </c>
      <c r="M71" s="11">
        <f>WEEKDAY(Table1[[#This Row],[date]])</f>
        <v>1</v>
      </c>
    </row>
    <row r="72" spans="7:13" x14ac:dyDescent="0.3">
      <c r="G72" s="32">
        <v>59</v>
      </c>
      <c r="H72" s="7">
        <f t="shared" si="1"/>
        <v>36584</v>
      </c>
      <c r="I72" s="11">
        <f>DAY(Table1[[#This Row],[date]])</f>
        <v>28</v>
      </c>
      <c r="J72" s="11">
        <f>MONTH(Table1[[#This Row],[date]])</f>
        <v>2</v>
      </c>
      <c r="K72" s="11">
        <f>YEAR(H72)</f>
        <v>2000</v>
      </c>
      <c r="L72" s="11">
        <f>WEEKDAY(Table1[[#This Row],[date]])</f>
        <v>2</v>
      </c>
      <c r="M72" s="11">
        <f>WEEKDAY(Table1[[#This Row],[date]])</f>
        <v>2</v>
      </c>
    </row>
    <row r="73" spans="7:13" x14ac:dyDescent="0.3">
      <c r="G73" s="32">
        <v>60</v>
      </c>
      <c r="H73" s="7">
        <f t="shared" si="1"/>
        <v>36585</v>
      </c>
      <c r="I73" s="11">
        <f>DAY(Table1[[#This Row],[date]])</f>
        <v>29</v>
      </c>
      <c r="J73" s="11">
        <f>MONTH(Table1[[#This Row],[date]])</f>
        <v>2</v>
      </c>
      <c r="K73" s="11">
        <f>YEAR(H73)</f>
        <v>2000</v>
      </c>
      <c r="L73" s="11">
        <f>WEEKDAY(Table1[[#This Row],[date]])</f>
        <v>3</v>
      </c>
      <c r="M73" s="11">
        <f>WEEKDAY(Table1[[#This Row],[date]])</f>
        <v>3</v>
      </c>
    </row>
    <row r="74" spans="7:13" x14ac:dyDescent="0.3">
      <c r="G74" s="32">
        <v>61</v>
      </c>
      <c r="H74" s="7">
        <f t="shared" si="1"/>
        <v>36586</v>
      </c>
      <c r="I74" s="11">
        <f>DAY(Table1[[#This Row],[date]])</f>
        <v>1</v>
      </c>
      <c r="J74" s="11">
        <f>MONTH(Table1[[#This Row],[date]])</f>
        <v>3</v>
      </c>
      <c r="K74" s="11">
        <f>YEAR(H74)</f>
        <v>2000</v>
      </c>
      <c r="L74" s="11">
        <f>WEEKDAY(Table1[[#This Row],[date]])</f>
        <v>4</v>
      </c>
      <c r="M74" s="11">
        <f>WEEKDAY(Table1[[#This Row],[date]])</f>
        <v>4</v>
      </c>
    </row>
    <row r="75" spans="7:13" x14ac:dyDescent="0.3">
      <c r="G75" s="32">
        <v>62</v>
      </c>
      <c r="H75" s="7">
        <f t="shared" si="1"/>
        <v>36587</v>
      </c>
      <c r="I75" s="11">
        <f>DAY(Table1[[#This Row],[date]])</f>
        <v>2</v>
      </c>
      <c r="J75" s="11">
        <f>MONTH(Table1[[#This Row],[date]])</f>
        <v>3</v>
      </c>
      <c r="K75" s="11">
        <f>YEAR(H75)</f>
        <v>2000</v>
      </c>
      <c r="L75" s="11">
        <f>WEEKDAY(Table1[[#This Row],[date]])</f>
        <v>5</v>
      </c>
      <c r="M75" s="11">
        <f>WEEKDAY(Table1[[#This Row],[date]])</f>
        <v>5</v>
      </c>
    </row>
    <row r="76" spans="7:13" x14ac:dyDescent="0.3">
      <c r="G76" s="32">
        <v>63</v>
      </c>
      <c r="H76" s="7">
        <f t="shared" si="1"/>
        <v>36588</v>
      </c>
      <c r="I76" s="11">
        <f>DAY(Table1[[#This Row],[date]])</f>
        <v>3</v>
      </c>
      <c r="J76" s="11">
        <f>MONTH(Table1[[#This Row],[date]])</f>
        <v>3</v>
      </c>
      <c r="K76" s="11">
        <f>YEAR(H76)</f>
        <v>2000</v>
      </c>
      <c r="L76" s="11">
        <f>WEEKDAY(Table1[[#This Row],[date]])</f>
        <v>6</v>
      </c>
      <c r="M76" s="11">
        <f>WEEKDAY(Table1[[#This Row],[date]])</f>
        <v>6</v>
      </c>
    </row>
    <row r="77" spans="7:13" x14ac:dyDescent="0.3">
      <c r="G77" s="32">
        <v>64</v>
      </c>
      <c r="H77" s="7">
        <f t="shared" si="1"/>
        <v>36589</v>
      </c>
      <c r="I77" s="11">
        <f>DAY(Table1[[#This Row],[date]])</f>
        <v>4</v>
      </c>
      <c r="J77" s="11">
        <f>MONTH(Table1[[#This Row],[date]])</f>
        <v>3</v>
      </c>
      <c r="K77" s="11">
        <f>YEAR(H77)</f>
        <v>2000</v>
      </c>
      <c r="L77" s="11">
        <f>WEEKDAY(Table1[[#This Row],[date]])</f>
        <v>7</v>
      </c>
      <c r="M77" s="11">
        <f>WEEKDAY(Table1[[#This Row],[date]])</f>
        <v>7</v>
      </c>
    </row>
    <row r="78" spans="7:13" x14ac:dyDescent="0.3">
      <c r="G78" s="32">
        <v>65</v>
      </c>
      <c r="H78" s="7">
        <f t="shared" si="1"/>
        <v>36590</v>
      </c>
      <c r="I78" s="11">
        <f>DAY(Table1[[#This Row],[date]])</f>
        <v>5</v>
      </c>
      <c r="J78" s="11">
        <f>MONTH(Table1[[#This Row],[date]])</f>
        <v>3</v>
      </c>
      <c r="K78" s="11">
        <f>YEAR(H78)</f>
        <v>2000</v>
      </c>
      <c r="L78" s="11">
        <f>WEEKDAY(Table1[[#This Row],[date]])</f>
        <v>1</v>
      </c>
      <c r="M78" s="11">
        <f>WEEKDAY(Table1[[#This Row],[date]])</f>
        <v>1</v>
      </c>
    </row>
    <row r="79" spans="7:13" x14ac:dyDescent="0.3">
      <c r="G79" s="32">
        <v>66</v>
      </c>
      <c r="H79" s="7">
        <f t="shared" ref="H79:H110" si="2">H78 +1</f>
        <v>36591</v>
      </c>
      <c r="I79" s="11">
        <f>DAY(Table1[[#This Row],[date]])</f>
        <v>6</v>
      </c>
      <c r="J79" s="11">
        <f>MONTH(Table1[[#This Row],[date]])</f>
        <v>3</v>
      </c>
      <c r="K79" s="11">
        <f>YEAR(H79)</f>
        <v>2000</v>
      </c>
      <c r="L79" s="11">
        <f>WEEKDAY(Table1[[#This Row],[date]])</f>
        <v>2</v>
      </c>
      <c r="M79" s="11">
        <f>WEEKDAY(Table1[[#This Row],[date]])</f>
        <v>2</v>
      </c>
    </row>
    <row r="80" spans="7:13" x14ac:dyDescent="0.3">
      <c r="G80" s="32">
        <v>67</v>
      </c>
      <c r="H80" s="7">
        <f t="shared" si="2"/>
        <v>36592</v>
      </c>
      <c r="I80" s="11">
        <f>DAY(Table1[[#This Row],[date]])</f>
        <v>7</v>
      </c>
      <c r="J80" s="11">
        <f>MONTH(Table1[[#This Row],[date]])</f>
        <v>3</v>
      </c>
      <c r="K80" s="11">
        <f>YEAR(H80)</f>
        <v>2000</v>
      </c>
      <c r="L80" s="11">
        <f>WEEKDAY(Table1[[#This Row],[date]])</f>
        <v>3</v>
      </c>
      <c r="M80" s="11">
        <f>WEEKDAY(Table1[[#This Row],[date]])</f>
        <v>3</v>
      </c>
    </row>
    <row r="81" spans="7:13" x14ac:dyDescent="0.3">
      <c r="G81" s="32">
        <v>68</v>
      </c>
      <c r="H81" s="7">
        <f t="shared" si="2"/>
        <v>36593</v>
      </c>
      <c r="I81" s="11">
        <f>DAY(Table1[[#This Row],[date]])</f>
        <v>8</v>
      </c>
      <c r="J81" s="11">
        <f>MONTH(Table1[[#This Row],[date]])</f>
        <v>3</v>
      </c>
      <c r="K81" s="11">
        <f>YEAR(H81)</f>
        <v>2000</v>
      </c>
      <c r="L81" s="11">
        <f>WEEKDAY(Table1[[#This Row],[date]])</f>
        <v>4</v>
      </c>
      <c r="M81" s="11">
        <f>WEEKDAY(Table1[[#This Row],[date]])</f>
        <v>4</v>
      </c>
    </row>
    <row r="82" spans="7:13" x14ac:dyDescent="0.3">
      <c r="G82" s="32">
        <v>69</v>
      </c>
      <c r="H82" s="7">
        <f t="shared" si="2"/>
        <v>36594</v>
      </c>
      <c r="I82" s="11">
        <f>DAY(Table1[[#This Row],[date]])</f>
        <v>9</v>
      </c>
      <c r="J82" s="11">
        <f>MONTH(Table1[[#This Row],[date]])</f>
        <v>3</v>
      </c>
      <c r="K82" s="11">
        <f>YEAR(H82)</f>
        <v>2000</v>
      </c>
      <c r="L82" s="11">
        <f>WEEKDAY(Table1[[#This Row],[date]])</f>
        <v>5</v>
      </c>
      <c r="M82" s="11">
        <f>WEEKDAY(Table1[[#This Row],[date]])</f>
        <v>5</v>
      </c>
    </row>
    <row r="83" spans="7:13" x14ac:dyDescent="0.3">
      <c r="G83" s="32">
        <v>70</v>
      </c>
      <c r="H83" s="7">
        <f t="shared" si="2"/>
        <v>36595</v>
      </c>
      <c r="I83" s="11">
        <f>DAY(Table1[[#This Row],[date]])</f>
        <v>10</v>
      </c>
      <c r="J83" s="11">
        <f>MONTH(Table1[[#This Row],[date]])</f>
        <v>3</v>
      </c>
      <c r="K83" s="11">
        <f>YEAR(H83)</f>
        <v>2000</v>
      </c>
      <c r="L83" s="11">
        <f>WEEKDAY(Table1[[#This Row],[date]])</f>
        <v>6</v>
      </c>
      <c r="M83" s="11">
        <f>WEEKDAY(Table1[[#This Row],[date]])</f>
        <v>6</v>
      </c>
    </row>
    <row r="84" spans="7:13" x14ac:dyDescent="0.3">
      <c r="G84" s="32">
        <v>71</v>
      </c>
      <c r="H84" s="7">
        <f t="shared" si="2"/>
        <v>36596</v>
      </c>
      <c r="I84" s="11">
        <f>DAY(Table1[[#This Row],[date]])</f>
        <v>11</v>
      </c>
      <c r="J84" s="11">
        <f>MONTH(Table1[[#This Row],[date]])</f>
        <v>3</v>
      </c>
      <c r="K84" s="11">
        <f>YEAR(H84)</f>
        <v>2000</v>
      </c>
      <c r="L84" s="11">
        <f>WEEKDAY(Table1[[#This Row],[date]])</f>
        <v>7</v>
      </c>
      <c r="M84" s="11">
        <f>WEEKDAY(Table1[[#This Row],[date]])</f>
        <v>7</v>
      </c>
    </row>
    <row r="85" spans="7:13" x14ac:dyDescent="0.3">
      <c r="G85" s="32">
        <v>72</v>
      </c>
      <c r="H85" s="7">
        <f t="shared" si="2"/>
        <v>36597</v>
      </c>
      <c r="I85" s="11">
        <f>DAY(Table1[[#This Row],[date]])</f>
        <v>12</v>
      </c>
      <c r="J85" s="11">
        <f>MONTH(Table1[[#This Row],[date]])</f>
        <v>3</v>
      </c>
      <c r="K85" s="11">
        <f>YEAR(H85)</f>
        <v>2000</v>
      </c>
      <c r="L85" s="11">
        <f>WEEKDAY(Table1[[#This Row],[date]])</f>
        <v>1</v>
      </c>
      <c r="M85" s="11">
        <f>WEEKDAY(Table1[[#This Row],[date]])</f>
        <v>1</v>
      </c>
    </row>
    <row r="86" spans="7:13" x14ac:dyDescent="0.3">
      <c r="G86" s="32">
        <v>73</v>
      </c>
      <c r="H86" s="7">
        <f t="shared" si="2"/>
        <v>36598</v>
      </c>
      <c r="I86" s="11">
        <f>DAY(Table1[[#This Row],[date]])</f>
        <v>13</v>
      </c>
      <c r="J86" s="11">
        <f>MONTH(Table1[[#This Row],[date]])</f>
        <v>3</v>
      </c>
      <c r="K86" s="11">
        <f>YEAR(H86)</f>
        <v>2000</v>
      </c>
      <c r="L86" s="11">
        <f>WEEKDAY(Table1[[#This Row],[date]])</f>
        <v>2</v>
      </c>
      <c r="M86" s="11">
        <f>WEEKDAY(Table1[[#This Row],[date]])</f>
        <v>2</v>
      </c>
    </row>
    <row r="87" spans="7:13" x14ac:dyDescent="0.3">
      <c r="G87" s="32">
        <v>74</v>
      </c>
      <c r="H87" s="7">
        <f t="shared" si="2"/>
        <v>36599</v>
      </c>
      <c r="I87" s="11">
        <f>DAY(Table1[[#This Row],[date]])</f>
        <v>14</v>
      </c>
      <c r="J87" s="11">
        <f>MONTH(Table1[[#This Row],[date]])</f>
        <v>3</v>
      </c>
      <c r="K87" s="11">
        <f>YEAR(H87)</f>
        <v>2000</v>
      </c>
      <c r="L87" s="11">
        <f>WEEKDAY(Table1[[#This Row],[date]])</f>
        <v>3</v>
      </c>
      <c r="M87" s="11">
        <f>WEEKDAY(Table1[[#This Row],[date]])</f>
        <v>3</v>
      </c>
    </row>
    <row r="88" spans="7:13" x14ac:dyDescent="0.3">
      <c r="G88" s="32">
        <v>75</v>
      </c>
      <c r="H88" s="7">
        <f t="shared" si="2"/>
        <v>36600</v>
      </c>
      <c r="I88" s="11">
        <f>DAY(Table1[[#This Row],[date]])</f>
        <v>15</v>
      </c>
      <c r="J88" s="11">
        <f>MONTH(Table1[[#This Row],[date]])</f>
        <v>3</v>
      </c>
      <c r="K88" s="11">
        <f>YEAR(H88)</f>
        <v>2000</v>
      </c>
      <c r="L88" s="11">
        <f>WEEKDAY(Table1[[#This Row],[date]])</f>
        <v>4</v>
      </c>
      <c r="M88" s="11">
        <f>WEEKDAY(Table1[[#This Row],[date]])</f>
        <v>4</v>
      </c>
    </row>
    <row r="89" spans="7:13" x14ac:dyDescent="0.3">
      <c r="G89" s="32">
        <v>76</v>
      </c>
      <c r="H89" s="7">
        <f t="shared" si="2"/>
        <v>36601</v>
      </c>
      <c r="I89" s="11">
        <f>DAY(Table1[[#This Row],[date]])</f>
        <v>16</v>
      </c>
      <c r="J89" s="11">
        <f>MONTH(Table1[[#This Row],[date]])</f>
        <v>3</v>
      </c>
      <c r="K89" s="11">
        <f>YEAR(H89)</f>
        <v>2000</v>
      </c>
      <c r="L89" s="11">
        <f>WEEKDAY(Table1[[#This Row],[date]])</f>
        <v>5</v>
      </c>
      <c r="M89" s="11">
        <f>WEEKDAY(Table1[[#This Row],[date]])</f>
        <v>5</v>
      </c>
    </row>
    <row r="90" spans="7:13" x14ac:dyDescent="0.3">
      <c r="G90" s="32">
        <v>77</v>
      </c>
      <c r="H90" s="7">
        <f t="shared" si="2"/>
        <v>36602</v>
      </c>
      <c r="I90" s="11">
        <f>DAY(Table1[[#This Row],[date]])</f>
        <v>17</v>
      </c>
      <c r="J90" s="11">
        <f>MONTH(Table1[[#This Row],[date]])</f>
        <v>3</v>
      </c>
      <c r="K90" s="11">
        <f>YEAR(H90)</f>
        <v>2000</v>
      </c>
      <c r="L90" s="11">
        <f>WEEKDAY(Table1[[#This Row],[date]])</f>
        <v>6</v>
      </c>
      <c r="M90" s="11">
        <f>WEEKDAY(Table1[[#This Row],[date]])</f>
        <v>6</v>
      </c>
    </row>
    <row r="91" spans="7:13" x14ac:dyDescent="0.3">
      <c r="G91" s="32">
        <v>78</v>
      </c>
      <c r="H91" s="7">
        <f t="shared" si="2"/>
        <v>36603</v>
      </c>
      <c r="I91" s="11">
        <f>DAY(Table1[[#This Row],[date]])</f>
        <v>18</v>
      </c>
      <c r="J91" s="11">
        <f>MONTH(Table1[[#This Row],[date]])</f>
        <v>3</v>
      </c>
      <c r="K91" s="11">
        <f>YEAR(H91)</f>
        <v>2000</v>
      </c>
      <c r="L91" s="11">
        <f>WEEKDAY(Table1[[#This Row],[date]])</f>
        <v>7</v>
      </c>
      <c r="M91" s="11">
        <f>WEEKDAY(Table1[[#This Row],[date]])</f>
        <v>7</v>
      </c>
    </row>
    <row r="92" spans="7:13" x14ac:dyDescent="0.3">
      <c r="G92" s="32">
        <v>79</v>
      </c>
      <c r="H92" s="7">
        <f t="shared" si="2"/>
        <v>36604</v>
      </c>
      <c r="I92" s="11">
        <f>DAY(Table1[[#This Row],[date]])</f>
        <v>19</v>
      </c>
      <c r="J92" s="11">
        <f>MONTH(Table1[[#This Row],[date]])</f>
        <v>3</v>
      </c>
      <c r="K92" s="11">
        <f>YEAR(H92)</f>
        <v>2000</v>
      </c>
      <c r="L92" s="11">
        <f>WEEKDAY(Table1[[#This Row],[date]])</f>
        <v>1</v>
      </c>
      <c r="M92" s="11">
        <f>WEEKDAY(Table1[[#This Row],[date]])</f>
        <v>1</v>
      </c>
    </row>
    <row r="93" spans="7:13" x14ac:dyDescent="0.3">
      <c r="G93" s="32">
        <v>80</v>
      </c>
      <c r="H93" s="7">
        <f t="shared" si="2"/>
        <v>36605</v>
      </c>
      <c r="I93" s="11">
        <f>DAY(Table1[[#This Row],[date]])</f>
        <v>20</v>
      </c>
      <c r="J93" s="11">
        <f>MONTH(Table1[[#This Row],[date]])</f>
        <v>3</v>
      </c>
      <c r="K93" s="11">
        <f>YEAR(H93)</f>
        <v>2000</v>
      </c>
      <c r="L93" s="11">
        <f>WEEKDAY(Table1[[#This Row],[date]])</f>
        <v>2</v>
      </c>
      <c r="M93" s="11">
        <f>WEEKDAY(Table1[[#This Row],[date]])</f>
        <v>2</v>
      </c>
    </row>
    <row r="94" spans="7:13" x14ac:dyDescent="0.3">
      <c r="G94" s="32">
        <v>81</v>
      </c>
      <c r="H94" s="7">
        <f t="shared" si="2"/>
        <v>36606</v>
      </c>
      <c r="I94" s="11">
        <f>DAY(Table1[[#This Row],[date]])</f>
        <v>21</v>
      </c>
      <c r="J94" s="11">
        <f>MONTH(Table1[[#This Row],[date]])</f>
        <v>3</v>
      </c>
      <c r="K94" s="11">
        <f>YEAR(H94)</f>
        <v>2000</v>
      </c>
      <c r="L94" s="11">
        <f>WEEKDAY(Table1[[#This Row],[date]])</f>
        <v>3</v>
      </c>
      <c r="M94" s="11">
        <f>WEEKDAY(Table1[[#This Row],[date]])</f>
        <v>3</v>
      </c>
    </row>
    <row r="95" spans="7:13" x14ac:dyDescent="0.3">
      <c r="G95" s="32">
        <v>82</v>
      </c>
      <c r="H95" s="7">
        <f t="shared" si="2"/>
        <v>36607</v>
      </c>
      <c r="I95" s="11">
        <f>DAY(Table1[[#This Row],[date]])</f>
        <v>22</v>
      </c>
      <c r="J95" s="11">
        <f>MONTH(Table1[[#This Row],[date]])</f>
        <v>3</v>
      </c>
      <c r="K95" s="11">
        <f>YEAR(H95)</f>
        <v>2000</v>
      </c>
      <c r="L95" s="11">
        <f>WEEKDAY(Table1[[#This Row],[date]])</f>
        <v>4</v>
      </c>
      <c r="M95" s="11">
        <f>WEEKDAY(Table1[[#This Row],[date]])</f>
        <v>4</v>
      </c>
    </row>
    <row r="96" spans="7:13" x14ac:dyDescent="0.3">
      <c r="G96" s="32">
        <v>83</v>
      </c>
      <c r="H96" s="7">
        <f t="shared" si="2"/>
        <v>36608</v>
      </c>
      <c r="I96" s="11">
        <f>DAY(Table1[[#This Row],[date]])</f>
        <v>23</v>
      </c>
      <c r="J96" s="11">
        <f>MONTH(Table1[[#This Row],[date]])</f>
        <v>3</v>
      </c>
      <c r="K96" s="11">
        <f>YEAR(H96)</f>
        <v>2000</v>
      </c>
      <c r="L96" s="11">
        <f>WEEKDAY(Table1[[#This Row],[date]])</f>
        <v>5</v>
      </c>
      <c r="M96" s="11">
        <f>WEEKDAY(Table1[[#This Row],[date]])</f>
        <v>5</v>
      </c>
    </row>
    <row r="97" spans="7:13" x14ac:dyDescent="0.3">
      <c r="G97" s="32">
        <v>84</v>
      </c>
      <c r="H97" s="7">
        <f t="shared" si="2"/>
        <v>36609</v>
      </c>
      <c r="I97" s="11">
        <f>DAY(Table1[[#This Row],[date]])</f>
        <v>24</v>
      </c>
      <c r="J97" s="11">
        <f>MONTH(Table1[[#This Row],[date]])</f>
        <v>3</v>
      </c>
      <c r="K97" s="11">
        <f>YEAR(H97)</f>
        <v>2000</v>
      </c>
      <c r="L97" s="11">
        <f>WEEKDAY(Table1[[#This Row],[date]])</f>
        <v>6</v>
      </c>
      <c r="M97" s="11">
        <f>WEEKDAY(Table1[[#This Row],[date]])</f>
        <v>6</v>
      </c>
    </row>
    <row r="98" spans="7:13" x14ac:dyDescent="0.3">
      <c r="G98" s="32">
        <v>85</v>
      </c>
      <c r="H98" s="7">
        <f t="shared" si="2"/>
        <v>36610</v>
      </c>
      <c r="I98" s="11">
        <f>DAY(Table1[[#This Row],[date]])</f>
        <v>25</v>
      </c>
      <c r="J98" s="11">
        <f>MONTH(Table1[[#This Row],[date]])</f>
        <v>3</v>
      </c>
      <c r="K98" s="11">
        <f>YEAR(H98)</f>
        <v>2000</v>
      </c>
      <c r="L98" s="11">
        <f>WEEKDAY(Table1[[#This Row],[date]])</f>
        <v>7</v>
      </c>
      <c r="M98" s="11">
        <f>WEEKDAY(Table1[[#This Row],[date]])</f>
        <v>7</v>
      </c>
    </row>
    <row r="99" spans="7:13" x14ac:dyDescent="0.3">
      <c r="G99" s="32">
        <v>86</v>
      </c>
      <c r="H99" s="7">
        <f t="shared" si="2"/>
        <v>36611</v>
      </c>
      <c r="I99" s="11">
        <f>DAY(Table1[[#This Row],[date]])</f>
        <v>26</v>
      </c>
      <c r="J99" s="11">
        <f>MONTH(Table1[[#This Row],[date]])</f>
        <v>3</v>
      </c>
      <c r="K99" s="11">
        <f>YEAR(H99)</f>
        <v>2000</v>
      </c>
      <c r="L99" s="11">
        <f>WEEKDAY(Table1[[#This Row],[date]])</f>
        <v>1</v>
      </c>
      <c r="M99" s="11">
        <f>WEEKDAY(Table1[[#This Row],[date]])</f>
        <v>1</v>
      </c>
    </row>
    <row r="100" spans="7:13" x14ac:dyDescent="0.3">
      <c r="G100" s="32">
        <v>87</v>
      </c>
      <c r="H100" s="7">
        <f t="shared" si="2"/>
        <v>36612</v>
      </c>
      <c r="I100" s="11">
        <f>DAY(Table1[[#This Row],[date]])</f>
        <v>27</v>
      </c>
      <c r="J100" s="11">
        <f>MONTH(Table1[[#This Row],[date]])</f>
        <v>3</v>
      </c>
      <c r="K100" s="11">
        <f>YEAR(H100)</f>
        <v>2000</v>
      </c>
      <c r="L100" s="11">
        <f>WEEKDAY(Table1[[#This Row],[date]])</f>
        <v>2</v>
      </c>
      <c r="M100" s="11">
        <f>WEEKDAY(Table1[[#This Row],[date]])</f>
        <v>2</v>
      </c>
    </row>
    <row r="101" spans="7:13" x14ac:dyDescent="0.3">
      <c r="G101" s="32">
        <v>88</v>
      </c>
      <c r="H101" s="7">
        <f t="shared" si="2"/>
        <v>36613</v>
      </c>
      <c r="I101" s="11">
        <f>DAY(Table1[[#This Row],[date]])</f>
        <v>28</v>
      </c>
      <c r="J101" s="11">
        <f>MONTH(Table1[[#This Row],[date]])</f>
        <v>3</v>
      </c>
      <c r="K101" s="11">
        <f>YEAR(H101)</f>
        <v>2000</v>
      </c>
      <c r="L101" s="11">
        <f>WEEKDAY(Table1[[#This Row],[date]])</f>
        <v>3</v>
      </c>
      <c r="M101" s="11">
        <f>WEEKDAY(Table1[[#This Row],[date]])</f>
        <v>3</v>
      </c>
    </row>
    <row r="102" spans="7:13" x14ac:dyDescent="0.3">
      <c r="G102" s="32">
        <v>89</v>
      </c>
      <c r="H102" s="7">
        <f t="shared" si="2"/>
        <v>36614</v>
      </c>
      <c r="I102" s="11">
        <f>DAY(Table1[[#This Row],[date]])</f>
        <v>29</v>
      </c>
      <c r="J102" s="11">
        <f>MONTH(Table1[[#This Row],[date]])</f>
        <v>3</v>
      </c>
      <c r="K102" s="11">
        <f>YEAR(H102)</f>
        <v>2000</v>
      </c>
      <c r="L102" s="11">
        <f>WEEKDAY(Table1[[#This Row],[date]])</f>
        <v>4</v>
      </c>
      <c r="M102" s="11">
        <f>WEEKDAY(Table1[[#This Row],[date]])</f>
        <v>4</v>
      </c>
    </row>
    <row r="103" spans="7:13" x14ac:dyDescent="0.3">
      <c r="G103" s="32">
        <v>90</v>
      </c>
      <c r="H103" s="7">
        <f t="shared" si="2"/>
        <v>36615</v>
      </c>
      <c r="I103" s="11">
        <f>DAY(Table1[[#This Row],[date]])</f>
        <v>30</v>
      </c>
      <c r="J103" s="11">
        <f>MONTH(Table1[[#This Row],[date]])</f>
        <v>3</v>
      </c>
      <c r="K103" s="11">
        <f>YEAR(H103)</f>
        <v>2000</v>
      </c>
      <c r="L103" s="11">
        <f>WEEKDAY(Table1[[#This Row],[date]])</f>
        <v>5</v>
      </c>
      <c r="M103" s="11">
        <f>WEEKDAY(Table1[[#This Row],[date]])</f>
        <v>5</v>
      </c>
    </row>
    <row r="104" spans="7:13" x14ac:dyDescent="0.3">
      <c r="G104" s="32">
        <v>91</v>
      </c>
      <c r="H104" s="7">
        <f t="shared" si="2"/>
        <v>36616</v>
      </c>
      <c r="I104" s="11">
        <f>DAY(Table1[[#This Row],[date]])</f>
        <v>31</v>
      </c>
      <c r="J104" s="11">
        <f>MONTH(Table1[[#This Row],[date]])</f>
        <v>3</v>
      </c>
      <c r="K104" s="11">
        <f>YEAR(H104)</f>
        <v>2000</v>
      </c>
      <c r="L104" s="11">
        <f>WEEKDAY(Table1[[#This Row],[date]])</f>
        <v>6</v>
      </c>
      <c r="M104" s="11">
        <f>WEEKDAY(Table1[[#This Row],[date]])</f>
        <v>6</v>
      </c>
    </row>
    <row r="105" spans="7:13" x14ac:dyDescent="0.3">
      <c r="G105" s="32">
        <v>92</v>
      </c>
      <c r="H105" s="7">
        <f t="shared" si="2"/>
        <v>36617</v>
      </c>
      <c r="I105" s="11">
        <f>DAY(Table1[[#This Row],[date]])</f>
        <v>1</v>
      </c>
      <c r="J105" s="11">
        <f>MONTH(Table1[[#This Row],[date]])</f>
        <v>4</v>
      </c>
      <c r="K105" s="11">
        <f>YEAR(H105)</f>
        <v>2000</v>
      </c>
      <c r="L105" s="11">
        <f>WEEKDAY(Table1[[#This Row],[date]])</f>
        <v>7</v>
      </c>
      <c r="M105" s="11">
        <f>WEEKDAY(Table1[[#This Row],[date]])</f>
        <v>7</v>
      </c>
    </row>
    <row r="106" spans="7:13" x14ac:dyDescent="0.3">
      <c r="G106" s="32">
        <v>93</v>
      </c>
      <c r="H106" s="7">
        <f t="shared" si="2"/>
        <v>36618</v>
      </c>
      <c r="I106" s="11">
        <f>DAY(Table1[[#This Row],[date]])</f>
        <v>2</v>
      </c>
      <c r="J106" s="11">
        <f>MONTH(Table1[[#This Row],[date]])</f>
        <v>4</v>
      </c>
      <c r="K106" s="11">
        <f>YEAR(H106)</f>
        <v>2000</v>
      </c>
      <c r="L106" s="11">
        <f>WEEKDAY(Table1[[#This Row],[date]])</f>
        <v>1</v>
      </c>
      <c r="M106" s="11">
        <f>WEEKDAY(Table1[[#This Row],[date]])</f>
        <v>1</v>
      </c>
    </row>
    <row r="107" spans="7:13" x14ac:dyDescent="0.3">
      <c r="G107" s="32">
        <v>94</v>
      </c>
      <c r="H107" s="7">
        <f t="shared" si="2"/>
        <v>36619</v>
      </c>
      <c r="I107" s="11">
        <f>DAY(Table1[[#This Row],[date]])</f>
        <v>3</v>
      </c>
      <c r="J107" s="11">
        <f>MONTH(Table1[[#This Row],[date]])</f>
        <v>4</v>
      </c>
      <c r="K107" s="11">
        <f>YEAR(H107)</f>
        <v>2000</v>
      </c>
      <c r="L107" s="11">
        <f>WEEKDAY(Table1[[#This Row],[date]])</f>
        <v>2</v>
      </c>
      <c r="M107" s="11">
        <f>WEEKDAY(Table1[[#This Row],[date]])</f>
        <v>2</v>
      </c>
    </row>
    <row r="108" spans="7:13" x14ac:dyDescent="0.3">
      <c r="G108" s="32">
        <v>95</v>
      </c>
      <c r="H108" s="7">
        <f t="shared" si="2"/>
        <v>36620</v>
      </c>
      <c r="I108" s="11">
        <f>DAY(Table1[[#This Row],[date]])</f>
        <v>4</v>
      </c>
      <c r="J108" s="11">
        <f>MONTH(Table1[[#This Row],[date]])</f>
        <v>4</v>
      </c>
      <c r="K108" s="11">
        <f>YEAR(H108)</f>
        <v>2000</v>
      </c>
      <c r="L108" s="11">
        <f>WEEKDAY(Table1[[#This Row],[date]])</f>
        <v>3</v>
      </c>
      <c r="M108" s="11">
        <f>WEEKDAY(Table1[[#This Row],[date]])</f>
        <v>3</v>
      </c>
    </row>
    <row r="109" spans="7:13" x14ac:dyDescent="0.3">
      <c r="G109" s="32">
        <v>96</v>
      </c>
      <c r="H109" s="7">
        <f t="shared" si="2"/>
        <v>36621</v>
      </c>
      <c r="I109" s="11">
        <f>DAY(Table1[[#This Row],[date]])</f>
        <v>5</v>
      </c>
      <c r="J109" s="11">
        <f>MONTH(Table1[[#This Row],[date]])</f>
        <v>4</v>
      </c>
      <c r="K109" s="11">
        <f>YEAR(H109)</f>
        <v>2000</v>
      </c>
      <c r="L109" s="11">
        <f>WEEKDAY(Table1[[#This Row],[date]])</f>
        <v>4</v>
      </c>
      <c r="M109" s="11">
        <f>WEEKDAY(Table1[[#This Row],[date]])</f>
        <v>4</v>
      </c>
    </row>
    <row r="110" spans="7:13" x14ac:dyDescent="0.3">
      <c r="G110" s="32">
        <v>97</v>
      </c>
      <c r="H110" s="7">
        <f t="shared" si="2"/>
        <v>36622</v>
      </c>
      <c r="I110" s="11">
        <f>DAY(Table1[[#This Row],[date]])</f>
        <v>6</v>
      </c>
      <c r="J110" s="11">
        <f>MONTH(Table1[[#This Row],[date]])</f>
        <v>4</v>
      </c>
      <c r="K110" s="11">
        <f>YEAR(H110)</f>
        <v>2000</v>
      </c>
      <c r="L110" s="11">
        <f>WEEKDAY(Table1[[#This Row],[date]])</f>
        <v>5</v>
      </c>
      <c r="M110" s="11">
        <f>WEEKDAY(Table1[[#This Row],[date]])</f>
        <v>5</v>
      </c>
    </row>
    <row r="111" spans="7:13" x14ac:dyDescent="0.3">
      <c r="G111" s="32">
        <v>98</v>
      </c>
      <c r="H111" s="7">
        <f t="shared" ref="H111:H131" si="3">H110 +1</f>
        <v>36623</v>
      </c>
      <c r="I111" s="11">
        <f>DAY(Table1[[#This Row],[date]])</f>
        <v>7</v>
      </c>
      <c r="J111" s="11">
        <f>MONTH(Table1[[#This Row],[date]])</f>
        <v>4</v>
      </c>
      <c r="K111" s="11">
        <f>YEAR(H111)</f>
        <v>2000</v>
      </c>
      <c r="L111" s="11">
        <f>WEEKDAY(Table1[[#This Row],[date]])</f>
        <v>6</v>
      </c>
      <c r="M111" s="11">
        <f>WEEKDAY(Table1[[#This Row],[date]])</f>
        <v>6</v>
      </c>
    </row>
    <row r="112" spans="7:13" x14ac:dyDescent="0.3">
      <c r="G112" s="32">
        <v>99</v>
      </c>
      <c r="H112" s="7">
        <f t="shared" si="3"/>
        <v>36624</v>
      </c>
      <c r="I112" s="11">
        <f>DAY(Table1[[#This Row],[date]])</f>
        <v>8</v>
      </c>
      <c r="J112" s="11">
        <f>MONTH(Table1[[#This Row],[date]])</f>
        <v>4</v>
      </c>
      <c r="K112" s="11">
        <f>YEAR(H112)</f>
        <v>2000</v>
      </c>
      <c r="L112" s="11">
        <f>WEEKDAY(Table1[[#This Row],[date]])</f>
        <v>7</v>
      </c>
      <c r="M112" s="11">
        <f>WEEKDAY(Table1[[#This Row],[date]])</f>
        <v>7</v>
      </c>
    </row>
    <row r="113" spans="7:13" x14ac:dyDescent="0.3">
      <c r="G113" s="32">
        <v>100</v>
      </c>
      <c r="H113" s="7">
        <f t="shared" si="3"/>
        <v>36625</v>
      </c>
      <c r="I113" s="11">
        <f>DAY(Table1[[#This Row],[date]])</f>
        <v>9</v>
      </c>
      <c r="J113" s="11">
        <f>MONTH(Table1[[#This Row],[date]])</f>
        <v>4</v>
      </c>
      <c r="K113" s="11">
        <f>YEAR(H113)</f>
        <v>2000</v>
      </c>
      <c r="L113" s="11">
        <f>WEEKDAY(Table1[[#This Row],[date]])</f>
        <v>1</v>
      </c>
      <c r="M113" s="11">
        <f>WEEKDAY(Table1[[#This Row],[date]])</f>
        <v>1</v>
      </c>
    </row>
    <row r="114" spans="7:13" x14ac:dyDescent="0.3">
      <c r="G114" s="32">
        <v>101</v>
      </c>
      <c r="H114" s="7">
        <f t="shared" si="3"/>
        <v>36626</v>
      </c>
      <c r="I114" s="11">
        <f>DAY(Table1[[#This Row],[date]])</f>
        <v>10</v>
      </c>
      <c r="J114" s="11">
        <f>MONTH(Table1[[#This Row],[date]])</f>
        <v>4</v>
      </c>
      <c r="K114" s="11">
        <f>YEAR(H114)</f>
        <v>2000</v>
      </c>
      <c r="L114" s="11">
        <f>WEEKDAY(Table1[[#This Row],[date]])</f>
        <v>2</v>
      </c>
      <c r="M114" s="11">
        <f>WEEKDAY(Table1[[#This Row],[date]])</f>
        <v>2</v>
      </c>
    </row>
    <row r="115" spans="7:13" x14ac:dyDescent="0.3">
      <c r="G115" s="32">
        <v>102</v>
      </c>
      <c r="H115" s="7">
        <f t="shared" si="3"/>
        <v>36627</v>
      </c>
      <c r="I115" s="11">
        <f>DAY(Table1[[#This Row],[date]])</f>
        <v>11</v>
      </c>
      <c r="J115" s="11">
        <f>MONTH(Table1[[#This Row],[date]])</f>
        <v>4</v>
      </c>
      <c r="K115" s="11">
        <f>YEAR(H115)</f>
        <v>2000</v>
      </c>
      <c r="L115" s="11">
        <f>WEEKDAY(Table1[[#This Row],[date]])</f>
        <v>3</v>
      </c>
      <c r="M115" s="11">
        <f>WEEKDAY(Table1[[#This Row],[date]])</f>
        <v>3</v>
      </c>
    </row>
    <row r="116" spans="7:13" x14ac:dyDescent="0.3">
      <c r="G116" s="32">
        <v>103</v>
      </c>
      <c r="H116" s="7">
        <f t="shared" si="3"/>
        <v>36628</v>
      </c>
      <c r="I116" s="11">
        <f>DAY(Table1[[#This Row],[date]])</f>
        <v>12</v>
      </c>
      <c r="J116" s="11">
        <f>MONTH(Table1[[#This Row],[date]])</f>
        <v>4</v>
      </c>
      <c r="K116" s="11">
        <f>YEAR(H116)</f>
        <v>2000</v>
      </c>
      <c r="L116" s="11">
        <f>WEEKDAY(Table1[[#This Row],[date]])</f>
        <v>4</v>
      </c>
      <c r="M116" s="11">
        <f>WEEKDAY(Table1[[#This Row],[date]])</f>
        <v>4</v>
      </c>
    </row>
    <row r="117" spans="7:13" x14ac:dyDescent="0.3">
      <c r="G117" s="32">
        <v>104</v>
      </c>
      <c r="H117" s="7">
        <f t="shared" si="3"/>
        <v>36629</v>
      </c>
      <c r="I117" s="11">
        <f>DAY(Table1[[#This Row],[date]])</f>
        <v>13</v>
      </c>
      <c r="J117" s="11">
        <f>MONTH(Table1[[#This Row],[date]])</f>
        <v>4</v>
      </c>
      <c r="K117" s="11">
        <f>YEAR(H117)</f>
        <v>2000</v>
      </c>
      <c r="L117" s="11">
        <f>WEEKDAY(Table1[[#This Row],[date]])</f>
        <v>5</v>
      </c>
      <c r="M117" s="11">
        <f>WEEKDAY(Table1[[#This Row],[date]])</f>
        <v>5</v>
      </c>
    </row>
    <row r="118" spans="7:13" x14ac:dyDescent="0.3">
      <c r="G118" s="32">
        <v>105</v>
      </c>
      <c r="H118" s="7">
        <f t="shared" si="3"/>
        <v>36630</v>
      </c>
      <c r="I118" s="11">
        <f>DAY(Table1[[#This Row],[date]])</f>
        <v>14</v>
      </c>
      <c r="J118" s="11">
        <f>MONTH(Table1[[#This Row],[date]])</f>
        <v>4</v>
      </c>
      <c r="K118" s="11">
        <f>YEAR(H118)</f>
        <v>2000</v>
      </c>
      <c r="L118" s="11">
        <f>WEEKDAY(Table1[[#This Row],[date]])</f>
        <v>6</v>
      </c>
      <c r="M118" s="11">
        <f>WEEKDAY(Table1[[#This Row],[date]])</f>
        <v>6</v>
      </c>
    </row>
    <row r="119" spans="7:13" x14ac:dyDescent="0.3">
      <c r="G119" s="32">
        <v>106</v>
      </c>
      <c r="H119" s="7">
        <f t="shared" si="3"/>
        <v>36631</v>
      </c>
      <c r="I119" s="11">
        <f>DAY(Table1[[#This Row],[date]])</f>
        <v>15</v>
      </c>
      <c r="J119" s="11">
        <f>MONTH(Table1[[#This Row],[date]])</f>
        <v>4</v>
      </c>
      <c r="K119" s="11">
        <f>YEAR(H119)</f>
        <v>2000</v>
      </c>
      <c r="L119" s="11">
        <f>WEEKDAY(Table1[[#This Row],[date]])</f>
        <v>7</v>
      </c>
      <c r="M119" s="11">
        <f>WEEKDAY(Table1[[#This Row],[date]])</f>
        <v>7</v>
      </c>
    </row>
    <row r="120" spans="7:13" x14ac:dyDescent="0.3">
      <c r="G120" s="32">
        <v>107</v>
      </c>
      <c r="H120" s="7">
        <f t="shared" si="3"/>
        <v>36632</v>
      </c>
      <c r="I120" s="11">
        <f>DAY(Table1[[#This Row],[date]])</f>
        <v>16</v>
      </c>
      <c r="J120" s="11">
        <f>MONTH(Table1[[#This Row],[date]])</f>
        <v>4</v>
      </c>
      <c r="K120" s="11">
        <f>YEAR(H120)</f>
        <v>2000</v>
      </c>
      <c r="L120" s="11">
        <f>WEEKDAY(Table1[[#This Row],[date]])</f>
        <v>1</v>
      </c>
      <c r="M120" s="11">
        <f>WEEKDAY(Table1[[#This Row],[date]])</f>
        <v>1</v>
      </c>
    </row>
    <row r="121" spans="7:13" x14ac:dyDescent="0.3">
      <c r="G121" s="32">
        <v>108</v>
      </c>
      <c r="H121" s="7">
        <f t="shared" si="3"/>
        <v>36633</v>
      </c>
      <c r="I121" s="11">
        <f>DAY(Table1[[#This Row],[date]])</f>
        <v>17</v>
      </c>
      <c r="J121" s="11">
        <f>MONTH(Table1[[#This Row],[date]])</f>
        <v>4</v>
      </c>
      <c r="K121" s="11">
        <f>YEAR(H121)</f>
        <v>2000</v>
      </c>
      <c r="L121" s="11">
        <f>WEEKDAY(Table1[[#This Row],[date]])</f>
        <v>2</v>
      </c>
      <c r="M121" s="11">
        <f>WEEKDAY(Table1[[#This Row],[date]])</f>
        <v>2</v>
      </c>
    </row>
    <row r="122" spans="7:13" x14ac:dyDescent="0.3">
      <c r="G122" s="32">
        <v>109</v>
      </c>
      <c r="H122" s="7">
        <f t="shared" si="3"/>
        <v>36634</v>
      </c>
      <c r="I122" s="11">
        <f>DAY(Table1[[#This Row],[date]])</f>
        <v>18</v>
      </c>
      <c r="J122" s="11">
        <f>MONTH(Table1[[#This Row],[date]])</f>
        <v>4</v>
      </c>
      <c r="K122" s="11">
        <f>YEAR(H122)</f>
        <v>2000</v>
      </c>
      <c r="L122" s="11">
        <f>WEEKDAY(Table1[[#This Row],[date]])</f>
        <v>3</v>
      </c>
      <c r="M122" s="11">
        <f>WEEKDAY(Table1[[#This Row],[date]])</f>
        <v>3</v>
      </c>
    </row>
    <row r="123" spans="7:13" x14ac:dyDescent="0.3">
      <c r="G123" s="32">
        <v>110</v>
      </c>
      <c r="H123" s="7">
        <f t="shared" si="3"/>
        <v>36635</v>
      </c>
      <c r="I123" s="11">
        <f>DAY(Table1[[#This Row],[date]])</f>
        <v>19</v>
      </c>
      <c r="J123" s="11">
        <f>MONTH(Table1[[#This Row],[date]])</f>
        <v>4</v>
      </c>
      <c r="K123" s="11">
        <f>YEAR(H123)</f>
        <v>2000</v>
      </c>
      <c r="L123" s="11">
        <f>WEEKDAY(Table1[[#This Row],[date]])</f>
        <v>4</v>
      </c>
      <c r="M123" s="11">
        <f>WEEKDAY(Table1[[#This Row],[date]])</f>
        <v>4</v>
      </c>
    </row>
    <row r="124" spans="7:13" x14ac:dyDescent="0.3">
      <c r="G124" s="32">
        <v>111</v>
      </c>
      <c r="H124" s="7">
        <f t="shared" si="3"/>
        <v>36636</v>
      </c>
      <c r="I124" s="11">
        <f>DAY(Table1[[#This Row],[date]])</f>
        <v>20</v>
      </c>
      <c r="J124" s="11">
        <f>MONTH(Table1[[#This Row],[date]])</f>
        <v>4</v>
      </c>
      <c r="K124" s="11">
        <f>YEAR(H124)</f>
        <v>2000</v>
      </c>
      <c r="L124" s="11">
        <f>WEEKDAY(Table1[[#This Row],[date]])</f>
        <v>5</v>
      </c>
      <c r="M124" s="11">
        <f>WEEKDAY(Table1[[#This Row],[date]])</f>
        <v>5</v>
      </c>
    </row>
    <row r="125" spans="7:13" x14ac:dyDescent="0.3">
      <c r="G125" s="32">
        <v>112</v>
      </c>
      <c r="H125" s="7">
        <f t="shared" si="3"/>
        <v>36637</v>
      </c>
      <c r="I125" s="11">
        <f>DAY(Table1[[#This Row],[date]])</f>
        <v>21</v>
      </c>
      <c r="J125" s="11">
        <f>MONTH(Table1[[#This Row],[date]])</f>
        <v>4</v>
      </c>
      <c r="K125" s="11">
        <f>YEAR(H125)</f>
        <v>2000</v>
      </c>
      <c r="L125" s="11">
        <f>WEEKDAY(Table1[[#This Row],[date]])</f>
        <v>6</v>
      </c>
      <c r="M125" s="11">
        <f>WEEKDAY(Table1[[#This Row],[date]])</f>
        <v>6</v>
      </c>
    </row>
    <row r="126" spans="7:13" x14ac:dyDescent="0.3">
      <c r="G126" s="32">
        <v>113</v>
      </c>
      <c r="H126" s="7">
        <f t="shared" si="3"/>
        <v>36638</v>
      </c>
      <c r="I126" s="11">
        <f>DAY(Table1[[#This Row],[date]])</f>
        <v>22</v>
      </c>
      <c r="J126" s="11">
        <f>MONTH(Table1[[#This Row],[date]])</f>
        <v>4</v>
      </c>
      <c r="K126" s="11">
        <f>YEAR(H126)</f>
        <v>2000</v>
      </c>
      <c r="L126" s="11">
        <f>WEEKDAY(Table1[[#This Row],[date]])</f>
        <v>7</v>
      </c>
      <c r="M126" s="11">
        <f>WEEKDAY(Table1[[#This Row],[date]])</f>
        <v>7</v>
      </c>
    </row>
    <row r="127" spans="7:13" x14ac:dyDescent="0.3">
      <c r="G127" s="32">
        <v>114</v>
      </c>
      <c r="H127" s="7">
        <f t="shared" si="3"/>
        <v>36639</v>
      </c>
      <c r="I127" s="11">
        <f>DAY(Table1[[#This Row],[date]])</f>
        <v>23</v>
      </c>
      <c r="J127" s="11">
        <f>MONTH(Table1[[#This Row],[date]])</f>
        <v>4</v>
      </c>
      <c r="K127" s="11">
        <f>YEAR(H127)</f>
        <v>2000</v>
      </c>
      <c r="L127" s="11">
        <f>WEEKDAY(Table1[[#This Row],[date]])</f>
        <v>1</v>
      </c>
      <c r="M127" s="11">
        <f>WEEKDAY(Table1[[#This Row],[date]])</f>
        <v>1</v>
      </c>
    </row>
    <row r="128" spans="7:13" x14ac:dyDescent="0.3">
      <c r="G128" s="32">
        <v>115</v>
      </c>
      <c r="H128" s="7">
        <f t="shared" si="3"/>
        <v>36640</v>
      </c>
      <c r="I128" s="11">
        <f>DAY(Table1[[#This Row],[date]])</f>
        <v>24</v>
      </c>
      <c r="J128" s="11">
        <f>MONTH(Table1[[#This Row],[date]])</f>
        <v>4</v>
      </c>
      <c r="K128" s="11">
        <f>YEAR(H128)</f>
        <v>2000</v>
      </c>
      <c r="L128" s="11">
        <f>WEEKDAY(Table1[[#This Row],[date]])</f>
        <v>2</v>
      </c>
      <c r="M128" s="11">
        <f>WEEKDAY(Table1[[#This Row],[date]])</f>
        <v>2</v>
      </c>
    </row>
    <row r="129" spans="7:13" x14ac:dyDescent="0.3">
      <c r="G129" s="32">
        <v>116</v>
      </c>
      <c r="H129" s="7">
        <f t="shared" si="3"/>
        <v>36641</v>
      </c>
      <c r="I129" s="11">
        <f>DAY(Table1[[#This Row],[date]])</f>
        <v>25</v>
      </c>
      <c r="J129" s="11">
        <f>MONTH(Table1[[#This Row],[date]])</f>
        <v>4</v>
      </c>
      <c r="K129" s="11">
        <f>YEAR(H129)</f>
        <v>2000</v>
      </c>
      <c r="L129" s="11">
        <f>WEEKDAY(Table1[[#This Row],[date]])</f>
        <v>3</v>
      </c>
      <c r="M129" s="11">
        <f>WEEKDAY(Table1[[#This Row],[date]])</f>
        <v>3</v>
      </c>
    </row>
    <row r="130" spans="7:13" x14ac:dyDescent="0.3">
      <c r="G130" s="32"/>
      <c r="H130" s="7">
        <f t="shared" si="3"/>
        <v>36642</v>
      </c>
      <c r="I130" s="11">
        <f>DAY(Table1[[#This Row],[date]])</f>
        <v>26</v>
      </c>
      <c r="J130" s="11">
        <f>MONTH(Table1[[#This Row],[date]])</f>
        <v>4</v>
      </c>
      <c r="K130" s="11">
        <f>YEAR(H130)</f>
        <v>2000</v>
      </c>
      <c r="L130" s="11">
        <f>WEEKDAY(Table1[[#This Row],[date]])</f>
        <v>4</v>
      </c>
      <c r="M130" s="11">
        <f>WEEKDAY(Table1[[#This Row],[date]])</f>
        <v>4</v>
      </c>
    </row>
    <row r="131" spans="7:13" x14ac:dyDescent="0.3">
      <c r="H131" s="7">
        <f t="shared" si="3"/>
        <v>36643</v>
      </c>
      <c r="I131" s="11">
        <f>DAY(Table1[[#This Row],[date]])</f>
        <v>27</v>
      </c>
      <c r="J131" s="11">
        <f>MONTH(Table1[[#This Row],[date]])</f>
        <v>4</v>
      </c>
      <c r="K131" s="11">
        <f t="shared" ref="K130:K131" si="4">YEAR(H131)</f>
        <v>2000</v>
      </c>
      <c r="L131" s="11">
        <f>WEEKDAY(Table1[[#This Row],[date]])</f>
        <v>5</v>
      </c>
      <c r="M131" s="11">
        <f>WEEKDAY(Table1[[#This Row],[date]])</f>
        <v>5</v>
      </c>
    </row>
  </sheetData>
  <mergeCells count="1">
    <mergeCell ref="H4:H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4" r:id="rId4" name="CommandButton1">
          <controlPr autoLine="0" r:id="rId5">
            <anchor moveWithCells="1">
              <from>
                <xdr:col>15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94" r:id="rId4" name="CommandButton1"/>
      </mc:Fallback>
    </mc:AlternateContent>
    <mc:AlternateContent xmlns:mc="http://schemas.openxmlformats.org/markup-compatibility/2006">
      <mc:Choice Requires="x14">
        <control shapeId="12290" r:id="rId6" name="ProgressBar21">
          <controlPr autoLine="0" autoPict="0" r:id="rId7">
            <anchor>
              <from>
                <xdr:col>0</xdr:col>
                <xdr:colOff>38100</xdr:colOff>
                <xdr:row>5</xdr:row>
                <xdr:rowOff>0</xdr:rowOff>
              </from>
              <to>
                <xdr:col>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2290" r:id="rId6" name="ProgressBar21"/>
      </mc:Fallback>
    </mc:AlternateContent>
    <mc:AlternateContent xmlns:mc="http://schemas.openxmlformats.org/markup-compatibility/2006">
      <mc:Choice Requires="x14">
        <control shapeId="12291" r:id="rId8" name="ScrollBar1">
          <controlPr autoLine="0" autoPict="0" linkedCell="date" r:id="rId9">
            <anchor moveWithCells="1" siz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15240</xdr:colOff>
                <xdr:row>4</xdr:row>
                <xdr:rowOff>0</xdr:rowOff>
              </to>
            </anchor>
          </controlPr>
        </control>
      </mc:Choice>
      <mc:Fallback>
        <control shapeId="12291" r:id="rId8" name="ScrollBar1"/>
      </mc:Fallback>
    </mc:AlternateContent>
    <mc:AlternateContent xmlns:mc="http://schemas.openxmlformats.org/markup-compatibility/2006">
      <mc:Choice Requires="x14">
        <control shapeId="12292" r:id="rId10" name="ScrollBar2">
          <controlPr autoLine="0" autoPict="0" linkedCell="F2" r:id="rId9">
            <anchor moveWithCells="1" siz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292" r:id="rId10" name="ScrollBar2"/>
      </mc:Fallback>
    </mc:AlternateContent>
    <mc:AlternateContent xmlns:mc="http://schemas.openxmlformats.org/markup-compatibility/2006">
      <mc:Choice Requires="x14">
        <control shapeId="12293" r:id="rId11" name="ListBox1">
          <controlPr autoLine="0" listFillRange="$G$13:$M$131" r:id="rId12">
            <anchor>
              <from>
                <xdr:col>1</xdr:col>
                <xdr:colOff>129540</xdr:colOff>
                <xdr:row>10</xdr:row>
                <xdr:rowOff>0</xdr:rowOff>
              </from>
              <to>
                <xdr:col>20</xdr:col>
                <xdr:colOff>38100</xdr:colOff>
                <xdr:row>11</xdr:row>
                <xdr:rowOff>0</xdr:rowOff>
              </to>
            </anchor>
          </controlPr>
        </control>
      </mc:Choice>
      <mc:Fallback>
        <control shapeId="12293" r:id="rId11" name="ListBox1"/>
      </mc:Fallback>
    </mc:AlternateContent>
  </controls>
  <tableParts count="1"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4" sqref="H4"/>
    </sheetView>
  </sheetViews>
  <sheetFormatPr defaultRowHeight="14.4" x14ac:dyDescent="0.3"/>
  <cols>
    <col min="1" max="1" width="15.44140625" bestFit="1" customWidth="1"/>
  </cols>
  <sheetData>
    <row r="1" spans="1:1" x14ac:dyDescent="0.3">
      <c r="A1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Browser</vt:lpstr>
      <vt:lpstr>date</vt:lpstr>
      <vt:lpstr>date2</vt:lpstr>
      <vt:lpstr>days</vt:lpstr>
      <vt:lpstr>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Bravo, Juan Carlos</dc:creator>
  <cp:lastModifiedBy>Bravo, Juan Carlos</cp:lastModifiedBy>
  <dcterms:created xsi:type="dcterms:W3CDTF">2019-03-14T01:12:21Z</dcterms:created>
  <dcterms:modified xsi:type="dcterms:W3CDTF">2019-03-16T08:21:52Z</dcterms:modified>
</cp:coreProperties>
</file>