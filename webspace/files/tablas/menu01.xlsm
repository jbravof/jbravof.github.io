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9.xml" ContentType="application/vnd.ms-office.activeX+xml"/>
  <Override PartName="/xl/activeX/activeX8.bin" ContentType="application/vnd.ms-office.activeX"/>
  <Override PartName="/xl/activeX/activeX10.xml" ContentType="application/vnd.ms-office.activeX+xml"/>
  <Override PartName="/xl/activeX/activeX9.bin" ContentType="application/vnd.ms-office.activeX"/>
  <Override PartName="/xl/activeX/activeX11.xml" ContentType="application/vnd.ms-office.activeX+xml"/>
  <Override PartName="/xl/activeX/activeX10.bin" ContentType="application/vnd.ms-office.activeX"/>
  <Override PartName="/xl/activeX/activeX12.xml" ContentType="application/vnd.ms-office.activeX+xml"/>
  <Override PartName="/xl/activeX/activeX11.bin" ContentType="application/vnd.ms-office.activeX"/>
  <Override PartName="/xl/drawings/drawing2.xml" ContentType="application/vnd.openxmlformats-officedocument.drawing+xml"/>
  <Override PartName="/xl/activeX/activeX13.xml" ContentType="application/vnd.ms-office.activeX+xml"/>
  <Override PartName="/xl/activeX/activeX14.xml" ContentType="application/vnd.ms-office.activeX+xml"/>
  <Override PartName="/xl/activeX/activeX12.bin" ContentType="application/vnd.ms-office.activeX"/>
  <Override PartName="/xl/activeX/activeX15.xml" ContentType="application/vnd.ms-office.activeX+xml"/>
  <Override PartName="/xl/activeX/activeX13.bin" ContentType="application/vnd.ms-office.activeX"/>
  <Override PartName="/xl/activeX/activeX16.xml" ContentType="application/vnd.ms-office.activeX+xml"/>
  <Override PartName="/xl/activeX/activeX14.bin" ContentType="application/vnd.ms-office.activeX"/>
  <Override PartName="/xl/activeX/activeX17.xml" ContentType="application/vnd.ms-office.activeX+xml"/>
  <Override PartName="/xl/activeX/activeX15.bin" ContentType="application/vnd.ms-office.activeX"/>
  <Override PartName="/xl/activeX/activeX18.xml" ContentType="application/vnd.ms-office.activeX+xml"/>
  <Override PartName="/xl/activeX/activeX16.bin" ContentType="application/vnd.ms-office.activeX"/>
  <Override PartName="/xl/activeX/activeX19.xml" ContentType="application/vnd.ms-office.activeX+xml"/>
  <Override PartName="/xl/activeX/activeX17.bin" ContentType="application/vnd.ms-office.activeX"/>
  <Override PartName="/xl/activeX/activeX20.xml" ContentType="application/vnd.ms-office.activeX+xml"/>
  <Override PartName="/xl/activeX/activeX18.bin" ContentType="application/vnd.ms-office.activeX"/>
  <Override PartName="/xl/activeX/activeX21.xml" ContentType="application/vnd.ms-office.activeX+xml"/>
  <Override PartName="/xl/activeX/activeX19.bin" ContentType="application/vnd.ms-office.activeX"/>
  <Override PartName="/xl/activeX/activeX22.xml" ContentType="application/vnd.ms-office.activeX+xml"/>
  <Override PartName="/xl/activeX/activeX20.bin" ContentType="application/vnd.ms-office.activeX"/>
  <Override PartName="/xl/activeX/activeX23.xml" ContentType="application/vnd.ms-office.activeX+xml"/>
  <Override PartName="/xl/activeX/activeX21.bin" ContentType="application/vnd.ms-office.activeX"/>
  <Override PartName="/xl/activeX/activeX24.xml" ContentType="application/vnd.ms-office.activeX+xml"/>
  <Override PartName="/xl/activeX/activeX22.bin" ContentType="application/vnd.ms-office.activeX"/>
  <Override PartName="/xl/activeX/activeX25.xml" ContentType="application/vnd.ms-office.activeX+xml"/>
  <Override PartName="/xl/activeX/activeX23.bin" ContentType="application/vnd.ms-office.activeX"/>
  <Override PartName="/xl/activeX/activeX26.xml" ContentType="application/vnd.ms-office.activeX+xml"/>
  <Override PartName="/xl/activeX/activeX24.bin" ContentType="application/vnd.ms-office.activeX"/>
  <Override PartName="/xl/activeX/activeX27.xml" ContentType="application/vnd.ms-office.activeX+xml"/>
  <Override PartName="/xl/activeX/activeX25.bin" ContentType="application/vnd.ms-office.activeX"/>
  <Override PartName="/xl/activeX/activeX28.xml" ContentType="application/vnd.ms-office.activeX+xml"/>
  <Override PartName="/xl/activeX/activeX26.bin" ContentType="application/vnd.ms-office.activeX"/>
  <Override PartName="/xl/activeX/activeX29.xml" ContentType="application/vnd.ms-office.activeX+xml"/>
  <Override PartName="/xl/activeX/activeX27.bin" ContentType="application/vnd.ms-office.activeX"/>
  <Override PartName="/xl/activeX/activeX30.xml" ContentType="application/vnd.ms-office.activeX+xml"/>
  <Override PartName="/xl/activeX/activeX28.bin" ContentType="application/vnd.ms-office.activeX"/>
  <Override PartName="/xl/drawings/drawing3.xml" ContentType="application/vnd.openxmlformats-officedocument.drawing+xml"/>
  <Override PartName="/xl/activeX/activeX31.xml" ContentType="application/vnd.ms-office.activeX+xml"/>
  <Override PartName="/xl/activeX/activeX32.xml" ContentType="application/vnd.ms-office.activeX+xml"/>
  <Override PartName="/xl/activeX/activeX29.bin" ContentType="application/vnd.ms-office.activeX"/>
  <Override PartName="/xl/activeX/activeX33.xml" ContentType="application/vnd.ms-office.activeX+xml"/>
  <Override PartName="/xl/activeX/activeX30.bin" ContentType="application/vnd.ms-office.activeX"/>
  <Override PartName="/xl/activeX/activeX34.xml" ContentType="application/vnd.ms-office.activeX+xml"/>
  <Override PartName="/xl/activeX/activeX31.bin" ContentType="application/vnd.ms-office.activeX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activeX/activeX35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2" yWindow="-12" windowWidth="23064" windowHeight="9336" activeTab="6"/>
  </bookViews>
  <sheets>
    <sheet name="Sheet1" sheetId="1" r:id="rId1"/>
    <sheet name="Sheet13" sheetId="10" r:id="rId2"/>
    <sheet name="Sheet2" sheetId="2" r:id="rId3"/>
    <sheet name="Sheet3" sheetId="3" r:id="rId4"/>
    <sheet name="Sheet4" sheetId="4" r:id="rId5"/>
    <sheet name="Sheet5" sheetId="5" r:id="rId6"/>
    <sheet name="Sheet6" sheetId="6" r:id="rId7"/>
    <sheet name="Sheet7" sheetId="7" r:id="rId8"/>
    <sheet name="Browser" sheetId="9" r:id="rId9"/>
  </sheets>
  <externalReferences>
    <externalReference r:id="rId10"/>
  </externalReferences>
  <definedNames>
    <definedName name="active01">[1]ProjectList!$A$2:$B$17</definedName>
    <definedName name="dataPT00402">[1]PT004!$A$4:$F$40</definedName>
    <definedName name="date">Sheet7!$C$3</definedName>
    <definedName name="datos01">[1]DataBase!$A$2:$F$34</definedName>
    <definedName name="days">Sheet7!$C$5</definedName>
    <definedName name="name05">[1]DataBaseScreen!$A$1:$A$14</definedName>
    <definedName name="plan07">[1]DataBase!$A$2:$F$34</definedName>
    <definedName name="select0">[1]db01!$A$1:$Q$6</definedName>
    <definedName name="start">Sheet7!$F$12</definedName>
  </definedNames>
  <calcPr calcId="145621"/>
</workbook>
</file>

<file path=xl/calcChain.xml><?xml version="1.0" encoding="utf-8"?>
<calcChain xmlns="http://schemas.openxmlformats.org/spreadsheetml/2006/main">
  <c r="L13" i="7" l="1"/>
  <c r="M13" i="7"/>
  <c r="C5" i="7" l="1"/>
</calcChain>
</file>

<file path=xl/sharedStrings.xml><?xml version="1.0" encoding="utf-8"?>
<sst xmlns="http://schemas.openxmlformats.org/spreadsheetml/2006/main" count="19" uniqueCount="19">
  <si>
    <t>Open</t>
  </si>
  <si>
    <t>Close</t>
  </si>
  <si>
    <t>Sheets</t>
  </si>
  <si>
    <t>Windows</t>
  </si>
  <si>
    <t xml:space="preserve">Forms   </t>
  </si>
  <si>
    <t xml:space="preserve">Sheets  </t>
  </si>
  <si>
    <t xml:space="preserve">Web  </t>
  </si>
  <si>
    <t>www.elmundo.es</t>
  </si>
  <si>
    <t>Date1</t>
  </si>
  <si>
    <t>Date2</t>
  </si>
  <si>
    <t>Days</t>
  </si>
  <si>
    <t>RUN !</t>
  </si>
  <si>
    <t>index</t>
  </si>
  <si>
    <t>day</t>
  </si>
  <si>
    <t>month</t>
  </si>
  <si>
    <t>year</t>
  </si>
  <si>
    <t>week</t>
  </si>
  <si>
    <t>date</t>
  </si>
  <si>
    <t>weekday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</si>
</sst>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</font>
    <font>
      <b/>
      <sz val="9"/>
      <color rgb="FF0070C0"/>
      <name val="Calibri"/>
      <family val="2"/>
    </font>
    <font>
      <sz val="10"/>
      <color theme="1"/>
      <name val="Calibri"/>
      <family val="2"/>
    </font>
    <font>
      <b/>
      <sz val="14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1"/>
      <color theme="8" tint="-0.249977111117893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theme="0" tint="-4.9989318521683403E-2"/>
      </left>
      <right style="hair">
        <color theme="0" tint="-4.9989318521683403E-2"/>
      </right>
      <top style="hair">
        <color theme="0" tint="-4.9989318521683403E-2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theme="0" tint="-4.9989318521683403E-2"/>
      </left>
      <right style="hair">
        <color theme="0" tint="-4.9989318521683403E-2"/>
      </right>
      <top/>
      <bottom/>
      <diagonal/>
    </border>
    <border>
      <left/>
      <right style="thin">
        <color indexed="64"/>
      </right>
      <top/>
      <bottom/>
      <diagonal/>
    </border>
    <border>
      <left style="hair">
        <color theme="0" tint="-4.9989318521683403E-2"/>
      </left>
      <right style="hair">
        <color theme="0" tint="-4.9989318521683403E-2"/>
      </right>
      <top/>
      <bottom style="hair">
        <color theme="0" tint="-4.9989318521683403E-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36">
    <xf numFmtId="0" fontId="0" fillId="0" borderId="0" xfId="0"/>
    <xf numFmtId="0" fontId="0" fillId="2" borderId="0" xfId="0" applyFill="1"/>
    <xf numFmtId="0" fontId="0" fillId="2" borderId="1" xfId="0" applyFill="1" applyBorder="1"/>
    <xf numFmtId="0" fontId="1" fillId="2" borderId="1" xfId="0" applyFont="1" applyFill="1" applyBorder="1" applyAlignment="1">
      <alignment horizontal="center" vertical="center"/>
    </xf>
    <xf numFmtId="0" fontId="0" fillId="2" borderId="0" xfId="0" applyFill="1" applyBorder="1"/>
    <xf numFmtId="0" fontId="0" fillId="0" borderId="0" xfId="0" applyBorder="1"/>
    <xf numFmtId="0" fontId="2" fillId="0" borderId="0" xfId="0" applyFont="1" applyBorder="1" applyAlignment="1">
      <alignment horizontal="center" vertical="center"/>
    </xf>
    <xf numFmtId="0" fontId="4" fillId="0" borderId="0" xfId="1"/>
    <xf numFmtId="0" fontId="4" fillId="2" borderId="10" xfId="1" applyFill="1" applyBorder="1"/>
    <xf numFmtId="0" fontId="4" fillId="2" borderId="11" xfId="1" applyFill="1" applyBorder="1"/>
    <xf numFmtId="0" fontId="4" fillId="2" borderId="0" xfId="1" applyFill="1" applyBorder="1"/>
    <xf numFmtId="0" fontId="4" fillId="2" borderId="12" xfId="1" applyFill="1" applyBorder="1"/>
    <xf numFmtId="0" fontId="4" fillId="2" borderId="0" xfId="1" applyFill="1"/>
    <xf numFmtId="0" fontId="4" fillId="2" borderId="14" xfId="1" applyFill="1" applyBorder="1"/>
    <xf numFmtId="0" fontId="4" fillId="2" borderId="5" xfId="1" applyFill="1" applyBorder="1"/>
    <xf numFmtId="0" fontId="4" fillId="2" borderId="16" xfId="1" applyFill="1" applyBorder="1"/>
    <xf numFmtId="0" fontId="4" fillId="2" borderId="17" xfId="1" applyFill="1" applyBorder="1"/>
    <xf numFmtId="0" fontId="4" fillId="2" borderId="18" xfId="1" applyFill="1" applyBorder="1"/>
    <xf numFmtId="14" fontId="0" fillId="0" borderId="0" xfId="0" applyNumberFormat="1"/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 indent="1"/>
    </xf>
    <xf numFmtId="0" fontId="7" fillId="0" borderId="0" xfId="0" applyFont="1" applyAlignment="1">
      <alignment horizontal="left" vertical="center" indent="1"/>
    </xf>
    <xf numFmtId="0" fontId="3" fillId="2" borderId="2" xfId="0" applyFont="1" applyFill="1" applyBorder="1" applyAlignment="1">
      <alignment horizontal="center" vertical="center" textRotation="90"/>
    </xf>
    <xf numFmtId="0" fontId="3" fillId="2" borderId="3" xfId="0" applyFont="1" applyFill="1" applyBorder="1" applyAlignment="1">
      <alignment horizontal="center" vertical="center" textRotation="90"/>
    </xf>
    <xf numFmtId="0" fontId="3" fillId="2" borderId="4" xfId="0" applyFont="1" applyFill="1" applyBorder="1" applyAlignment="1">
      <alignment horizontal="center" vertical="center" textRotation="90"/>
    </xf>
    <xf numFmtId="0" fontId="3" fillId="2" borderId="6" xfId="0" applyFont="1" applyFill="1" applyBorder="1" applyAlignment="1">
      <alignment horizontal="center" vertical="center" textRotation="90"/>
    </xf>
    <xf numFmtId="0" fontId="3" fillId="2" borderId="7" xfId="0" applyFont="1" applyFill="1" applyBorder="1" applyAlignment="1">
      <alignment horizontal="center" vertical="center" textRotation="90"/>
    </xf>
    <xf numFmtId="0" fontId="3" fillId="2" borderId="8" xfId="0" applyFont="1" applyFill="1" applyBorder="1" applyAlignment="1">
      <alignment horizontal="center" vertical="center" textRotation="90"/>
    </xf>
    <xf numFmtId="0" fontId="0" fillId="2" borderId="5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5" fillId="0" borderId="9" xfId="1" applyFont="1" applyBorder="1" applyAlignment="1">
      <alignment horizontal="center" vertical="top" textRotation="90"/>
    </xf>
    <xf numFmtId="0" fontId="5" fillId="0" borderId="13" xfId="1" applyFont="1" applyBorder="1" applyAlignment="1">
      <alignment horizontal="center" vertical="top" textRotation="90"/>
    </xf>
    <xf numFmtId="0" fontId="5" fillId="0" borderId="15" xfId="1" applyFont="1" applyBorder="1" applyAlignment="1">
      <alignment horizontal="center" vertical="top" textRotation="90"/>
    </xf>
    <xf numFmtId="0" fontId="6" fillId="0" borderId="0" xfId="1" applyFont="1" applyBorder="1" applyAlignment="1">
      <alignment horizontal="center" vertical="top" textRotation="90"/>
    </xf>
    <xf numFmtId="0" fontId="5" fillId="0" borderId="0" xfId="1" applyFont="1" applyBorder="1" applyAlignment="1">
      <alignment horizontal="center" vertical="top" textRotation="90"/>
    </xf>
    <xf numFmtId="0" fontId="8" fillId="0" borderId="0" xfId="0" applyFont="1" applyAlignment="1">
      <alignment horizontal="center" vertical="center"/>
    </xf>
  </cellXfs>
  <cellStyles count="2">
    <cellStyle name="Normal" xfId="0" builtinId="0"/>
    <cellStyle name="Normal 2" xfId="1"/>
  </cellStyles>
  <dxfs count="4">
    <dxf>
      <numFmt numFmtId="0" formatCode="General"/>
    </dxf>
    <dxf>
      <numFmt numFmtId="0" formatCode="General"/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none"/>
      </font>
      <alignment horizontal="left" vertical="center" textRotation="0" wrapText="0" relativeIndent="1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35053A22-8589-11D1-B16A-00C0F0283628}" ax:license="9368265E-85FE-11d1-8BE3-0000F8754DA1" ax:persistence="persistPropertyBag">
  <ax:ocxPr ax:name="_ExtentX" ax:value="21"/>
  <ax:ocxPr ax:name="_ExtentY" ax:value="21"/>
  <ax:ocxPr ax:name="_Version" ax:value="393216"/>
  <ax:ocxPr ax:name="Appearance" ax:value="0"/>
  <ax:ocxPr ax:name="Min" ax:value="1"/>
  <ax:ocxPr ax:name="Max" ax:value="4"/>
</ax:ocx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856F961-340A-11D0-A96B-00C04FD705A2}" ax:persistence="persistPropertyBag">
  <ax:ocxPr ax:name="ExtentX" ax:value="106"/>
  <ax:ocxPr ax:name="ExtentY" ax:value="42"/>
  <ax:ocxPr ax:name="ViewMode" ax:value="0"/>
  <ax:ocxPr ax:name="Offline" ax:value="0"/>
  <ax:ocxPr ax:name="Silent" ax:value="1"/>
  <ax:ocxPr ax:name="RegisterAsBrowser" ax:value="0"/>
  <ax:ocxPr ax:name="RegisterAsDropTarget" ax:value="1"/>
  <ax:ocxPr ax:name="AutoArrange" ax:value="0"/>
  <ax:ocxPr ax:name="NoClientEdge" ax:value="0"/>
  <ax:ocxPr ax:name="AlignLeft" ax:value="0"/>
  <ax:ocxPr ax:name="NoWebView" ax:value="0"/>
  <ax:ocxPr ax:name="HideFileNames" ax:value="0"/>
  <ax:ocxPr ax:name="SingleClick" ax:value="0"/>
  <ax:ocxPr ax:name="SingleSelection" ax:value="0"/>
  <ax:ocxPr ax:name="NoFolders" ax:value="0"/>
  <ax:ocxPr ax:name="Transparent" ax:value="0"/>
  <ax:ocxPr ax:name="ViewID" ax:value="{0057D0E0-3573-11CF-AE69-08002B2E1262}"/>
  <ax:ocxPr ax:name="Location" ax:value="file:///C:/Users/jbravof/Google%20Drive/WebSites/webspace/files/Plan/Planning1.0_files/sheet003.htm"/>
</ax:ocx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EAE50EB0-4A62-11CE-BED6-00AA00611080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35053A22-8589-11D1-B16A-00C0F0283628}" ax:license="9368265E-85FE-11d1-8BE3-0000F8754DA1" ax:persistence="persistPropertyBag">
  <ax:ocxPr ax:name="_ExtentX" ax:value="635"/>
  <ax:ocxPr ax:name="_ExtentY" ax:value="42"/>
  <ax:ocxPr ax:name="_Version" ax:value="393216"/>
  <ax:ocxPr ax:name="Appearance" ax:value="0"/>
  <ax:ocxPr ax:name="Min" ax:value="1"/>
  <ax:ocxPr ax:name="Max" ax:value="322"/>
</ax:ocx>
</file>

<file path=xl/activeX/activeX3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856F961-340A-11D0-A96B-00C04FD705A2}" ax:persistence="persistPropertyBag">
  <ax:ocxPr ax:name="ExtentX" ax:value="21"/>
  <ax:ocxPr ax:name="ExtentY" ax:value="21"/>
  <ax:ocxPr ax:name="ViewMode" ax:value="0"/>
  <ax:ocxPr ax:name="Offline" ax:value="0"/>
  <ax:ocxPr ax:name="Silent" ax:value="1"/>
  <ax:ocxPr ax:name="RegisterAsBrowser" ax:value="0"/>
  <ax:ocxPr ax:name="RegisterAsDropTarget" ax:value="1"/>
  <ax:ocxPr ax:name="AutoArrange" ax:value="0"/>
  <ax:ocxPr ax:name="NoClientEdge" ax:value="0"/>
  <ax:ocxPr ax:name="AlignLeft" ax:value="0"/>
  <ax:ocxPr ax:name="NoWebView" ax:value="0"/>
  <ax:ocxPr ax:name="HideFileNames" ax:value="0"/>
  <ax:ocxPr ax:name="SingleClick" ax:value="0"/>
  <ax:ocxPr ax:name="SingleSelection" ax:value="0"/>
  <ax:ocxPr ax:name="NoFolders" ax:value="0"/>
  <ax:ocxPr ax:name="Transparent" ax:value="0"/>
  <ax:ocxPr ax:name="ViewID" ax:value="{0057D0E0-3573-11CF-AE69-08002B2E1262}"/>
  <ax:ocxPr ax:name="Location" ax:value="https://www.elmundo.es/"/>
</ax:ocx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3.png"/><Relationship Id="rId2" Type="http://schemas.openxmlformats.org/officeDocument/2006/relationships/image" Target="../media/image32.png"/><Relationship Id="rId1" Type="http://schemas.openxmlformats.org/officeDocument/2006/relationships/image" Target="../media/image31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12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3.emf"/><Relationship Id="rId13" Type="http://schemas.openxmlformats.org/officeDocument/2006/relationships/image" Target="../media/image18.emf"/><Relationship Id="rId18" Type="http://schemas.openxmlformats.org/officeDocument/2006/relationships/image" Target="../media/image13.emf"/><Relationship Id="rId3" Type="http://schemas.openxmlformats.org/officeDocument/2006/relationships/image" Target="../media/image28.emf"/><Relationship Id="rId7" Type="http://schemas.openxmlformats.org/officeDocument/2006/relationships/image" Target="../media/image24.emf"/><Relationship Id="rId12" Type="http://schemas.openxmlformats.org/officeDocument/2006/relationships/image" Target="../media/image19.emf"/><Relationship Id="rId17" Type="http://schemas.openxmlformats.org/officeDocument/2006/relationships/image" Target="../media/image14.emf"/><Relationship Id="rId2" Type="http://schemas.openxmlformats.org/officeDocument/2006/relationships/image" Target="../media/image29.emf"/><Relationship Id="rId16" Type="http://schemas.openxmlformats.org/officeDocument/2006/relationships/image" Target="../media/image15.emf"/><Relationship Id="rId1" Type="http://schemas.openxmlformats.org/officeDocument/2006/relationships/image" Target="../media/image30.emf"/><Relationship Id="rId6" Type="http://schemas.openxmlformats.org/officeDocument/2006/relationships/image" Target="../media/image25.emf"/><Relationship Id="rId11" Type="http://schemas.openxmlformats.org/officeDocument/2006/relationships/image" Target="../media/image20.emf"/><Relationship Id="rId5" Type="http://schemas.openxmlformats.org/officeDocument/2006/relationships/image" Target="../media/image26.emf"/><Relationship Id="rId15" Type="http://schemas.openxmlformats.org/officeDocument/2006/relationships/image" Target="../media/image16.emf"/><Relationship Id="rId10" Type="http://schemas.openxmlformats.org/officeDocument/2006/relationships/image" Target="../media/image21.emf"/><Relationship Id="rId4" Type="http://schemas.openxmlformats.org/officeDocument/2006/relationships/image" Target="../media/image27.emf"/><Relationship Id="rId9" Type="http://schemas.openxmlformats.org/officeDocument/2006/relationships/image" Target="../media/image22.emf"/><Relationship Id="rId14" Type="http://schemas.openxmlformats.org/officeDocument/2006/relationships/image" Target="../media/image17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1</xdr:row>
          <xdr:rowOff>0</xdr:rowOff>
        </xdr:from>
        <xdr:to>
          <xdr:col>23</xdr:col>
          <xdr:colOff>304800</xdr:colOff>
          <xdr:row>1</xdr:row>
          <xdr:rowOff>304800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7" name="ToggleButton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1029" name="CommandButton4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0</xdr:row>
          <xdr:rowOff>0</xdr:rowOff>
        </xdr:from>
        <xdr:to>
          <xdr:col>27</xdr:col>
          <xdr:colOff>0</xdr:colOff>
          <xdr:row>1</xdr:row>
          <xdr:rowOff>342900</xdr:rowOff>
        </xdr:to>
        <xdr:sp macro="" textlink="">
          <xdr:nvSpPr>
            <xdr:cNvPr id="1030" name="ListBox1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1031" name="CommandButton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30480</xdr:rowOff>
        </xdr:from>
        <xdr:to>
          <xdr:col>35</xdr:col>
          <xdr:colOff>457200</xdr:colOff>
          <xdr:row>6</xdr:row>
          <xdr:rowOff>30480</xdr:rowOff>
        </xdr:to>
        <xdr:sp macro="" textlink="">
          <xdr:nvSpPr>
            <xdr:cNvPr id="1032" name="ProgressBar2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</xdr:row>
          <xdr:rowOff>0</xdr:rowOff>
        </xdr:from>
        <xdr:to>
          <xdr:col>14</xdr:col>
          <xdr:colOff>0</xdr:colOff>
          <xdr:row>2</xdr:row>
          <xdr:rowOff>0</xdr:rowOff>
        </xdr:to>
        <xdr:sp macro="" textlink="">
          <xdr:nvSpPr>
            <xdr:cNvPr id="1033" name="CommandButton6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0</xdr:colOff>
          <xdr:row>0</xdr:row>
          <xdr:rowOff>0</xdr:rowOff>
        </xdr:from>
        <xdr:to>
          <xdr:col>31</xdr:col>
          <xdr:colOff>0</xdr:colOff>
          <xdr:row>1</xdr:row>
          <xdr:rowOff>320040</xdr:rowOff>
        </xdr:to>
        <xdr:sp macro="" textlink="">
          <xdr:nvSpPr>
            <xdr:cNvPr id="1034" name="ListBox2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0</xdr:row>
          <xdr:rowOff>0</xdr:rowOff>
        </xdr:from>
        <xdr:to>
          <xdr:col>33</xdr:col>
          <xdr:colOff>0</xdr:colOff>
          <xdr:row>1</xdr:row>
          <xdr:rowOff>0</xdr:rowOff>
        </xdr:to>
        <xdr:sp macro="" textlink="">
          <xdr:nvSpPr>
            <xdr:cNvPr id="1035" name="CommandButton2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320040</xdr:colOff>
          <xdr:row>1</xdr:row>
          <xdr:rowOff>365760</xdr:rowOff>
        </xdr:from>
        <xdr:to>
          <xdr:col>35</xdr:col>
          <xdr:colOff>15240</xdr:colOff>
          <xdr:row>3</xdr:row>
          <xdr:rowOff>83820</xdr:rowOff>
        </xdr:to>
        <xdr:sp macro="" textlink="">
          <xdr:nvSpPr>
            <xdr:cNvPr id="1036" name="CommandButton7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381000</xdr:colOff>
          <xdr:row>0</xdr:row>
          <xdr:rowOff>99060</xdr:rowOff>
        </xdr:from>
        <xdr:to>
          <xdr:col>35</xdr:col>
          <xdr:colOff>76200</xdr:colOff>
          <xdr:row>1</xdr:row>
          <xdr:rowOff>220980</xdr:rowOff>
        </xdr:to>
        <xdr:sp macro="" textlink="">
          <xdr:nvSpPr>
            <xdr:cNvPr id="1037" name="CommandButton8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297180</xdr:colOff>
          <xdr:row>1</xdr:row>
          <xdr:rowOff>22860</xdr:rowOff>
        </xdr:from>
        <xdr:to>
          <xdr:col>18</xdr:col>
          <xdr:colOff>76200</xdr:colOff>
          <xdr:row>8</xdr:row>
          <xdr:rowOff>45720</xdr:rowOff>
        </xdr:to>
        <xdr:sp macro="" textlink="">
          <xdr:nvSpPr>
            <xdr:cNvPr id="4097" name="TabStrip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1</xdr:row>
          <xdr:rowOff>45720</xdr:rowOff>
        </xdr:from>
        <xdr:to>
          <xdr:col>6</xdr:col>
          <xdr:colOff>129540</xdr:colOff>
          <xdr:row>5</xdr:row>
          <xdr:rowOff>30480</xdr:rowOff>
        </xdr:to>
        <xdr:sp macro="" textlink="">
          <xdr:nvSpPr>
            <xdr:cNvPr id="4098" name="ListBox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228600</xdr:colOff>
          <xdr:row>2</xdr:row>
          <xdr:rowOff>7620</xdr:rowOff>
        </xdr:from>
        <xdr:to>
          <xdr:col>9</xdr:col>
          <xdr:colOff>0</xdr:colOff>
          <xdr:row>2</xdr:row>
          <xdr:rowOff>167640</xdr:rowOff>
        </xdr:to>
        <xdr:sp macro="" textlink="">
          <xdr:nvSpPr>
            <xdr:cNvPr id="4099" name="ComboBox1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297180</xdr:colOff>
          <xdr:row>3</xdr:row>
          <xdr:rowOff>83820</xdr:rowOff>
        </xdr:from>
        <xdr:to>
          <xdr:col>8</xdr:col>
          <xdr:colOff>114300</xdr:colOff>
          <xdr:row>5</xdr:row>
          <xdr:rowOff>175260</xdr:rowOff>
        </xdr:to>
        <xdr:sp macro="" textlink="">
          <xdr:nvSpPr>
            <xdr:cNvPr id="4100" name="CommandButton1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144780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4101" name="CommandButton2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274320</xdr:colOff>
          <xdr:row>6</xdr:row>
          <xdr:rowOff>45720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4102" name="CheckBox1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434340</xdr:colOff>
          <xdr:row>4</xdr:row>
          <xdr:rowOff>15240</xdr:rowOff>
        </xdr:from>
        <xdr:to>
          <xdr:col>17</xdr:col>
          <xdr:colOff>198120</xdr:colOff>
          <xdr:row>6</xdr:row>
          <xdr:rowOff>30480</xdr:rowOff>
        </xdr:to>
        <xdr:sp macro="" textlink="">
          <xdr:nvSpPr>
            <xdr:cNvPr id="4103" name="ListBox2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91440</xdr:colOff>
          <xdr:row>2</xdr:row>
          <xdr:rowOff>152400</xdr:rowOff>
        </xdr:from>
        <xdr:to>
          <xdr:col>13</xdr:col>
          <xdr:colOff>220980</xdr:colOff>
          <xdr:row>4</xdr:row>
          <xdr:rowOff>121920</xdr:rowOff>
        </xdr:to>
        <xdr:sp macro="" textlink="">
          <xdr:nvSpPr>
            <xdr:cNvPr id="4104" name="CheckBox2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</xdr:colOff>
          <xdr:row>5</xdr:row>
          <xdr:rowOff>60960</xdr:rowOff>
        </xdr:from>
        <xdr:to>
          <xdr:col>13</xdr:col>
          <xdr:colOff>228600</xdr:colOff>
          <xdr:row>7</xdr:row>
          <xdr:rowOff>91440</xdr:rowOff>
        </xdr:to>
        <xdr:sp macro="" textlink="">
          <xdr:nvSpPr>
            <xdr:cNvPr id="4105" name="CommandButton3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30480</xdr:colOff>
          <xdr:row>2</xdr:row>
          <xdr:rowOff>7620</xdr:rowOff>
        </xdr:from>
        <xdr:to>
          <xdr:col>27</xdr:col>
          <xdr:colOff>190500</xdr:colOff>
          <xdr:row>4</xdr:row>
          <xdr:rowOff>38100</xdr:rowOff>
        </xdr:to>
        <xdr:sp macro="" textlink="">
          <xdr:nvSpPr>
            <xdr:cNvPr id="4106" name="CommandButton4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236220</xdr:colOff>
          <xdr:row>2</xdr:row>
          <xdr:rowOff>7620</xdr:rowOff>
        </xdr:from>
        <xdr:to>
          <xdr:col>48</xdr:col>
          <xdr:colOff>236220</xdr:colOff>
          <xdr:row>9</xdr:row>
          <xdr:rowOff>83820</xdr:rowOff>
        </xdr:to>
        <xdr:sp macro="" textlink="">
          <xdr:nvSpPr>
            <xdr:cNvPr id="4107" name="CommandButton5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213360</xdr:colOff>
          <xdr:row>2</xdr:row>
          <xdr:rowOff>7620</xdr:rowOff>
        </xdr:from>
        <xdr:to>
          <xdr:col>47</xdr:col>
          <xdr:colOff>213360</xdr:colOff>
          <xdr:row>9</xdr:row>
          <xdr:rowOff>83820</xdr:rowOff>
        </xdr:to>
        <xdr:sp macro="" textlink="">
          <xdr:nvSpPr>
            <xdr:cNvPr id="4108" name="CommandButton6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0</xdr:colOff>
      <xdr:row>1</xdr:row>
      <xdr:rowOff>0</xdr:rowOff>
    </xdr:from>
    <xdr:to>
      <xdr:col>2</xdr:col>
      <xdr:colOff>0</xdr:colOff>
      <xdr:row>9</xdr:row>
      <xdr:rowOff>0</xdr:rowOff>
    </xdr:to>
    <xdr:grpSp>
      <xdr:nvGrpSpPr>
        <xdr:cNvPr id="14" name="Group 13"/>
        <xdr:cNvGrpSpPr/>
      </xdr:nvGrpSpPr>
      <xdr:grpSpPr>
        <a:xfrm>
          <a:off x="251460" y="182880"/>
          <a:ext cx="609600" cy="1082040"/>
          <a:chOff x="12161520" y="259080"/>
          <a:chExt cx="914400" cy="914400"/>
        </a:xfrm>
      </xdr:grpSpPr>
      <xdr:sp macro="[1]!Sheet36.CommandButton6_Click2" textlink="">
        <xdr:nvSpPr>
          <xdr:cNvPr id="15" name="Rounded Rectangle 14"/>
          <xdr:cNvSpPr/>
        </xdr:nvSpPr>
        <xdr:spPr>
          <a:xfrm>
            <a:off x="12161520" y="259080"/>
            <a:ext cx="914400" cy="914400"/>
          </a:xfrm>
          <a:prstGeom prst="roundRect">
            <a:avLst/>
          </a:prstGeom>
          <a:solidFill>
            <a:schemeClr val="accent1">
              <a:alpha val="38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_tradnl" sz="1100"/>
          </a:p>
        </xdr:txBody>
      </xdr:sp>
      <xdr:pic macro="[1]!Sheet36.CommandButton6_Click2">
        <xdr:nvPicPr>
          <xdr:cNvPr id="16" name="Picture 15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260580" y="815340"/>
            <a:ext cx="706224" cy="28863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9</xdr:row>
      <xdr:rowOff>0</xdr:rowOff>
    </xdr:to>
    <xdr:grpSp>
      <xdr:nvGrpSpPr>
        <xdr:cNvPr id="17" name="Group 16"/>
        <xdr:cNvGrpSpPr/>
      </xdr:nvGrpSpPr>
      <xdr:grpSpPr>
        <a:xfrm>
          <a:off x="3413760" y="182880"/>
          <a:ext cx="609600" cy="1082040"/>
          <a:chOff x="3512820" y="182880"/>
          <a:chExt cx="609600" cy="1082040"/>
        </a:xfrm>
      </xdr:grpSpPr>
      <xdr:sp macro="[1]!Sheet36.CommandButton5_Click" textlink="">
        <xdr:nvSpPr>
          <xdr:cNvPr id="18" name="Rounded Rectangle 17"/>
          <xdr:cNvSpPr/>
        </xdr:nvSpPr>
        <xdr:spPr>
          <a:xfrm>
            <a:off x="3512820" y="182880"/>
            <a:ext cx="609600" cy="1082040"/>
          </a:xfrm>
          <a:prstGeom prst="roundRect">
            <a:avLst/>
          </a:prstGeom>
          <a:solidFill>
            <a:schemeClr val="accent1">
              <a:alpha val="38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_tradnl" sz="1100"/>
          </a:p>
        </xdr:txBody>
      </xdr:sp>
      <xdr:pic macro="[1]!Sheet36.CommandButton5_Click">
        <xdr:nvPicPr>
          <xdr:cNvPr id="19" name="Picture 18"/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582565" y="800099"/>
            <a:ext cx="463655" cy="44507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2</xdr:row>
          <xdr:rowOff>0</xdr:rowOff>
        </xdr:from>
        <xdr:to>
          <xdr:col>30</xdr:col>
          <xdr:colOff>0</xdr:colOff>
          <xdr:row>6</xdr:row>
          <xdr:rowOff>76200</xdr:rowOff>
        </xdr:to>
        <xdr:sp macro="" textlink="">
          <xdr:nvSpPr>
            <xdr:cNvPr id="4109" name="ListBox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20</xdr:col>
      <xdr:colOff>0</xdr:colOff>
      <xdr:row>1</xdr:row>
      <xdr:rowOff>0</xdr:rowOff>
    </xdr:from>
    <xdr:to>
      <xdr:col>21</xdr:col>
      <xdr:colOff>0</xdr:colOff>
      <xdr:row>9</xdr:row>
      <xdr:rowOff>0</xdr:rowOff>
    </xdr:to>
    <xdr:grpSp>
      <xdr:nvGrpSpPr>
        <xdr:cNvPr id="21" name="Group 20"/>
        <xdr:cNvGrpSpPr/>
      </xdr:nvGrpSpPr>
      <xdr:grpSpPr>
        <a:xfrm>
          <a:off x="6797040" y="182880"/>
          <a:ext cx="609600" cy="1082040"/>
          <a:chOff x="6804660" y="182880"/>
          <a:chExt cx="609600" cy="1082040"/>
        </a:xfrm>
      </xdr:grpSpPr>
      <xdr:sp macro="[1]!Macro54" textlink="">
        <xdr:nvSpPr>
          <xdr:cNvPr id="22" name="Rounded Rectangle 21"/>
          <xdr:cNvSpPr/>
        </xdr:nvSpPr>
        <xdr:spPr>
          <a:xfrm>
            <a:off x="6804660" y="182880"/>
            <a:ext cx="609600" cy="1082040"/>
          </a:xfrm>
          <a:prstGeom prst="roundRect">
            <a:avLst/>
          </a:prstGeom>
          <a:solidFill>
            <a:schemeClr val="accent1">
              <a:alpha val="38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_tradnl" sz="1100"/>
          </a:p>
        </xdr:txBody>
      </xdr:sp>
      <xdr:pic macro="[1]!Macro54">
        <xdr:nvPicPr>
          <xdr:cNvPr id="23" name="Picture 22"/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889645" y="883920"/>
            <a:ext cx="410967" cy="29718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60960</xdr:rowOff>
        </xdr:from>
        <xdr:to>
          <xdr:col>3</xdr:col>
          <xdr:colOff>274320</xdr:colOff>
          <xdr:row>8</xdr:row>
          <xdr:rowOff>60960</xdr:rowOff>
        </xdr:to>
        <xdr:sp macro="" textlink="">
          <xdr:nvSpPr>
            <xdr:cNvPr id="4110" name="CommandButton7" hidden="1">
              <a:extLst>
                <a:ext uri="{63B3BB69-23CF-44E3-9099-C40C66FF867C}">
                  <a14:compatExt spid="_x0000_s41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</xdr:colOff>
          <xdr:row>6</xdr:row>
          <xdr:rowOff>45720</xdr:rowOff>
        </xdr:from>
        <xdr:to>
          <xdr:col>4</xdr:col>
          <xdr:colOff>342900</xdr:colOff>
          <xdr:row>8</xdr:row>
          <xdr:rowOff>45720</xdr:rowOff>
        </xdr:to>
        <xdr:sp macro="" textlink="">
          <xdr:nvSpPr>
            <xdr:cNvPr id="4111" name="CommandButton8" hidden="1">
              <a:extLst>
                <a:ext uri="{63B3BB69-23CF-44E3-9099-C40C66FF867C}">
                  <a14:compatExt spid="_x0000_s4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</xdr:colOff>
          <xdr:row>6</xdr:row>
          <xdr:rowOff>38100</xdr:rowOff>
        </xdr:from>
        <xdr:to>
          <xdr:col>6</xdr:col>
          <xdr:colOff>175260</xdr:colOff>
          <xdr:row>8</xdr:row>
          <xdr:rowOff>38100</xdr:rowOff>
        </xdr:to>
        <xdr:sp macro="" textlink="">
          <xdr:nvSpPr>
            <xdr:cNvPr id="4112" name="CommandButton9" hidden="1">
              <a:extLst>
                <a:ext uri="{63B3BB69-23CF-44E3-9099-C40C66FF867C}">
                  <a14:compatExt spid="_x0000_s4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30480</xdr:colOff>
          <xdr:row>4</xdr:row>
          <xdr:rowOff>83820</xdr:rowOff>
        </xdr:from>
        <xdr:to>
          <xdr:col>27</xdr:col>
          <xdr:colOff>190500</xdr:colOff>
          <xdr:row>6</xdr:row>
          <xdr:rowOff>22860</xdr:rowOff>
        </xdr:to>
        <xdr:sp macro="" textlink="">
          <xdr:nvSpPr>
            <xdr:cNvPr id="4113" name="CommandButton10" hidden="1">
              <a:extLst>
                <a:ext uri="{63B3BB69-23CF-44E3-9099-C40C66FF867C}">
                  <a14:compatExt spid="_x0000_s4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60960</xdr:colOff>
          <xdr:row>1</xdr:row>
          <xdr:rowOff>45720</xdr:rowOff>
        </xdr:from>
        <xdr:to>
          <xdr:col>25</xdr:col>
          <xdr:colOff>571500</xdr:colOff>
          <xdr:row>8</xdr:row>
          <xdr:rowOff>7620</xdr:rowOff>
        </xdr:to>
        <xdr:sp macro="" textlink="">
          <xdr:nvSpPr>
            <xdr:cNvPr id="4114" name="brow01" hidden="1">
              <a:extLst>
                <a:ext uri="{63B3BB69-23CF-44E3-9099-C40C66FF867C}">
                  <a14:compatExt spid="_x0000_s4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0</xdr:rowOff>
    </xdr:from>
    <xdr:to>
      <xdr:col>3</xdr:col>
      <xdr:colOff>0</xdr:colOff>
      <xdr:row>7</xdr:row>
      <xdr:rowOff>0</xdr:rowOff>
    </xdr:to>
    <xdr:sp macro="[0]!genera01" textlink="">
      <xdr:nvSpPr>
        <xdr:cNvPr id="2" name="Rectangle 1"/>
        <xdr:cNvSpPr/>
      </xdr:nvSpPr>
      <xdr:spPr>
        <a:xfrm>
          <a:off x="0" y="548640"/>
          <a:ext cx="1394460" cy="365760"/>
        </a:xfrm>
        <a:prstGeom prst="rect">
          <a:avLst/>
        </a:prstGeom>
        <a:solidFill>
          <a:schemeClr val="accent2">
            <a:alpha val="59000"/>
          </a:schemeClr>
        </a:soli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_tradnl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2290" name="ProgressBar2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2291" name="ScrollBar1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0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12292" name="ScrollBar2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21</xdr:col>
          <xdr:colOff>0</xdr:colOff>
          <xdr:row>6</xdr:row>
          <xdr:rowOff>137160</xdr:rowOff>
        </xdr:to>
        <xdr:sp macro="" textlink="">
          <xdr:nvSpPr>
            <xdr:cNvPr id="12293" name="ListBox1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358140</xdr:colOff>
          <xdr:row>3</xdr:row>
          <xdr:rowOff>114300</xdr:rowOff>
        </xdr:from>
        <xdr:to>
          <xdr:col>9</xdr:col>
          <xdr:colOff>533400</xdr:colOff>
          <xdr:row>14</xdr:row>
          <xdr:rowOff>30480</xdr:rowOff>
        </xdr:to>
        <xdr:sp macro="" textlink="">
          <xdr:nvSpPr>
            <xdr:cNvPr id="11266" name="WebBrowser1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bravof/Google%20Drive/WebSites/webspace/files/Plan/Planning1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tail"/>
      <sheetName val="SIE"/>
      <sheetName val="Lists"/>
      <sheetName val="Template01"/>
      <sheetName val="Template01 (2)"/>
      <sheetName val="Detail (2)"/>
      <sheetName val="Sheet7"/>
      <sheetName val="Sheet8"/>
      <sheetName val="Sheet9"/>
      <sheetName val="Sheet10"/>
      <sheetName val="db01"/>
      <sheetName val="command"/>
      <sheetName val="ProjectList"/>
      <sheetName val="ProjectDetail"/>
      <sheetName val="DB02"/>
      <sheetName val="LB-DB02"/>
      <sheetName val="DataBase"/>
      <sheetName val="Chart02"/>
      <sheetName val="Chart"/>
      <sheetName val="Sheet1"/>
      <sheetName val="Sheet4"/>
      <sheetName val="Sheet5"/>
      <sheetName val="Sheet6"/>
      <sheetName val="Sheet2"/>
      <sheetName val="Sheet3"/>
      <sheetName val="Sheet11"/>
      <sheetName val="Sheet12"/>
      <sheetName val="Sheet16"/>
      <sheetName val="calculos01"/>
      <sheetName val="projection"/>
      <sheetName val="PT004"/>
      <sheetName val="Data004"/>
      <sheetName val="DataBaseScreen"/>
      <sheetName val="Sheet14"/>
      <sheetName val="DataBaseScreen (2)"/>
      <sheetName val="Sheet13"/>
      <sheetName val="Tabla01"/>
      <sheetName val="Sheet17"/>
      <sheetName val="Tabla02"/>
      <sheetName val="browser01"/>
      <sheetName val="Planning1.0"/>
    </sheetNames>
    <definedNames>
      <definedName name="Macro54"/>
      <definedName name="Sheet36.CommandButton5_Click"/>
      <definedName name="Sheet36.CommandButton6_Click2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1">
          <cell r="A1">
            <v>1</v>
          </cell>
          <cell r="B1">
            <v>2</v>
          </cell>
          <cell r="C1">
            <v>3</v>
          </cell>
          <cell r="D1">
            <v>4</v>
          </cell>
          <cell r="E1">
            <v>5</v>
          </cell>
          <cell r="F1">
            <v>6</v>
          </cell>
          <cell r="G1">
            <v>7</v>
          </cell>
          <cell r="H1">
            <v>8</v>
          </cell>
          <cell r="I1">
            <v>9</v>
          </cell>
          <cell r="J1">
            <v>10</v>
          </cell>
          <cell r="K1">
            <v>11</v>
          </cell>
          <cell r="L1">
            <v>12</v>
          </cell>
          <cell r="M1">
            <v>13</v>
          </cell>
          <cell r="N1">
            <v>14</v>
          </cell>
          <cell r="O1">
            <v>15</v>
          </cell>
          <cell r="P1">
            <v>16</v>
          </cell>
          <cell r="Q1">
            <v>17</v>
          </cell>
        </row>
        <row r="2">
          <cell r="A2">
            <v>4</v>
          </cell>
          <cell r="B2">
            <v>5</v>
          </cell>
          <cell r="C2">
            <v>6</v>
          </cell>
          <cell r="D2">
            <v>7</v>
          </cell>
          <cell r="E2">
            <v>8</v>
          </cell>
          <cell r="F2">
            <v>9</v>
          </cell>
          <cell r="G2">
            <v>10</v>
          </cell>
          <cell r="H2">
            <v>11</v>
          </cell>
          <cell r="I2">
            <v>12</v>
          </cell>
          <cell r="J2">
            <v>1</v>
          </cell>
          <cell r="K2">
            <v>2</v>
          </cell>
          <cell r="L2">
            <v>3</v>
          </cell>
          <cell r="M2">
            <v>4</v>
          </cell>
          <cell r="N2">
            <v>5</v>
          </cell>
          <cell r="O2">
            <v>6</v>
          </cell>
          <cell r="P2">
            <v>7</v>
          </cell>
          <cell r="Q2">
            <v>8</v>
          </cell>
        </row>
        <row r="3">
          <cell r="A3">
            <v>2018</v>
          </cell>
          <cell r="B3">
            <v>2018</v>
          </cell>
          <cell r="C3">
            <v>2018</v>
          </cell>
          <cell r="D3">
            <v>2018</v>
          </cell>
          <cell r="E3">
            <v>2018</v>
          </cell>
          <cell r="F3">
            <v>2018</v>
          </cell>
          <cell r="G3">
            <v>2018</v>
          </cell>
          <cell r="H3">
            <v>2018</v>
          </cell>
          <cell r="I3">
            <v>2018</v>
          </cell>
          <cell r="J3">
            <v>2019</v>
          </cell>
          <cell r="K3">
            <v>2019</v>
          </cell>
          <cell r="L3">
            <v>2019</v>
          </cell>
          <cell r="M3">
            <v>2019</v>
          </cell>
          <cell r="N3">
            <v>2019</v>
          </cell>
          <cell r="O3">
            <v>2019</v>
          </cell>
          <cell r="P3">
            <v>2019</v>
          </cell>
          <cell r="Q3">
            <v>2019</v>
          </cell>
        </row>
        <row r="4">
          <cell r="A4">
            <v>43220</v>
          </cell>
          <cell r="B4">
            <v>43251</v>
          </cell>
          <cell r="C4">
            <v>43281</v>
          </cell>
          <cell r="D4">
            <v>43312</v>
          </cell>
          <cell r="E4">
            <v>43343</v>
          </cell>
          <cell r="F4">
            <v>43373</v>
          </cell>
          <cell r="G4">
            <v>43404</v>
          </cell>
          <cell r="H4">
            <v>43434</v>
          </cell>
          <cell r="I4">
            <v>43465</v>
          </cell>
          <cell r="J4">
            <v>43496</v>
          </cell>
          <cell r="K4">
            <v>43524</v>
          </cell>
          <cell r="L4">
            <v>43555</v>
          </cell>
          <cell r="M4">
            <v>43585</v>
          </cell>
          <cell r="N4">
            <v>43616</v>
          </cell>
          <cell r="O4">
            <v>43646</v>
          </cell>
          <cell r="P4">
            <v>43677</v>
          </cell>
          <cell r="Q4">
            <v>43708</v>
          </cell>
        </row>
        <row r="5">
          <cell r="A5">
            <v>4.3820751233921351E-3</v>
          </cell>
          <cell r="B5">
            <v>7.9349129589168545E-3</v>
          </cell>
          <cell r="C5">
            <v>1.3497741628297016E-2</v>
          </cell>
          <cell r="D5">
            <v>2.1569329706627883E-2</v>
          </cell>
          <cell r="E5">
            <v>3.2379398916472936E-2</v>
          </cell>
          <cell r="F5">
            <v>4.5662271347255479E-2</v>
          </cell>
          <cell r="G5">
            <v>6.0492681129785841E-2</v>
          </cell>
          <cell r="H5">
            <v>7.5284358038701107E-2</v>
          </cell>
          <cell r="I5">
            <v>8.8016331691074881E-2</v>
          </cell>
          <cell r="J5">
            <v>9.6667029200712309E-2</v>
          </cell>
          <cell r="K5">
            <v>9.9735570100358176E-2</v>
          </cell>
          <cell r="L5">
            <v>9.6667029200712309E-2</v>
          </cell>
          <cell r="M5">
            <v>8.8016331691074881E-2</v>
          </cell>
          <cell r="N5">
            <v>7.5284358038701107E-2</v>
          </cell>
          <cell r="O5">
            <v>6.0492681129785841E-2</v>
          </cell>
          <cell r="P5">
            <v>4.5662271347255479E-2</v>
          </cell>
          <cell r="Q5">
            <v>3.2379398916472936E-2</v>
          </cell>
        </row>
        <row r="6">
          <cell r="A6">
            <v>97941.899577425196</v>
          </cell>
          <cell r="B6">
            <v>177349.86879372565</v>
          </cell>
          <cell r="C6">
            <v>301682.28929342289</v>
          </cell>
          <cell r="D6">
            <v>482086.92562158039</v>
          </cell>
          <cell r="E6">
            <v>723698.19041342684</v>
          </cell>
          <cell r="F6">
            <v>1020578.0295496389</v>
          </cell>
          <cell r="G6">
            <v>1352046.2186408993</v>
          </cell>
          <cell r="H6">
            <v>1682648.7057277136</v>
          </cell>
          <cell r="I6">
            <v>1967215.6402895122</v>
          </cell>
          <cell r="J6">
            <v>2160563.7055111164</v>
          </cell>
          <cell r="K6">
            <v>2229147.3596429271</v>
          </cell>
          <cell r="L6">
            <v>2160563.7055111164</v>
          </cell>
          <cell r="M6">
            <v>1967215.6402895122</v>
          </cell>
          <cell r="N6">
            <v>1682648.7057277136</v>
          </cell>
          <cell r="O6">
            <v>1352046.2186408993</v>
          </cell>
          <cell r="P6">
            <v>1020578.0295496389</v>
          </cell>
          <cell r="Q6">
            <v>723698.19041342684</v>
          </cell>
        </row>
      </sheetData>
      <sheetData sheetId="11"/>
      <sheetData sheetId="12">
        <row r="2">
          <cell r="A2">
            <v>1</v>
          </cell>
          <cell r="B2" t="str">
            <v>Project001</v>
          </cell>
        </row>
        <row r="3">
          <cell r="A3">
            <v>2</v>
          </cell>
          <cell r="B3" t="str">
            <v>project002</v>
          </cell>
        </row>
        <row r="4">
          <cell r="A4">
            <v>3</v>
          </cell>
          <cell r="B4" t="str">
            <v>tres</v>
          </cell>
        </row>
        <row r="5">
          <cell r="A5">
            <v>4</v>
          </cell>
          <cell r="B5" t="str">
            <v>test5</v>
          </cell>
        </row>
        <row r="6">
          <cell r="A6">
            <v>5</v>
          </cell>
          <cell r="B6" t="str">
            <v>test6</v>
          </cell>
        </row>
        <row r="7">
          <cell r="A7">
            <v>6</v>
          </cell>
          <cell r="B7" t="str">
            <v>Project66</v>
          </cell>
        </row>
        <row r="8">
          <cell r="A8">
            <v>7</v>
          </cell>
          <cell r="B8" t="str">
            <v>Project77</v>
          </cell>
        </row>
        <row r="9">
          <cell r="A9">
            <v>8</v>
          </cell>
          <cell r="B9">
            <v>8888888</v>
          </cell>
        </row>
        <row r="10">
          <cell r="A10">
            <v>9</v>
          </cell>
          <cell r="B10" t="str">
            <v>nueve</v>
          </cell>
        </row>
        <row r="11">
          <cell r="A11">
            <v>10</v>
          </cell>
          <cell r="B11" t="str">
            <v>hhhhhhhhh</v>
          </cell>
        </row>
        <row r="12">
          <cell r="A12">
            <v>11</v>
          </cell>
          <cell r="B12">
            <v>1111</v>
          </cell>
        </row>
        <row r="13">
          <cell r="A13">
            <v>12</v>
          </cell>
          <cell r="B13" t="str">
            <v>New_Project_01</v>
          </cell>
        </row>
        <row r="14">
          <cell r="A14">
            <v>13</v>
          </cell>
          <cell r="B14" t="str">
            <v>New_Project_02</v>
          </cell>
        </row>
        <row r="15">
          <cell r="A15">
            <v>14</v>
          </cell>
          <cell r="B15" t="str">
            <v>Nuevo14</v>
          </cell>
        </row>
        <row r="16">
          <cell r="A16">
            <v>15</v>
          </cell>
          <cell r="B16" t="str">
            <v>Nuevo15</v>
          </cell>
        </row>
        <row r="17">
          <cell r="A17">
            <v>16</v>
          </cell>
        </row>
      </sheetData>
      <sheetData sheetId="13"/>
      <sheetData sheetId="14"/>
      <sheetData sheetId="15"/>
      <sheetData sheetId="16">
        <row r="2">
          <cell r="A2" t="str">
            <v>'</v>
          </cell>
          <cell r="B2">
            <v>4</v>
          </cell>
          <cell r="C2">
            <v>2018</v>
          </cell>
          <cell r="D2">
            <v>43220</v>
          </cell>
          <cell r="E2">
            <v>6.5336381123998373E-4</v>
          </cell>
          <cell r="F2">
            <v>82242.612851169732</v>
          </cell>
        </row>
        <row r="3">
          <cell r="A3">
            <v>2</v>
          </cell>
          <cell r="B3">
            <v>5</v>
          </cell>
          <cell r="C3">
            <v>2018</v>
          </cell>
          <cell r="D3">
            <v>43251</v>
          </cell>
          <cell r="E3">
            <v>1.1905064839551707E-3</v>
          </cell>
          <cell r="F3">
            <v>149855.81106935453</v>
          </cell>
        </row>
        <row r="4">
          <cell r="A4">
            <v>3</v>
          </cell>
          <cell r="B4">
            <v>6</v>
          </cell>
          <cell r="C4">
            <v>2018</v>
          </cell>
          <cell r="D4">
            <v>43281</v>
          </cell>
          <cell r="E4">
            <v>2.0841869628845182E-3</v>
          </cell>
          <cell r="F4">
            <v>262348.44744868699</v>
          </cell>
        </row>
        <row r="5">
          <cell r="A5">
            <v>4</v>
          </cell>
          <cell r="B5">
            <v>7</v>
          </cell>
          <cell r="C5">
            <v>2018</v>
          </cell>
          <cell r="D5">
            <v>43312</v>
          </cell>
          <cell r="E5">
            <v>3.5056600987137081E-3</v>
          </cell>
          <cell r="F5">
            <v>441277.34246426699</v>
          </cell>
        </row>
        <row r="6">
          <cell r="A6">
            <v>5</v>
          </cell>
          <cell r="B6">
            <v>8</v>
          </cell>
          <cell r="C6">
            <v>2018</v>
          </cell>
          <cell r="D6">
            <v>43343</v>
          </cell>
          <cell r="E6">
            <v>5.6654075483202372E-3</v>
          </cell>
          <cell r="F6">
            <v>713137.01742420916</v>
          </cell>
        </row>
        <row r="7">
          <cell r="A7">
            <v>6</v>
          </cell>
          <cell r="B7">
            <v>9</v>
          </cell>
          <cell r="C7">
            <v>2018</v>
          </cell>
          <cell r="D7">
            <v>43373</v>
          </cell>
          <cell r="E7">
            <v>8.7967191960854393E-3</v>
          </cell>
          <cell r="F7">
            <v>1107292.9947422135</v>
          </cell>
        </row>
        <row r="8">
          <cell r="A8">
            <v>7</v>
          </cell>
          <cell r="B8">
            <v>10</v>
          </cell>
          <cell r="C8">
            <v>2018</v>
          </cell>
          <cell r="D8">
            <v>43404</v>
          </cell>
          <cell r="E8">
            <v>1.3123162954935321E-2</v>
          </cell>
          <cell r="F8">
            <v>1651887.0370815995</v>
          </cell>
        </row>
        <row r="9">
          <cell r="A9">
            <v>8</v>
          </cell>
          <cell r="B9">
            <v>11</v>
          </cell>
          <cell r="C9">
            <v>2018</v>
          </cell>
          <cell r="D9">
            <v>43434</v>
          </cell>
          <cell r="E9">
            <v>1.8809815475377387E-2</v>
          </cell>
          <cell r="F9">
            <v>2367698.2797799842</v>
          </cell>
        </row>
        <row r="10">
          <cell r="A10">
            <v>9</v>
          </cell>
          <cell r="B10">
            <v>12</v>
          </cell>
          <cell r="C10">
            <v>2018</v>
          </cell>
          <cell r="D10">
            <v>43465</v>
          </cell>
          <cell r="E10">
            <v>2.5903519133178347E-2</v>
          </cell>
          <cell r="F10">
            <v>3260623.0386555004</v>
          </cell>
        </row>
        <row r="11">
          <cell r="A11">
            <v>10</v>
          </cell>
          <cell r="B11">
            <v>1</v>
          </cell>
          <cell r="C11">
            <v>2019</v>
          </cell>
          <cell r="D11">
            <v>43496</v>
          </cell>
          <cell r="E11">
            <v>3.427371840956147E-2</v>
          </cell>
          <cell r="F11">
            <v>4314227.5492393756</v>
          </cell>
        </row>
        <row r="12">
          <cell r="A12">
            <v>11</v>
          </cell>
          <cell r="B12">
            <v>2</v>
          </cell>
          <cell r="C12">
            <v>2019</v>
          </cell>
          <cell r="D12">
            <v>43524</v>
          </cell>
          <cell r="E12">
            <v>4.3570435406510108E-2</v>
          </cell>
          <cell r="F12">
            <v>5484458.106263753</v>
          </cell>
        </row>
        <row r="13">
          <cell r="A13">
            <v>12</v>
          </cell>
          <cell r="B13">
            <v>3</v>
          </cell>
          <cell r="C13">
            <v>2019</v>
          </cell>
          <cell r="D13">
            <v>43555</v>
          </cell>
          <cell r="E13">
            <v>5.3217049979750963E-2</v>
          </cell>
          <cell r="F13">
            <v>6698732.2580044493</v>
          </cell>
        </row>
        <row r="14">
          <cell r="A14">
            <v>13</v>
          </cell>
          <cell r="B14">
            <v>4</v>
          </cell>
          <cell r="C14">
            <v>2019</v>
          </cell>
          <cell r="D14">
            <v>43585</v>
          </cell>
          <cell r="E14">
            <v>6.2450786673352257E-2</v>
          </cell>
          <cell r="F14">
            <v>7861035.1266317377</v>
          </cell>
        </row>
        <row r="15">
          <cell r="A15">
            <v>14</v>
          </cell>
          <cell r="B15">
            <v>5</v>
          </cell>
          <cell r="C15">
            <v>2019</v>
          </cell>
          <cell r="D15">
            <v>43616</v>
          </cell>
          <cell r="E15">
            <v>7.0413065352859905E-2</v>
          </cell>
          <cell r="F15">
            <v>8863292.3554321639</v>
          </cell>
        </row>
        <row r="16">
          <cell r="A16">
            <v>15</v>
          </cell>
          <cell r="B16">
            <v>6</v>
          </cell>
          <cell r="C16">
            <v>2019</v>
          </cell>
          <cell r="D16">
            <v>43646</v>
          </cell>
          <cell r="E16">
            <v>7.6277563092104816E-2</v>
          </cell>
          <cell r="F16">
            <v>9601489.9856619835</v>
          </cell>
        </row>
        <row r="17">
          <cell r="A17">
            <v>16</v>
          </cell>
          <cell r="B17">
            <v>7</v>
          </cell>
          <cell r="C17">
            <v>2019</v>
          </cell>
          <cell r="D17">
            <v>43677</v>
          </cell>
          <cell r="E17">
            <v>7.9390509495402356E-2</v>
          </cell>
          <cell r="F17">
            <v>9993334.2253773119</v>
          </cell>
        </row>
        <row r="18">
          <cell r="A18">
            <v>17</v>
          </cell>
          <cell r="B18">
            <v>8</v>
          </cell>
          <cell r="C18">
            <v>2019</v>
          </cell>
          <cell r="D18">
            <v>43708</v>
          </cell>
          <cell r="E18">
            <v>7.9390509495402356E-2</v>
          </cell>
          <cell r="F18">
            <v>9993334.2253773119</v>
          </cell>
        </row>
        <row r="19">
          <cell r="A19">
            <v>18</v>
          </cell>
          <cell r="B19">
            <v>9</v>
          </cell>
          <cell r="C19">
            <v>2019</v>
          </cell>
          <cell r="D19">
            <v>43738</v>
          </cell>
          <cell r="E19">
            <v>7.6277563092104816E-2</v>
          </cell>
          <cell r="F19">
            <v>9601489.9856619835</v>
          </cell>
        </row>
        <row r="20">
          <cell r="A20">
            <v>19</v>
          </cell>
          <cell r="B20">
            <v>10</v>
          </cell>
          <cell r="C20">
            <v>2019</v>
          </cell>
          <cell r="D20">
            <v>43769</v>
          </cell>
          <cell r="E20">
            <v>7.0413065352859905E-2</v>
          </cell>
          <cell r="F20">
            <v>8863292.3554321639</v>
          </cell>
        </row>
        <row r="21">
          <cell r="A21">
            <v>20</v>
          </cell>
          <cell r="B21">
            <v>11</v>
          </cell>
          <cell r="C21">
            <v>2019</v>
          </cell>
          <cell r="D21">
            <v>43799</v>
          </cell>
          <cell r="E21">
            <v>6.2450786673352257E-2</v>
          </cell>
          <cell r="F21">
            <v>7861035.1266317377</v>
          </cell>
        </row>
        <row r="22">
          <cell r="A22">
            <v>21</v>
          </cell>
          <cell r="B22">
            <v>12</v>
          </cell>
          <cell r="C22">
            <v>2019</v>
          </cell>
          <cell r="D22">
            <v>43830</v>
          </cell>
          <cell r="E22">
            <v>5.3217049979750963E-2</v>
          </cell>
          <cell r="F22">
            <v>6698732.2580044493</v>
          </cell>
        </row>
        <row r="23">
          <cell r="A23">
            <v>22</v>
          </cell>
          <cell r="B23">
            <v>1</v>
          </cell>
          <cell r="C23">
            <v>2020</v>
          </cell>
          <cell r="D23">
            <v>43861</v>
          </cell>
          <cell r="E23">
            <v>4.3570435406510108E-2</v>
          </cell>
          <cell r="F23">
            <v>5484458.106263753</v>
          </cell>
        </row>
        <row r="24">
          <cell r="A24">
            <v>23</v>
          </cell>
          <cell r="B24">
            <v>2</v>
          </cell>
          <cell r="C24">
            <v>2020</v>
          </cell>
          <cell r="D24">
            <v>43890</v>
          </cell>
          <cell r="E24">
            <v>3.427371840956147E-2</v>
          </cell>
          <cell r="F24">
            <v>4314227.5492393756</v>
          </cell>
        </row>
        <row r="25">
          <cell r="A25">
            <v>24</v>
          </cell>
          <cell r="B25">
            <v>3</v>
          </cell>
          <cell r="C25">
            <v>2020</v>
          </cell>
          <cell r="D25">
            <v>43921</v>
          </cell>
          <cell r="E25">
            <v>2.5903519133178347E-2</v>
          </cell>
          <cell r="F25">
            <v>3260623.0386555004</v>
          </cell>
        </row>
        <row r="26">
          <cell r="A26">
            <v>25</v>
          </cell>
          <cell r="B26">
            <v>4</v>
          </cell>
          <cell r="C26">
            <v>2020</v>
          </cell>
          <cell r="D26">
            <v>43951</v>
          </cell>
          <cell r="E26">
            <v>1.8809815475377387E-2</v>
          </cell>
          <cell r="F26">
            <v>2367698.2797799842</v>
          </cell>
        </row>
        <row r="27">
          <cell r="A27">
            <v>26</v>
          </cell>
          <cell r="B27">
            <v>5</v>
          </cell>
          <cell r="C27">
            <v>2020</v>
          </cell>
          <cell r="D27">
            <v>43982</v>
          </cell>
          <cell r="E27">
            <v>1.3123162954935321E-2</v>
          </cell>
          <cell r="F27">
            <v>1651887.0370815995</v>
          </cell>
        </row>
        <row r="28">
          <cell r="A28">
            <v>27</v>
          </cell>
          <cell r="B28">
            <v>6</v>
          </cell>
          <cell r="C28">
            <v>2020</v>
          </cell>
          <cell r="D28">
            <v>44012</v>
          </cell>
          <cell r="E28">
            <v>8.7967191960854393E-3</v>
          </cell>
          <cell r="F28">
            <v>1107292.9947422135</v>
          </cell>
        </row>
        <row r="29">
          <cell r="A29">
            <v>28</v>
          </cell>
          <cell r="B29">
            <v>7</v>
          </cell>
          <cell r="C29">
            <v>2020</v>
          </cell>
          <cell r="D29">
            <v>44043</v>
          </cell>
          <cell r="E29">
            <v>5.6654075483202372E-3</v>
          </cell>
          <cell r="F29">
            <v>713137.01742420916</v>
          </cell>
        </row>
        <row r="30">
          <cell r="A30">
            <v>29</v>
          </cell>
          <cell r="B30">
            <v>8</v>
          </cell>
          <cell r="C30">
            <v>2020</v>
          </cell>
          <cell r="D30">
            <v>44074</v>
          </cell>
          <cell r="E30">
            <v>3.5056600987137081E-3</v>
          </cell>
          <cell r="F30">
            <v>441277.34246426699</v>
          </cell>
        </row>
        <row r="31">
          <cell r="A31">
            <v>30</v>
          </cell>
          <cell r="B31">
            <v>9</v>
          </cell>
          <cell r="C31">
            <v>2020</v>
          </cell>
          <cell r="D31">
            <v>44104</v>
          </cell>
          <cell r="E31">
            <v>2.0841869628845182E-3</v>
          </cell>
          <cell r="F31">
            <v>262348.44744868699</v>
          </cell>
        </row>
        <row r="32">
          <cell r="A32">
            <v>31</v>
          </cell>
          <cell r="B32">
            <v>10</v>
          </cell>
          <cell r="C32">
            <v>2020</v>
          </cell>
          <cell r="D32">
            <v>44135</v>
          </cell>
          <cell r="E32">
            <v>1.1905064839551707E-3</v>
          </cell>
          <cell r="F32">
            <v>149855.81106935453</v>
          </cell>
        </row>
        <row r="33">
          <cell r="A33">
            <v>32</v>
          </cell>
          <cell r="B33">
            <v>11</v>
          </cell>
          <cell r="C33">
            <v>2020</v>
          </cell>
          <cell r="D33">
            <v>44165</v>
          </cell>
          <cell r="E33">
            <v>6.5336381123998373E-4</v>
          </cell>
          <cell r="F33">
            <v>82242.612851169732</v>
          </cell>
        </row>
      </sheetData>
      <sheetData sheetId="17"/>
      <sheetData sheetId="18"/>
      <sheetData sheetId="19"/>
      <sheetData sheetId="20"/>
      <sheetData sheetId="21"/>
      <sheetData sheetId="22">
        <row r="6">
          <cell r="B6">
            <v>450</v>
          </cell>
        </row>
      </sheetData>
      <sheetData sheetId="23"/>
      <sheetData sheetId="24"/>
      <sheetData sheetId="25"/>
      <sheetData sheetId="26"/>
      <sheetData sheetId="27"/>
      <sheetData sheetId="28"/>
      <sheetData sheetId="29"/>
      <sheetData sheetId="30">
        <row r="4">
          <cell r="A4">
            <v>2018</v>
          </cell>
          <cell r="B4">
            <v>4</v>
          </cell>
          <cell r="C4" t="str">
            <v>4-2018</v>
          </cell>
          <cell r="D4">
            <v>82242.612851169732</v>
          </cell>
          <cell r="E4">
            <v>0</v>
          </cell>
        </row>
        <row r="5">
          <cell r="A5">
            <v>2018</v>
          </cell>
          <cell r="B5">
            <v>5</v>
          </cell>
          <cell r="C5" t="str">
            <v>5-2018</v>
          </cell>
          <cell r="D5">
            <v>149855.81106935453</v>
          </cell>
          <cell r="E5">
            <v>0</v>
          </cell>
        </row>
        <row r="6">
          <cell r="A6">
            <v>2018</v>
          </cell>
          <cell r="B6">
            <v>6</v>
          </cell>
          <cell r="C6" t="str">
            <v>6-2018</v>
          </cell>
          <cell r="D6">
            <v>262741.15466145758</v>
          </cell>
          <cell r="E6">
            <v>0</v>
          </cell>
          <cell r="F6">
            <v>0</v>
          </cell>
        </row>
        <row r="7">
          <cell r="A7">
            <v>2018</v>
          </cell>
          <cell r="B7">
            <v>7</v>
          </cell>
          <cell r="C7" t="str">
            <v>7-2018</v>
          </cell>
          <cell r="D7">
            <v>443271.67424963909</v>
          </cell>
          <cell r="E7">
            <v>0</v>
          </cell>
        </row>
        <row r="8">
          <cell r="A8">
            <v>2018</v>
          </cell>
          <cell r="B8">
            <v>8</v>
          </cell>
          <cell r="C8" t="str">
            <v>8-2018</v>
          </cell>
          <cell r="D8">
            <v>721024.75264631503</v>
          </cell>
          <cell r="E8">
            <v>0</v>
          </cell>
        </row>
        <row r="9">
          <cell r="A9">
            <v>2018</v>
          </cell>
          <cell r="B9">
            <v>9</v>
          </cell>
          <cell r="C9" t="str">
            <v>9-2018</v>
          </cell>
          <cell r="D9">
            <v>1131588.9296731481</v>
          </cell>
          <cell r="E9">
            <v>0</v>
          </cell>
        </row>
        <row r="10">
          <cell r="A10">
            <v>2018</v>
          </cell>
          <cell r="B10">
            <v>10</v>
          </cell>
          <cell r="C10" t="str">
            <v>10-2018</v>
          </cell>
          <cell r="D10">
            <v>1710169.9551312507</v>
          </cell>
          <cell r="E10">
            <v>0</v>
          </cell>
        </row>
        <row r="11">
          <cell r="A11">
            <v>2018</v>
          </cell>
          <cell r="B11">
            <v>11</v>
          </cell>
          <cell r="C11" t="str">
            <v>11-2018</v>
          </cell>
          <cell r="D11">
            <v>2476585.1058135987</v>
          </cell>
          <cell r="E11">
            <v>0</v>
          </cell>
        </row>
        <row r="12">
          <cell r="A12">
            <v>2018</v>
          </cell>
          <cell r="B12">
            <v>12</v>
          </cell>
          <cell r="C12" t="str">
            <v>12-2018</v>
          </cell>
          <cell r="D12">
            <v>3419052.435699435</v>
          </cell>
          <cell r="E12">
            <v>0</v>
          </cell>
        </row>
        <row r="13">
          <cell r="A13">
            <v>2019</v>
          </cell>
          <cell r="B13">
            <v>1</v>
          </cell>
          <cell r="C13" t="str">
            <v>1-2019</v>
          </cell>
          <cell r="D13">
            <v>4493751.5754200201</v>
          </cell>
          <cell r="E13">
            <v>0</v>
          </cell>
        </row>
        <row r="14">
          <cell r="A14">
            <v>2019</v>
          </cell>
          <cell r="B14">
            <v>2</v>
          </cell>
          <cell r="C14" t="str">
            <v>2-2019</v>
          </cell>
          <cell r="D14">
            <v>5642887.503307688</v>
          </cell>
          <cell r="E14">
            <v>0</v>
          </cell>
        </row>
        <row r="15">
          <cell r="A15">
            <v>2019</v>
          </cell>
          <cell r="B15">
            <v>3</v>
          </cell>
          <cell r="C15" t="str">
            <v>3-2019</v>
          </cell>
          <cell r="D15">
            <v>6807619.0840380639</v>
          </cell>
          <cell r="E15">
            <v>0</v>
          </cell>
        </row>
        <row r="16">
          <cell r="A16">
            <v>2019</v>
          </cell>
          <cell r="B16">
            <v>4</v>
          </cell>
          <cell r="C16" t="str">
            <v>4-2019</v>
          </cell>
          <cell r="D16">
            <v>7919318.0446813889</v>
          </cell>
          <cell r="E16">
            <v>0</v>
          </cell>
        </row>
        <row r="17">
          <cell r="A17">
            <v>2019</v>
          </cell>
          <cell r="B17">
            <v>5</v>
          </cell>
          <cell r="C17" t="str">
            <v>5-2019</v>
          </cell>
          <cell r="D17">
            <v>8887588.2903630994</v>
          </cell>
          <cell r="E17">
            <v>0</v>
          </cell>
        </row>
        <row r="18">
          <cell r="A18">
            <v>2019</v>
          </cell>
          <cell r="B18">
            <v>6</v>
          </cell>
          <cell r="C18" t="str">
            <v>6-2019</v>
          </cell>
          <cell r="D18">
            <v>9609377.7208840884</v>
          </cell>
          <cell r="E18">
            <v>0</v>
          </cell>
        </row>
        <row r="19">
          <cell r="A19">
            <v>2019</v>
          </cell>
          <cell r="B19">
            <v>7</v>
          </cell>
          <cell r="C19" t="str">
            <v>7-2019</v>
          </cell>
          <cell r="D19">
            <v>9995328.5571626835</v>
          </cell>
          <cell r="E19">
            <v>0</v>
          </cell>
        </row>
        <row r="20">
          <cell r="A20">
            <v>2019</v>
          </cell>
          <cell r="B20">
            <v>8</v>
          </cell>
          <cell r="C20" t="str">
            <v>8-2019</v>
          </cell>
          <cell r="D20">
            <v>9993334.2253773119</v>
          </cell>
          <cell r="E20">
            <v>0</v>
          </cell>
        </row>
        <row r="21">
          <cell r="A21">
            <v>2019</v>
          </cell>
          <cell r="B21">
            <v>9</v>
          </cell>
          <cell r="C21" t="str">
            <v>9-2019</v>
          </cell>
          <cell r="D21">
            <v>9601489.9856619835</v>
          </cell>
          <cell r="E21">
            <v>0</v>
          </cell>
        </row>
        <row r="22">
          <cell r="A22">
            <v>2019</v>
          </cell>
          <cell r="B22">
            <v>10</v>
          </cell>
          <cell r="C22" t="str">
            <v>10-2019</v>
          </cell>
          <cell r="D22">
            <v>8863292.3554321639</v>
          </cell>
          <cell r="E22">
            <v>0</v>
          </cell>
        </row>
        <row r="23">
          <cell r="A23">
            <v>2019</v>
          </cell>
          <cell r="B23">
            <v>11</v>
          </cell>
          <cell r="C23" t="str">
            <v>11-2019</v>
          </cell>
          <cell r="D23">
            <v>7861035.1266317377</v>
          </cell>
          <cell r="E23">
            <v>0</v>
          </cell>
        </row>
        <row r="24">
          <cell r="A24">
            <v>2019</v>
          </cell>
          <cell r="B24">
            <v>12</v>
          </cell>
          <cell r="C24" t="str">
            <v>12-2019</v>
          </cell>
          <cell r="D24">
            <v>6698732.2580044493</v>
          </cell>
          <cell r="E24">
            <v>0</v>
          </cell>
        </row>
        <row r="25">
          <cell r="A25">
            <v>2020</v>
          </cell>
          <cell r="B25">
            <v>1</v>
          </cell>
          <cell r="C25" t="str">
            <v>1-2020</v>
          </cell>
          <cell r="D25">
            <v>5484458.106263753</v>
          </cell>
          <cell r="E25">
            <v>0</v>
          </cell>
        </row>
        <row r="26">
          <cell r="A26">
            <v>2020</v>
          </cell>
          <cell r="B26">
            <v>2</v>
          </cell>
          <cell r="C26" t="str">
            <v>2-2020</v>
          </cell>
          <cell r="D26">
            <v>4314227.5492393756</v>
          </cell>
          <cell r="E26">
            <v>0</v>
          </cell>
        </row>
        <row r="27">
          <cell r="A27">
            <v>2020</v>
          </cell>
          <cell r="B27">
            <v>3</v>
          </cell>
          <cell r="C27" t="str">
            <v>3-2020</v>
          </cell>
          <cell r="D27">
            <v>3260623.0386555004</v>
          </cell>
          <cell r="E27">
            <v>0</v>
          </cell>
        </row>
        <row r="28">
          <cell r="A28">
            <v>2020</v>
          </cell>
          <cell r="B28">
            <v>4</v>
          </cell>
          <cell r="C28" t="str">
            <v>4-2020</v>
          </cell>
          <cell r="D28">
            <v>2367698.2797799842</v>
          </cell>
          <cell r="E28">
            <v>0</v>
          </cell>
        </row>
        <row r="29">
          <cell r="A29">
            <v>2020</v>
          </cell>
          <cell r="B29">
            <v>5</v>
          </cell>
          <cell r="C29" t="str">
            <v>5-2020</v>
          </cell>
          <cell r="D29">
            <v>1651887.0370815995</v>
          </cell>
          <cell r="E29">
            <v>0</v>
          </cell>
        </row>
        <row r="30">
          <cell r="A30">
            <v>2020</v>
          </cell>
          <cell r="B30">
            <v>6</v>
          </cell>
          <cell r="C30" t="str">
            <v>6-2020</v>
          </cell>
          <cell r="D30">
            <v>1107292.9947422135</v>
          </cell>
          <cell r="E30">
            <v>0</v>
          </cell>
        </row>
        <row r="31">
          <cell r="A31">
            <v>2020</v>
          </cell>
          <cell r="B31">
            <v>7</v>
          </cell>
          <cell r="C31" t="str">
            <v>7-2020</v>
          </cell>
          <cell r="D31">
            <v>713137.01742420916</v>
          </cell>
          <cell r="E31">
            <v>0</v>
          </cell>
        </row>
        <row r="32">
          <cell r="A32">
            <v>2020</v>
          </cell>
          <cell r="B32">
            <v>8</v>
          </cell>
          <cell r="C32" t="str">
            <v>8-2020</v>
          </cell>
          <cell r="D32">
            <v>441277.34246426699</v>
          </cell>
          <cell r="E32">
            <v>0</v>
          </cell>
        </row>
        <row r="33">
          <cell r="A33">
            <v>2020</v>
          </cell>
          <cell r="B33">
            <v>9</v>
          </cell>
          <cell r="C33" t="str">
            <v>9-2020</v>
          </cell>
          <cell r="D33">
            <v>262348.44744868699</v>
          </cell>
          <cell r="E33">
            <v>0</v>
          </cell>
        </row>
        <row r="34">
          <cell r="A34">
            <v>2020</v>
          </cell>
          <cell r="B34">
            <v>10</v>
          </cell>
          <cell r="C34" t="str">
            <v>10-2020</v>
          </cell>
          <cell r="D34">
            <v>149855.81106935453</v>
          </cell>
          <cell r="E34">
            <v>0</v>
          </cell>
        </row>
        <row r="35">
          <cell r="A35">
            <v>2020</v>
          </cell>
          <cell r="B35">
            <v>11</v>
          </cell>
          <cell r="C35" t="str">
            <v>11-2020</v>
          </cell>
          <cell r="D35">
            <v>82242.612851169732</v>
          </cell>
          <cell r="E35">
            <v>0</v>
          </cell>
        </row>
        <row r="36">
          <cell r="A36">
            <v>2020</v>
          </cell>
          <cell r="B36">
            <v>12</v>
          </cell>
          <cell r="C36" t="str">
            <v>12-2020</v>
          </cell>
          <cell r="D36">
            <v>0</v>
          </cell>
          <cell r="E36">
            <v>0</v>
          </cell>
        </row>
        <row r="37">
          <cell r="A37">
            <v>2021</v>
          </cell>
          <cell r="B37">
            <v>1</v>
          </cell>
          <cell r="C37" t="str">
            <v>1-2021</v>
          </cell>
          <cell r="D37">
            <v>0</v>
          </cell>
          <cell r="E37">
            <v>0</v>
          </cell>
        </row>
        <row r="38">
          <cell r="A38">
            <v>1900</v>
          </cell>
          <cell r="B38">
            <v>1</v>
          </cell>
          <cell r="C38" t="str">
            <v>1-1900</v>
          </cell>
          <cell r="D38">
            <v>0</v>
          </cell>
          <cell r="E38">
            <v>0</v>
          </cell>
        </row>
        <row r="39">
          <cell r="A39" t="str">
            <v>Grand Total</v>
          </cell>
          <cell r="B39">
            <v>0</v>
          </cell>
          <cell r="D39">
            <v>126605335.39578018</v>
          </cell>
          <cell r="E39">
            <v>0</v>
          </cell>
        </row>
        <row r="40">
          <cell r="B40">
            <v>0</v>
          </cell>
          <cell r="D40">
            <v>0</v>
          </cell>
          <cell r="E40">
            <v>0</v>
          </cell>
        </row>
      </sheetData>
      <sheetData sheetId="31"/>
      <sheetData sheetId="32">
        <row r="1">
          <cell r="A1" t="str">
            <v>datos01</v>
          </cell>
        </row>
        <row r="2">
          <cell r="A2" t="str">
            <v>datos02</v>
          </cell>
        </row>
        <row r="3">
          <cell r="A3" t="str">
            <v>name05</v>
          </cell>
        </row>
        <row r="4">
          <cell r="A4" t="str">
            <v>New_Project_02</v>
          </cell>
        </row>
        <row r="5">
          <cell r="A5" t="str">
            <v>Nuevo14</v>
          </cell>
        </row>
        <row r="6">
          <cell r="A6" t="str">
            <v>P01_14_test56</v>
          </cell>
        </row>
        <row r="7">
          <cell r="A7" t="str">
            <v>P01_15_free01</v>
          </cell>
        </row>
        <row r="8">
          <cell r="A8" t="str">
            <v>PJ_15_6.5_1_free</v>
          </cell>
        </row>
        <row r="9">
          <cell r="A9" t="str">
            <v>plan07</v>
          </cell>
        </row>
        <row r="10">
          <cell r="A10" t="str">
            <v>venga23</v>
          </cell>
        </row>
        <row r="11">
          <cell r="A11" t="str">
            <v>vengahombr88888</v>
          </cell>
        </row>
        <row r="12">
          <cell r="A12" t="str">
            <v>vengahombre</v>
          </cell>
        </row>
        <row r="13">
          <cell r="A13" t="str">
            <v>vengahombre333</v>
          </cell>
        </row>
        <row r="14">
          <cell r="A14" t="str">
            <v>vengahombre33377</v>
          </cell>
        </row>
      </sheetData>
      <sheetData sheetId="33"/>
      <sheetData sheetId="34"/>
      <sheetData sheetId="35"/>
      <sheetData sheetId="36"/>
      <sheetData sheetId="37"/>
      <sheetData sheetId="38"/>
      <sheetData sheetId="39"/>
      <sheetData sheetId="40" refreshError="1"/>
    </sheetDataSet>
  </externalBook>
</externalLink>
</file>

<file path=xl/tables/table1.xml><?xml version="1.0" encoding="utf-8"?>
<table xmlns="http://schemas.openxmlformats.org/spreadsheetml/2006/main" id="1" name="Table1" displayName="Table1" ref="G12:M327" totalsRowShown="0" headerRowDxfId="3">
  <tableColumns count="7">
    <tableColumn id="1" name="index"/>
    <tableColumn id="2" name="date" dataDxfId="2"/>
    <tableColumn id="3" name="day"/>
    <tableColumn id="4" name="month"/>
    <tableColumn id="5" name="year"/>
    <tableColumn id="6" name="week" dataDxfId="0">
      <calculatedColumnFormula>WEEKDAY(Table1[[#This Row],[date]])</calculatedColumnFormula>
    </tableColumn>
    <tableColumn id="7" name="weekday" dataDxfId="1">
      <calculatedColumnFormula>WEEKDAY(Table1[[#This Row],[date]])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18" Type="http://schemas.openxmlformats.org/officeDocument/2006/relationships/control" Target="../activeX/activeX20.xml"/><Relationship Id="rId26" Type="http://schemas.openxmlformats.org/officeDocument/2006/relationships/control" Target="../activeX/activeX24.xml"/><Relationship Id="rId39" Type="http://schemas.openxmlformats.org/officeDocument/2006/relationships/image" Target="../media/image30.emf"/><Relationship Id="rId3" Type="http://schemas.openxmlformats.org/officeDocument/2006/relationships/vmlDrawing" Target="../drawings/vmlDrawing2.vml"/><Relationship Id="rId21" Type="http://schemas.openxmlformats.org/officeDocument/2006/relationships/image" Target="../media/image21.emf"/><Relationship Id="rId34" Type="http://schemas.openxmlformats.org/officeDocument/2006/relationships/control" Target="../activeX/activeX28.xml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17" Type="http://schemas.openxmlformats.org/officeDocument/2006/relationships/image" Target="../media/image19.emf"/><Relationship Id="rId25" Type="http://schemas.openxmlformats.org/officeDocument/2006/relationships/image" Target="../media/image23.emf"/><Relationship Id="rId33" Type="http://schemas.openxmlformats.org/officeDocument/2006/relationships/image" Target="../media/image27.emf"/><Relationship Id="rId38" Type="http://schemas.openxmlformats.org/officeDocument/2006/relationships/control" Target="../activeX/activeX30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9.xml"/><Relationship Id="rId20" Type="http://schemas.openxmlformats.org/officeDocument/2006/relationships/control" Target="../activeX/activeX21.xml"/><Relationship Id="rId29" Type="http://schemas.openxmlformats.org/officeDocument/2006/relationships/image" Target="../media/image25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24" Type="http://schemas.openxmlformats.org/officeDocument/2006/relationships/control" Target="../activeX/activeX23.xml"/><Relationship Id="rId32" Type="http://schemas.openxmlformats.org/officeDocument/2006/relationships/control" Target="../activeX/activeX27.xml"/><Relationship Id="rId37" Type="http://schemas.openxmlformats.org/officeDocument/2006/relationships/image" Target="../media/image29.emf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23" Type="http://schemas.openxmlformats.org/officeDocument/2006/relationships/image" Target="../media/image22.emf"/><Relationship Id="rId28" Type="http://schemas.openxmlformats.org/officeDocument/2006/relationships/control" Target="../activeX/activeX25.xml"/><Relationship Id="rId36" Type="http://schemas.openxmlformats.org/officeDocument/2006/relationships/control" Target="../activeX/activeX29.xml"/><Relationship Id="rId10" Type="http://schemas.openxmlformats.org/officeDocument/2006/relationships/control" Target="../activeX/activeX16.xml"/><Relationship Id="rId19" Type="http://schemas.openxmlformats.org/officeDocument/2006/relationships/image" Target="../media/image20.emf"/><Relationship Id="rId31" Type="http://schemas.openxmlformats.org/officeDocument/2006/relationships/image" Target="../media/image26.emf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Relationship Id="rId14" Type="http://schemas.openxmlformats.org/officeDocument/2006/relationships/control" Target="../activeX/activeX18.xml"/><Relationship Id="rId22" Type="http://schemas.openxmlformats.org/officeDocument/2006/relationships/control" Target="../activeX/activeX22.xml"/><Relationship Id="rId27" Type="http://schemas.openxmlformats.org/officeDocument/2006/relationships/image" Target="../media/image24.emf"/><Relationship Id="rId30" Type="http://schemas.openxmlformats.org/officeDocument/2006/relationships/control" Target="../activeX/activeX26.xml"/><Relationship Id="rId35" Type="http://schemas.openxmlformats.org/officeDocument/2006/relationships/image" Target="../media/image28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3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5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2.xml"/><Relationship Id="rId11" Type="http://schemas.openxmlformats.org/officeDocument/2006/relationships/table" Target="../tables/table1.xml"/><Relationship Id="rId5" Type="http://schemas.openxmlformats.org/officeDocument/2006/relationships/image" Target="../media/image34.emf"/><Relationship Id="rId10" Type="http://schemas.openxmlformats.org/officeDocument/2006/relationships/image" Target="../media/image36.emf"/><Relationship Id="rId4" Type="http://schemas.openxmlformats.org/officeDocument/2006/relationships/control" Target="../activeX/activeX31.xml"/><Relationship Id="rId9" Type="http://schemas.openxmlformats.org/officeDocument/2006/relationships/control" Target="../activeX/activeX3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37.emf"/><Relationship Id="rId4" Type="http://schemas.openxmlformats.org/officeDocument/2006/relationships/control" Target="../activeX/activeX3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G13"/>
  <sheetViews>
    <sheetView workbookViewId="0">
      <pane ySplit="4" topLeftCell="A5" activePane="bottomLeft" state="frozen"/>
      <selection pane="bottomLeft" activeCell="AJ2" sqref="AJ2"/>
    </sheetView>
  </sheetViews>
  <sheetFormatPr defaultRowHeight="14.4" x14ac:dyDescent="0.3"/>
  <cols>
    <col min="1" max="1" width="2.21875" customWidth="1"/>
    <col min="2" max="2" width="6.33203125" customWidth="1"/>
    <col min="3" max="4" width="2.21875" customWidth="1"/>
    <col min="5" max="5" width="6.33203125" customWidth="1"/>
    <col min="6" max="7" width="2.21875" customWidth="1"/>
    <col min="8" max="8" width="6.33203125" customWidth="1"/>
    <col min="9" max="10" width="2.21875" customWidth="1"/>
    <col min="11" max="11" width="6.33203125" customWidth="1"/>
    <col min="12" max="13" width="2.21875" customWidth="1"/>
    <col min="14" max="14" width="6.33203125" customWidth="1"/>
    <col min="15" max="16" width="2.21875" customWidth="1"/>
    <col min="17" max="17" width="6.33203125" customWidth="1"/>
    <col min="18" max="19" width="2.21875" customWidth="1"/>
    <col min="20" max="20" width="6.33203125" customWidth="1"/>
    <col min="21" max="21" width="2.21875" customWidth="1"/>
    <col min="32" max="32" width="2.21875" customWidth="1"/>
  </cols>
  <sheetData>
    <row r="1" spans="1:33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22" t="s">
        <v>2</v>
      </c>
      <c r="Z1" s="28"/>
      <c r="AA1" s="29"/>
      <c r="AB1" s="5"/>
      <c r="AC1" s="25" t="s">
        <v>3</v>
      </c>
      <c r="AD1" s="29"/>
      <c r="AE1" s="29"/>
      <c r="AF1" s="5"/>
      <c r="AG1" s="6" t="s">
        <v>1</v>
      </c>
    </row>
    <row r="2" spans="1:33" ht="31.8" customHeight="1" x14ac:dyDescent="0.3">
      <c r="A2" s="1"/>
      <c r="B2" s="2"/>
      <c r="C2" s="1"/>
      <c r="D2" s="1"/>
      <c r="E2" s="2"/>
      <c r="F2" s="1"/>
      <c r="G2" s="1"/>
      <c r="H2" s="3" t="s">
        <v>0</v>
      </c>
      <c r="I2" s="1"/>
      <c r="J2" s="1"/>
      <c r="K2" s="2"/>
      <c r="L2" s="1"/>
      <c r="M2" s="1"/>
      <c r="N2" s="2"/>
      <c r="O2" s="1"/>
      <c r="P2" s="1"/>
      <c r="Q2" s="2"/>
      <c r="R2" s="1"/>
      <c r="S2" s="1"/>
      <c r="T2" s="2"/>
      <c r="U2" s="1"/>
      <c r="V2" s="1"/>
      <c r="W2" s="1"/>
      <c r="X2" s="1"/>
      <c r="Y2" s="23"/>
      <c r="Z2" s="28"/>
      <c r="AA2" s="29"/>
      <c r="AB2" s="5"/>
      <c r="AC2" s="26"/>
      <c r="AD2" s="29"/>
      <c r="AE2" s="29"/>
      <c r="AF2" s="5"/>
      <c r="AG2" s="5"/>
    </row>
    <row r="3" spans="1:33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23"/>
      <c r="Z3" s="28"/>
      <c r="AA3" s="29"/>
      <c r="AB3" s="4"/>
      <c r="AC3" s="26"/>
      <c r="AD3" s="29"/>
      <c r="AE3" s="29"/>
      <c r="AF3" s="4"/>
      <c r="AG3" s="5"/>
    </row>
    <row r="4" spans="1:33" ht="15.6" customHeight="1" thickBot="1" x14ac:dyDescent="0.3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24"/>
      <c r="Z4" s="28"/>
      <c r="AA4" s="29"/>
      <c r="AB4" s="4"/>
      <c r="AC4" s="27"/>
      <c r="AD4" s="29"/>
      <c r="AE4" s="29"/>
      <c r="AF4" s="4"/>
      <c r="AG4" s="5"/>
    </row>
    <row r="5" spans="1:33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4"/>
      <c r="Z5" s="4"/>
      <c r="AA5" s="4"/>
      <c r="AB5" s="4"/>
      <c r="AC5" s="4"/>
      <c r="AD5" s="4"/>
      <c r="AE5" s="4"/>
      <c r="AF5" s="4"/>
      <c r="AG5" s="5"/>
    </row>
    <row r="6" spans="1:33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</row>
    <row r="7" spans="1:33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</row>
    <row r="8" spans="1:33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</row>
    <row r="9" spans="1:33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</row>
    <row r="10" spans="1:33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</row>
    <row r="11" spans="1:33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</row>
    <row r="12" spans="1:33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</row>
    <row r="13" spans="1:33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</row>
  </sheetData>
  <mergeCells count="4">
    <mergeCell ref="Y1:Y4"/>
    <mergeCell ref="AC1:AC4"/>
    <mergeCell ref="Z1:AA4"/>
    <mergeCell ref="AD1:AE4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7" r:id="rId4" name="CommandButton8">
          <controlPr autoLine="0" r:id="rId5">
            <anchor moveWithCells="1">
              <from>
                <xdr:col>33</xdr:col>
                <xdr:colOff>381000</xdr:colOff>
                <xdr:row>0</xdr:row>
                <xdr:rowOff>99060</xdr:rowOff>
              </from>
              <to>
                <xdr:col>35</xdr:col>
                <xdr:colOff>76200</xdr:colOff>
                <xdr:row>1</xdr:row>
                <xdr:rowOff>220980</xdr:rowOff>
              </to>
            </anchor>
          </controlPr>
        </control>
      </mc:Choice>
      <mc:Fallback>
        <control shapeId="1037" r:id="rId4" name="CommandButton8"/>
      </mc:Fallback>
    </mc:AlternateContent>
    <mc:AlternateContent xmlns:mc="http://schemas.openxmlformats.org/markup-compatibility/2006">
      <mc:Choice Requires="x14">
        <control shapeId="1025" r:id="rId6" name="CommandButton1">
          <controlPr autoLine="0" r:id="rId7">
            <anchor moveWithCells="1">
              <from>
                <xdr:col>22</xdr:col>
                <xdr:colOff>0</xdr:colOff>
                <xdr:row>1</xdr:row>
                <xdr:rowOff>0</xdr:rowOff>
              </from>
              <to>
                <xdr:col>23</xdr:col>
                <xdr:colOff>304800</xdr:colOff>
                <xdr:row>1</xdr:row>
                <xdr:rowOff>304800</xdr:rowOff>
              </to>
            </anchor>
          </controlPr>
        </control>
      </mc:Choice>
      <mc:Fallback>
        <control shapeId="1025" r:id="rId6" name="CommandButton1"/>
      </mc:Fallback>
    </mc:AlternateContent>
    <mc:AlternateContent xmlns:mc="http://schemas.openxmlformats.org/markup-compatibility/2006">
      <mc:Choice Requires="x14">
        <control shapeId="1027" r:id="rId8" name="ToggleButton1">
          <controlPr defaultSize="0" autoLine="0" r:id="rId9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7" r:id="rId8" name="ToggleButton1"/>
      </mc:Fallback>
    </mc:AlternateContent>
    <mc:AlternateContent xmlns:mc="http://schemas.openxmlformats.org/markup-compatibility/2006">
      <mc:Choice Requires="x14">
        <control shapeId="1028" r:id="rId10" name="CommandButton3">
          <controlPr defaultSize="0" autoLine="0" r:id="rId11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5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8" r:id="rId10" name="CommandButton3"/>
      </mc:Fallback>
    </mc:AlternateContent>
    <mc:AlternateContent xmlns:mc="http://schemas.openxmlformats.org/markup-compatibility/2006">
      <mc:Choice Requires="x14">
        <control shapeId="1029" r:id="rId12" name="CommandButton4">
          <controlPr defaultSize="0" autoFill="0" autoLine="0" r:id="rId13">
            <anchor moveWithCells="1">
              <from>
                <xdr:col>7</xdr:col>
                <xdr:colOff>0</xdr:colOff>
                <xdr:row>1</xdr:row>
                <xdr:rowOff>0</xdr:rowOff>
              </from>
              <to>
                <xdr:col>8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9" r:id="rId12" name="CommandButton4"/>
      </mc:Fallback>
    </mc:AlternateContent>
    <mc:AlternateContent xmlns:mc="http://schemas.openxmlformats.org/markup-compatibility/2006">
      <mc:Choice Requires="x14">
        <control shapeId="1030" r:id="rId14" name="ListBox1">
          <controlPr autoLine="0" r:id="rId15">
            <anchor moveWithCells="1" sizeWithCells="1">
              <from>
                <xdr:col>25</xdr:col>
                <xdr:colOff>0</xdr:colOff>
                <xdr:row>0</xdr:row>
                <xdr:rowOff>0</xdr:rowOff>
              </from>
              <to>
                <xdr:col>27</xdr:col>
                <xdr:colOff>0</xdr:colOff>
                <xdr:row>1</xdr:row>
                <xdr:rowOff>342900</xdr:rowOff>
              </to>
            </anchor>
          </controlPr>
        </control>
      </mc:Choice>
      <mc:Fallback>
        <control shapeId="1030" r:id="rId14" name="ListBox1"/>
      </mc:Fallback>
    </mc:AlternateContent>
    <mc:AlternateContent xmlns:mc="http://schemas.openxmlformats.org/markup-compatibility/2006">
      <mc:Choice Requires="x14">
        <control shapeId="1031" r:id="rId16" name="CommandButton5">
          <controlPr defaultSize="0" autoLine="0" r:id="rId17">
            <anchor moveWithCells="1">
              <from>
                <xdr:col>10</xdr:col>
                <xdr:colOff>0</xdr:colOff>
                <xdr:row>1</xdr:row>
                <xdr:rowOff>0</xdr:rowOff>
              </from>
              <to>
                <xdr:col>11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31" r:id="rId16" name="CommandButton5"/>
      </mc:Fallback>
    </mc:AlternateContent>
    <mc:AlternateContent xmlns:mc="http://schemas.openxmlformats.org/markup-compatibility/2006">
      <mc:Choice Requires="x14">
        <control shapeId="1032" r:id="rId18" name="ProgressBar21">
          <controlPr autoLine="0" autoPict="0" r:id="rId19">
            <anchor moveWithCells="1">
              <from>
                <xdr:col>0</xdr:col>
                <xdr:colOff>0</xdr:colOff>
                <xdr:row>5</xdr:row>
                <xdr:rowOff>30480</xdr:rowOff>
              </from>
              <to>
                <xdr:col>35</xdr:col>
                <xdr:colOff>457200</xdr:colOff>
                <xdr:row>6</xdr:row>
                <xdr:rowOff>30480</xdr:rowOff>
              </to>
            </anchor>
          </controlPr>
        </control>
      </mc:Choice>
      <mc:Fallback>
        <control shapeId="1032" r:id="rId18" name="ProgressBar21"/>
      </mc:Fallback>
    </mc:AlternateContent>
    <mc:AlternateContent xmlns:mc="http://schemas.openxmlformats.org/markup-compatibility/2006">
      <mc:Choice Requires="x14">
        <control shapeId="1033" r:id="rId20" name="CommandButton6">
          <controlPr autoLine="0" r:id="rId21">
            <anchor moveWithCells="1">
              <from>
                <xdr:col>13</xdr:col>
                <xdr:colOff>0</xdr:colOff>
                <xdr:row>1</xdr:row>
                <xdr:rowOff>0</xdr:rowOff>
              </from>
              <to>
                <xdr:col>14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33" r:id="rId20" name="CommandButton6"/>
      </mc:Fallback>
    </mc:AlternateContent>
    <mc:AlternateContent xmlns:mc="http://schemas.openxmlformats.org/markup-compatibility/2006">
      <mc:Choice Requires="x14">
        <control shapeId="1034" r:id="rId22" name="ListBox2">
          <controlPr autoLine="0" r:id="rId23">
            <anchor moveWithCells="1" sizeWithCells="1">
              <from>
                <xdr:col>29</xdr:col>
                <xdr:colOff>0</xdr:colOff>
                <xdr:row>0</xdr:row>
                <xdr:rowOff>0</xdr:rowOff>
              </from>
              <to>
                <xdr:col>31</xdr:col>
                <xdr:colOff>0</xdr:colOff>
                <xdr:row>1</xdr:row>
                <xdr:rowOff>320040</xdr:rowOff>
              </to>
            </anchor>
          </controlPr>
        </control>
      </mc:Choice>
      <mc:Fallback>
        <control shapeId="1034" r:id="rId22" name="ListBox2"/>
      </mc:Fallback>
    </mc:AlternateContent>
    <mc:AlternateContent xmlns:mc="http://schemas.openxmlformats.org/markup-compatibility/2006">
      <mc:Choice Requires="x14">
        <control shapeId="1035" r:id="rId24" name="CommandButton2">
          <controlPr defaultSize="0" autoLine="0" r:id="rId25">
            <anchor moveWithCells="1">
              <from>
                <xdr:col>32</xdr:col>
                <xdr:colOff>0</xdr:colOff>
                <xdr:row>0</xdr:row>
                <xdr:rowOff>0</xdr:rowOff>
              </from>
              <to>
                <xdr:col>33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1035" r:id="rId24" name="CommandButton2"/>
      </mc:Fallback>
    </mc:AlternateContent>
    <mc:AlternateContent xmlns:mc="http://schemas.openxmlformats.org/markup-compatibility/2006">
      <mc:Choice Requires="x14">
        <control shapeId="1036" r:id="rId26" name="CommandButton7">
          <controlPr autoLine="0" r:id="rId27">
            <anchor moveWithCells="1">
              <from>
                <xdr:col>33</xdr:col>
                <xdr:colOff>320040</xdr:colOff>
                <xdr:row>1</xdr:row>
                <xdr:rowOff>365760</xdr:rowOff>
              </from>
              <to>
                <xdr:col>35</xdr:col>
                <xdr:colOff>15240</xdr:colOff>
                <xdr:row>3</xdr:row>
                <xdr:rowOff>83820</xdr:rowOff>
              </to>
            </anchor>
          </controlPr>
        </control>
      </mc:Choice>
      <mc:Fallback>
        <control shapeId="1036" r:id="rId26" name="CommandButton7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6"/>
  <dimension ref="B1:AE11"/>
  <sheetViews>
    <sheetView showGridLines="0" showRowColHeaders="0" topLeftCell="A2" workbookViewId="0">
      <selection activeCell="U11" sqref="U11"/>
    </sheetView>
  </sheetViews>
  <sheetFormatPr defaultRowHeight="14.4" customHeight="1" zeroHeight="1" x14ac:dyDescent="0.3"/>
  <cols>
    <col min="1" max="1" width="3.6640625" style="7" customWidth="1"/>
    <col min="2" max="2" width="8.88671875" style="7"/>
    <col min="3" max="3" width="1.44140625" style="7" customWidth="1"/>
    <col min="4" max="4" width="5.21875" style="7" customWidth="1"/>
    <col min="5" max="5" width="6.6640625" style="7" customWidth="1"/>
    <col min="6" max="6" width="1.88671875" style="7" customWidth="1"/>
    <col min="7" max="7" width="7.44140625" style="7" customWidth="1"/>
    <col min="8" max="8" width="1.5546875" style="7" customWidth="1"/>
    <col min="9" max="9" width="7.44140625" style="7" customWidth="1"/>
    <col min="10" max="10" width="1.44140625" style="7" customWidth="1"/>
    <col min="11" max="11" width="4.109375" style="7" customWidth="1"/>
    <col min="12" max="12" width="8.88671875" style="7"/>
    <col min="13" max="13" width="1.44140625" style="7" customWidth="1"/>
    <col min="14" max="15" width="8.88671875" style="7" customWidth="1"/>
    <col min="16" max="16" width="7.6640625" style="7" customWidth="1"/>
    <col min="17" max="17" width="1.77734375" style="7" customWidth="1"/>
    <col min="18" max="18" width="4.21875" style="7" customWidth="1"/>
    <col min="19" max="19" width="1.44140625" style="7" customWidth="1"/>
    <col min="20" max="20" width="6.109375" style="7" customWidth="1"/>
    <col min="21" max="21" width="8.88671875" style="7"/>
    <col min="22" max="22" width="1.44140625" style="7" customWidth="1"/>
    <col min="23" max="27" width="8.88671875" style="7" customWidth="1"/>
    <col min="28" max="28" width="3.109375" style="7" customWidth="1"/>
    <col min="29" max="30" width="8.88671875" style="7" customWidth="1"/>
    <col min="31" max="31" width="1.44140625" style="7" customWidth="1"/>
    <col min="32" max="16384" width="8.88671875" style="7"/>
  </cols>
  <sheetData>
    <row r="1" spans="2:31" x14ac:dyDescent="0.3"/>
    <row r="2" spans="2:31" ht="6" customHeight="1" x14ac:dyDescent="0.3">
      <c r="B2" s="30" t="s">
        <v>4</v>
      </c>
      <c r="C2" s="8"/>
      <c r="D2" s="8"/>
      <c r="E2" s="8"/>
      <c r="F2" s="8"/>
      <c r="G2" s="8"/>
      <c r="H2" s="8"/>
      <c r="I2" s="8"/>
      <c r="J2" s="9"/>
      <c r="K2" s="10"/>
      <c r="L2" s="33" t="s">
        <v>5</v>
      </c>
      <c r="M2" s="11"/>
      <c r="N2" s="8"/>
      <c r="O2" s="8"/>
      <c r="P2" s="8"/>
      <c r="Q2" s="8"/>
      <c r="R2" s="8"/>
      <c r="S2" s="9"/>
      <c r="T2" s="10"/>
      <c r="U2" s="34" t="s">
        <v>6</v>
      </c>
      <c r="V2" s="11"/>
      <c r="W2" s="8"/>
      <c r="X2" s="8"/>
      <c r="Y2" s="8"/>
      <c r="Z2" s="8"/>
      <c r="AA2" s="8"/>
      <c r="AB2" s="8"/>
      <c r="AC2" s="8"/>
      <c r="AD2" s="8"/>
      <c r="AE2" s="9"/>
    </row>
    <row r="3" spans="2:31" x14ac:dyDescent="0.3">
      <c r="B3" s="31"/>
      <c r="C3" s="10"/>
      <c r="D3" s="12"/>
      <c r="E3" s="12"/>
      <c r="F3" s="12"/>
      <c r="G3" s="12"/>
      <c r="H3" s="12"/>
      <c r="I3" s="12"/>
      <c r="J3" s="13"/>
      <c r="K3" s="10"/>
      <c r="L3" s="33"/>
      <c r="M3" s="14"/>
      <c r="N3" s="12"/>
      <c r="O3" s="12"/>
      <c r="P3" s="12"/>
      <c r="Q3" s="12"/>
      <c r="R3" s="12"/>
      <c r="S3" s="13"/>
      <c r="T3" s="10"/>
      <c r="U3" s="34"/>
      <c r="V3" s="14"/>
      <c r="W3" s="12"/>
      <c r="X3" s="12"/>
      <c r="Y3" s="12"/>
      <c r="Z3" s="12"/>
      <c r="AA3" s="12"/>
      <c r="AB3" s="12"/>
      <c r="AC3" s="12"/>
      <c r="AD3" s="12"/>
      <c r="AE3" s="13"/>
    </row>
    <row r="4" spans="2:31" ht="7.2" customHeight="1" x14ac:dyDescent="0.3">
      <c r="B4" s="31"/>
      <c r="C4" s="10"/>
      <c r="D4" s="12"/>
      <c r="E4" s="12"/>
      <c r="F4" s="12"/>
      <c r="G4" s="12"/>
      <c r="H4" s="12"/>
      <c r="I4" s="12"/>
      <c r="J4" s="13"/>
      <c r="K4" s="10"/>
      <c r="L4" s="33"/>
      <c r="M4" s="14"/>
      <c r="N4" s="12"/>
      <c r="O4" s="12"/>
      <c r="P4" s="12"/>
      <c r="Q4" s="12"/>
      <c r="R4" s="12"/>
      <c r="S4" s="13"/>
      <c r="T4" s="10"/>
      <c r="U4" s="34"/>
      <c r="V4" s="14"/>
      <c r="W4" s="12"/>
      <c r="X4" s="12"/>
      <c r="Y4" s="12"/>
      <c r="Z4" s="12"/>
      <c r="AA4" s="12"/>
      <c r="AB4" s="12"/>
      <c r="AC4" s="12"/>
      <c r="AD4" s="12"/>
      <c r="AE4" s="13"/>
    </row>
    <row r="5" spans="2:31" x14ac:dyDescent="0.3">
      <c r="B5" s="31"/>
      <c r="C5" s="10"/>
      <c r="D5" s="12"/>
      <c r="E5" s="12"/>
      <c r="F5" s="12"/>
      <c r="G5" s="12"/>
      <c r="H5" s="12"/>
      <c r="I5" s="12"/>
      <c r="J5" s="13"/>
      <c r="K5" s="10"/>
      <c r="L5" s="33"/>
      <c r="M5" s="14"/>
      <c r="N5" s="12"/>
      <c r="O5" s="12"/>
      <c r="P5" s="12"/>
      <c r="Q5" s="12"/>
      <c r="R5" s="12"/>
      <c r="S5" s="13"/>
      <c r="T5" s="10"/>
      <c r="U5" s="34"/>
      <c r="V5" s="14"/>
      <c r="W5" s="12"/>
      <c r="X5" s="12"/>
      <c r="Y5" s="12"/>
      <c r="Z5" s="12"/>
      <c r="AA5" s="12"/>
      <c r="AB5" s="12"/>
      <c r="AC5" s="12"/>
      <c r="AD5" s="12"/>
      <c r="AE5" s="13"/>
    </row>
    <row r="6" spans="2:31" x14ac:dyDescent="0.3">
      <c r="B6" s="31"/>
      <c r="C6" s="10"/>
      <c r="D6" s="12"/>
      <c r="E6" s="12"/>
      <c r="F6" s="12"/>
      <c r="G6" s="12"/>
      <c r="H6" s="12"/>
      <c r="I6" s="12"/>
      <c r="J6" s="13"/>
      <c r="K6" s="10"/>
      <c r="L6" s="33"/>
      <c r="M6" s="14"/>
      <c r="N6" s="12"/>
      <c r="O6" s="12"/>
      <c r="P6" s="12"/>
      <c r="Q6" s="12"/>
      <c r="R6" s="12"/>
      <c r="S6" s="13"/>
      <c r="T6" s="10"/>
      <c r="U6" s="34"/>
      <c r="V6" s="14"/>
      <c r="W6" s="12"/>
      <c r="X6" s="12"/>
      <c r="Y6" s="12"/>
      <c r="Z6" s="12"/>
      <c r="AA6" s="12"/>
      <c r="AB6" s="12"/>
      <c r="AC6" s="12"/>
      <c r="AD6" s="12"/>
      <c r="AE6" s="13"/>
    </row>
    <row r="7" spans="2:31" ht="7.2" customHeight="1" x14ac:dyDescent="0.3">
      <c r="B7" s="31"/>
      <c r="C7" s="10"/>
      <c r="D7" s="12"/>
      <c r="E7" s="12"/>
      <c r="F7" s="12"/>
      <c r="G7" s="12"/>
      <c r="H7" s="12"/>
      <c r="I7" s="12"/>
      <c r="J7" s="13"/>
      <c r="K7" s="10"/>
      <c r="L7" s="33"/>
      <c r="M7" s="14"/>
      <c r="N7" s="12"/>
      <c r="O7" s="12"/>
      <c r="P7" s="12"/>
      <c r="Q7" s="12"/>
      <c r="R7" s="12"/>
      <c r="S7" s="13"/>
      <c r="T7" s="10"/>
      <c r="U7" s="34"/>
      <c r="V7" s="14"/>
      <c r="W7" s="12"/>
      <c r="X7" s="12"/>
      <c r="Y7" s="12"/>
      <c r="Z7" s="12"/>
      <c r="AA7" s="12"/>
      <c r="AB7" s="12"/>
      <c r="AC7" s="12"/>
      <c r="AD7" s="12"/>
      <c r="AE7" s="13"/>
    </row>
    <row r="8" spans="2:31" x14ac:dyDescent="0.3">
      <c r="B8" s="31"/>
      <c r="C8" s="10"/>
      <c r="D8" s="12"/>
      <c r="E8" s="12"/>
      <c r="F8" s="12"/>
      <c r="G8" s="12"/>
      <c r="H8" s="12"/>
      <c r="I8" s="12"/>
      <c r="J8" s="13"/>
      <c r="K8" s="10"/>
      <c r="L8" s="33"/>
      <c r="M8" s="14"/>
      <c r="N8" s="12"/>
      <c r="O8" s="12"/>
      <c r="P8" s="12"/>
      <c r="Q8" s="12"/>
      <c r="R8" s="12"/>
      <c r="S8" s="13"/>
      <c r="T8" s="10"/>
      <c r="U8" s="34"/>
      <c r="V8" s="14"/>
      <c r="W8" s="12"/>
      <c r="X8" s="12"/>
      <c r="Y8" s="12"/>
      <c r="Z8" s="12"/>
      <c r="AA8" s="12"/>
      <c r="AB8" s="12"/>
      <c r="AC8" s="12"/>
      <c r="AD8" s="12"/>
      <c r="AE8" s="13"/>
    </row>
    <row r="9" spans="2:31" ht="7.2" customHeight="1" x14ac:dyDescent="0.3">
      <c r="B9" s="32"/>
      <c r="C9" s="15"/>
      <c r="D9" s="15"/>
      <c r="E9" s="15"/>
      <c r="F9" s="15"/>
      <c r="G9" s="15"/>
      <c r="H9" s="15"/>
      <c r="I9" s="15"/>
      <c r="J9" s="16"/>
      <c r="K9" s="10"/>
      <c r="L9" s="33"/>
      <c r="M9" s="17"/>
      <c r="N9" s="15"/>
      <c r="O9" s="15"/>
      <c r="P9" s="15"/>
      <c r="Q9" s="15"/>
      <c r="R9" s="15"/>
      <c r="S9" s="16"/>
      <c r="T9" s="10"/>
      <c r="U9" s="34"/>
      <c r="V9" s="17"/>
      <c r="W9" s="15"/>
      <c r="X9" s="15"/>
      <c r="Y9" s="15"/>
      <c r="Z9" s="15"/>
      <c r="AA9" s="15"/>
      <c r="AB9" s="15"/>
      <c r="AC9" s="15"/>
      <c r="AD9" s="15"/>
      <c r="AE9" s="16"/>
    </row>
    <row r="10" spans="2:31" x14ac:dyDescent="0.3"/>
    <row r="11" spans="2:31" x14ac:dyDescent="0.3"/>
  </sheetData>
  <mergeCells count="3">
    <mergeCell ref="B2:B9"/>
    <mergeCell ref="L2:L9"/>
    <mergeCell ref="U2:U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114" r:id="rId4" name="brow01">
          <controlPr autoLine="0" autoPict="0" r:id="rId5">
            <anchor moveWithCells="1" sizeWithCells="1">
              <from>
                <xdr:col>21</xdr:col>
                <xdr:colOff>60960</xdr:colOff>
                <xdr:row>1</xdr:row>
                <xdr:rowOff>45720</xdr:rowOff>
              </from>
              <to>
                <xdr:col>25</xdr:col>
                <xdr:colOff>571500</xdr:colOff>
                <xdr:row>8</xdr:row>
                <xdr:rowOff>7620</xdr:rowOff>
              </to>
            </anchor>
          </controlPr>
        </control>
      </mc:Choice>
      <mc:Fallback>
        <control shapeId="4114" r:id="rId4" name="brow01"/>
      </mc:Fallback>
    </mc:AlternateContent>
    <mc:AlternateContent xmlns:mc="http://schemas.openxmlformats.org/markup-compatibility/2006">
      <mc:Choice Requires="x14">
        <control shapeId="4113" r:id="rId6" name="CommandButton10">
          <controlPr autoLine="0" r:id="rId7">
            <anchor moveWithCells="1" sizeWithCells="1">
              <from>
                <xdr:col>26</xdr:col>
                <xdr:colOff>30480</xdr:colOff>
                <xdr:row>4</xdr:row>
                <xdr:rowOff>83820</xdr:rowOff>
              </from>
              <to>
                <xdr:col>27</xdr:col>
                <xdr:colOff>190500</xdr:colOff>
                <xdr:row>6</xdr:row>
                <xdr:rowOff>22860</xdr:rowOff>
              </to>
            </anchor>
          </controlPr>
        </control>
      </mc:Choice>
      <mc:Fallback>
        <control shapeId="4113" r:id="rId6" name="CommandButton10"/>
      </mc:Fallback>
    </mc:AlternateContent>
    <mc:AlternateContent xmlns:mc="http://schemas.openxmlformats.org/markup-compatibility/2006">
      <mc:Choice Requires="x14">
        <control shapeId="4112" r:id="rId8" name="CommandButton9">
          <controlPr autoLine="0" r:id="rId9">
            <anchor moveWithCells="1" sizeWithCells="1">
              <from>
                <xdr:col>5</xdr:col>
                <xdr:colOff>30480</xdr:colOff>
                <xdr:row>6</xdr:row>
                <xdr:rowOff>38100</xdr:rowOff>
              </from>
              <to>
                <xdr:col>6</xdr:col>
                <xdr:colOff>175260</xdr:colOff>
                <xdr:row>8</xdr:row>
                <xdr:rowOff>38100</xdr:rowOff>
              </to>
            </anchor>
          </controlPr>
        </control>
      </mc:Choice>
      <mc:Fallback>
        <control shapeId="4112" r:id="rId8" name="CommandButton9"/>
      </mc:Fallback>
    </mc:AlternateContent>
    <mc:AlternateContent xmlns:mc="http://schemas.openxmlformats.org/markup-compatibility/2006">
      <mc:Choice Requires="x14">
        <control shapeId="4111" r:id="rId10" name="CommandButton8">
          <controlPr autoLine="0" r:id="rId11">
            <anchor moveWithCells="1" sizeWithCells="1">
              <from>
                <xdr:col>4</xdr:col>
                <xdr:colOff>68580</xdr:colOff>
                <xdr:row>6</xdr:row>
                <xdr:rowOff>45720</xdr:rowOff>
              </from>
              <to>
                <xdr:col>4</xdr:col>
                <xdr:colOff>342900</xdr:colOff>
                <xdr:row>8</xdr:row>
                <xdr:rowOff>45720</xdr:rowOff>
              </to>
            </anchor>
          </controlPr>
        </control>
      </mc:Choice>
      <mc:Fallback>
        <control shapeId="4111" r:id="rId10" name="CommandButton8"/>
      </mc:Fallback>
    </mc:AlternateContent>
    <mc:AlternateContent xmlns:mc="http://schemas.openxmlformats.org/markup-compatibility/2006">
      <mc:Choice Requires="x14">
        <control shapeId="4110" r:id="rId12" name="CommandButton7">
          <controlPr autoLine="0" r:id="rId13">
            <anchor moveWithCells="1" sizeWithCells="1">
              <from>
                <xdr:col>3</xdr:col>
                <xdr:colOff>0</xdr:colOff>
                <xdr:row>6</xdr:row>
                <xdr:rowOff>60960</xdr:rowOff>
              </from>
              <to>
                <xdr:col>3</xdr:col>
                <xdr:colOff>274320</xdr:colOff>
                <xdr:row>8</xdr:row>
                <xdr:rowOff>60960</xdr:rowOff>
              </to>
            </anchor>
          </controlPr>
        </control>
      </mc:Choice>
      <mc:Fallback>
        <control shapeId="4110" r:id="rId12" name="CommandButton7"/>
      </mc:Fallback>
    </mc:AlternateContent>
    <mc:AlternateContent xmlns:mc="http://schemas.openxmlformats.org/markup-compatibility/2006">
      <mc:Choice Requires="x14">
        <control shapeId="4109" r:id="rId14" name="ListBox3">
          <controlPr autoLine="0" r:id="rId15">
            <anchor moveWithCells="1" sizeWithCells="1">
              <from>
                <xdr:col>28</xdr:col>
                <xdr:colOff>0</xdr:colOff>
                <xdr:row>2</xdr:row>
                <xdr:rowOff>0</xdr:rowOff>
              </from>
              <to>
                <xdr:col>30</xdr:col>
                <xdr:colOff>0</xdr:colOff>
                <xdr:row>6</xdr:row>
                <xdr:rowOff>76200</xdr:rowOff>
              </to>
            </anchor>
          </controlPr>
        </control>
      </mc:Choice>
      <mc:Fallback>
        <control shapeId="4109" r:id="rId14" name="ListBox3"/>
      </mc:Fallback>
    </mc:AlternateContent>
    <mc:AlternateContent xmlns:mc="http://schemas.openxmlformats.org/markup-compatibility/2006">
      <mc:Choice Requires="x14">
        <control shapeId="4108" r:id="rId16" name="CommandButton6">
          <controlPr autoLine="0" r:id="rId17">
            <anchor moveWithCells="1">
              <from>
                <xdr:col>46</xdr:col>
                <xdr:colOff>213360</xdr:colOff>
                <xdr:row>2</xdr:row>
                <xdr:rowOff>7620</xdr:rowOff>
              </from>
              <to>
                <xdr:col>47</xdr:col>
                <xdr:colOff>213360</xdr:colOff>
                <xdr:row>9</xdr:row>
                <xdr:rowOff>83820</xdr:rowOff>
              </to>
            </anchor>
          </controlPr>
        </control>
      </mc:Choice>
      <mc:Fallback>
        <control shapeId="4108" r:id="rId16" name="CommandButton6"/>
      </mc:Fallback>
    </mc:AlternateContent>
    <mc:AlternateContent xmlns:mc="http://schemas.openxmlformats.org/markup-compatibility/2006">
      <mc:Choice Requires="x14">
        <control shapeId="4107" r:id="rId18" name="CommandButton5">
          <controlPr autoLine="0" r:id="rId19">
            <anchor moveWithCells="1">
              <from>
                <xdr:col>47</xdr:col>
                <xdr:colOff>236220</xdr:colOff>
                <xdr:row>2</xdr:row>
                <xdr:rowOff>7620</xdr:rowOff>
              </from>
              <to>
                <xdr:col>48</xdr:col>
                <xdr:colOff>236220</xdr:colOff>
                <xdr:row>9</xdr:row>
                <xdr:rowOff>83820</xdr:rowOff>
              </to>
            </anchor>
          </controlPr>
        </control>
      </mc:Choice>
      <mc:Fallback>
        <control shapeId="4107" r:id="rId18" name="CommandButton5"/>
      </mc:Fallback>
    </mc:AlternateContent>
    <mc:AlternateContent xmlns:mc="http://schemas.openxmlformats.org/markup-compatibility/2006">
      <mc:Choice Requires="x14">
        <control shapeId="4106" r:id="rId20" name="CommandButton4">
          <controlPr autoLine="0" r:id="rId21">
            <anchor moveWithCells="1" sizeWithCells="1">
              <from>
                <xdr:col>26</xdr:col>
                <xdr:colOff>30480</xdr:colOff>
                <xdr:row>2</xdr:row>
                <xdr:rowOff>7620</xdr:rowOff>
              </from>
              <to>
                <xdr:col>27</xdr:col>
                <xdr:colOff>190500</xdr:colOff>
                <xdr:row>4</xdr:row>
                <xdr:rowOff>38100</xdr:rowOff>
              </to>
            </anchor>
          </controlPr>
        </control>
      </mc:Choice>
      <mc:Fallback>
        <control shapeId="4106" r:id="rId20" name="CommandButton4"/>
      </mc:Fallback>
    </mc:AlternateContent>
    <mc:AlternateContent xmlns:mc="http://schemas.openxmlformats.org/markup-compatibility/2006">
      <mc:Choice Requires="x14">
        <control shapeId="4105" r:id="rId22" name="CommandButton3">
          <controlPr autoLine="0" r:id="rId23">
            <anchor moveWithCells="1" sizeWithCells="1">
              <from>
                <xdr:col>13</xdr:col>
                <xdr:colOff>7620</xdr:colOff>
                <xdr:row>5</xdr:row>
                <xdr:rowOff>60960</xdr:rowOff>
              </from>
              <to>
                <xdr:col>13</xdr:col>
                <xdr:colOff>228600</xdr:colOff>
                <xdr:row>7</xdr:row>
                <xdr:rowOff>91440</xdr:rowOff>
              </to>
            </anchor>
          </controlPr>
        </control>
      </mc:Choice>
      <mc:Fallback>
        <control shapeId="4105" r:id="rId22" name="CommandButton3"/>
      </mc:Fallback>
    </mc:AlternateContent>
    <mc:AlternateContent xmlns:mc="http://schemas.openxmlformats.org/markup-compatibility/2006">
      <mc:Choice Requires="x14">
        <control shapeId="4104" r:id="rId24" name="CheckBox2">
          <controlPr autoLine="0" r:id="rId25">
            <anchor moveWithCells="1" sizeWithCells="1">
              <from>
                <xdr:col>12</xdr:col>
                <xdr:colOff>91440</xdr:colOff>
                <xdr:row>2</xdr:row>
                <xdr:rowOff>152400</xdr:rowOff>
              </from>
              <to>
                <xdr:col>13</xdr:col>
                <xdr:colOff>220980</xdr:colOff>
                <xdr:row>4</xdr:row>
                <xdr:rowOff>121920</xdr:rowOff>
              </to>
            </anchor>
          </controlPr>
        </control>
      </mc:Choice>
      <mc:Fallback>
        <control shapeId="4104" r:id="rId24" name="CheckBox2"/>
      </mc:Fallback>
    </mc:AlternateContent>
    <mc:AlternateContent xmlns:mc="http://schemas.openxmlformats.org/markup-compatibility/2006">
      <mc:Choice Requires="x14">
        <control shapeId="4103" r:id="rId26" name="ListBox2">
          <controlPr autoLine="0" r:id="rId27">
            <anchor moveWithCells="1" sizeWithCells="1">
              <from>
                <xdr:col>13</xdr:col>
                <xdr:colOff>434340</xdr:colOff>
                <xdr:row>4</xdr:row>
                <xdr:rowOff>15240</xdr:rowOff>
              </from>
              <to>
                <xdr:col>17</xdr:col>
                <xdr:colOff>198120</xdr:colOff>
                <xdr:row>6</xdr:row>
                <xdr:rowOff>30480</xdr:rowOff>
              </to>
            </anchor>
          </controlPr>
        </control>
      </mc:Choice>
      <mc:Fallback>
        <control shapeId="4103" r:id="rId26" name="ListBox2"/>
      </mc:Fallback>
    </mc:AlternateContent>
    <mc:AlternateContent xmlns:mc="http://schemas.openxmlformats.org/markup-compatibility/2006">
      <mc:Choice Requires="x14">
        <control shapeId="4102" r:id="rId28" name="CheckBox1">
          <controlPr autoLine="0" r:id="rId29">
            <anchor moveWithCells="1" sizeWithCells="1">
              <from>
                <xdr:col>6</xdr:col>
                <xdr:colOff>274320</xdr:colOff>
                <xdr:row>6</xdr:row>
                <xdr:rowOff>45720</xdr:rowOff>
              </from>
              <to>
                <xdr:col>9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4102" r:id="rId28" name="CheckBox1"/>
      </mc:Fallback>
    </mc:AlternateContent>
    <mc:AlternateContent xmlns:mc="http://schemas.openxmlformats.org/markup-compatibility/2006">
      <mc:Choice Requires="x14">
        <control shapeId="4101" r:id="rId30" name="CommandButton2">
          <controlPr autoLine="0" r:id="rId31">
            <anchor moveWithCells="1" sizeWithCells="1">
              <from>
                <xdr:col>8</xdr:col>
                <xdr:colOff>144780</xdr:colOff>
                <xdr:row>4</xdr:row>
                <xdr:rowOff>0</xdr:rowOff>
              </from>
              <to>
                <xdr:col>9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4101" r:id="rId30" name="CommandButton2"/>
      </mc:Fallback>
    </mc:AlternateContent>
    <mc:AlternateContent xmlns:mc="http://schemas.openxmlformats.org/markup-compatibility/2006">
      <mc:Choice Requires="x14">
        <control shapeId="4100" r:id="rId32" name="CommandButton1">
          <controlPr autoLine="0" r:id="rId33">
            <anchor moveWithCells="1" sizeWithCells="1">
              <from>
                <xdr:col>6</xdr:col>
                <xdr:colOff>297180</xdr:colOff>
                <xdr:row>3</xdr:row>
                <xdr:rowOff>83820</xdr:rowOff>
              </from>
              <to>
                <xdr:col>8</xdr:col>
                <xdr:colOff>114300</xdr:colOff>
                <xdr:row>5</xdr:row>
                <xdr:rowOff>175260</xdr:rowOff>
              </to>
            </anchor>
          </controlPr>
        </control>
      </mc:Choice>
      <mc:Fallback>
        <control shapeId="4100" r:id="rId32" name="CommandButton1"/>
      </mc:Fallback>
    </mc:AlternateContent>
    <mc:AlternateContent xmlns:mc="http://schemas.openxmlformats.org/markup-compatibility/2006">
      <mc:Choice Requires="x14">
        <control shapeId="4099" r:id="rId34" name="ComboBox1">
          <controlPr autoLine="0" r:id="rId35">
            <anchor moveWithCells="1" sizeWithCells="1">
              <from>
                <xdr:col>6</xdr:col>
                <xdr:colOff>228600</xdr:colOff>
                <xdr:row>2</xdr:row>
                <xdr:rowOff>7620</xdr:rowOff>
              </from>
              <to>
                <xdr:col>9</xdr:col>
                <xdr:colOff>0</xdr:colOff>
                <xdr:row>2</xdr:row>
                <xdr:rowOff>167640</xdr:rowOff>
              </to>
            </anchor>
          </controlPr>
        </control>
      </mc:Choice>
      <mc:Fallback>
        <control shapeId="4099" r:id="rId34" name="ComboBox1"/>
      </mc:Fallback>
    </mc:AlternateContent>
    <mc:AlternateContent xmlns:mc="http://schemas.openxmlformats.org/markup-compatibility/2006">
      <mc:Choice Requires="x14">
        <control shapeId="4098" r:id="rId36" name="ListBox1">
          <controlPr autoLine="0" r:id="rId37">
            <anchor moveWithCells="1" sizeWithCells="1">
              <from>
                <xdr:col>2</xdr:col>
                <xdr:colOff>91440</xdr:colOff>
                <xdr:row>1</xdr:row>
                <xdr:rowOff>45720</xdr:rowOff>
              </from>
              <to>
                <xdr:col>6</xdr:col>
                <xdr:colOff>129540</xdr:colOff>
                <xdr:row>5</xdr:row>
                <xdr:rowOff>30480</xdr:rowOff>
              </to>
            </anchor>
          </controlPr>
        </control>
      </mc:Choice>
      <mc:Fallback>
        <control shapeId="4098" r:id="rId36" name="ListBox1"/>
      </mc:Fallback>
    </mc:AlternateContent>
    <mc:AlternateContent xmlns:mc="http://schemas.openxmlformats.org/markup-compatibility/2006">
      <mc:Choice Requires="x14">
        <control shapeId="4097" r:id="rId38" name="TabStrip1">
          <controlPr autoLine="0" r:id="rId39">
            <anchor moveWithCells="1" sizeWithCells="1">
              <from>
                <xdr:col>13</xdr:col>
                <xdr:colOff>297180</xdr:colOff>
                <xdr:row>1</xdr:row>
                <xdr:rowOff>22860</xdr:rowOff>
              </from>
              <to>
                <xdr:col>18</xdr:col>
                <xdr:colOff>76200</xdr:colOff>
                <xdr:row>8</xdr:row>
                <xdr:rowOff>45720</xdr:rowOff>
              </to>
            </anchor>
          </controlPr>
        </control>
      </mc:Choice>
      <mc:Fallback>
        <control shapeId="4097" r:id="rId38" name="TabStrip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showGridLines="0" showRowColHeaders="0" workbookViewId="0"/>
  </sheetViews>
  <sheetFormatPr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tabSelected="1" workbookViewId="0"/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3:M13"/>
  <sheetViews>
    <sheetView showGridLines="0" showRowColHeaders="0" zoomScaleNormal="100" workbookViewId="0">
      <selection activeCell="H10" sqref="H10"/>
    </sheetView>
  </sheetViews>
  <sheetFormatPr defaultRowHeight="14.4" x14ac:dyDescent="0.3"/>
  <cols>
    <col min="3" max="3" width="11.44140625" customWidth="1"/>
    <col min="4" max="4" width="2.5546875" customWidth="1"/>
    <col min="5" max="5" width="11" customWidth="1"/>
    <col min="7" max="7" width="10.77734375" customWidth="1"/>
    <col min="8" max="8" width="10.5546875" bestFit="1" customWidth="1"/>
    <col min="10" max="10" width="9.109375" customWidth="1"/>
  </cols>
  <sheetData>
    <row r="3" spans="2:13" x14ac:dyDescent="0.3">
      <c r="B3" t="s">
        <v>8</v>
      </c>
      <c r="C3" s="18">
        <v>36527</v>
      </c>
    </row>
    <row r="4" spans="2:13" x14ac:dyDescent="0.3">
      <c r="B4" t="s">
        <v>9</v>
      </c>
      <c r="C4" s="18">
        <v>36848</v>
      </c>
    </row>
    <row r="5" spans="2:13" x14ac:dyDescent="0.3">
      <c r="B5" t="s">
        <v>10</v>
      </c>
      <c r="C5">
        <f>C4-C3 +1</f>
        <v>322</v>
      </c>
    </row>
    <row r="6" spans="2:13" x14ac:dyDescent="0.3">
      <c r="B6" s="35" t="s">
        <v>11</v>
      </c>
      <c r="C6" s="35"/>
    </row>
    <row r="7" spans="2:13" x14ac:dyDescent="0.3">
      <c r="B7" s="35"/>
      <c r="C7" s="35"/>
    </row>
    <row r="10" spans="2:13" ht="124.8" customHeight="1" x14ac:dyDescent="0.3"/>
    <row r="11" spans="2:13" ht="44.4" customHeight="1" x14ac:dyDescent="0.3"/>
    <row r="12" spans="2:13" s="20" customFormat="1" ht="18" customHeight="1" x14ac:dyDescent="0.3">
      <c r="G12" s="21" t="s">
        <v>12</v>
      </c>
      <c r="H12" s="21" t="s">
        <v>17</v>
      </c>
      <c r="I12" s="21" t="s">
        <v>13</v>
      </c>
      <c r="J12" s="21" t="s">
        <v>14</v>
      </c>
      <c r="K12" s="21" t="s">
        <v>15</v>
      </c>
      <c r="L12" s="21" t="s">
        <v>16</v>
      </c>
      <c r="M12" s="19" t="s">
        <v>18</v>
      </c>
    </row>
    <row r="13" spans="2:13" x14ac:dyDescent="0.3">
      <c r="G13">
        <v>1</v>
      </c>
      <c r="H13" s="18">
        <v>36526</v>
      </c>
      <c r="I13">
        <v>1</v>
      </c>
      <c r="J13">
        <v>1</v>
      </c>
      <c r="K13">
        <v>2000</v>
      </c>
      <c r="L13">
        <f>WEEKDAY(Table1[[#This Row],[date]])</f>
        <v>7</v>
      </c>
      <c r="M13">
        <f>WEEKDAY(Table1[[#This Row],[date]])</f>
        <v>7</v>
      </c>
    </row>
  </sheetData>
  <mergeCells count="1">
    <mergeCell ref="B6:C7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0" r:id="rId4" name="ProgressBar21">
          <controlPr autoLine="0" autoPict="0" r:id="rId5">
            <anchor moveWithCells="1" sizeWithCells="1">
              <from>
                <xdr:col>1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2290" r:id="rId4" name="ProgressBar21"/>
      </mc:Fallback>
    </mc:AlternateContent>
    <mc:AlternateContent xmlns:mc="http://schemas.openxmlformats.org/markup-compatibility/2006">
      <mc:Choice Requires="x14">
        <control shapeId="12291" r:id="rId6" name="ScrollBar1">
          <controlPr autoLine="0" linkedCell="date" r:id="rId7">
            <anchor moveWithCells="1" sizeWithCells="1">
              <from>
                <xdr:col>4</xdr:col>
                <xdr:colOff>0</xdr:colOff>
                <xdr:row>2</xdr:row>
                <xdr:rowOff>0</xdr:rowOff>
              </from>
              <to>
                <xdr:col>6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2291" r:id="rId6" name="ScrollBar1"/>
      </mc:Fallback>
    </mc:AlternateContent>
    <mc:AlternateContent xmlns:mc="http://schemas.openxmlformats.org/markup-compatibility/2006">
      <mc:Choice Requires="x14">
        <control shapeId="12292" r:id="rId8" name="ScrollBar2">
          <controlPr autoLine="0" linkedCell="C4" r:id="rId7">
            <anchor moveWithCells="1" sizeWithCells="1">
              <from>
                <xdr:col>4</xdr:col>
                <xdr:colOff>0</xdr:colOff>
                <xdr:row>3</xdr:row>
                <xdr:rowOff>0</xdr:rowOff>
              </from>
              <to>
                <xdr:col>6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2292" r:id="rId8" name="ScrollBar2"/>
      </mc:Fallback>
    </mc:AlternateContent>
    <mc:AlternateContent xmlns:mc="http://schemas.openxmlformats.org/markup-compatibility/2006">
      <mc:Choice Requires="x14">
        <control shapeId="12293" r:id="rId9" name="ListBox1">
          <controlPr autoLine="0" listFillRange="$G$12:$L$13" r:id="rId10">
            <anchor moveWithCells="1" sizeWithCells="1">
              <from>
                <xdr:col>7</xdr:col>
                <xdr:colOff>0</xdr:colOff>
                <xdr:row>1</xdr:row>
                <xdr:rowOff>0</xdr:rowOff>
              </from>
              <to>
                <xdr:col>21</xdr:col>
                <xdr:colOff>0</xdr:colOff>
                <xdr:row>6</xdr:row>
                <xdr:rowOff>137160</xdr:rowOff>
              </to>
            </anchor>
          </controlPr>
        </control>
      </mc:Choice>
      <mc:Fallback>
        <control shapeId="12293" r:id="rId9" name="ListBox1"/>
      </mc:Fallback>
    </mc:AlternateContent>
  </controls>
  <tableParts count="1">
    <tablePart r:id="rId11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"/>
  <sheetViews>
    <sheetView workbookViewId="0">
      <selection activeCell="I2" sqref="I2"/>
    </sheetView>
  </sheetViews>
  <sheetFormatPr defaultRowHeight="14.4" x14ac:dyDescent="0.3"/>
  <cols>
    <col min="1" max="1" width="15.44140625" bestFit="1" customWidth="1"/>
  </cols>
  <sheetData>
    <row r="1" spans="1:1" x14ac:dyDescent="0.3">
      <c r="A1" t="s">
        <v>7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6" r:id="rId4" name="WebBrowser1">
          <controlPr autoLine="0" autoPict="0" r:id="rId5">
            <anchor moveWithCells="1" sizeWithCells="1">
              <from>
                <xdr:col>3</xdr:col>
                <xdr:colOff>358140</xdr:colOff>
                <xdr:row>3</xdr:row>
                <xdr:rowOff>114300</xdr:rowOff>
              </from>
              <to>
                <xdr:col>9</xdr:col>
                <xdr:colOff>533400</xdr:colOff>
                <xdr:row>14</xdr:row>
                <xdr:rowOff>30480</xdr:rowOff>
              </to>
            </anchor>
          </controlPr>
        </control>
      </mc:Choice>
      <mc:Fallback>
        <control shapeId="11266" r:id="rId4" name="WebBrowser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Sheet1</vt:lpstr>
      <vt:lpstr>Sheet13</vt:lpstr>
      <vt:lpstr>Sheet2</vt:lpstr>
      <vt:lpstr>Sheet3</vt:lpstr>
      <vt:lpstr>Sheet4</vt:lpstr>
      <vt:lpstr>Sheet5</vt:lpstr>
      <vt:lpstr>Sheet6</vt:lpstr>
      <vt:lpstr>Sheet7</vt:lpstr>
      <vt:lpstr>Browser</vt:lpstr>
      <vt:lpstr>date</vt:lpstr>
      <vt:lpstr>days</vt:lpstr>
      <vt:lpstr>start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Bravo, Juan Carlos</dc:creator>
  <cp:lastModifiedBy>Bravo, Juan Carlos</cp:lastModifiedBy>
  <dcterms:created xsi:type="dcterms:W3CDTF">2019-03-14T01:12:21Z</dcterms:created>
  <dcterms:modified xsi:type="dcterms:W3CDTF">2019-03-16T06:30:42Z</dcterms:modified>
</cp:coreProperties>
</file>