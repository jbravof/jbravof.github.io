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6.xml" ContentType="application/vnd.ms-office.activeX+xml"/>
  <Override PartName="/xl/activeX/activeX5.bin" ContentType="application/vnd.ms-office.activeX"/>
  <Override PartName="/xl/activeX/activeX7.xml" ContentType="application/vnd.ms-office.activeX+xml"/>
  <Override PartName="/xl/activeX/activeX6.bin" ContentType="application/vnd.ms-office.activeX"/>
  <Override PartName="/xl/activeX/activeX8.xml" ContentType="application/vnd.ms-office.activeX+xml"/>
  <Override PartName="/xl/activeX/activeX7.bin" ContentType="application/vnd.ms-office.activeX"/>
  <Override PartName="/xl/activeX/activeX9.xml" ContentType="application/vnd.ms-office.activeX+xml"/>
  <Override PartName="/xl/activeX/activeX8.bin" ContentType="application/vnd.ms-office.activeX"/>
  <Override PartName="/xl/activeX/activeX10.xml" ContentType="application/vnd.ms-office.activeX+xml"/>
  <Override PartName="/xl/activeX/activeX9.bin" ContentType="application/vnd.ms-office.activeX"/>
  <Override PartName="/xl/activeX/activeX11.xml" ContentType="application/vnd.ms-office.activeX+xml"/>
  <Override PartName="/xl/activeX/activeX10.bin" ContentType="application/vnd.ms-office.activeX"/>
  <Override PartName="/xl/activeX/activeX12.xml" ContentType="application/vnd.ms-office.activeX+xml"/>
  <Override PartName="/xl/activeX/activeX11.bin" ContentType="application/vnd.ms-office.activeX"/>
  <Override PartName="/xl/activeX/activeX13.xml" ContentType="application/vnd.ms-office.activeX+xml"/>
  <Override PartName="/xl/activeX/activeX14.xml" ContentType="application/vnd.ms-office.activeX+xml"/>
  <Override PartName="/xl/activeX/activeX12.bin" ContentType="application/vnd.ms-office.activeX"/>
  <Override PartName="/xl/activeX/activeX15.xml" ContentType="application/vnd.ms-office.activeX+xml"/>
  <Override PartName="/xl/activeX/activeX13.bin" ContentType="application/vnd.ms-office.activeX"/>
  <Override PartName="/xl/activeX/activeX16.xml" ContentType="application/vnd.ms-office.activeX+xml"/>
  <Override PartName="/xl/activeX/activeX14.bin" ContentType="application/vnd.ms-office.activeX"/>
  <Override PartName="/xl/activeX/activeX17.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trlProps/ctrlProp1.xml" ContentType="application/vnd.ms-excel.controlproperties+xml"/>
  <Override PartName="/xl/pivotTables/pivotTable3.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tables/table3.xml" ContentType="application/vnd.openxmlformats-officedocument.spreadsheetml.table+xml"/>
  <Override PartName="/xl/drawings/drawing5.xml" ContentType="application/vnd.openxmlformats-officedocument.drawing+xml"/>
  <Override PartName="/xl/activeX/activeX18.xml" ContentType="application/vnd.ms-office.activeX+xml"/>
  <Override PartName="/xl/activeX/activeX16.bin" ContentType="application/vnd.ms-office.activeX"/>
  <Override PartName="/xl/activeX/activeX19.xml" ContentType="application/vnd.ms-office.activeX+xml"/>
  <Override PartName="/xl/activeX/activeX17.bin" ContentType="application/vnd.ms-office.activeX"/>
  <Override PartName="/xl/activeX/activeX20.xml" ContentType="application/vnd.ms-office.activeX+xml"/>
  <Override PartName="/xl/activeX/activeX18.bin" ContentType="application/vnd.ms-office.activeX"/>
  <Override PartName="/xl/activeX/activeX21.xml" ContentType="application/vnd.ms-office.activeX+xml"/>
  <Override PartName="/xl/activeX/activeX22.xml" ContentType="application/vnd.ms-office.activeX+xml"/>
  <Override PartName="/xl/activeX/activeX19.bin" ContentType="application/vnd.ms-office.activeX"/>
  <Override PartName="/xl/activeX/activeX23.xml" ContentType="application/vnd.ms-office.activeX+xml"/>
  <Override PartName="/xl/activeX/activeX20.bin" ContentType="application/vnd.ms-office.activeX"/>
  <Override PartName="/xl/activeX/activeX24.xml" ContentType="application/vnd.ms-office.activeX+xml"/>
  <Override PartName="/xl/activeX/activeX21.bin" ContentType="application/vnd.ms-office.activeX"/>
  <Override PartName="/xl/drawings/drawing6.xml" ContentType="application/vnd.openxmlformats-officedocument.drawing+xml"/>
  <Override PartName="/xl/activeX/activeX25.xml" ContentType="application/vnd.ms-office.activeX+xml"/>
  <Override PartName="/xl/activeX/activeX26.xml" ContentType="application/vnd.ms-office.activeX+xml"/>
  <Override PartName="/xl/activeX/activeX22.bin" ContentType="application/vnd.ms-office.activeX"/>
  <Override PartName="/xl/pivotTables/pivotTable4.xml" ContentType="application/vnd.openxmlformats-officedocument.spreadsheetml.pivotTable+xml"/>
  <Override PartName="/xl/drawings/drawing7.xml" ContentType="application/vnd.openxmlformats-officedocument.drawing+xml"/>
  <Override PartName="/xl/charts/chart2.xml" ContentType="application/vnd.openxmlformats-officedocument.drawingml.chart+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0" yWindow="1968" windowWidth="22980" windowHeight="9264" firstSheet="6" activeTab="6"/>
  </bookViews>
  <sheets>
    <sheet name="Sheet1" sheetId="1" r:id="rId1"/>
    <sheet name="Sheet2" sheetId="2" r:id="rId2"/>
    <sheet name="Sheet3" sheetId="3" r:id="rId3"/>
    <sheet name="Sheet4" sheetId="4" r:id="rId4"/>
    <sheet name="Sheet5" sheetId="5" r:id="rId5"/>
    <sheet name="Graphic" sheetId="10" r:id="rId6"/>
    <sheet name="Table" sheetId="6" r:id="rId7"/>
    <sheet name="Plan" sheetId="7" r:id="rId8"/>
    <sheet name="Browser" sheetId="9" r:id="rId9"/>
    <sheet name="Sheet9" sheetId="11" r:id="rId10"/>
    <sheet name="Sheet10" sheetId="12" r:id="rId11"/>
  </sheets>
  <externalReferences>
    <externalReference r:id="rId12"/>
  </externalReferences>
  <definedNames>
    <definedName name="active01">[1]ProjectList!$A$2:$B$17</definedName>
    <definedName name="dataPT00402">[1]PT004!$A$4:$F$40</definedName>
    <definedName name="datatable">Table!$F$9:$R$91</definedName>
    <definedName name="date">Plan!$C$2</definedName>
    <definedName name="date2">Plan!$F$2</definedName>
    <definedName name="datos01">[1]DataBase!$A$2:$F$34</definedName>
    <definedName name="days">Plan!$I$2</definedName>
    <definedName name="name05">[1]DataBaseScreen!$A$1:$A$14</definedName>
    <definedName name="plan07">[1]DataBase!$A$2:$F$34</definedName>
    <definedName name="select0">[1]db01!$A$1:$Q$6</definedName>
    <definedName name="Slicer_date">#N/A</definedName>
    <definedName name="start">Plan!$V$13</definedName>
    <definedName name="start2">Table!$E$8</definedName>
    <definedName name="tree01">Sheet1!$E$8:$E$10</definedName>
  </definedNames>
  <calcPr calcId="145621"/>
  <pivotCaches>
    <pivotCache cacheId="626" r:id="rId13"/>
    <pivotCache cacheId="625" r:id="rId14"/>
    <pivotCache cacheId="636"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Lst>
</workbook>
</file>

<file path=xl/calcChain.xml><?xml version="1.0" encoding="utf-8"?>
<calcChain xmlns="http://schemas.openxmlformats.org/spreadsheetml/2006/main">
  <c r="R9" i="6" l="1"/>
  <c r="Q9" i="6"/>
  <c r="P9" i="6"/>
  <c r="O9" i="6"/>
  <c r="M9" i="6"/>
  <c r="L9" i="6"/>
  <c r="K9" i="6"/>
  <c r="J9" i="6"/>
  <c r="I9" i="6"/>
  <c r="H9" i="6"/>
  <c r="G10" i="6"/>
  <c r="G11" i="6"/>
  <c r="F10" i="6"/>
  <c r="F11" i="6"/>
  <c r="F12" i="6" s="1"/>
  <c r="M12" i="6" s="1"/>
  <c r="N12" i="6" s="1"/>
  <c r="H10" i="6"/>
  <c r="H11" i="6"/>
  <c r="I10" i="6"/>
  <c r="I11" i="6"/>
  <c r="O11" i="6" s="1"/>
  <c r="P11" i="6" s="1"/>
  <c r="Q11" i="6" s="1"/>
  <c r="J10" i="6"/>
  <c r="J11" i="6"/>
  <c r="K10" i="6"/>
  <c r="K11" i="6"/>
  <c r="L10" i="6"/>
  <c r="M10" i="6"/>
  <c r="M11" i="6"/>
  <c r="N10" i="6"/>
  <c r="N11" i="6"/>
  <c r="R11" i="6" s="1"/>
  <c r="O10" i="6"/>
  <c r="P10" i="6"/>
  <c r="Q10" i="6" s="1"/>
  <c r="R10" i="6"/>
  <c r="R12" i="6"/>
  <c r="N9" i="6"/>
  <c r="K3" i="5"/>
  <c r="F3" i="5"/>
  <c r="D6" i="5"/>
  <c r="D7" i="5"/>
  <c r="D8" i="5" s="1"/>
  <c r="D9" i="5" s="1"/>
  <c r="D10" i="5" s="1"/>
  <c r="D11" i="5" s="1"/>
  <c r="D12" i="5" s="1"/>
  <c r="D13" i="5" s="1"/>
  <c r="D14" i="5" s="1"/>
  <c r="D15" i="5" s="1"/>
  <c r="D16" i="5" s="1"/>
  <c r="D17" i="5" s="1"/>
  <c r="D18" i="5" s="1"/>
  <c r="D19" i="5" s="1"/>
  <c r="D20" i="5" s="1"/>
  <c r="D21" i="5" s="1"/>
  <c r="D22" i="5" s="1"/>
  <c r="D23" i="5" s="1"/>
  <c r="D24" i="5" s="1"/>
  <c r="D25" i="5" s="1"/>
  <c r="D26" i="5" s="1"/>
  <c r="D27" i="5" s="1"/>
  <c r="D28" i="5" s="1"/>
  <c r="D29" i="5" s="1"/>
  <c r="D30" i="5" s="1"/>
  <c r="D31" i="5" s="1"/>
  <c r="D32" i="5" s="1"/>
  <c r="D33" i="5" s="1"/>
  <c r="D34" i="5" s="1"/>
  <c r="D35" i="5" s="1"/>
  <c r="B4" i="5"/>
  <c r="B5" i="5" s="1"/>
  <c r="B6" i="5" s="1"/>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G12" i="6" l="1"/>
  <c r="L11" i="6"/>
  <c r="F13" i="6"/>
  <c r="I2" i="7"/>
  <c r="L2" i="7" s="1"/>
  <c r="I12" i="6" l="1"/>
  <c r="K12" i="6"/>
  <c r="H12" i="6"/>
  <c r="J12" i="6"/>
  <c r="G13" i="6"/>
  <c r="L12" i="6"/>
  <c r="F14" i="6"/>
  <c r="M13" i="6"/>
  <c r="N13" i="6" s="1"/>
  <c r="R13" i="6" s="1"/>
  <c r="K3" i="10"/>
  <c r="G14" i="6" l="1"/>
  <c r="I13" i="6"/>
  <c r="O13" i="6" s="1"/>
  <c r="P13" i="6" s="1"/>
  <c r="Q13" i="6" s="1"/>
  <c r="K13" i="6"/>
  <c r="H13" i="6"/>
  <c r="J13" i="6"/>
  <c r="L13" i="6"/>
  <c r="O12" i="6"/>
  <c r="P12" i="6" s="1"/>
  <c r="Q12" i="6" s="1"/>
  <c r="M14" i="6"/>
  <c r="N14" i="6" s="1"/>
  <c r="R14" i="6" s="1"/>
  <c r="F15" i="6"/>
  <c r="X15" i="7"/>
  <c r="B3" i="6"/>
  <c r="H14" i="6" l="1"/>
  <c r="J14" i="6"/>
  <c r="I14" i="6"/>
  <c r="O14" i="6" s="1"/>
  <c r="P14" i="6" s="1"/>
  <c r="Q14" i="6" s="1"/>
  <c r="K14" i="6"/>
  <c r="G15" i="6"/>
  <c r="L14" i="6"/>
  <c r="F16" i="6"/>
  <c r="M15" i="6"/>
  <c r="N15" i="6" s="1"/>
  <c r="R15" i="6" s="1"/>
  <c r="G16" i="6" l="1"/>
  <c r="L15" i="6"/>
  <c r="K15" i="6"/>
  <c r="I15" i="6"/>
  <c r="O15" i="6" s="1"/>
  <c r="P15" i="6" s="1"/>
  <c r="Q15" i="6" s="1"/>
  <c r="H15" i="6"/>
  <c r="J15" i="6"/>
  <c r="M16" i="6"/>
  <c r="N16" i="6" s="1"/>
  <c r="R16" i="6" s="1"/>
  <c r="F17" i="6"/>
  <c r="I16" i="6" l="1"/>
  <c r="K16" i="6"/>
  <c r="H16" i="6"/>
  <c r="J16" i="6"/>
  <c r="G17" i="6"/>
  <c r="L16" i="6"/>
  <c r="F18" i="6"/>
  <c r="M17" i="6"/>
  <c r="N17" i="6" s="1"/>
  <c r="R17" i="6" s="1"/>
  <c r="G18" i="6" l="1"/>
  <c r="H17" i="6"/>
  <c r="J17" i="6"/>
  <c r="I17" i="6"/>
  <c r="O17" i="6" s="1"/>
  <c r="P17" i="6" s="1"/>
  <c r="Q17" i="6" s="1"/>
  <c r="L17" i="6"/>
  <c r="K17" i="6"/>
  <c r="O16" i="6"/>
  <c r="P16" i="6" s="1"/>
  <c r="Q16" i="6" s="1"/>
  <c r="M18" i="6"/>
  <c r="N18" i="6" s="1"/>
  <c r="R18" i="6" s="1"/>
  <c r="F19" i="6"/>
  <c r="H18" i="6" l="1"/>
  <c r="J18" i="6"/>
  <c r="I18" i="6"/>
  <c r="O18" i="6" s="1"/>
  <c r="P18" i="6" s="1"/>
  <c r="Q18" i="6" s="1"/>
  <c r="K18" i="6"/>
  <c r="L18" i="6"/>
  <c r="G19" i="6"/>
  <c r="F20" i="6"/>
  <c r="M19" i="6"/>
  <c r="N19" i="6" s="1"/>
  <c r="R19" i="6" s="1"/>
  <c r="G20" i="6" l="1"/>
  <c r="L19" i="6"/>
  <c r="I19" i="6"/>
  <c r="K19" i="6"/>
  <c r="H19" i="6"/>
  <c r="J19" i="6"/>
  <c r="M20" i="6"/>
  <c r="N20" i="6" s="1"/>
  <c r="R20" i="6" s="1"/>
  <c r="F21" i="6"/>
  <c r="I20" i="6" l="1"/>
  <c r="K20" i="6"/>
  <c r="H20" i="6"/>
  <c r="J20" i="6"/>
  <c r="G21" i="6"/>
  <c r="L20" i="6"/>
  <c r="O19" i="6"/>
  <c r="P19" i="6" s="1"/>
  <c r="Q19" i="6" s="1"/>
  <c r="F22" i="6"/>
  <c r="M21" i="6"/>
  <c r="N21" i="6" s="1"/>
  <c r="R21" i="6" s="1"/>
  <c r="G22" i="6" l="1"/>
  <c r="I21" i="6"/>
  <c r="H21" i="6"/>
  <c r="J21" i="6"/>
  <c r="K21" i="6"/>
  <c r="L21" i="6"/>
  <c r="O20" i="6"/>
  <c r="P20" i="6" s="1"/>
  <c r="Q20" i="6" s="1"/>
  <c r="M22" i="6"/>
  <c r="N22" i="6" s="1"/>
  <c r="R22" i="6" s="1"/>
  <c r="F23" i="6"/>
  <c r="O21" i="6" l="1"/>
  <c r="P21" i="6" s="1"/>
  <c r="Q21" i="6" s="1"/>
  <c r="H22" i="6"/>
  <c r="J22" i="6"/>
  <c r="I22" i="6"/>
  <c r="O22" i="6" s="1"/>
  <c r="P22" i="6" s="1"/>
  <c r="Q22" i="6" s="1"/>
  <c r="G23" i="6"/>
  <c r="K22" i="6"/>
  <c r="L22" i="6"/>
  <c r="F24" i="6"/>
  <c r="M23" i="6"/>
  <c r="N23" i="6" s="1"/>
  <c r="R23" i="6" s="1"/>
  <c r="G24" i="6" l="1"/>
  <c r="K23" i="6"/>
  <c r="L23" i="6"/>
  <c r="H23" i="6"/>
  <c r="J23" i="6"/>
  <c r="I23" i="6"/>
  <c r="O23" i="6" s="1"/>
  <c r="P23" i="6" s="1"/>
  <c r="Q23" i="6" s="1"/>
  <c r="M24" i="6"/>
  <c r="N24" i="6" s="1"/>
  <c r="R24" i="6" s="1"/>
  <c r="F25" i="6"/>
  <c r="I24" i="6" l="1"/>
  <c r="K24" i="6"/>
  <c r="H24" i="6"/>
  <c r="J24" i="6"/>
  <c r="G25" i="6"/>
  <c r="L24" i="6"/>
  <c r="F26" i="6"/>
  <c r="M25" i="6"/>
  <c r="N25" i="6" s="1"/>
  <c r="R25" i="6" s="1"/>
  <c r="G26" i="6" l="1"/>
  <c r="H25" i="6"/>
  <c r="J25" i="6"/>
  <c r="I25" i="6"/>
  <c r="O25" i="6" s="1"/>
  <c r="P25" i="6" s="1"/>
  <c r="Q25" i="6" s="1"/>
  <c r="L25" i="6"/>
  <c r="K25" i="6"/>
  <c r="O24" i="6"/>
  <c r="P24" i="6" s="1"/>
  <c r="Q24" i="6" s="1"/>
  <c r="M26" i="6"/>
  <c r="N26" i="6" s="1"/>
  <c r="R26" i="6" s="1"/>
  <c r="F27" i="6"/>
  <c r="H26" i="6" l="1"/>
  <c r="J26" i="6"/>
  <c r="I26" i="6"/>
  <c r="O26" i="6" s="1"/>
  <c r="P26" i="6" s="1"/>
  <c r="Q26" i="6" s="1"/>
  <c r="K26" i="6"/>
  <c r="G27" i="6"/>
  <c r="L26" i="6"/>
  <c r="F28" i="6"/>
  <c r="M27" i="6"/>
  <c r="N27" i="6" s="1"/>
  <c r="R27" i="6" s="1"/>
  <c r="G28" i="6" l="1"/>
  <c r="L27" i="6"/>
  <c r="H27" i="6"/>
  <c r="J27" i="6"/>
  <c r="K27" i="6"/>
  <c r="I27" i="6"/>
  <c r="O27" i="6" s="1"/>
  <c r="P27" i="6" s="1"/>
  <c r="Q27" i="6" s="1"/>
  <c r="M28" i="6"/>
  <c r="N28" i="6" s="1"/>
  <c r="R28" i="6" s="1"/>
  <c r="F29" i="6"/>
  <c r="I28" i="6" l="1"/>
  <c r="K28" i="6"/>
  <c r="H28" i="6"/>
  <c r="J28" i="6"/>
  <c r="G29" i="6"/>
  <c r="L28" i="6"/>
  <c r="F30" i="6"/>
  <c r="M29" i="6"/>
  <c r="N29" i="6" s="1"/>
  <c r="R29" i="6" s="1"/>
  <c r="G30" i="6" l="1"/>
  <c r="I29" i="6"/>
  <c r="O29" i="6" s="1"/>
  <c r="P29" i="6" s="1"/>
  <c r="Q29" i="6" s="1"/>
  <c r="K29" i="6"/>
  <c r="H29" i="6"/>
  <c r="J29" i="6"/>
  <c r="L29" i="6"/>
  <c r="O28" i="6"/>
  <c r="P28" i="6" s="1"/>
  <c r="Q28" i="6" s="1"/>
  <c r="M30" i="6"/>
  <c r="N30" i="6" s="1"/>
  <c r="R30" i="6" s="1"/>
  <c r="F31" i="6"/>
  <c r="H30" i="6" l="1"/>
  <c r="J30" i="6"/>
  <c r="I30" i="6"/>
  <c r="G31" i="6"/>
  <c r="K30" i="6"/>
  <c r="L30" i="6"/>
  <c r="F32" i="6"/>
  <c r="M31" i="6"/>
  <c r="N31" i="6" s="1"/>
  <c r="R31" i="6" s="1"/>
  <c r="G32" i="6" l="1"/>
  <c r="L31" i="6"/>
  <c r="K31" i="6"/>
  <c r="I31" i="6"/>
  <c r="O31" i="6" s="1"/>
  <c r="P31" i="6" s="1"/>
  <c r="Q31" i="6" s="1"/>
  <c r="H31" i="6"/>
  <c r="J31" i="6"/>
  <c r="O30" i="6"/>
  <c r="P30" i="6" s="1"/>
  <c r="Q30" i="6" s="1"/>
  <c r="M32" i="6"/>
  <c r="N32" i="6" s="1"/>
  <c r="R32" i="6" s="1"/>
  <c r="F33" i="6"/>
  <c r="I32" i="6" l="1"/>
  <c r="H32" i="6"/>
  <c r="J32" i="6"/>
  <c r="G33" i="6"/>
  <c r="L32" i="6"/>
  <c r="K32" i="6"/>
  <c r="F34" i="6"/>
  <c r="M33" i="6"/>
  <c r="N33" i="6" s="1"/>
  <c r="R33" i="6" s="1"/>
  <c r="G34" i="6" l="1"/>
  <c r="H33" i="6"/>
  <c r="J33" i="6"/>
  <c r="K33" i="6"/>
  <c r="I33" i="6"/>
  <c r="L33" i="6"/>
  <c r="O32" i="6"/>
  <c r="P32" i="6" s="1"/>
  <c r="Q32" i="6" s="1"/>
  <c r="M34" i="6"/>
  <c r="N34" i="6" s="1"/>
  <c r="R34" i="6" s="1"/>
  <c r="F35" i="6"/>
  <c r="O33" i="6" l="1"/>
  <c r="P33" i="6" s="1"/>
  <c r="Q33" i="6" s="1"/>
  <c r="H34" i="6"/>
  <c r="J34" i="6"/>
  <c r="I34" i="6"/>
  <c r="O34" i="6" s="1"/>
  <c r="P34" i="6" s="1"/>
  <c r="Q34" i="6" s="1"/>
  <c r="K34" i="6"/>
  <c r="L34" i="6"/>
  <c r="G35" i="6"/>
  <c r="F36" i="6"/>
  <c r="M35" i="6"/>
  <c r="N35" i="6" s="1"/>
  <c r="R35" i="6" s="1"/>
  <c r="G36" i="6" l="1"/>
  <c r="L35" i="6"/>
  <c r="K35" i="6"/>
  <c r="I35" i="6"/>
  <c r="O35" i="6" s="1"/>
  <c r="P35" i="6" s="1"/>
  <c r="Q35" i="6" s="1"/>
  <c r="H35" i="6"/>
  <c r="J35" i="6"/>
  <c r="M36" i="6"/>
  <c r="N36" i="6" s="1"/>
  <c r="R36" i="6" s="1"/>
  <c r="F37" i="6"/>
  <c r="I36" i="6" l="1"/>
  <c r="H36" i="6"/>
  <c r="J36" i="6"/>
  <c r="G37" i="6"/>
  <c r="K36" i="6"/>
  <c r="L36" i="6"/>
  <c r="F38" i="6"/>
  <c r="M37" i="6"/>
  <c r="N37" i="6" s="1"/>
  <c r="R37" i="6" s="1"/>
  <c r="G38" i="6" l="1"/>
  <c r="I37" i="6"/>
  <c r="O37" i="6" s="1"/>
  <c r="P37" i="6" s="1"/>
  <c r="Q37" i="6" s="1"/>
  <c r="K37" i="6"/>
  <c r="H37" i="6"/>
  <c r="J37" i="6"/>
  <c r="L37" i="6"/>
  <c r="O36" i="6"/>
  <c r="P36" i="6" s="1"/>
  <c r="Q36" i="6" s="1"/>
  <c r="M38" i="6"/>
  <c r="N38" i="6" s="1"/>
  <c r="R38" i="6" s="1"/>
  <c r="F39" i="6"/>
  <c r="H38" i="6" l="1"/>
  <c r="J38" i="6"/>
  <c r="I38" i="6"/>
  <c r="G39" i="6"/>
  <c r="K38" i="6"/>
  <c r="L38" i="6"/>
  <c r="F40" i="6"/>
  <c r="M39" i="6"/>
  <c r="N39" i="6" s="1"/>
  <c r="R39" i="6" s="1"/>
  <c r="G40" i="6" l="1"/>
  <c r="L39" i="6"/>
  <c r="K39" i="6"/>
  <c r="H39" i="6"/>
  <c r="J39" i="6"/>
  <c r="I39" i="6"/>
  <c r="O39" i="6" s="1"/>
  <c r="P39" i="6" s="1"/>
  <c r="Q39" i="6" s="1"/>
  <c r="O38" i="6"/>
  <c r="P38" i="6" s="1"/>
  <c r="Q38" i="6" s="1"/>
  <c r="M40" i="6"/>
  <c r="N40" i="6" s="1"/>
  <c r="R40" i="6" s="1"/>
  <c r="F41" i="6"/>
  <c r="I40" i="6" l="1"/>
  <c r="H40" i="6"/>
  <c r="J40" i="6"/>
  <c r="G41" i="6"/>
  <c r="L40" i="6"/>
  <c r="K40" i="6"/>
  <c r="F42" i="6"/>
  <c r="M41" i="6"/>
  <c r="N41" i="6" s="1"/>
  <c r="R41" i="6" s="1"/>
  <c r="G42" i="6" l="1"/>
  <c r="H41" i="6"/>
  <c r="J41" i="6"/>
  <c r="K41" i="6"/>
  <c r="I41" i="6"/>
  <c r="L41" i="6"/>
  <c r="O40" i="6"/>
  <c r="P40" i="6" s="1"/>
  <c r="Q40" i="6" s="1"/>
  <c r="M42" i="6"/>
  <c r="N42" i="6" s="1"/>
  <c r="R42" i="6" s="1"/>
  <c r="F43" i="6"/>
  <c r="O41" i="6" l="1"/>
  <c r="P41" i="6" s="1"/>
  <c r="Q41" i="6" s="1"/>
  <c r="H42" i="6"/>
  <c r="J42" i="6"/>
  <c r="I42" i="6"/>
  <c r="O42" i="6" s="1"/>
  <c r="P42" i="6" s="1"/>
  <c r="Q42" i="6" s="1"/>
  <c r="K42" i="6"/>
  <c r="G43" i="6"/>
  <c r="L42" i="6"/>
  <c r="F44" i="6"/>
  <c r="M43" i="6"/>
  <c r="N43" i="6" s="1"/>
  <c r="R43" i="6" s="1"/>
  <c r="G44" i="6" l="1"/>
  <c r="L43" i="6"/>
  <c r="K43" i="6"/>
  <c r="H43" i="6"/>
  <c r="J43" i="6"/>
  <c r="I43" i="6"/>
  <c r="O43" i="6" s="1"/>
  <c r="P43" i="6" s="1"/>
  <c r="Q43" i="6" s="1"/>
  <c r="M44" i="6"/>
  <c r="N44" i="6" s="1"/>
  <c r="R44" i="6" s="1"/>
  <c r="F45" i="6"/>
  <c r="I44" i="6" l="1"/>
  <c r="H44" i="6"/>
  <c r="J44" i="6"/>
  <c r="G45" i="6"/>
  <c r="K44" i="6"/>
  <c r="L44" i="6"/>
  <c r="F46" i="6"/>
  <c r="M45" i="6"/>
  <c r="N45" i="6" s="1"/>
  <c r="R45" i="6" s="1"/>
  <c r="G46" i="6" l="1"/>
  <c r="I45" i="6"/>
  <c r="O45" i="6" s="1"/>
  <c r="P45" i="6" s="1"/>
  <c r="Q45" i="6" s="1"/>
  <c r="K45" i="6"/>
  <c r="H45" i="6"/>
  <c r="J45" i="6"/>
  <c r="L45" i="6"/>
  <c r="O44" i="6"/>
  <c r="P44" i="6" s="1"/>
  <c r="Q44" i="6" s="1"/>
  <c r="M46" i="6"/>
  <c r="N46" i="6" s="1"/>
  <c r="R46" i="6" s="1"/>
  <c r="F47" i="6"/>
  <c r="H46" i="6" l="1"/>
  <c r="J46" i="6"/>
  <c r="I46" i="6"/>
  <c r="G47" i="6"/>
  <c r="K46" i="6"/>
  <c r="L46" i="6"/>
  <c r="F48" i="6"/>
  <c r="M47" i="6"/>
  <c r="N47" i="6" s="1"/>
  <c r="R47" i="6" s="1"/>
  <c r="G48" i="6" l="1"/>
  <c r="L47" i="6"/>
  <c r="K47" i="6"/>
  <c r="I47" i="6"/>
  <c r="O47" i="6" s="1"/>
  <c r="P47" i="6" s="1"/>
  <c r="Q47" i="6" s="1"/>
  <c r="H47" i="6"/>
  <c r="J47" i="6"/>
  <c r="O46" i="6"/>
  <c r="P46" i="6" s="1"/>
  <c r="Q46" i="6" s="1"/>
  <c r="M48" i="6"/>
  <c r="N48" i="6" s="1"/>
  <c r="R48" i="6" s="1"/>
  <c r="F49" i="6"/>
  <c r="I48" i="6" l="1"/>
  <c r="H48" i="6"/>
  <c r="J48" i="6"/>
  <c r="G49" i="6"/>
  <c r="L48" i="6"/>
  <c r="K48" i="6"/>
  <c r="F50" i="6"/>
  <c r="M49" i="6"/>
  <c r="N49" i="6" s="1"/>
  <c r="R49" i="6" s="1"/>
  <c r="G50" i="6" l="1"/>
  <c r="H49" i="6"/>
  <c r="J49" i="6"/>
  <c r="K49" i="6"/>
  <c r="I49" i="6"/>
  <c r="L49" i="6"/>
  <c r="O48" i="6"/>
  <c r="P48" i="6" s="1"/>
  <c r="Q48" i="6" s="1"/>
  <c r="M50" i="6"/>
  <c r="N50" i="6" s="1"/>
  <c r="R50" i="6" s="1"/>
  <c r="F51" i="6"/>
  <c r="O49" i="6" l="1"/>
  <c r="P49" i="6" s="1"/>
  <c r="Q49" i="6" s="1"/>
  <c r="H50" i="6"/>
  <c r="J50" i="6"/>
  <c r="I50" i="6"/>
  <c r="O50" i="6" s="1"/>
  <c r="P50" i="6" s="1"/>
  <c r="Q50" i="6" s="1"/>
  <c r="K50" i="6"/>
  <c r="L50" i="6"/>
  <c r="G51" i="6"/>
  <c r="F52" i="6"/>
  <c r="M51" i="6"/>
  <c r="N51" i="6" s="1"/>
  <c r="R51" i="6" s="1"/>
  <c r="G52" i="6" l="1"/>
  <c r="L51" i="6"/>
  <c r="K51" i="6"/>
  <c r="I51" i="6"/>
  <c r="O51" i="6" s="1"/>
  <c r="P51" i="6" s="1"/>
  <c r="Q51" i="6" s="1"/>
  <c r="H51" i="6"/>
  <c r="J51" i="6"/>
  <c r="M52" i="6"/>
  <c r="N52" i="6" s="1"/>
  <c r="R52" i="6" s="1"/>
  <c r="F53" i="6"/>
  <c r="I52" i="6" l="1"/>
  <c r="H52" i="6"/>
  <c r="J52" i="6"/>
  <c r="G53" i="6"/>
  <c r="K52" i="6"/>
  <c r="L52" i="6"/>
  <c r="F54" i="6"/>
  <c r="M53" i="6"/>
  <c r="N53" i="6" s="1"/>
  <c r="R53" i="6" s="1"/>
  <c r="G54" i="6" l="1"/>
  <c r="I53" i="6"/>
  <c r="O53" i="6" s="1"/>
  <c r="P53" i="6" s="1"/>
  <c r="Q53" i="6" s="1"/>
  <c r="K53" i="6"/>
  <c r="H53" i="6"/>
  <c r="J53" i="6"/>
  <c r="L53" i="6"/>
  <c r="O52" i="6"/>
  <c r="P52" i="6" s="1"/>
  <c r="Q52" i="6" s="1"/>
  <c r="M54" i="6"/>
  <c r="N54" i="6" s="1"/>
  <c r="R54" i="6" s="1"/>
  <c r="F55" i="6"/>
  <c r="H54" i="6" l="1"/>
  <c r="J54" i="6"/>
  <c r="I54" i="6"/>
  <c r="G55" i="6"/>
  <c r="K54" i="6"/>
  <c r="L54" i="6"/>
  <c r="F56" i="6"/>
  <c r="M55" i="6"/>
  <c r="N55" i="6" s="1"/>
  <c r="R55" i="6" s="1"/>
  <c r="G56" i="6" l="1"/>
  <c r="L55" i="6"/>
  <c r="K55" i="6"/>
  <c r="H55" i="6"/>
  <c r="J55" i="6"/>
  <c r="I55" i="6"/>
  <c r="O55" i="6" s="1"/>
  <c r="P55" i="6" s="1"/>
  <c r="Q55" i="6" s="1"/>
  <c r="O54" i="6"/>
  <c r="P54" i="6" s="1"/>
  <c r="Q54" i="6" s="1"/>
  <c r="M56" i="6"/>
  <c r="N56" i="6" s="1"/>
  <c r="R56" i="6" s="1"/>
  <c r="F57" i="6"/>
  <c r="I56" i="6" l="1"/>
  <c r="H56" i="6"/>
  <c r="J56" i="6"/>
  <c r="G57" i="6"/>
  <c r="L56" i="6"/>
  <c r="K56" i="6"/>
  <c r="F58" i="6"/>
  <c r="M57" i="6"/>
  <c r="N57" i="6" s="1"/>
  <c r="R57" i="6" s="1"/>
  <c r="G58" i="6" l="1"/>
  <c r="H57" i="6"/>
  <c r="J57" i="6"/>
  <c r="K57" i="6"/>
  <c r="I57" i="6"/>
  <c r="L57" i="6"/>
  <c r="O56" i="6"/>
  <c r="P56" i="6" s="1"/>
  <c r="Q56" i="6" s="1"/>
  <c r="M58" i="6"/>
  <c r="N58" i="6" s="1"/>
  <c r="R58" i="6" s="1"/>
  <c r="F59" i="6"/>
  <c r="O57" i="6" l="1"/>
  <c r="P57" i="6" s="1"/>
  <c r="Q57" i="6" s="1"/>
  <c r="H58" i="6"/>
  <c r="J58" i="6"/>
  <c r="I58" i="6"/>
  <c r="O58" i="6" s="1"/>
  <c r="P58" i="6" s="1"/>
  <c r="Q58" i="6" s="1"/>
  <c r="K58" i="6"/>
  <c r="G59" i="6"/>
  <c r="L58" i="6"/>
  <c r="F60" i="6"/>
  <c r="M59" i="6"/>
  <c r="N59" i="6" s="1"/>
  <c r="R59" i="6" s="1"/>
  <c r="G60" i="6" l="1"/>
  <c r="L59" i="6"/>
  <c r="K59" i="6"/>
  <c r="H59" i="6"/>
  <c r="J59" i="6"/>
  <c r="I59" i="6"/>
  <c r="O59" i="6" s="1"/>
  <c r="P59" i="6" s="1"/>
  <c r="Q59" i="6" s="1"/>
  <c r="M60" i="6"/>
  <c r="N60" i="6" s="1"/>
  <c r="R60" i="6" s="1"/>
  <c r="F61" i="6"/>
  <c r="I60" i="6" l="1"/>
  <c r="H60" i="6"/>
  <c r="J60" i="6"/>
  <c r="G61" i="6"/>
  <c r="K60" i="6"/>
  <c r="L60" i="6"/>
  <c r="F62" i="6"/>
  <c r="M61" i="6"/>
  <c r="N61" i="6" s="1"/>
  <c r="R61" i="6" s="1"/>
  <c r="G62" i="6" l="1"/>
  <c r="I61" i="6"/>
  <c r="O61" i="6" s="1"/>
  <c r="P61" i="6" s="1"/>
  <c r="Q61" i="6" s="1"/>
  <c r="K61" i="6"/>
  <c r="H61" i="6"/>
  <c r="J61" i="6"/>
  <c r="L61" i="6"/>
  <c r="O60" i="6"/>
  <c r="P60" i="6" s="1"/>
  <c r="Q60" i="6" s="1"/>
  <c r="M62" i="6"/>
  <c r="N62" i="6" s="1"/>
  <c r="R62" i="6" s="1"/>
  <c r="F63" i="6"/>
  <c r="H62" i="6" l="1"/>
  <c r="J62" i="6"/>
  <c r="I62" i="6"/>
  <c r="G63" i="6"/>
  <c r="K62" i="6"/>
  <c r="L62" i="6"/>
  <c r="F64" i="6"/>
  <c r="M63" i="6"/>
  <c r="N63" i="6" s="1"/>
  <c r="R63" i="6" s="1"/>
  <c r="G64" i="6" l="1"/>
  <c r="L63" i="6"/>
  <c r="K63" i="6"/>
  <c r="I63" i="6"/>
  <c r="O63" i="6" s="1"/>
  <c r="P63" i="6" s="1"/>
  <c r="Q63" i="6" s="1"/>
  <c r="H63" i="6"/>
  <c r="J63" i="6"/>
  <c r="O62" i="6"/>
  <c r="P62" i="6" s="1"/>
  <c r="Q62" i="6" s="1"/>
  <c r="M64" i="6"/>
  <c r="N64" i="6" s="1"/>
  <c r="R64" i="6" s="1"/>
  <c r="F65" i="6"/>
  <c r="I64" i="6" l="1"/>
  <c r="H64" i="6"/>
  <c r="J64" i="6"/>
  <c r="G65" i="6"/>
  <c r="L64" i="6"/>
  <c r="K64" i="6"/>
  <c r="F66" i="6"/>
  <c r="M65" i="6"/>
  <c r="N65" i="6" s="1"/>
  <c r="R65" i="6" s="1"/>
  <c r="G66" i="6" l="1"/>
  <c r="H65" i="6"/>
  <c r="J65" i="6"/>
  <c r="K65" i="6"/>
  <c r="I65" i="6"/>
  <c r="L65" i="6"/>
  <c r="O64" i="6"/>
  <c r="P64" i="6" s="1"/>
  <c r="Q64" i="6" s="1"/>
  <c r="M66" i="6"/>
  <c r="N66" i="6" s="1"/>
  <c r="R66" i="6" s="1"/>
  <c r="F67" i="6"/>
  <c r="O65" i="6" l="1"/>
  <c r="P65" i="6" s="1"/>
  <c r="Q65" i="6" s="1"/>
  <c r="H66" i="6"/>
  <c r="J66" i="6"/>
  <c r="I66" i="6"/>
  <c r="O66" i="6" s="1"/>
  <c r="P66" i="6" s="1"/>
  <c r="Q66" i="6" s="1"/>
  <c r="K66" i="6"/>
  <c r="L66" i="6"/>
  <c r="G67" i="6"/>
  <c r="F68" i="6"/>
  <c r="M67" i="6"/>
  <c r="N67" i="6" s="1"/>
  <c r="R67" i="6" s="1"/>
  <c r="G68" i="6" l="1"/>
  <c r="L67" i="6"/>
  <c r="K67" i="6"/>
  <c r="I67" i="6"/>
  <c r="O67" i="6" s="1"/>
  <c r="P67" i="6" s="1"/>
  <c r="Q67" i="6" s="1"/>
  <c r="H67" i="6"/>
  <c r="J67" i="6"/>
  <c r="M68" i="6"/>
  <c r="N68" i="6" s="1"/>
  <c r="R68" i="6" s="1"/>
  <c r="F69" i="6"/>
  <c r="I68" i="6" l="1"/>
  <c r="H68" i="6"/>
  <c r="J68" i="6"/>
  <c r="G69" i="6"/>
  <c r="K68" i="6"/>
  <c r="L68" i="6"/>
  <c r="F70" i="6"/>
  <c r="M69" i="6"/>
  <c r="N69" i="6" s="1"/>
  <c r="R69" i="6" s="1"/>
  <c r="G70" i="6" l="1"/>
  <c r="I69" i="6"/>
  <c r="O69" i="6" s="1"/>
  <c r="P69" i="6" s="1"/>
  <c r="Q69" i="6" s="1"/>
  <c r="K69" i="6"/>
  <c r="H69" i="6"/>
  <c r="J69" i="6"/>
  <c r="L69" i="6"/>
  <c r="O68" i="6"/>
  <c r="P68" i="6" s="1"/>
  <c r="Q68" i="6" s="1"/>
  <c r="M70" i="6"/>
  <c r="N70" i="6" s="1"/>
  <c r="R70" i="6" s="1"/>
  <c r="F71" i="6"/>
  <c r="H70" i="6" l="1"/>
  <c r="J70" i="6"/>
  <c r="I70" i="6"/>
  <c r="G71" i="6"/>
  <c r="K70" i="6"/>
  <c r="L70" i="6"/>
  <c r="F72" i="6"/>
  <c r="M71" i="6"/>
  <c r="N71" i="6" s="1"/>
  <c r="R71" i="6" s="1"/>
  <c r="G72" i="6" l="1"/>
  <c r="L71" i="6"/>
  <c r="K71" i="6"/>
  <c r="H71" i="6"/>
  <c r="J71" i="6"/>
  <c r="I71" i="6"/>
  <c r="O71" i="6" s="1"/>
  <c r="P71" i="6" s="1"/>
  <c r="Q71" i="6" s="1"/>
  <c r="O70" i="6"/>
  <c r="P70" i="6" s="1"/>
  <c r="Q70" i="6" s="1"/>
  <c r="M72" i="6"/>
  <c r="N72" i="6" s="1"/>
  <c r="R72" i="6" s="1"/>
  <c r="F73" i="6"/>
  <c r="I72" i="6" l="1"/>
  <c r="H72" i="6"/>
  <c r="J72" i="6"/>
  <c r="G73" i="6"/>
  <c r="L72" i="6"/>
  <c r="K72" i="6"/>
  <c r="F74" i="6"/>
  <c r="M73" i="6"/>
  <c r="N73" i="6" s="1"/>
  <c r="R73" i="6" s="1"/>
  <c r="G74" i="6" l="1"/>
  <c r="H73" i="6"/>
  <c r="J73" i="6"/>
  <c r="K73" i="6"/>
  <c r="I73" i="6"/>
  <c r="L73" i="6"/>
  <c r="O72" i="6"/>
  <c r="P72" i="6" s="1"/>
  <c r="Q72" i="6" s="1"/>
  <c r="M74" i="6"/>
  <c r="N74" i="6" s="1"/>
  <c r="R74" i="6" s="1"/>
  <c r="F75" i="6"/>
  <c r="O73" i="6" l="1"/>
  <c r="P73" i="6" s="1"/>
  <c r="Q73" i="6" s="1"/>
  <c r="H74" i="6"/>
  <c r="J74" i="6"/>
  <c r="I74" i="6"/>
  <c r="O74" i="6" s="1"/>
  <c r="P74" i="6" s="1"/>
  <c r="Q74" i="6" s="1"/>
  <c r="K74" i="6"/>
  <c r="G75" i="6"/>
  <c r="L74" i="6"/>
  <c r="F76" i="6"/>
  <c r="M75" i="6"/>
  <c r="N75" i="6" s="1"/>
  <c r="R75" i="6" s="1"/>
  <c r="G76" i="6" l="1"/>
  <c r="L75" i="6"/>
  <c r="K75" i="6"/>
  <c r="H75" i="6"/>
  <c r="J75" i="6"/>
  <c r="I75" i="6"/>
  <c r="O75" i="6" s="1"/>
  <c r="P75" i="6" s="1"/>
  <c r="Q75" i="6" s="1"/>
  <c r="M76" i="6"/>
  <c r="N76" i="6" s="1"/>
  <c r="R76" i="6" s="1"/>
  <c r="F77" i="6"/>
  <c r="I76" i="6" l="1"/>
  <c r="H76" i="6"/>
  <c r="J76" i="6"/>
  <c r="G77" i="6"/>
  <c r="K76" i="6"/>
  <c r="L76" i="6"/>
  <c r="F78" i="6"/>
  <c r="M77" i="6"/>
  <c r="N77" i="6" s="1"/>
  <c r="R77" i="6" s="1"/>
  <c r="G78" i="6" l="1"/>
  <c r="I77" i="6"/>
  <c r="O77" i="6" s="1"/>
  <c r="P77" i="6" s="1"/>
  <c r="Q77" i="6" s="1"/>
  <c r="K77" i="6"/>
  <c r="H77" i="6"/>
  <c r="J77" i="6"/>
  <c r="L77" i="6"/>
  <c r="O76" i="6"/>
  <c r="P76" i="6" s="1"/>
  <c r="Q76" i="6" s="1"/>
  <c r="M78" i="6"/>
  <c r="N78" i="6" s="1"/>
  <c r="R78" i="6" s="1"/>
  <c r="F79" i="6"/>
  <c r="H78" i="6" l="1"/>
  <c r="J78" i="6"/>
  <c r="I78" i="6"/>
  <c r="G79" i="6"/>
  <c r="K78" i="6"/>
  <c r="L78" i="6"/>
  <c r="F80" i="6"/>
  <c r="M79" i="6"/>
  <c r="N79" i="6" s="1"/>
  <c r="R79" i="6" s="1"/>
  <c r="G80" i="6" l="1"/>
  <c r="L79" i="6"/>
  <c r="K79" i="6"/>
  <c r="I79" i="6"/>
  <c r="O79" i="6" s="1"/>
  <c r="P79" i="6" s="1"/>
  <c r="Q79" i="6" s="1"/>
  <c r="H79" i="6"/>
  <c r="J79" i="6"/>
  <c r="O78" i="6"/>
  <c r="P78" i="6" s="1"/>
  <c r="Q78" i="6" s="1"/>
  <c r="M80" i="6"/>
  <c r="N80" i="6" s="1"/>
  <c r="R80" i="6" s="1"/>
  <c r="F81" i="6"/>
  <c r="I80" i="6" l="1"/>
  <c r="H80" i="6"/>
  <c r="J80" i="6"/>
  <c r="G81" i="6"/>
  <c r="L80" i="6"/>
  <c r="K80" i="6"/>
  <c r="F82" i="6"/>
  <c r="M81" i="6"/>
  <c r="N81" i="6" s="1"/>
  <c r="R81" i="6" s="1"/>
  <c r="G82" i="6" l="1"/>
  <c r="H81" i="6"/>
  <c r="J81" i="6"/>
  <c r="K81" i="6"/>
  <c r="I81" i="6"/>
  <c r="L81" i="6"/>
  <c r="O80" i="6"/>
  <c r="P80" i="6" s="1"/>
  <c r="Q80" i="6" s="1"/>
  <c r="M82" i="6"/>
  <c r="N82" i="6" s="1"/>
  <c r="R82" i="6" s="1"/>
  <c r="F83" i="6"/>
  <c r="O81" i="6" l="1"/>
  <c r="P81" i="6" s="1"/>
  <c r="Q81" i="6" s="1"/>
  <c r="H82" i="6"/>
  <c r="J82" i="6"/>
  <c r="I82" i="6"/>
  <c r="O82" i="6" s="1"/>
  <c r="P82" i="6" s="1"/>
  <c r="Q82" i="6" s="1"/>
  <c r="K82" i="6"/>
  <c r="L82" i="6"/>
  <c r="G83" i="6"/>
  <c r="F84" i="6"/>
  <c r="M83" i="6"/>
  <c r="N83" i="6" s="1"/>
  <c r="R83" i="6" s="1"/>
  <c r="G84" i="6" l="1"/>
  <c r="L83" i="6"/>
  <c r="K83" i="6"/>
  <c r="I83" i="6"/>
  <c r="O83" i="6" s="1"/>
  <c r="P83" i="6" s="1"/>
  <c r="Q83" i="6" s="1"/>
  <c r="H83" i="6"/>
  <c r="J83" i="6"/>
  <c r="M84" i="6"/>
  <c r="N84" i="6" s="1"/>
  <c r="R84" i="6" s="1"/>
  <c r="F85" i="6"/>
  <c r="I84" i="6" l="1"/>
  <c r="H84" i="6"/>
  <c r="J84" i="6"/>
  <c r="G85" i="6"/>
  <c r="K84" i="6"/>
  <c r="L84" i="6"/>
  <c r="F86" i="6"/>
  <c r="M85" i="6"/>
  <c r="N85" i="6" s="1"/>
  <c r="R85" i="6" s="1"/>
  <c r="G86" i="6" l="1"/>
  <c r="I85" i="6"/>
  <c r="O85" i="6" s="1"/>
  <c r="P85" i="6" s="1"/>
  <c r="Q85" i="6" s="1"/>
  <c r="K85" i="6"/>
  <c r="H85" i="6"/>
  <c r="J85" i="6"/>
  <c r="L85" i="6"/>
  <c r="O84" i="6"/>
  <c r="P84" i="6" s="1"/>
  <c r="Q84" i="6" s="1"/>
  <c r="M86" i="6"/>
  <c r="N86" i="6" s="1"/>
  <c r="R86" i="6" s="1"/>
  <c r="F87" i="6"/>
  <c r="H86" i="6" l="1"/>
  <c r="J86" i="6"/>
  <c r="I86" i="6"/>
  <c r="G87" i="6"/>
  <c r="K86" i="6"/>
  <c r="L86" i="6"/>
  <c r="F88" i="6"/>
  <c r="M87" i="6"/>
  <c r="N87" i="6" s="1"/>
  <c r="R87" i="6" s="1"/>
  <c r="G88" i="6" l="1"/>
  <c r="L87" i="6"/>
  <c r="K87" i="6"/>
  <c r="H87" i="6"/>
  <c r="J87" i="6"/>
  <c r="I87" i="6"/>
  <c r="O87" i="6" s="1"/>
  <c r="P87" i="6" s="1"/>
  <c r="Q87" i="6" s="1"/>
  <c r="O86" i="6"/>
  <c r="P86" i="6" s="1"/>
  <c r="Q86" i="6" s="1"/>
  <c r="M88" i="6"/>
  <c r="N88" i="6" s="1"/>
  <c r="R88" i="6" s="1"/>
  <c r="F89" i="6"/>
  <c r="I88" i="6" l="1"/>
  <c r="H88" i="6"/>
  <c r="J88" i="6"/>
  <c r="G89" i="6"/>
  <c r="L88" i="6"/>
  <c r="K88" i="6"/>
  <c r="F90" i="6"/>
  <c r="M89" i="6"/>
  <c r="N89" i="6" s="1"/>
  <c r="R89" i="6" s="1"/>
  <c r="G90" i="6" l="1"/>
  <c r="H89" i="6"/>
  <c r="J89" i="6"/>
  <c r="K89" i="6"/>
  <c r="I89" i="6"/>
  <c r="L89" i="6"/>
  <c r="O88" i="6"/>
  <c r="P88" i="6" s="1"/>
  <c r="Q88" i="6" s="1"/>
  <c r="M90" i="6"/>
  <c r="N90" i="6" s="1"/>
  <c r="R90" i="6" s="1"/>
  <c r="F91" i="6"/>
  <c r="M91" i="6" s="1"/>
  <c r="N91" i="6" s="1"/>
  <c r="R91" i="6" s="1"/>
  <c r="O89" i="6" l="1"/>
  <c r="P89" i="6" s="1"/>
  <c r="Q89" i="6" s="1"/>
  <c r="H90" i="6"/>
  <c r="J90" i="6"/>
  <c r="I90" i="6"/>
  <c r="O90" i="6" s="1"/>
  <c r="P90" i="6" s="1"/>
  <c r="Q90" i="6" s="1"/>
  <c r="K90" i="6"/>
  <c r="G91" i="6"/>
  <c r="L90" i="6"/>
  <c r="L91" i="6" l="1"/>
  <c r="K91" i="6"/>
  <c r="H91" i="6"/>
  <c r="J91" i="6"/>
  <c r="I91" i="6"/>
  <c r="O91" i="6" l="1"/>
  <c r="P91" i="6" s="1"/>
  <c r="Q91" i="6" s="1"/>
</calcChain>
</file>

<file path=xl/sharedStrings.xml><?xml version="1.0" encoding="utf-8"?>
<sst xmlns="http://schemas.openxmlformats.org/spreadsheetml/2006/main" count="86" uniqueCount="41">
  <si>
    <t>Open</t>
  </si>
  <si>
    <t>Close</t>
  </si>
  <si>
    <t>Sheets</t>
  </si>
  <si>
    <t>Windows</t>
  </si>
  <si>
    <t>Date1</t>
  </si>
  <si>
    <t>Date2</t>
  </si>
  <si>
    <t>Days</t>
  </si>
  <si>
    <t>RUN !</t>
  </si>
  <si>
    <t>index</t>
  </si>
  <si>
    <t>day</t>
  </si>
  <si>
    <t>month</t>
  </si>
  <si>
    <t>year</t>
  </si>
  <si>
    <t>week</t>
  </si>
  <si>
    <t>date</t>
  </si>
  <si>
    <t>weekday</t>
  </si>
  <si>
    <t>WrkDays</t>
  </si>
  <si>
    <t>Row Labels</t>
  </si>
  <si>
    <t>Grand Total</t>
  </si>
  <si>
    <t>/</t>
  </si>
  <si>
    <t>Column Labels</t>
  </si>
  <si>
    <t>ratio</t>
  </si>
  <si>
    <t>revenue</t>
  </si>
  <si>
    <t>monthend</t>
  </si>
  <si>
    <t>Sum of revenue</t>
  </si>
  <si>
    <t>sub</t>
  </si>
  <si>
    <t>amount</t>
  </si>
  <si>
    <t>concat</t>
  </si>
  <si>
    <t>payment</t>
  </si>
  <si>
    <t>collection</t>
  </si>
  <si>
    <t>colamot</t>
  </si>
  <si>
    <t>Sum of colamot</t>
  </si>
  <si>
    <t>(All)</t>
  </si>
  <si>
    <t>desv</t>
  </si>
  <si>
    <t>.</t>
  </si>
  <si>
    <t>Plan</t>
  </si>
  <si>
    <t>1</t>
  </si>
  <si>
    <t>Sheet1!A1</t>
  </si>
  <si>
    <t>uno</t>
  </si>
  <si>
    <t>dos</t>
  </si>
  <si>
    <t>tres</t>
  </si>
  <si>
    <t>C:\Users\jbravof\Google Drive\WebSites\webspace\files\tablas\menu01-4.mht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</si>
</sst>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0000000"/>
  </numFmts>
  <fonts count="13" x14ac:knownFonts="1">
    <font>
      <sz val="11"/>
      <color theme="1"/>
      <name val="Calibri"/>
      <family val="2"/>
    </font>
    <font>
      <b/>
      <sz val="9"/>
      <color rgb="FF0070C0"/>
      <name val="Calibri"/>
      <family val="2"/>
    </font>
    <font>
      <sz val="10"/>
      <color theme="1"/>
      <name val="Calibri"/>
      <family val="2"/>
    </font>
    <font>
      <b/>
      <sz val="14"/>
      <color theme="1"/>
      <name val="Calibri"/>
      <family val="2"/>
    </font>
    <font>
      <sz val="11"/>
      <color theme="1"/>
      <name val="Calibri"/>
      <family val="2"/>
      <scheme val="minor"/>
    </font>
    <font>
      <b/>
      <sz val="12"/>
      <color theme="1"/>
      <name val="Calibri"/>
      <family val="2"/>
    </font>
    <font>
      <b/>
      <sz val="11"/>
      <color theme="8" tint="-0.249977111117893"/>
      <name val="Calibri"/>
      <family val="2"/>
    </font>
    <font>
      <b/>
      <sz val="8"/>
      <color theme="8" tint="-0.249977111117893"/>
      <name val="Calibri"/>
      <family val="2"/>
    </font>
    <font>
      <sz val="11"/>
      <color theme="1"/>
      <name val="Calibri"/>
      <family val="2"/>
    </font>
    <font>
      <b/>
      <sz val="12"/>
      <color theme="0"/>
      <name val="Calibri"/>
      <family val="2"/>
    </font>
    <font>
      <sz val="11"/>
      <color theme="1"/>
      <name val="Britannic Bold"/>
      <family val="2"/>
    </font>
    <font>
      <sz val="11"/>
      <color theme="1"/>
      <name val="Calibri"/>
      <family val="2"/>
    </font>
    <font>
      <u/>
      <sz val="11"/>
      <color theme="10"/>
      <name val="Calibri"/>
      <family val="2"/>
    </font>
  </fonts>
  <fills count="4">
    <fill>
      <patternFill patternType="none"/>
    </fill>
    <fill>
      <patternFill patternType="gray125"/>
    </fill>
    <fill>
      <patternFill patternType="solid">
        <fgColor theme="0"/>
        <bgColor indexed="64"/>
      </patternFill>
    </fill>
    <fill>
      <patternFill patternType="solid">
        <fgColor theme="1"/>
        <bgColor theme="1"/>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s>
  <cellStyleXfs count="4">
    <xf numFmtId="0" fontId="0" fillId="0" borderId="0"/>
    <xf numFmtId="0" fontId="4" fillId="0" borderId="0"/>
    <xf numFmtId="43" fontId="8" fillId="0" borderId="0" applyFont="0" applyFill="0" applyBorder="0" applyAlignment="0" applyProtection="0"/>
    <xf numFmtId="0" fontId="12" fillId="0" borderId="0" applyNumberFormat="0" applyFill="0" applyBorder="0" applyAlignment="0" applyProtection="0"/>
  </cellStyleXfs>
  <cellXfs count="58">
    <xf numFmtId="0" fontId="0" fillId="0" borderId="0" xfId="0"/>
    <xf numFmtId="0" fontId="0" fillId="2" borderId="0" xfId="0" applyFill="1"/>
    <xf numFmtId="0" fontId="0" fillId="2" borderId="1" xfId="0" applyFill="1" applyBorder="1"/>
    <xf numFmtId="0" fontId="1" fillId="2" borderId="1" xfId="0" applyFont="1" applyFill="1" applyBorder="1" applyAlignment="1">
      <alignment horizontal="center" vertical="center"/>
    </xf>
    <xf numFmtId="0" fontId="0" fillId="2" borderId="0" xfId="0" applyFill="1" applyBorder="1"/>
    <xf numFmtId="0" fontId="0" fillId="0" borderId="0" xfId="0" applyBorder="1"/>
    <xf numFmtId="0" fontId="2" fillId="0" borderId="0" xfId="0" applyFont="1" applyBorder="1" applyAlignment="1">
      <alignment horizontal="center" vertical="center"/>
    </xf>
    <xf numFmtId="14" fontId="0" fillId="0" borderId="0" xfId="0" applyNumberFormat="1"/>
    <xf numFmtId="0" fontId="0" fillId="0" borderId="0" xfId="0" applyAlignment="1">
      <alignment horizontal="left" vertical="center" indent="1"/>
    </xf>
    <xf numFmtId="0" fontId="0" fillId="0" borderId="0" xfId="0" applyNumberFormat="1"/>
    <xf numFmtId="0" fontId="6" fillId="0" borderId="0" xfId="0" applyFont="1" applyAlignment="1">
      <alignment vertical="center"/>
    </xf>
    <xf numFmtId="0" fontId="7" fillId="0" borderId="0" xfId="0" applyFont="1" applyAlignment="1">
      <alignment horizontal="center" vertical="center"/>
    </xf>
    <xf numFmtId="0" fontId="0" fillId="0" borderId="0" xfId="0" applyAlignment="1">
      <alignment vertical="center"/>
    </xf>
    <xf numFmtId="14" fontId="0" fillId="0" borderId="0" xfId="0" applyNumberFormat="1" applyAlignment="1">
      <alignment vertical="center"/>
    </xf>
    <xf numFmtId="0" fontId="0" fillId="0" borderId="0" xfId="0" applyBorder="1" applyAlignment="1">
      <alignment vertical="center"/>
    </xf>
    <xf numFmtId="0" fontId="5" fillId="0" borderId="9" xfId="0" applyFont="1" applyBorder="1" applyAlignment="1">
      <alignment horizontal="left" vertical="center" indent="1"/>
    </xf>
    <xf numFmtId="0" fontId="5" fillId="0" borderId="10" xfId="0" applyFont="1" applyBorder="1" applyAlignment="1">
      <alignment horizontal="left" vertical="center" indent="1"/>
    </xf>
    <xf numFmtId="0" fontId="0" fillId="0" borderId="0" xfId="0" applyBorder="1" applyAlignment="1">
      <alignment horizontal="center"/>
    </xf>
    <xf numFmtId="0" fontId="6" fillId="0" borderId="0" xfId="0" applyFont="1" applyBorder="1" applyAlignment="1">
      <alignment vertical="center"/>
    </xf>
    <xf numFmtId="1" fontId="0" fillId="0" borderId="0" xfId="0" applyNumberFormat="1"/>
    <xf numFmtId="1" fontId="9" fillId="3" borderId="11" xfId="0" applyNumberFormat="1" applyFont="1" applyFill="1" applyBorder="1" applyAlignment="1">
      <alignment horizontal="left" vertical="center" indent="1"/>
    </xf>
    <xf numFmtId="0" fontId="9" fillId="3" borderId="12" xfId="0" applyFont="1" applyFill="1" applyBorder="1" applyAlignment="1">
      <alignment horizontal="left" vertical="center" indent="1"/>
    </xf>
    <xf numFmtId="0" fontId="9" fillId="3" borderId="13" xfId="0" applyFont="1" applyFill="1" applyBorder="1" applyAlignment="1">
      <alignment horizontal="left" vertical="center"/>
    </xf>
    <xf numFmtId="0" fontId="0" fillId="0" borderId="0" xfId="0" pivotButton="1"/>
    <xf numFmtId="14" fontId="0" fillId="0" borderId="0" xfId="0" applyNumberFormat="1" applyAlignment="1">
      <alignment horizontal="left"/>
    </xf>
    <xf numFmtId="43" fontId="0" fillId="0" borderId="0" xfId="2" applyFont="1"/>
    <xf numFmtId="14" fontId="0" fillId="0" borderId="0" xfId="2" applyNumberFormat="1" applyFont="1"/>
    <xf numFmtId="2" fontId="0" fillId="0" borderId="0" xfId="0" applyNumberFormat="1"/>
    <xf numFmtId="1" fontId="0" fillId="0" borderId="0" xfId="2" applyNumberFormat="1" applyFont="1"/>
    <xf numFmtId="164" fontId="0" fillId="0" borderId="0" xfId="2" applyNumberFormat="1" applyFont="1"/>
    <xf numFmtId="164" fontId="0" fillId="0" borderId="0" xfId="0" applyNumberFormat="1"/>
    <xf numFmtId="0" fontId="0" fillId="0" borderId="0" xfId="0" applyAlignment="1">
      <alignment horizontal="center" vertical="center"/>
    </xf>
    <xf numFmtId="0" fontId="10" fillId="2" borderId="1" xfId="0" applyFont="1" applyFill="1" applyBorder="1" applyAlignment="1">
      <alignment horizontal="center" vertical="center"/>
    </xf>
    <xf numFmtId="1" fontId="11" fillId="0" borderId="0" xfId="2" applyNumberFormat="1" applyFont="1"/>
    <xf numFmtId="164" fontId="11" fillId="0" borderId="0" xfId="2" applyNumberFormat="1" applyFont="1"/>
    <xf numFmtId="14" fontId="11" fillId="0" borderId="0" xfId="2" applyNumberFormat="1" applyFont="1"/>
    <xf numFmtId="2" fontId="11" fillId="0" borderId="0" xfId="2" applyNumberFormat="1" applyFont="1"/>
    <xf numFmtId="14" fontId="0" fillId="0" borderId="1" xfId="0" applyNumberFormat="1" applyBorder="1" applyAlignment="1" applyProtection="1">
      <alignment horizontal="left" vertical="center" indent="1"/>
      <protection locked="0"/>
    </xf>
    <xf numFmtId="0" fontId="0" fillId="0" borderId="0" xfId="0" applyAlignment="1" applyProtection="1">
      <alignment vertical="center"/>
      <protection locked="0"/>
    </xf>
    <xf numFmtId="1" fontId="0" fillId="0" borderId="1" xfId="0" applyNumberFormat="1" applyBorder="1" applyAlignment="1" applyProtection="1">
      <alignment horizontal="left" vertical="center" indent="1"/>
      <protection locked="0"/>
    </xf>
    <xf numFmtId="2" fontId="0" fillId="0" borderId="0" xfId="2" applyNumberFormat="1" applyFont="1"/>
    <xf numFmtId="0" fontId="12" fillId="0" borderId="0" xfId="3" applyProtection="1">
      <protection locked="0"/>
    </xf>
    <xf numFmtId="0" fontId="0" fillId="0" borderId="0" xfId="0" pivotButton="1" applyProtection="1">
      <protection locked="0"/>
    </xf>
    <xf numFmtId="0" fontId="0" fillId="0" borderId="0" xfId="0" applyProtection="1">
      <protection locked="0"/>
    </xf>
    <xf numFmtId="43" fontId="0" fillId="0" borderId="0" xfId="2" applyFont="1" applyProtection="1">
      <protection locked="0"/>
    </xf>
    <xf numFmtId="14" fontId="0" fillId="0" borderId="0" xfId="0" applyNumberFormat="1" applyAlignment="1" applyProtection="1">
      <alignment horizontal="left"/>
      <protection locked="0"/>
    </xf>
    <xf numFmtId="4" fontId="0" fillId="0" borderId="0" xfId="0" applyNumberFormat="1" applyProtection="1">
      <protection locked="0"/>
    </xf>
    <xf numFmtId="0" fontId="3" fillId="2" borderId="2" xfId="0" applyFont="1" applyFill="1" applyBorder="1" applyAlignment="1">
      <alignment horizontal="center" vertical="center" textRotation="90"/>
    </xf>
    <xf numFmtId="0" fontId="3" fillId="2" borderId="3" xfId="0" applyFont="1" applyFill="1" applyBorder="1" applyAlignment="1">
      <alignment horizontal="center" vertical="center" textRotation="90"/>
    </xf>
    <xf numFmtId="0" fontId="3" fillId="2" borderId="4" xfId="0" applyFont="1" applyFill="1" applyBorder="1" applyAlignment="1">
      <alignment horizontal="center" vertical="center" textRotation="90"/>
    </xf>
    <xf numFmtId="0" fontId="3" fillId="2" borderId="6" xfId="0" applyFont="1" applyFill="1" applyBorder="1" applyAlignment="1">
      <alignment horizontal="center" vertical="center" textRotation="90"/>
    </xf>
    <xf numFmtId="0" fontId="3" fillId="2" borderId="7" xfId="0" applyFont="1" applyFill="1" applyBorder="1" applyAlignment="1">
      <alignment horizontal="center" vertical="center" textRotation="90"/>
    </xf>
    <xf numFmtId="0" fontId="3" fillId="2" borderId="8" xfId="0" applyFont="1" applyFill="1" applyBorder="1" applyAlignment="1">
      <alignment horizontal="center" vertical="center" textRotation="90"/>
    </xf>
    <xf numFmtId="0" fontId="0" fillId="2" borderId="5" xfId="0" applyFill="1" applyBorder="1" applyAlignment="1">
      <alignment horizontal="center"/>
    </xf>
    <xf numFmtId="0" fontId="0" fillId="2" borderId="0" xfId="0" applyFill="1" applyBorder="1" applyAlignment="1">
      <alignment horizontal="center"/>
    </xf>
    <xf numFmtId="0" fontId="0" fillId="0" borderId="0" xfId="0" applyBorder="1" applyAlignment="1">
      <alignment horizontal="center"/>
    </xf>
    <xf numFmtId="4" fontId="0" fillId="0" borderId="0" xfId="0" applyNumberFormat="1"/>
    <xf numFmtId="0" fontId="0" fillId="0" borderId="0" xfId="0" applyAlignment="1">
      <alignment horizontal="left"/>
    </xf>
  </cellXfs>
  <cellStyles count="4">
    <cellStyle name="Comma" xfId="2" builtinId="3"/>
    <cellStyle name="Hyperlink" xfId="3" builtinId="8"/>
    <cellStyle name="Normal" xfId="0" builtinId="0"/>
    <cellStyle name="Normal 2" xfId="1"/>
  </cellStyles>
  <dxfs count="32">
    <dxf>
      <numFmt numFmtId="19" formatCode="m/d/yyyy"/>
    </dxf>
    <dxf>
      <numFmt numFmtId="19" formatCode="m/d/yyyy"/>
    </dxf>
    <dxf>
      <numFmt numFmtId="19" formatCode="m/d/yyyy"/>
    </dxf>
    <dxf>
      <numFmt numFmtId="19" formatCode="m/d/yyyy"/>
    </dxf>
    <dxf>
      <numFmt numFmtId="0" formatCode="General"/>
    </dxf>
    <dxf>
      <numFmt numFmtId="0" formatCode="General"/>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Calibri"/>
        <scheme val="none"/>
      </font>
      <numFmt numFmtId="164" formatCode="0.00000000"/>
    </dxf>
    <dxf>
      <font>
        <b val="0"/>
        <i val="0"/>
        <strike val="0"/>
        <condense val="0"/>
        <extend val="0"/>
        <outline val="0"/>
        <shadow val="0"/>
        <u val="none"/>
        <vertAlign val="baseline"/>
        <sz val="11"/>
        <color theme="1"/>
        <name val="Calibri"/>
        <scheme val="none"/>
      </font>
      <numFmt numFmtId="164" formatCode="0.00000000"/>
    </dxf>
    <dxf>
      <font>
        <b val="0"/>
        <i val="0"/>
        <strike val="0"/>
        <condense val="0"/>
        <extend val="0"/>
        <outline val="0"/>
        <shadow val="0"/>
        <u val="none"/>
        <vertAlign val="baseline"/>
        <sz val="11"/>
        <color theme="1"/>
        <name val="Calibri"/>
        <scheme val="none"/>
      </font>
    </dxf>
    <dxf>
      <font>
        <b val="0"/>
        <i val="0"/>
        <strike val="0"/>
        <condense val="0"/>
        <extend val="0"/>
        <outline val="0"/>
        <shadow val="0"/>
        <u val="none"/>
        <vertAlign val="baseline"/>
        <sz val="11"/>
        <color theme="1"/>
        <name val="Calibri"/>
        <scheme val="none"/>
      </font>
      <numFmt numFmtId="19" formatCode="m/d/yyyy"/>
    </dxf>
    <dxf>
      <font>
        <b val="0"/>
        <i val="0"/>
        <strike val="0"/>
        <condense val="0"/>
        <extend val="0"/>
        <outline val="0"/>
        <shadow val="0"/>
        <u val="none"/>
        <vertAlign val="baseline"/>
        <sz val="11"/>
        <color theme="1"/>
        <name val="Calibri"/>
        <scheme val="none"/>
      </font>
      <numFmt numFmtId="19" formatCode="m/d/yyyy"/>
    </dxf>
    <dxf>
      <font>
        <b val="0"/>
        <i val="0"/>
        <strike val="0"/>
        <condense val="0"/>
        <extend val="0"/>
        <outline val="0"/>
        <shadow val="0"/>
        <u val="none"/>
        <vertAlign val="baseline"/>
        <sz val="11"/>
        <color theme="1"/>
        <name val="Calibri"/>
        <scheme val="none"/>
      </font>
      <numFmt numFmtId="1" formatCode="0"/>
    </dxf>
    <dxf>
      <font>
        <b val="0"/>
        <i val="0"/>
        <strike val="0"/>
        <condense val="0"/>
        <extend val="0"/>
        <outline val="0"/>
        <shadow val="0"/>
        <u val="none"/>
        <vertAlign val="baseline"/>
        <sz val="11"/>
        <color theme="1"/>
        <name val="Calibri"/>
        <scheme val="none"/>
      </font>
      <numFmt numFmtId="1" formatCode="0"/>
    </dxf>
    <dxf>
      <numFmt numFmtId="0" formatCode="General"/>
    </dxf>
    <dxf>
      <numFmt numFmtId="0" formatCode="General"/>
    </dxf>
    <dxf>
      <font>
        <b val="0"/>
        <i val="0"/>
        <strike val="0"/>
        <condense val="0"/>
        <extend val="0"/>
        <outline val="0"/>
        <shadow val="0"/>
        <u val="none"/>
        <vertAlign val="baseline"/>
        <sz val="11"/>
        <color theme="1"/>
        <name val="Calibri"/>
        <scheme val="none"/>
      </font>
      <numFmt numFmtId="2" formatCode="0.00"/>
    </dxf>
    <dxf>
      <font>
        <b val="0"/>
        <i val="0"/>
        <strike val="0"/>
        <condense val="0"/>
        <extend val="0"/>
        <outline val="0"/>
        <shadow val="0"/>
        <u val="none"/>
        <vertAlign val="baseline"/>
        <sz val="11"/>
        <color theme="1"/>
        <name val="Calibri"/>
        <scheme val="none"/>
      </font>
      <numFmt numFmtId="19" formatCode="m/d/yyyy"/>
    </dxf>
    <dxf>
      <font>
        <b val="0"/>
        <i val="0"/>
        <strike val="0"/>
        <condense val="0"/>
        <extend val="0"/>
        <outline val="0"/>
        <shadow val="0"/>
        <u val="none"/>
        <vertAlign val="baseline"/>
        <sz val="11"/>
        <color theme="1"/>
        <name val="Calibri"/>
        <scheme val="none"/>
      </font>
      <numFmt numFmtId="19" formatCode="m/d/yyyy"/>
    </dxf>
    <dxf>
      <numFmt numFmtId="19" formatCode="m/d/yyyy"/>
    </dxf>
    <dxf>
      <numFmt numFmtId="2" formatCode="0.00"/>
    </dxf>
    <dxf>
      <font>
        <b val="0"/>
        <i val="0"/>
        <strike val="0"/>
        <condense val="0"/>
        <extend val="0"/>
        <outline val="0"/>
        <shadow val="0"/>
        <u val="none"/>
        <vertAlign val="baseline"/>
        <sz val="11"/>
        <color theme="1"/>
        <name val="Calibri"/>
        <scheme val="none"/>
      </font>
      <numFmt numFmtId="1" formatCode="0"/>
    </dxf>
    <dxf>
      <font>
        <b val="0"/>
        <i val="0"/>
        <strike val="0"/>
        <condense val="0"/>
        <extend val="0"/>
        <outline val="0"/>
        <shadow val="0"/>
        <u val="none"/>
        <vertAlign val="baseline"/>
        <sz val="11"/>
        <color theme="1"/>
        <name val="Calibri"/>
        <scheme val="none"/>
      </font>
      <numFmt numFmtId="1" formatCode="0"/>
    </dxf>
    <dxf>
      <numFmt numFmtId="0" formatCode="General"/>
    </dxf>
    <dxf>
      <numFmt numFmtId="0" formatCode="General"/>
    </dxf>
    <dxf>
      <numFmt numFmtId="0" formatCode="General"/>
    </dxf>
    <dxf>
      <protection locked="0"/>
    </dxf>
    <dxf>
      <numFmt numFmtId="4" formatCode="#,##0.00"/>
    </dxf>
    <dxf>
      <numFmt numFmtId="4" formatCode="#,##0.00"/>
    </dxf>
    <dxf>
      <alignment horizontal="lef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6.xml.rels><?xml version="1.0" encoding="UTF-8" standalone="yes"?>
<Relationships xmlns="http://schemas.openxmlformats.org/package/2006/relationships"><Relationship Id="rId1" Type="http://schemas.microsoft.com/office/2006/relationships/activeXControlBinary" Target="activeX5.bin"/></Relationships>
</file>

<file path=xl/activeX/_rels/activeX7.xml.rels><?xml version="1.0" encoding="UTF-8" standalone="yes"?>
<Relationships xmlns="http://schemas.openxmlformats.org/package/2006/relationships"><Relationship Id="rId1" Type="http://schemas.microsoft.com/office/2006/relationships/activeXControlBinary" Target="activeX6.bin"/></Relationships>
</file>

<file path=xl/activeX/_rels/activeX8.xml.rels><?xml version="1.0" encoding="UTF-8" standalone="yes"?>
<Relationships xmlns="http://schemas.openxmlformats.org/package/2006/relationships"><Relationship Id="rId1" Type="http://schemas.microsoft.com/office/2006/relationships/activeXControlBinary" Target="activeX7.bin"/></Relationships>
</file>

<file path=xl/activeX/_rels/activeX9.xml.rels><?xml version="1.0" encoding="UTF-8" standalone="yes"?>
<Relationships xmlns="http://schemas.openxmlformats.org/package/2006/relationships"><Relationship Id="rId1" Type="http://schemas.microsoft.com/office/2006/relationships/activeXControlBinary" Target="activeX8.bin"/></Relationships>
</file>

<file path=xl/activeX/_rels/activeX10.xml.rels><?xml version="1.0" encoding="UTF-8" standalone="yes"?>
<Relationships xmlns="http://schemas.openxmlformats.org/package/2006/relationships"><Relationship Id="rId1" Type="http://schemas.microsoft.com/office/2006/relationships/activeXControlBinary" Target="activeX9.bin"/></Relationships>
</file>

<file path=xl/activeX/_rels/activeX11.xml.rels><?xml version="1.0" encoding="UTF-8" standalone="yes"?>
<Relationships xmlns="http://schemas.openxmlformats.org/package/2006/relationships"><Relationship Id="rId1" Type="http://schemas.microsoft.com/office/2006/relationships/activeXControlBinary" Target="activeX10.bin"/></Relationships>
</file>

<file path=xl/activeX/_rels/activeX12.xml.rels><?xml version="1.0" encoding="UTF-8" standalone="yes"?>
<Relationships xmlns="http://schemas.openxmlformats.org/package/2006/relationships"><Relationship Id="rId1" Type="http://schemas.microsoft.com/office/2006/relationships/activeXControlBinary" Target="activeX11.bin"/></Relationships>
</file>

<file path=xl/activeX/_rels/activeX14.xml.rels><?xml version="1.0" encoding="UTF-8" standalone="yes"?>
<Relationships xmlns="http://schemas.openxmlformats.org/package/2006/relationships"><Relationship Id="rId1" Type="http://schemas.microsoft.com/office/2006/relationships/activeXControlBinary" Target="activeX12.bin"/></Relationships>
</file>

<file path=xl/activeX/_rels/activeX15.xml.rels><?xml version="1.0" encoding="UTF-8" standalone="yes"?>
<Relationships xmlns="http://schemas.openxmlformats.org/package/2006/relationships"><Relationship Id="rId1" Type="http://schemas.microsoft.com/office/2006/relationships/activeXControlBinary" Target="activeX13.bin"/></Relationships>
</file>

<file path=xl/activeX/_rels/activeX16.xml.rels><?xml version="1.0" encoding="UTF-8" standalone="yes"?>
<Relationships xmlns="http://schemas.openxmlformats.org/package/2006/relationships"><Relationship Id="rId1" Type="http://schemas.microsoft.com/office/2006/relationships/activeXControlBinary" Target="activeX14.bin"/></Relationships>
</file>

<file path=xl/activeX/_rels/activeX17.xml.rels><?xml version="1.0" encoding="UTF-8" standalone="yes"?>
<Relationships xmlns="http://schemas.openxmlformats.org/package/2006/relationships"><Relationship Id="rId1" Type="http://schemas.microsoft.com/office/2006/relationships/activeXControlBinary" Target="activeX15.bin"/></Relationships>
</file>

<file path=xl/activeX/_rels/activeX18.xml.rels><?xml version="1.0" encoding="UTF-8" standalone="yes"?>
<Relationships xmlns="http://schemas.openxmlformats.org/package/2006/relationships"><Relationship Id="rId1" Type="http://schemas.microsoft.com/office/2006/relationships/activeXControlBinary" Target="activeX16.bin"/></Relationships>
</file>

<file path=xl/activeX/_rels/activeX19.xml.rels><?xml version="1.0" encoding="UTF-8" standalone="yes"?>
<Relationships xmlns="http://schemas.openxmlformats.org/package/2006/relationships"><Relationship Id="rId1" Type="http://schemas.microsoft.com/office/2006/relationships/activeXControlBinary" Target="activeX17.bin"/></Relationships>
</file>

<file path=xl/activeX/_rels/activeX20.xml.rels><?xml version="1.0" encoding="UTF-8" standalone="yes"?>
<Relationships xmlns="http://schemas.openxmlformats.org/package/2006/relationships"><Relationship Id="rId1" Type="http://schemas.microsoft.com/office/2006/relationships/activeXControlBinary" Target="activeX18.bin"/></Relationships>
</file>

<file path=xl/activeX/_rels/activeX22.xml.rels><?xml version="1.0" encoding="UTF-8" standalone="yes"?>
<Relationships xmlns="http://schemas.openxmlformats.org/package/2006/relationships"><Relationship Id="rId1" Type="http://schemas.microsoft.com/office/2006/relationships/activeXControlBinary" Target="activeX19.bin"/></Relationships>
</file>

<file path=xl/activeX/_rels/activeX23.xml.rels><?xml version="1.0" encoding="UTF-8" standalone="yes"?>
<Relationships xmlns="http://schemas.openxmlformats.org/package/2006/relationships"><Relationship Id="rId1" Type="http://schemas.microsoft.com/office/2006/relationships/activeXControlBinary" Target="activeX20.bin"/></Relationships>
</file>

<file path=xl/activeX/_rels/activeX24.xml.rels><?xml version="1.0" encoding="UTF-8" standalone="yes"?>
<Relationships xmlns="http://schemas.openxmlformats.org/package/2006/relationships"><Relationship Id="rId1" Type="http://schemas.microsoft.com/office/2006/relationships/activeXControlBinary" Target="activeX21.bin"/></Relationships>
</file>

<file path=xl/activeX/_rels/activeX26.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2C247F23-8591-11D1-B16A-00C0F0283628}" ax:license="9368265E-85FE-11d1-8BE3-0000F8754DA1" ax:persistence="persistStreamInit" r:id="rId1"/>
</file>

<file path=xl/activeX/activeX3.xml><?xml version="1.0" encoding="utf-8"?>
<ax:ocx xmlns:ax="http://schemas.microsoft.com/office/2006/activeX" xmlns:r="http://schemas.openxmlformats.org/officeDocument/2006/relationships" ax:classid="{66833FE6-8583-11D1-B16A-00C0F0283628}" ax:license="9368265E-85FE-11d1-8BE3-0000F8754DA1" ax:persistence="persistStreamInit" r:id="rId1"/>
</file>

<file path=xl/activeX/activeX4.xml><?xml version="1.0" encoding="utf-8"?>
<ax:ocx xmlns:ax="http://schemas.microsoft.com/office/2006/activeX" xmlns:r="http://schemas.openxmlformats.org/officeDocument/2006/relationships" ax:classid="{C74190B6-8589-11D1-B16A-00C0F0283628}" ax:license="9368265E-85FE-11d1-8BE3-0000F8754DA1" ax:persistence="persistStreamInit" r:id="rId1"/>
</file>

<file path=xl/activeX/activeX5.xml><?xml version="1.0" encoding="utf-8"?>
<ax:ocx xmlns:ax="http://schemas.microsoft.com/office/2006/activeX" xmlns:r="http://schemas.openxmlformats.org/officeDocument/2006/relationships" ax:classid="{BDD1F04B-858B-11D1-B16A-00C0F0283628}" ax:license="9368265E-85FE-11d1-8BE3-0000F8754DA1" ax:persistence="persistPropertyBag">
  <ax:ocxPr ax:name="_ExtentX" ax:value="21"/>
  <ax:ocxPr ax:name="_ExtentY" ax:value="21"/>
  <ax:ocxPr ax:name="View" ax:value="2"/>
  <ax:ocxPr ax:name="Arrange" ax:value="1"/>
  <ax:ocxPr ax:name="Sorted" ax:value="-1"/>
  <ax:ocxPr ax:name="MultiSelect" ax:value="-1"/>
  <ax:ocxPr ax:name="LabelWrap" ax:value="-1"/>
  <ax:ocxPr ax:name="HideSelection" ax:value="0"/>
  <ax:ocxPr ax:name="AllowReorder" ax:value="-1"/>
  <ax:ocxPr ax:name="Checkboxes" ax:value="-1"/>
  <ax:ocxPr ax:name="FlatScrollBar" ax:value="-1"/>
  <ax:ocxPr ax:name="FullRowSelect" ax:value="-1"/>
  <ax:ocxPr ax:name="GridLines" ax:value="-1"/>
  <ax:ocxPr ax:name="HoverSelection" ax:value="-1"/>
  <ax:ocxPr ax:name="TextBackground" ax:value="-1"/>
  <ax:ocxPr ax:name="_Version" ax:value="393217"/>
  <ax:ocxPr ax:name="Icons" ax:value="ImageList31"/>
  <ax:ocxPr ax:name="SmallIcons" ax:value="ImageList31"/>
  <ax:ocxPr ax:name="ColHdrIcons" ax:value="ImageList31"/>
  <ax:ocxPr ax:name="ForeColor" ax:value="-2147483640"/>
  <ax:ocxPr ax:name="BackColor" ax:value="-2147483643"/>
  <ax:ocxPr ax:name="BorderStyle" ax:value="1"/>
  <ax:ocxPr ax:name="Appearance" ax:value="1"/>
  <ax:ocxPr ax:name="NumItems" ax:value="61"/>
  <ax:ocxPr ax:name="_NumListItems" ax:value="11"/>
  <ax:ocxPr ax:name="Picture" ax:value="1980632441"/>
</ax:ocx>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35053A22-8589-11D1-B16A-00C0F0283628}" ax:license="9368265E-85FE-11d1-8BE3-0000F8754DA1" ax:persistence="persistPropertyBag">
  <ax:ocxPr ax:name="_ExtentX" ax:value="21"/>
  <ax:ocxPr ax:name="_ExtentY" ax:value="21"/>
  <ax:ocxPr ax:name="_Version" ax:value="393216"/>
  <ax:ocxPr ax:name="Appearance" ax:value="0"/>
  <ax:ocxPr ax:name="Min" ax:value="1"/>
  <ax:ocxPr ax:name="Max" ax:value="4"/>
</ax:ocx>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6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35053A22-8589-11D1-B16A-00C0F0283628}" ax:license="9368265E-85FE-11d1-8BE3-0000F8754DA1" ax:persistence="persistPropertyBag">
  <ax:ocxPr ax:name="_ExtentX" ax:value="21"/>
  <ax:ocxPr ax:name="_ExtentY" ax:value="21"/>
  <ax:ocxPr ax:name="_Version" ax:value="393216"/>
  <ax:ocxPr ax:name="Appearance" ax:value="0"/>
  <ax:ocxPr ax:name="Min" ax:value="1"/>
  <ax:ocxPr ax:name="Max" ax:value="83"/>
  <ax:ocxPr ax:name="Orientation" ax:value="1"/>
</ax:ocx>
</file>

<file path=xl/activeX/activeX22.xml><?xml version="1.0" encoding="utf-8"?>
<ax:ocx xmlns:ax="http://schemas.microsoft.com/office/2006/activeX" xmlns:r="http://schemas.openxmlformats.org/officeDocument/2006/relationships" ax:classid="{DFD181E0-5E2F-11CE-A449-00AA004A803D}" ax:persistence="persistStreamInit" r:id="rId1"/>
</file>

<file path=xl/activeX/activeX23.xml><?xml version="1.0" encoding="utf-8"?>
<ax:ocx xmlns:ax="http://schemas.microsoft.com/office/2006/activeX" xmlns:r="http://schemas.openxmlformats.org/officeDocument/2006/relationships" ax:classid="{DFD181E0-5E2F-11CE-A449-00AA004A803D}"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8856F961-340A-11D0-A96B-00C04FD705A2}" ax:persistence="persistPropertyBag">
  <ax:ocxPr ax:name="ExtentX" ax:value="1058"/>
  <ax:ocxPr ax:name="ExtentY" ax:value="487"/>
  <ax:ocxPr ax:name="ViewMode" ax:value="0"/>
  <ax:ocxPr ax:name="Offline" ax:value="0"/>
  <ax:ocxPr ax:name="Silent" ax:value="1"/>
  <ax:ocxPr ax:name="RegisterAsBrowser" ax:value="1"/>
  <ax:ocxPr ax:name="RegisterAsDropTarget" ax:value="1"/>
  <ax:ocxPr ax:name="AutoArrange" ax:value="0"/>
  <ax:ocxPr ax:name="NoClientEdge" ax:value="0"/>
  <ax:ocxPr ax:name="AlignLeft" ax:value="0"/>
  <ax:ocxPr ax:name="NoWebView" ax:value="0"/>
  <ax:ocxPr ax:name="HideFileNames" ax:value="0"/>
  <ax:ocxPr ax:name="SingleClick" ax:value="0"/>
  <ax:ocxPr ax:name="SingleSelection" ax:value="0"/>
  <ax:ocxPr ax:name="NoFolders" ax:value="0"/>
  <ax:ocxPr ax:name="Transparent" ax:value="0"/>
  <ax:ocxPr ax:name="Location" ax:value=""/>
</ax:ocx>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s-ES_tradnl"/>
  <c:roundedCorners val="0"/>
  <mc:AlternateContent xmlns:mc="http://schemas.openxmlformats.org/markup-compatibility/2006">
    <mc:Choice xmlns:c14="http://schemas.microsoft.com/office/drawing/2007/8/2/chart" Requires="c14">
      <c14:style val="102"/>
    </mc:Choice>
    <mc:Fallback>
      <c:style val="2"/>
    </mc:Fallback>
  </mc:AlternateContent>
  <c:pivotSource>
    <c:name>[menu01-4.xlsm]Graphic!PivotTable1</c:name>
    <c:fmtId val="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s>
    <c:plotArea>
      <c:layout/>
      <c:lineChart>
        <c:grouping val="standard"/>
        <c:varyColors val="0"/>
        <c:ser>
          <c:idx val="0"/>
          <c:order val="0"/>
          <c:tx>
            <c:strRef>
              <c:f>Graphic!$E$3</c:f>
              <c:strCache>
                <c:ptCount val="1"/>
                <c:pt idx="0">
                  <c:v>Sum of revenue</c:v>
                </c:pt>
              </c:strCache>
            </c:strRef>
          </c:tx>
          <c:marker>
            <c:symbol val="none"/>
          </c:marker>
          <c:cat>
            <c:strRef>
              <c:f>Graphic!$B$4:$D$7</c:f>
              <c:strCache>
                <c:ptCount val="3"/>
                <c:pt idx="0">
                  <c:v>1/31/2000</c:v>
                </c:pt>
                <c:pt idx="1">
                  <c:v>2/29/2000</c:v>
                </c:pt>
                <c:pt idx="2">
                  <c:v>3/31/2000</c:v>
                </c:pt>
              </c:strCache>
            </c:strRef>
          </c:cat>
          <c:val>
            <c:numRef>
              <c:f>Graphic!$E$4:$E$7</c:f>
              <c:numCache>
                <c:formatCode>#,##0.00</c:formatCode>
                <c:ptCount val="3"/>
                <c:pt idx="0">
                  <c:v>47155819.121124066</c:v>
                </c:pt>
                <c:pt idx="1">
                  <c:v>135039923.28781345</c:v>
                </c:pt>
                <c:pt idx="2">
                  <c:v>17195000.578403831</c:v>
                </c:pt>
              </c:numCache>
            </c:numRef>
          </c:val>
          <c:smooth val="0"/>
        </c:ser>
        <c:ser>
          <c:idx val="1"/>
          <c:order val="1"/>
          <c:tx>
            <c:strRef>
              <c:f>Graphic!$F$3</c:f>
              <c:strCache>
                <c:ptCount val="1"/>
                <c:pt idx="0">
                  <c:v>Sum of colamot</c:v>
                </c:pt>
              </c:strCache>
            </c:strRef>
          </c:tx>
          <c:marker>
            <c:symbol val="none"/>
          </c:marker>
          <c:cat>
            <c:strRef>
              <c:f>Graphic!$B$4:$D$7</c:f>
              <c:strCache>
                <c:ptCount val="3"/>
                <c:pt idx="0">
                  <c:v>1/31/2000</c:v>
                </c:pt>
                <c:pt idx="1">
                  <c:v>2/29/2000</c:v>
                </c:pt>
                <c:pt idx="2">
                  <c:v>3/31/2000</c:v>
                </c:pt>
              </c:strCache>
            </c:strRef>
          </c:cat>
          <c:val>
            <c:numRef>
              <c:f>Graphic!$F$4:$F$7</c:f>
              <c:numCache>
                <c:formatCode>#,##0.00</c:formatCode>
                <c:ptCount val="3"/>
                <c:pt idx="0">
                  <c:v>42440237.209011666</c:v>
                </c:pt>
                <c:pt idx="1">
                  <c:v>121535930.9590321</c:v>
                </c:pt>
                <c:pt idx="2">
                  <c:v>15475500.520563452</c:v>
                </c:pt>
              </c:numCache>
            </c:numRef>
          </c:val>
          <c:smooth val="0"/>
        </c:ser>
        <c:dLbls>
          <c:showLegendKey val="0"/>
          <c:showVal val="0"/>
          <c:showCatName val="0"/>
          <c:showSerName val="0"/>
          <c:showPercent val="0"/>
          <c:showBubbleSize val="0"/>
        </c:dLbls>
        <c:marker val="1"/>
        <c:smooth val="0"/>
        <c:axId val="159439872"/>
        <c:axId val="159737344"/>
      </c:lineChart>
      <c:catAx>
        <c:axId val="159439872"/>
        <c:scaling>
          <c:orientation val="minMax"/>
        </c:scaling>
        <c:delete val="0"/>
        <c:axPos val="b"/>
        <c:majorTickMark val="out"/>
        <c:minorTickMark val="none"/>
        <c:tickLblPos val="nextTo"/>
        <c:crossAx val="159737344"/>
        <c:crosses val="autoZero"/>
        <c:auto val="1"/>
        <c:lblAlgn val="ctr"/>
        <c:lblOffset val="100"/>
        <c:noMultiLvlLbl val="0"/>
      </c:catAx>
      <c:valAx>
        <c:axId val="159737344"/>
        <c:scaling>
          <c:orientation val="minMax"/>
        </c:scaling>
        <c:delete val="0"/>
        <c:axPos val="l"/>
        <c:majorGridlines/>
        <c:numFmt formatCode="#,##0.00" sourceLinked="1"/>
        <c:majorTickMark val="out"/>
        <c:minorTickMark val="none"/>
        <c:tickLblPos val="nextTo"/>
        <c:crossAx val="159439872"/>
        <c:crosses val="autoZero"/>
        <c:crossBetween val="between"/>
      </c:valAx>
      <c:dTable>
        <c:showHorzBorder val="1"/>
        <c:showVertBorder val="1"/>
        <c:showOutline val="1"/>
        <c:showKeys val="0"/>
      </c:dTable>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_tradnl"/>
  <c:roundedCorners val="0"/>
  <mc:AlternateContent xmlns:mc="http://schemas.openxmlformats.org/markup-compatibility/2006">
    <mc:Choice xmlns:c14="http://schemas.microsoft.com/office/drawing/2007/8/2/chart" Requires="c14">
      <c14:style val="102"/>
    </mc:Choice>
    <mc:Fallback>
      <c:style val="2"/>
    </mc:Fallback>
  </mc:AlternateContent>
  <c:pivotSource>
    <c:name>[menu01-4.xlsm]Sheet9!PivotTable2</c:name>
    <c:fmtId val="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61374208"/>
        <c:axId val="166859136"/>
      </c:barChart>
      <c:catAx>
        <c:axId val="161374208"/>
        <c:scaling>
          <c:orientation val="minMax"/>
        </c:scaling>
        <c:delete val="0"/>
        <c:axPos val="b"/>
        <c:majorTickMark val="out"/>
        <c:minorTickMark val="none"/>
        <c:tickLblPos val="nextTo"/>
        <c:crossAx val="166859136"/>
        <c:crosses val="autoZero"/>
        <c:auto val="1"/>
        <c:lblAlgn val="ctr"/>
        <c:lblOffset val="100"/>
        <c:noMultiLvlLbl val="0"/>
      </c:catAx>
      <c:valAx>
        <c:axId val="166859136"/>
        <c:scaling>
          <c:orientation val="minMax"/>
        </c:scaling>
        <c:delete val="0"/>
        <c:axPos val="l"/>
        <c:majorGridlines/>
        <c:numFmt formatCode="#,##0.00" sourceLinked="1"/>
        <c:majorTickMark val="out"/>
        <c:minorTickMark val="none"/>
        <c:tickLblPos val="nextTo"/>
        <c:crossAx val="1613742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List" dx="20" fmlaRange="datatable" multiSel="" sel="0" seltype="multi" val="0"/>
</file>

<file path=xl/drawings/_rels/drawing1.xml.rels><?xml version="1.0" encoding="UTF-8" standalone="yes"?>
<Relationships xmlns="http://schemas.openxmlformats.org/package/2006/relationships"><Relationship Id="rId2" Type="http://schemas.openxmlformats.org/officeDocument/2006/relationships/image" Target="../media/image17.wmf"/><Relationship Id="rId1" Type="http://schemas.openxmlformats.org/officeDocument/2006/relationships/hyperlink" Target="#Sheet7!A1"/></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hyperlink" Target="#Sheet1!A1"/></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12.emf"/><Relationship Id="rId12" Type="http://schemas.openxmlformats.org/officeDocument/2006/relationships/image" Target="../media/image5.emf"/><Relationship Id="rId2" Type="http://schemas.openxmlformats.org/officeDocument/2006/relationships/image" Target="../media/image8.emf"/><Relationship Id="rId16"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1.emf"/><Relationship Id="rId11" Type="http://schemas.openxmlformats.org/officeDocument/2006/relationships/image" Target="../media/image16.emf"/><Relationship Id="rId5" Type="http://schemas.openxmlformats.org/officeDocument/2006/relationships/image" Target="../media/image10.emf"/><Relationship Id="rId15" Type="http://schemas.openxmlformats.org/officeDocument/2006/relationships/image" Target="../media/image2.emf"/><Relationship Id="rId10" Type="http://schemas.openxmlformats.org/officeDocument/2006/relationships/image" Target="../media/image15.emf"/><Relationship Id="rId4" Type="http://schemas.openxmlformats.org/officeDocument/2006/relationships/image" Target="../media/image6.emf"/><Relationship Id="rId9" Type="http://schemas.openxmlformats.org/officeDocument/2006/relationships/image" Target="../media/image14.emf"/><Relationship Id="rId1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12.emf"/><Relationship Id="rId6" Type="http://schemas.openxmlformats.org/officeDocument/2006/relationships/image" Target="../media/image18.emf"/><Relationship Id="rId5" Type="http://schemas.openxmlformats.org/officeDocument/2006/relationships/image" Target="../media/image19.emf"/><Relationship Id="rId4"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312420</xdr:colOff>
          <xdr:row>1</xdr:row>
          <xdr:rowOff>60960</xdr:rowOff>
        </xdr:from>
        <xdr:to>
          <xdr:col>23</xdr:col>
          <xdr:colOff>121920</xdr:colOff>
          <xdr:row>1</xdr:row>
          <xdr:rowOff>365760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0</xdr:colOff>
          <xdr:row>2</xdr:row>
          <xdr:rowOff>0</xdr:rowOff>
        </xdr:to>
        <xdr:sp macro="" textlink="">
          <xdr:nvSpPr>
            <xdr:cNvPr id="1027" name="ToggleButton1"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0</xdr:colOff>
          <xdr:row>2</xdr:row>
          <xdr:rowOff>0</xdr:rowOff>
        </xdr:to>
        <xdr:sp macro="" textlink="">
          <xdr:nvSpPr>
            <xdr:cNvPr id="1028" name="CommandButton3"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0</xdr:rowOff>
        </xdr:to>
        <xdr:sp macro="" textlink="">
          <xdr:nvSpPr>
            <xdr:cNvPr id="1029" name="CommandButton4"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0</xdr:row>
          <xdr:rowOff>0</xdr:rowOff>
        </xdr:from>
        <xdr:to>
          <xdr:col>27</xdr:col>
          <xdr:colOff>0</xdr:colOff>
          <xdr:row>4</xdr:row>
          <xdr:rowOff>0</xdr:rowOff>
        </xdr:to>
        <xdr:sp macro="" textlink="">
          <xdr:nvSpPr>
            <xdr:cNvPr id="1030" name="ListBox1"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0</xdr:rowOff>
        </xdr:from>
        <xdr:to>
          <xdr:col>11</xdr:col>
          <xdr:colOff>0</xdr:colOff>
          <xdr:row>2</xdr:row>
          <xdr:rowOff>0</xdr:rowOff>
        </xdr:to>
        <xdr:sp macro="" textlink="">
          <xdr:nvSpPr>
            <xdr:cNvPr id="1031" name="CommandButton5"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30480</xdr:rowOff>
        </xdr:from>
        <xdr:to>
          <xdr:col>35</xdr:col>
          <xdr:colOff>259080</xdr:colOff>
          <xdr:row>6</xdr:row>
          <xdr:rowOff>30480</xdr:rowOff>
        </xdr:to>
        <xdr:sp macro="" textlink="">
          <xdr:nvSpPr>
            <xdr:cNvPr id="1032" name="ProgressBar21"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xdr:row>
          <xdr:rowOff>0</xdr:rowOff>
        </xdr:from>
        <xdr:to>
          <xdr:col>14</xdr:col>
          <xdr:colOff>0</xdr:colOff>
          <xdr:row>2</xdr:row>
          <xdr:rowOff>0</xdr:rowOff>
        </xdr:to>
        <xdr:sp macro="" textlink="">
          <xdr:nvSpPr>
            <xdr:cNvPr id="1033" name="CommandButton6"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0</xdr:colOff>
          <xdr:row>0</xdr:row>
          <xdr:rowOff>0</xdr:rowOff>
        </xdr:from>
        <xdr:to>
          <xdr:col>30</xdr:col>
          <xdr:colOff>739140</xdr:colOff>
          <xdr:row>4</xdr:row>
          <xdr:rowOff>0</xdr:rowOff>
        </xdr:to>
        <xdr:sp macro="" textlink="">
          <xdr:nvSpPr>
            <xdr:cNvPr id="1034" name="ListBox2"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0</xdr:row>
          <xdr:rowOff>0</xdr:rowOff>
        </xdr:from>
        <xdr:to>
          <xdr:col>33</xdr:col>
          <xdr:colOff>0</xdr:colOff>
          <xdr:row>1</xdr:row>
          <xdr:rowOff>0</xdr:rowOff>
        </xdr:to>
        <xdr:sp macro="" textlink="">
          <xdr:nvSpPr>
            <xdr:cNvPr id="1035" name="CommandButton2"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0</xdr:row>
          <xdr:rowOff>45720</xdr:rowOff>
        </xdr:from>
        <xdr:to>
          <xdr:col>34</xdr:col>
          <xdr:colOff>60960</xdr:colOff>
          <xdr:row>1</xdr:row>
          <xdr:rowOff>167640</xdr:rowOff>
        </xdr:to>
        <xdr:sp macro="" textlink="">
          <xdr:nvSpPr>
            <xdr:cNvPr id="1036" name="CommandButton7"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xdr:row>
          <xdr:rowOff>0</xdr:rowOff>
        </xdr:from>
        <xdr:to>
          <xdr:col>17</xdr:col>
          <xdr:colOff>0</xdr:colOff>
          <xdr:row>2</xdr:row>
          <xdr:rowOff>0</xdr:rowOff>
        </xdr:to>
        <xdr:sp macro="" textlink="">
          <xdr:nvSpPr>
            <xdr:cNvPr id="1037" name="CommandButton8"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xdr:twoCellAnchor editAs="oneCell">
    <xdr:from>
      <xdr:col>19</xdr:col>
      <xdr:colOff>0</xdr:colOff>
      <xdr:row>1</xdr:row>
      <xdr:rowOff>0</xdr:rowOff>
    </xdr:from>
    <xdr:to>
      <xdr:col>20</xdr:col>
      <xdr:colOff>0</xdr:colOff>
      <xdr:row>2</xdr:row>
      <xdr:rowOff>0</xdr:rowOff>
    </xdr:to>
    <xdr:pic>
      <xdr:nvPicPr>
        <xdr:cNvPr id="14" name="Picture 13" descr="C:\Program Files (x86)\Microsoft Office\MEDIA\CAGCAT10\j0285444.wmf">
          <a:hlinkClick xmlns:r="http://schemas.openxmlformats.org/officeDocument/2006/relationships" r:id="rId1"/>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4587240" y="182880"/>
          <a:ext cx="434340" cy="403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381000</xdr:colOff>
          <xdr:row>7</xdr:row>
          <xdr:rowOff>175260</xdr:rowOff>
        </xdr:from>
        <xdr:to>
          <xdr:col>23</xdr:col>
          <xdr:colOff>480060</xdr:colOff>
          <xdr:row>17</xdr:row>
          <xdr:rowOff>83820</xdr:rowOff>
        </xdr:to>
        <xdr:sp macro="" textlink="">
          <xdr:nvSpPr>
            <xdr:cNvPr id="1038" name="ListView1"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137160</xdr:colOff>
          <xdr:row>1</xdr:row>
          <xdr:rowOff>198120</xdr:rowOff>
        </xdr:from>
        <xdr:to>
          <xdr:col>35</xdr:col>
          <xdr:colOff>167640</xdr:colOff>
          <xdr:row>4</xdr:row>
          <xdr:rowOff>175260</xdr:rowOff>
        </xdr:to>
        <xdr:sp macro="" textlink="">
          <xdr:nvSpPr>
            <xdr:cNvPr id="1039" name="TreeView41"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60960</xdr:colOff>
          <xdr:row>1</xdr:row>
          <xdr:rowOff>38100</xdr:rowOff>
        </xdr:from>
        <xdr:to>
          <xdr:col>21</xdr:col>
          <xdr:colOff>121920</xdr:colOff>
          <xdr:row>5</xdr:row>
          <xdr:rowOff>106680</xdr:rowOff>
        </xdr:to>
        <xdr:sp macro="" textlink="">
          <xdr:nvSpPr>
            <xdr:cNvPr id="1040" name="Toolbar31"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83820</xdr:colOff>
          <xdr:row>0</xdr:row>
          <xdr:rowOff>144780</xdr:rowOff>
        </xdr:from>
        <xdr:to>
          <xdr:col>35</xdr:col>
          <xdr:colOff>434340</xdr:colOff>
          <xdr:row>1</xdr:row>
          <xdr:rowOff>312420</xdr:rowOff>
        </xdr:to>
        <xdr:sp macro="" textlink="">
          <xdr:nvSpPr>
            <xdr:cNvPr id="1041" name="ImageList31"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68580</xdr:colOff>
          <xdr:row>3</xdr:row>
          <xdr:rowOff>114300</xdr:rowOff>
        </xdr:from>
        <xdr:to>
          <xdr:col>21</xdr:col>
          <xdr:colOff>91440</xdr:colOff>
          <xdr:row>5</xdr:row>
          <xdr:rowOff>91440</xdr:rowOff>
        </xdr:to>
        <xdr:sp macro="" textlink="">
          <xdr:nvSpPr>
            <xdr:cNvPr id="1042" name="CommandButton9"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525780</xdr:colOff>
      <xdr:row>4</xdr:row>
      <xdr:rowOff>167640</xdr:rowOff>
    </xdr:from>
    <xdr:to>
      <xdr:col>7</xdr:col>
      <xdr:colOff>525780</xdr:colOff>
      <xdr:row>18</xdr:row>
      <xdr:rowOff>74295</xdr:rowOff>
    </xdr:to>
    <mc:AlternateContent xmlns:mc="http://schemas.openxmlformats.org/markup-compatibility/2006">
      <mc:Choice xmlns:a14="http://schemas.microsoft.com/office/drawing/2010/main" Requires="a14">
        <xdr:graphicFrame macro="">
          <xdr:nvGraphicFramePr>
            <xdr:cNvPr id="3"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3596640" y="899160"/>
              <a:ext cx="1828800" cy="2466975"/>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6</xdr:col>
          <xdr:colOff>0</xdr:colOff>
          <xdr:row>5</xdr:row>
          <xdr:rowOff>152400</xdr:rowOff>
        </xdr:to>
        <xdr:sp macro="" textlink="">
          <xdr:nvSpPr>
            <xdr:cNvPr id="17409" name="List Box 1" hidden="1">
              <a:extLst>
                <a:ext uri="{63B3BB69-23CF-44E3-9099-C40C66FF867C}">
                  <a14:compatExt spid="_x0000_s1740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91440</xdr:colOff>
      <xdr:row>1</xdr:row>
      <xdr:rowOff>137160</xdr:rowOff>
    </xdr:from>
    <xdr:to>
      <xdr:col>21</xdr:col>
      <xdr:colOff>525780</xdr:colOff>
      <xdr:row>28</xdr:row>
      <xdr:rowOff>137160</xdr:rowOff>
    </xdr:to>
    <xdr:graphicFrame macro="[0]!Chart1_Click">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0</xdr:rowOff>
    </xdr:from>
    <xdr:to>
      <xdr:col>1</xdr:col>
      <xdr:colOff>0</xdr:colOff>
      <xdr:row>18</xdr:row>
      <xdr:rowOff>0</xdr:rowOff>
    </xdr:to>
    <xdr:sp macro="[0]!Macro22" textlink="">
      <xdr:nvSpPr>
        <xdr:cNvPr id="4" name="Right Arrow 3"/>
        <xdr:cNvSpPr/>
      </xdr:nvSpPr>
      <xdr:spPr>
        <a:xfrm>
          <a:off x="0" y="3108960"/>
          <a:ext cx="266700" cy="18288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p>
      </xdr:txBody>
    </xdr:sp>
    <xdr:clientData/>
  </xdr:twoCellAnchor>
  <xdr:twoCellAnchor>
    <xdr:from>
      <xdr:col>0</xdr:col>
      <xdr:colOff>0</xdr:colOff>
      <xdr:row>20</xdr:row>
      <xdr:rowOff>0</xdr:rowOff>
    </xdr:from>
    <xdr:to>
      <xdr:col>1</xdr:col>
      <xdr:colOff>0</xdr:colOff>
      <xdr:row>21</xdr:row>
      <xdr:rowOff>0</xdr:rowOff>
    </xdr:to>
    <xdr:sp macro="[0]!Macro23" textlink="">
      <xdr:nvSpPr>
        <xdr:cNvPr id="5" name="Left Arrow 4"/>
        <xdr:cNvSpPr/>
      </xdr:nvSpPr>
      <xdr:spPr>
        <a:xfrm>
          <a:off x="0" y="3657600"/>
          <a:ext cx="266700" cy="18288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p>
      </xdr:txBody>
    </xdr:sp>
    <xdr:clientData/>
  </xdr:twoCellAnchor>
  <xdr:twoCellAnchor>
    <xdr:from>
      <xdr:col>0</xdr:col>
      <xdr:colOff>0</xdr:colOff>
      <xdr:row>4</xdr:row>
      <xdr:rowOff>0</xdr:rowOff>
    </xdr:from>
    <xdr:to>
      <xdr:col>1</xdr:col>
      <xdr:colOff>0</xdr:colOff>
      <xdr:row>6</xdr:row>
      <xdr:rowOff>0</xdr:rowOff>
    </xdr:to>
    <xdr:sp macro="[0]!macro26" textlink="">
      <xdr:nvSpPr>
        <xdr:cNvPr id="7" name="Left Arrow Callout 6"/>
        <xdr:cNvSpPr/>
      </xdr:nvSpPr>
      <xdr:spPr>
        <a:xfrm>
          <a:off x="0" y="731520"/>
          <a:ext cx="266700" cy="365760"/>
        </a:xfrm>
        <a:prstGeom prst="left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p>
      </xdr:txBody>
    </xdr:sp>
    <xdr:clientData/>
  </xdr:twoCellAnchor>
  <xdr:twoCellAnchor>
    <xdr:from>
      <xdr:col>0</xdr:col>
      <xdr:colOff>0</xdr:colOff>
      <xdr:row>6</xdr:row>
      <xdr:rowOff>53340</xdr:rowOff>
    </xdr:from>
    <xdr:to>
      <xdr:col>1</xdr:col>
      <xdr:colOff>228600</xdr:colOff>
      <xdr:row>7</xdr:row>
      <xdr:rowOff>160020</xdr:rowOff>
    </xdr:to>
    <xdr:sp macro="[0]!Oval2_Click" textlink="">
      <xdr:nvSpPr>
        <xdr:cNvPr id="3" name="Oval 2"/>
        <xdr:cNvSpPr/>
      </xdr:nvSpPr>
      <xdr:spPr>
        <a:xfrm>
          <a:off x="0" y="1150620"/>
          <a:ext cx="495300" cy="289560"/>
        </a:xfrm>
        <a:prstGeom prst="ellipse">
          <a:avLst/>
        </a:prstGeom>
        <a:ln w="38100">
          <a:solidFill>
            <a:schemeClr val="accent2"/>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_tradnl" sz="700">
              <a:solidFill>
                <a:sysClr val="windowText" lastClr="000000"/>
              </a:solidFill>
            </a:rPr>
            <a:t>Run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0</xdr:colOff>
      <xdr:row>1</xdr:row>
      <xdr:rowOff>0</xdr:rowOff>
    </xdr:from>
    <xdr:to>
      <xdr:col>14</xdr:col>
      <xdr:colOff>0</xdr:colOff>
      <xdr:row>2</xdr:row>
      <xdr:rowOff>0</xdr:rowOff>
    </xdr:to>
    <xdr:sp macro="[0]!genera01" textlink="">
      <xdr:nvSpPr>
        <xdr:cNvPr id="2" name="Rectangle 1"/>
        <xdr:cNvSpPr/>
      </xdr:nvSpPr>
      <xdr:spPr>
        <a:xfrm>
          <a:off x="7581900" y="99060"/>
          <a:ext cx="609600" cy="228600"/>
        </a:xfrm>
        <a:prstGeom prst="rect">
          <a:avLst/>
        </a:prstGeom>
        <a:solidFill>
          <a:schemeClr val="accent2">
            <a:alpha val="59000"/>
          </a:schemeClr>
        </a:solidFill>
        <a:scene3d>
          <a:camera prst="orthographicFront"/>
          <a:lightRig rig="threePt" dir="t"/>
        </a:scene3d>
        <a:sp3d>
          <a:bevelT w="139700" h="139700" prst="divo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p>
      </xdr:txBody>
    </xdr:sp>
    <xdr:clientData/>
  </xdr:twoCellAnchor>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15240</xdr:colOff>
          <xdr:row>4</xdr:row>
          <xdr:rowOff>0</xdr:rowOff>
        </xdr:to>
        <xdr:sp macro="" textlink="">
          <xdr:nvSpPr>
            <xdr:cNvPr id="12291" name="ScrollBar1" hidden="1">
              <a:extLst>
                <a:ext uri="{63B3BB69-23CF-44E3-9099-C40C66FF867C}">
                  <a14:compatExt spid="_x0000_s12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6</xdr:col>
          <xdr:colOff>0</xdr:colOff>
          <xdr:row>4</xdr:row>
          <xdr:rowOff>0</xdr:rowOff>
        </xdr:to>
        <xdr:sp macro="" textlink="">
          <xdr:nvSpPr>
            <xdr:cNvPr id="12292" name="ScrollBar2" hidden="1">
              <a:extLst>
                <a:ext uri="{63B3BB69-23CF-44E3-9099-C40C66FF867C}">
                  <a14:compatExt spid="_x0000_s12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4</xdr:row>
          <xdr:rowOff>182880</xdr:rowOff>
        </xdr:from>
        <xdr:to>
          <xdr:col>1</xdr:col>
          <xdr:colOff>0</xdr:colOff>
          <xdr:row>10</xdr:row>
          <xdr:rowOff>4191000</xdr:rowOff>
        </xdr:to>
        <xdr:sp macro="" textlink="">
          <xdr:nvSpPr>
            <xdr:cNvPr id="12290" name="ProgressBar21" hidden="1">
              <a:extLst>
                <a:ext uri="{63B3BB69-23CF-44E3-9099-C40C66FF867C}">
                  <a14:compatExt spid="_x0000_s12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129540</xdr:colOff>
          <xdr:row>5</xdr:row>
          <xdr:rowOff>0</xdr:rowOff>
        </xdr:from>
        <xdr:to>
          <xdr:col>20</xdr:col>
          <xdr:colOff>38100</xdr:colOff>
          <xdr:row>11</xdr:row>
          <xdr:rowOff>0</xdr:rowOff>
        </xdr:to>
        <xdr:sp macro="" textlink="">
          <xdr:nvSpPr>
            <xdr:cNvPr id="12293" name="ListBox1" hidden="1">
              <a:extLst>
                <a:ext uri="{63B3BB69-23CF-44E3-9099-C40C66FF867C}">
                  <a14:compatExt spid="_x0000_s12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15</xdr:col>
          <xdr:colOff>548640</xdr:colOff>
          <xdr:row>2</xdr:row>
          <xdr:rowOff>76200</xdr:rowOff>
        </xdr:to>
        <xdr:sp macro="" textlink="">
          <xdr:nvSpPr>
            <xdr:cNvPr id="12294" name="CommandButton1" hidden="1">
              <a:extLst>
                <a:ext uri="{63B3BB69-23CF-44E3-9099-C40C66FF867C}">
                  <a14:compatExt spid="_x0000_s12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xdr:row>
          <xdr:rowOff>0</xdr:rowOff>
        </xdr:from>
        <xdr:to>
          <xdr:col>20</xdr:col>
          <xdr:colOff>304800</xdr:colOff>
          <xdr:row>2</xdr:row>
          <xdr:rowOff>76200</xdr:rowOff>
        </xdr:to>
        <xdr:sp macro="" textlink="">
          <xdr:nvSpPr>
            <xdr:cNvPr id="12295" name="CommandButton2" hidden="1">
              <a:extLst>
                <a:ext uri="{63B3BB69-23CF-44E3-9099-C40C66FF867C}">
                  <a14:compatExt spid="_x0000_s12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xdr:row>
          <xdr:rowOff>0</xdr:rowOff>
        </xdr:from>
        <xdr:to>
          <xdr:col>16</xdr:col>
          <xdr:colOff>457200</xdr:colOff>
          <xdr:row>3</xdr:row>
          <xdr:rowOff>175260</xdr:rowOff>
        </xdr:to>
        <xdr:sp macro="" textlink="">
          <xdr:nvSpPr>
            <xdr:cNvPr id="12296" name="ToggleButton1" hidden="1">
              <a:extLst>
                <a:ext uri="{63B3BB69-23CF-44E3-9099-C40C66FF867C}">
                  <a14:compatExt spid="_x0000_s12296"/>
                </a:ext>
              </a:extLst>
            </xdr:cNvPr>
            <xdr:cNvSpPr/>
          </xdr:nvSpPr>
          <xdr:spPr>
            <a:xfrm>
              <a:off x="0" y="0"/>
              <a:ext cx="0" cy="0"/>
            </a:xfrm>
            <a:prstGeom prst="rect">
              <a:avLst/>
            </a:prstGeom>
          </xdr:spPr>
        </xdr:sp>
        <xdr:clientData/>
      </xdr:twoCellAnchor>
    </mc:Choice>
    <mc:Fallback/>
  </mc:AlternateContent>
  <xdr:twoCellAnchor>
    <xdr:from>
      <xdr:col>0</xdr:col>
      <xdr:colOff>0</xdr:colOff>
      <xdr:row>1</xdr:row>
      <xdr:rowOff>0</xdr:rowOff>
    </xdr:from>
    <xdr:to>
      <xdr:col>1</xdr:col>
      <xdr:colOff>0</xdr:colOff>
      <xdr:row>2</xdr:row>
      <xdr:rowOff>0</xdr:rowOff>
    </xdr:to>
    <xdr:sp macro="" textlink="">
      <xdr:nvSpPr>
        <xdr:cNvPr id="4" name="7-Point Star 3">
          <a:hlinkClick xmlns:r="http://schemas.openxmlformats.org/officeDocument/2006/relationships" r:id="rId1"/>
        </xdr:cNvPr>
        <xdr:cNvSpPr/>
      </xdr:nvSpPr>
      <xdr:spPr>
        <a:xfrm>
          <a:off x="0" y="99060"/>
          <a:ext cx="213360" cy="228600"/>
        </a:xfrm>
        <a:prstGeom prst="star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xdr:colOff>
          <xdr:row>0</xdr:row>
          <xdr:rowOff>15240</xdr:rowOff>
        </xdr:from>
        <xdr:to>
          <xdr:col>2</xdr:col>
          <xdr:colOff>579120</xdr:colOff>
          <xdr:row>1</xdr:row>
          <xdr:rowOff>83820</xdr:rowOff>
        </xdr:to>
        <xdr:sp macro="" textlink="">
          <xdr:nvSpPr>
            <xdr:cNvPr id="26626" name="CommandButton1" hidden="1">
              <a:extLst>
                <a:ext uri="{63B3BB69-23CF-44E3-9099-C40C66FF867C}">
                  <a14:compatExt spid="_x0000_s26626"/>
                </a:ext>
              </a:extLst>
            </xdr:cNvPr>
            <xdr:cNvSpPr/>
          </xdr:nvSpPr>
          <xdr:spPr>
            <a:xfrm>
              <a:off x="0" y="0"/>
              <a:ext cx="0" cy="0"/>
            </a:xfrm>
            <a:prstGeom prst="rect">
              <a:avLst/>
            </a:prstGeom>
          </xdr:spPr>
        </xdr:sp>
        <xdr:clientData/>
      </xdr:twoCellAnchor>
    </mc:Choice>
    <mc:Fallback/>
  </mc:AlternateContent>
  <xdr:twoCellAnchor>
    <xdr:from>
      <xdr:col>3</xdr:col>
      <xdr:colOff>373380</xdr:colOff>
      <xdr:row>1</xdr:row>
      <xdr:rowOff>30480</xdr:rowOff>
    </xdr:from>
    <xdr:to>
      <xdr:col>5</xdr:col>
      <xdr:colOff>68580</xdr:colOff>
      <xdr:row>6</xdr:row>
      <xdr:rowOff>30480</xdr:rowOff>
    </xdr:to>
    <xdr:sp macro="[0]!PointStar1_Click" textlink="">
      <xdr:nvSpPr>
        <xdr:cNvPr id="2" name="7-Point Star 1"/>
        <xdr:cNvSpPr/>
      </xdr:nvSpPr>
      <xdr:spPr>
        <a:xfrm>
          <a:off x="6195060" y="213360"/>
          <a:ext cx="914400" cy="914400"/>
        </a:xfrm>
        <a:prstGeom prst="star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p>
      </xdr:txBody>
    </xdr:sp>
    <xdr:clientData/>
  </xdr:twoCellAnchor>
  <mc:AlternateContent xmlns:mc="http://schemas.openxmlformats.org/markup-compatibility/2006">
    <mc:Choice xmlns:a14="http://schemas.microsoft.com/office/drawing/2010/main" Requires="a14">
      <xdr:twoCellAnchor editAs="oneCell">
        <xdr:from>
          <xdr:col>0</xdr:col>
          <xdr:colOff>434340</xdr:colOff>
          <xdr:row>3</xdr:row>
          <xdr:rowOff>38100</xdr:rowOff>
        </xdr:from>
        <xdr:to>
          <xdr:col>2</xdr:col>
          <xdr:colOff>167640</xdr:colOff>
          <xdr:row>15</xdr:row>
          <xdr:rowOff>121920</xdr:rowOff>
        </xdr:to>
        <xdr:sp macro="" textlink="">
          <xdr:nvSpPr>
            <xdr:cNvPr id="26629" name="WebBrowser1" hidden="1">
              <a:extLst>
                <a:ext uri="{63B3BB69-23CF-44E3-9099-C40C66FF867C}">
                  <a14:compatExt spid="_x0000_s26629"/>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53340</xdr:colOff>
      <xdr:row>1</xdr:row>
      <xdr:rowOff>45720</xdr:rowOff>
    </xdr:from>
    <xdr:to>
      <xdr:col>14</xdr:col>
      <xdr:colOff>251460</xdr:colOff>
      <xdr:row>26</xdr:row>
      <xdr:rowOff>121920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bravof/Google%20Drive/WebSites/webspace/files/Plan/Planning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
      <sheetName val="SIE"/>
      <sheetName val="Lists"/>
      <sheetName val="Template01"/>
      <sheetName val="Template01 (2)"/>
      <sheetName val="Detail (2)"/>
      <sheetName val="Sheet7"/>
      <sheetName val="Sheet8"/>
      <sheetName val="Sheet9"/>
      <sheetName val="Sheet10"/>
      <sheetName val="db01"/>
      <sheetName val="command"/>
      <sheetName val="ProjectList"/>
      <sheetName val="ProjectDetail"/>
      <sheetName val="DB02"/>
      <sheetName val="LB-DB02"/>
      <sheetName val="DataBase"/>
      <sheetName val="Chart02"/>
      <sheetName val="Chart"/>
      <sheetName val="Sheet1"/>
      <sheetName val="Sheet4"/>
      <sheetName val="Sheet5"/>
      <sheetName val="Sheet6"/>
      <sheetName val="Sheet2"/>
      <sheetName val="Sheet3"/>
      <sheetName val="Sheet11"/>
      <sheetName val="Sheet12"/>
      <sheetName val="Sheet16"/>
      <sheetName val="calculos01"/>
      <sheetName val="projection"/>
      <sheetName val="PT004"/>
      <sheetName val="Data004"/>
      <sheetName val="DataBaseScreen"/>
      <sheetName val="Sheet14"/>
      <sheetName val="DataBaseScreen (2)"/>
      <sheetName val="Sheet13"/>
      <sheetName val="Tabla01"/>
      <sheetName val="Sheet17"/>
      <sheetName val="Tabla02"/>
      <sheetName val="browser01"/>
      <sheetName val="Planning1.0"/>
    </sheetNames>
    <sheetDataSet>
      <sheetData sheetId="0"/>
      <sheetData sheetId="1"/>
      <sheetData sheetId="2"/>
      <sheetData sheetId="3"/>
      <sheetData sheetId="4"/>
      <sheetData sheetId="5"/>
      <sheetData sheetId="6"/>
      <sheetData sheetId="7"/>
      <sheetData sheetId="8"/>
      <sheetData sheetId="9"/>
      <sheetData sheetId="10">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row>
        <row r="2">
          <cell r="A2">
            <v>4</v>
          </cell>
          <cell r="B2">
            <v>5</v>
          </cell>
          <cell r="C2">
            <v>6</v>
          </cell>
          <cell r="D2">
            <v>7</v>
          </cell>
          <cell r="E2">
            <v>8</v>
          </cell>
          <cell r="F2">
            <v>9</v>
          </cell>
          <cell r="G2">
            <v>10</v>
          </cell>
          <cell r="H2">
            <v>11</v>
          </cell>
          <cell r="I2">
            <v>12</v>
          </cell>
          <cell r="J2">
            <v>1</v>
          </cell>
          <cell r="K2">
            <v>2</v>
          </cell>
          <cell r="L2">
            <v>3</v>
          </cell>
          <cell r="M2">
            <v>4</v>
          </cell>
          <cell r="N2">
            <v>5</v>
          </cell>
          <cell r="O2">
            <v>6</v>
          </cell>
          <cell r="P2">
            <v>7</v>
          </cell>
          <cell r="Q2">
            <v>8</v>
          </cell>
        </row>
        <row r="3">
          <cell r="A3">
            <v>2018</v>
          </cell>
          <cell r="B3">
            <v>2018</v>
          </cell>
          <cell r="C3">
            <v>2018</v>
          </cell>
          <cell r="D3">
            <v>2018</v>
          </cell>
          <cell r="E3">
            <v>2018</v>
          </cell>
          <cell r="F3">
            <v>2018</v>
          </cell>
          <cell r="G3">
            <v>2018</v>
          </cell>
          <cell r="H3">
            <v>2018</v>
          </cell>
          <cell r="I3">
            <v>2018</v>
          </cell>
          <cell r="J3">
            <v>2019</v>
          </cell>
          <cell r="K3">
            <v>2019</v>
          </cell>
          <cell r="L3">
            <v>2019</v>
          </cell>
          <cell r="M3">
            <v>2019</v>
          </cell>
          <cell r="N3">
            <v>2019</v>
          </cell>
          <cell r="O3">
            <v>2019</v>
          </cell>
          <cell r="P3">
            <v>2019</v>
          </cell>
          <cell r="Q3">
            <v>2019</v>
          </cell>
        </row>
        <row r="4">
          <cell r="A4">
            <v>43220</v>
          </cell>
          <cell r="B4">
            <v>43251</v>
          </cell>
          <cell r="C4">
            <v>43281</v>
          </cell>
          <cell r="D4">
            <v>43312</v>
          </cell>
          <cell r="E4">
            <v>43343</v>
          </cell>
          <cell r="F4">
            <v>43373</v>
          </cell>
          <cell r="G4">
            <v>43404</v>
          </cell>
          <cell r="H4">
            <v>43434</v>
          </cell>
          <cell r="I4">
            <v>43465</v>
          </cell>
          <cell r="J4">
            <v>43496</v>
          </cell>
          <cell r="K4">
            <v>43524</v>
          </cell>
          <cell r="L4">
            <v>43555</v>
          </cell>
          <cell r="M4">
            <v>43585</v>
          </cell>
          <cell r="N4">
            <v>43616</v>
          </cell>
          <cell r="O4">
            <v>43646</v>
          </cell>
          <cell r="P4">
            <v>43677</v>
          </cell>
          <cell r="Q4">
            <v>43708</v>
          </cell>
        </row>
        <row r="5">
          <cell r="A5">
            <v>4.3820751233921351E-3</v>
          </cell>
          <cell r="B5">
            <v>7.9349129589168545E-3</v>
          </cell>
          <cell r="C5">
            <v>1.3497741628297016E-2</v>
          </cell>
          <cell r="D5">
            <v>2.1569329706627883E-2</v>
          </cell>
          <cell r="E5">
            <v>3.2379398916472936E-2</v>
          </cell>
          <cell r="F5">
            <v>4.5662271347255479E-2</v>
          </cell>
          <cell r="G5">
            <v>6.0492681129785841E-2</v>
          </cell>
          <cell r="H5">
            <v>7.5284358038701107E-2</v>
          </cell>
          <cell r="I5">
            <v>8.8016331691074881E-2</v>
          </cell>
          <cell r="J5">
            <v>9.6667029200712309E-2</v>
          </cell>
          <cell r="K5">
            <v>9.9735570100358176E-2</v>
          </cell>
          <cell r="L5">
            <v>9.6667029200712309E-2</v>
          </cell>
          <cell r="M5">
            <v>8.8016331691074881E-2</v>
          </cell>
          <cell r="N5">
            <v>7.5284358038701107E-2</v>
          </cell>
          <cell r="O5">
            <v>6.0492681129785841E-2</v>
          </cell>
          <cell r="P5">
            <v>4.5662271347255479E-2</v>
          </cell>
          <cell r="Q5">
            <v>3.2379398916472936E-2</v>
          </cell>
        </row>
        <row r="6">
          <cell r="A6">
            <v>97941.899577425196</v>
          </cell>
          <cell r="B6">
            <v>177349.86879372565</v>
          </cell>
          <cell r="C6">
            <v>301682.28929342289</v>
          </cell>
          <cell r="D6">
            <v>482086.92562158039</v>
          </cell>
          <cell r="E6">
            <v>723698.19041342684</v>
          </cell>
          <cell r="F6">
            <v>1020578.0295496389</v>
          </cell>
          <cell r="G6">
            <v>1352046.2186408993</v>
          </cell>
          <cell r="H6">
            <v>1682648.7057277136</v>
          </cell>
          <cell r="I6">
            <v>1967215.6402895122</v>
          </cell>
          <cell r="J6">
            <v>2160563.7055111164</v>
          </cell>
          <cell r="K6">
            <v>2229147.3596429271</v>
          </cell>
          <cell r="L6">
            <v>2160563.7055111164</v>
          </cell>
          <cell r="M6">
            <v>1967215.6402895122</v>
          </cell>
          <cell r="N6">
            <v>1682648.7057277136</v>
          </cell>
          <cell r="O6">
            <v>1352046.2186408993</v>
          </cell>
          <cell r="P6">
            <v>1020578.0295496389</v>
          </cell>
          <cell r="Q6">
            <v>723698.19041342684</v>
          </cell>
        </row>
      </sheetData>
      <sheetData sheetId="11"/>
      <sheetData sheetId="12">
        <row r="2">
          <cell r="A2">
            <v>1</v>
          </cell>
          <cell r="B2" t="str">
            <v>Project001</v>
          </cell>
        </row>
        <row r="3">
          <cell r="A3">
            <v>2</v>
          </cell>
          <cell r="B3" t="str">
            <v>project002</v>
          </cell>
        </row>
        <row r="4">
          <cell r="A4">
            <v>3</v>
          </cell>
          <cell r="B4" t="str">
            <v>tres</v>
          </cell>
        </row>
        <row r="5">
          <cell r="A5">
            <v>4</v>
          </cell>
          <cell r="B5" t="str">
            <v>test5</v>
          </cell>
        </row>
        <row r="6">
          <cell r="A6">
            <v>5</v>
          </cell>
          <cell r="B6" t="str">
            <v>test6</v>
          </cell>
        </row>
        <row r="7">
          <cell r="A7">
            <v>6</v>
          </cell>
          <cell r="B7" t="str">
            <v>Project66</v>
          </cell>
        </row>
        <row r="8">
          <cell r="A8">
            <v>7</v>
          </cell>
          <cell r="B8" t="str">
            <v>Project77</v>
          </cell>
        </row>
        <row r="9">
          <cell r="A9">
            <v>8</v>
          </cell>
          <cell r="B9">
            <v>8888888</v>
          </cell>
        </row>
        <row r="10">
          <cell r="A10">
            <v>9</v>
          </cell>
          <cell r="B10" t="str">
            <v>nueve</v>
          </cell>
        </row>
        <row r="11">
          <cell r="A11">
            <v>10</v>
          </cell>
          <cell r="B11" t="str">
            <v>hhhhhhhhh</v>
          </cell>
        </row>
        <row r="12">
          <cell r="A12">
            <v>11</v>
          </cell>
          <cell r="B12">
            <v>1111</v>
          </cell>
        </row>
        <row r="13">
          <cell r="A13">
            <v>12</v>
          </cell>
          <cell r="B13" t="str">
            <v>New_Project_01</v>
          </cell>
        </row>
        <row r="14">
          <cell r="A14">
            <v>13</v>
          </cell>
          <cell r="B14" t="str">
            <v>New_Project_02</v>
          </cell>
        </row>
        <row r="15">
          <cell r="A15">
            <v>14</v>
          </cell>
          <cell r="B15" t="str">
            <v>Nuevo14</v>
          </cell>
        </row>
        <row r="16">
          <cell r="A16">
            <v>15</v>
          </cell>
          <cell r="B16" t="str">
            <v>Nuevo15</v>
          </cell>
        </row>
        <row r="17">
          <cell r="A17">
            <v>16</v>
          </cell>
        </row>
      </sheetData>
      <sheetData sheetId="13"/>
      <sheetData sheetId="14"/>
      <sheetData sheetId="15"/>
      <sheetData sheetId="16">
        <row r="2">
          <cell r="A2" t="str">
            <v>'</v>
          </cell>
          <cell r="B2">
            <v>4</v>
          </cell>
          <cell r="C2">
            <v>2018</v>
          </cell>
          <cell r="D2">
            <v>43220</v>
          </cell>
          <cell r="E2">
            <v>6.5336381123998373E-4</v>
          </cell>
          <cell r="F2">
            <v>82242.612851169732</v>
          </cell>
        </row>
        <row r="3">
          <cell r="A3">
            <v>2</v>
          </cell>
          <cell r="B3">
            <v>5</v>
          </cell>
          <cell r="C3">
            <v>2018</v>
          </cell>
          <cell r="D3">
            <v>43251</v>
          </cell>
          <cell r="E3">
            <v>1.1905064839551707E-3</v>
          </cell>
          <cell r="F3">
            <v>149855.81106935453</v>
          </cell>
        </row>
        <row r="4">
          <cell r="A4">
            <v>3</v>
          </cell>
          <cell r="B4">
            <v>6</v>
          </cell>
          <cell r="C4">
            <v>2018</v>
          </cell>
          <cell r="D4">
            <v>43281</v>
          </cell>
          <cell r="E4">
            <v>2.0841869628845182E-3</v>
          </cell>
          <cell r="F4">
            <v>262348.44744868699</v>
          </cell>
        </row>
        <row r="5">
          <cell r="A5">
            <v>4</v>
          </cell>
          <cell r="B5">
            <v>7</v>
          </cell>
          <cell r="C5">
            <v>2018</v>
          </cell>
          <cell r="D5">
            <v>43312</v>
          </cell>
          <cell r="E5">
            <v>3.5056600987137081E-3</v>
          </cell>
          <cell r="F5">
            <v>441277.34246426699</v>
          </cell>
        </row>
        <row r="6">
          <cell r="A6">
            <v>5</v>
          </cell>
          <cell r="B6">
            <v>8</v>
          </cell>
          <cell r="C6">
            <v>2018</v>
          </cell>
          <cell r="D6">
            <v>43343</v>
          </cell>
          <cell r="E6">
            <v>5.6654075483202372E-3</v>
          </cell>
          <cell r="F6">
            <v>713137.01742420916</v>
          </cell>
        </row>
        <row r="7">
          <cell r="A7">
            <v>6</v>
          </cell>
          <cell r="B7">
            <v>9</v>
          </cell>
          <cell r="C7">
            <v>2018</v>
          </cell>
          <cell r="D7">
            <v>43373</v>
          </cell>
          <cell r="E7">
            <v>8.7967191960854393E-3</v>
          </cell>
          <cell r="F7">
            <v>1107292.9947422135</v>
          </cell>
        </row>
        <row r="8">
          <cell r="A8">
            <v>7</v>
          </cell>
          <cell r="B8">
            <v>10</v>
          </cell>
          <cell r="C8">
            <v>2018</v>
          </cell>
          <cell r="D8">
            <v>43404</v>
          </cell>
          <cell r="E8">
            <v>1.3123162954935321E-2</v>
          </cell>
          <cell r="F8">
            <v>1651887.0370815995</v>
          </cell>
        </row>
        <row r="9">
          <cell r="A9">
            <v>8</v>
          </cell>
          <cell r="B9">
            <v>11</v>
          </cell>
          <cell r="C9">
            <v>2018</v>
          </cell>
          <cell r="D9">
            <v>43434</v>
          </cell>
          <cell r="E9">
            <v>1.8809815475377387E-2</v>
          </cell>
          <cell r="F9">
            <v>2367698.2797799842</v>
          </cell>
        </row>
        <row r="10">
          <cell r="A10">
            <v>9</v>
          </cell>
          <cell r="B10">
            <v>12</v>
          </cell>
          <cell r="C10">
            <v>2018</v>
          </cell>
          <cell r="D10">
            <v>43465</v>
          </cell>
          <cell r="E10">
            <v>2.5903519133178347E-2</v>
          </cell>
          <cell r="F10">
            <v>3260623.0386555004</v>
          </cell>
        </row>
        <row r="11">
          <cell r="A11">
            <v>10</v>
          </cell>
          <cell r="B11">
            <v>1</v>
          </cell>
          <cell r="C11">
            <v>2019</v>
          </cell>
          <cell r="D11">
            <v>43496</v>
          </cell>
          <cell r="E11">
            <v>3.427371840956147E-2</v>
          </cell>
          <cell r="F11">
            <v>4314227.5492393756</v>
          </cell>
        </row>
        <row r="12">
          <cell r="A12">
            <v>11</v>
          </cell>
          <cell r="B12">
            <v>2</v>
          </cell>
          <cell r="C12">
            <v>2019</v>
          </cell>
          <cell r="D12">
            <v>43524</v>
          </cell>
          <cell r="E12">
            <v>4.3570435406510108E-2</v>
          </cell>
          <cell r="F12">
            <v>5484458.106263753</v>
          </cell>
        </row>
        <row r="13">
          <cell r="A13">
            <v>12</v>
          </cell>
          <cell r="B13">
            <v>3</v>
          </cell>
          <cell r="C13">
            <v>2019</v>
          </cell>
          <cell r="D13">
            <v>43555</v>
          </cell>
          <cell r="E13">
            <v>5.3217049979750963E-2</v>
          </cell>
          <cell r="F13">
            <v>6698732.2580044493</v>
          </cell>
        </row>
        <row r="14">
          <cell r="A14">
            <v>13</v>
          </cell>
          <cell r="B14">
            <v>4</v>
          </cell>
          <cell r="C14">
            <v>2019</v>
          </cell>
          <cell r="D14">
            <v>43585</v>
          </cell>
          <cell r="E14">
            <v>6.2450786673352257E-2</v>
          </cell>
          <cell r="F14">
            <v>7861035.1266317377</v>
          </cell>
        </row>
        <row r="15">
          <cell r="A15">
            <v>14</v>
          </cell>
          <cell r="B15">
            <v>5</v>
          </cell>
          <cell r="C15">
            <v>2019</v>
          </cell>
          <cell r="D15">
            <v>43616</v>
          </cell>
          <cell r="E15">
            <v>7.0413065352859905E-2</v>
          </cell>
          <cell r="F15">
            <v>8863292.3554321639</v>
          </cell>
        </row>
        <row r="16">
          <cell r="A16">
            <v>15</v>
          </cell>
          <cell r="B16">
            <v>6</v>
          </cell>
          <cell r="C16">
            <v>2019</v>
          </cell>
          <cell r="D16">
            <v>43646</v>
          </cell>
          <cell r="E16">
            <v>7.6277563092104816E-2</v>
          </cell>
          <cell r="F16">
            <v>9601489.9856619835</v>
          </cell>
        </row>
        <row r="17">
          <cell r="A17">
            <v>16</v>
          </cell>
          <cell r="B17">
            <v>7</v>
          </cell>
          <cell r="C17">
            <v>2019</v>
          </cell>
          <cell r="D17">
            <v>43677</v>
          </cell>
          <cell r="E17">
            <v>7.9390509495402356E-2</v>
          </cell>
          <cell r="F17">
            <v>9993334.2253773119</v>
          </cell>
        </row>
        <row r="18">
          <cell r="A18">
            <v>17</v>
          </cell>
          <cell r="B18">
            <v>8</v>
          </cell>
          <cell r="C18">
            <v>2019</v>
          </cell>
          <cell r="D18">
            <v>43708</v>
          </cell>
          <cell r="E18">
            <v>7.9390509495402356E-2</v>
          </cell>
          <cell r="F18">
            <v>9993334.2253773119</v>
          </cell>
        </row>
        <row r="19">
          <cell r="A19">
            <v>18</v>
          </cell>
          <cell r="B19">
            <v>9</v>
          </cell>
          <cell r="C19">
            <v>2019</v>
          </cell>
          <cell r="D19">
            <v>43738</v>
          </cell>
          <cell r="E19">
            <v>7.6277563092104816E-2</v>
          </cell>
          <cell r="F19">
            <v>9601489.9856619835</v>
          </cell>
        </row>
        <row r="20">
          <cell r="A20">
            <v>19</v>
          </cell>
          <cell r="B20">
            <v>10</v>
          </cell>
          <cell r="C20">
            <v>2019</v>
          </cell>
          <cell r="D20">
            <v>43769</v>
          </cell>
          <cell r="E20">
            <v>7.0413065352859905E-2</v>
          </cell>
          <cell r="F20">
            <v>8863292.3554321639</v>
          </cell>
        </row>
        <row r="21">
          <cell r="A21">
            <v>20</v>
          </cell>
          <cell r="B21">
            <v>11</v>
          </cell>
          <cell r="C21">
            <v>2019</v>
          </cell>
          <cell r="D21">
            <v>43799</v>
          </cell>
          <cell r="E21">
            <v>6.2450786673352257E-2</v>
          </cell>
          <cell r="F21">
            <v>7861035.1266317377</v>
          </cell>
        </row>
        <row r="22">
          <cell r="A22">
            <v>21</v>
          </cell>
          <cell r="B22">
            <v>12</v>
          </cell>
          <cell r="C22">
            <v>2019</v>
          </cell>
          <cell r="D22">
            <v>43830</v>
          </cell>
          <cell r="E22">
            <v>5.3217049979750963E-2</v>
          </cell>
          <cell r="F22">
            <v>6698732.2580044493</v>
          </cell>
        </row>
        <row r="23">
          <cell r="A23">
            <v>22</v>
          </cell>
          <cell r="B23">
            <v>1</v>
          </cell>
          <cell r="C23">
            <v>2020</v>
          </cell>
          <cell r="D23">
            <v>43861</v>
          </cell>
          <cell r="E23">
            <v>4.3570435406510108E-2</v>
          </cell>
          <cell r="F23">
            <v>5484458.106263753</v>
          </cell>
        </row>
        <row r="24">
          <cell r="A24">
            <v>23</v>
          </cell>
          <cell r="B24">
            <v>2</v>
          </cell>
          <cell r="C24">
            <v>2020</v>
          </cell>
          <cell r="D24">
            <v>43890</v>
          </cell>
          <cell r="E24">
            <v>3.427371840956147E-2</v>
          </cell>
          <cell r="F24">
            <v>4314227.5492393756</v>
          </cell>
        </row>
        <row r="25">
          <cell r="A25">
            <v>24</v>
          </cell>
          <cell r="B25">
            <v>3</v>
          </cell>
          <cell r="C25">
            <v>2020</v>
          </cell>
          <cell r="D25">
            <v>43921</v>
          </cell>
          <cell r="E25">
            <v>2.5903519133178347E-2</v>
          </cell>
          <cell r="F25">
            <v>3260623.0386555004</v>
          </cell>
        </row>
        <row r="26">
          <cell r="A26">
            <v>25</v>
          </cell>
          <cell r="B26">
            <v>4</v>
          </cell>
          <cell r="C26">
            <v>2020</v>
          </cell>
          <cell r="D26">
            <v>43951</v>
          </cell>
          <cell r="E26">
            <v>1.8809815475377387E-2</v>
          </cell>
          <cell r="F26">
            <v>2367698.2797799842</v>
          </cell>
        </row>
        <row r="27">
          <cell r="A27">
            <v>26</v>
          </cell>
          <cell r="B27">
            <v>5</v>
          </cell>
          <cell r="C27">
            <v>2020</v>
          </cell>
          <cell r="D27">
            <v>43982</v>
          </cell>
          <cell r="E27">
            <v>1.3123162954935321E-2</v>
          </cell>
          <cell r="F27">
            <v>1651887.0370815995</v>
          </cell>
        </row>
        <row r="28">
          <cell r="A28">
            <v>27</v>
          </cell>
          <cell r="B28">
            <v>6</v>
          </cell>
          <cell r="C28">
            <v>2020</v>
          </cell>
          <cell r="D28">
            <v>44012</v>
          </cell>
          <cell r="E28">
            <v>8.7967191960854393E-3</v>
          </cell>
          <cell r="F28">
            <v>1107292.9947422135</v>
          </cell>
        </row>
        <row r="29">
          <cell r="A29">
            <v>28</v>
          </cell>
          <cell r="B29">
            <v>7</v>
          </cell>
          <cell r="C29">
            <v>2020</v>
          </cell>
          <cell r="D29">
            <v>44043</v>
          </cell>
          <cell r="E29">
            <v>5.6654075483202372E-3</v>
          </cell>
          <cell r="F29">
            <v>713137.01742420916</v>
          </cell>
        </row>
        <row r="30">
          <cell r="A30">
            <v>29</v>
          </cell>
          <cell r="B30">
            <v>8</v>
          </cell>
          <cell r="C30">
            <v>2020</v>
          </cell>
          <cell r="D30">
            <v>44074</v>
          </cell>
          <cell r="E30">
            <v>3.5056600987137081E-3</v>
          </cell>
          <cell r="F30">
            <v>441277.34246426699</v>
          </cell>
        </row>
        <row r="31">
          <cell r="A31">
            <v>30</v>
          </cell>
          <cell r="B31">
            <v>9</v>
          </cell>
          <cell r="C31">
            <v>2020</v>
          </cell>
          <cell r="D31">
            <v>44104</v>
          </cell>
          <cell r="E31">
            <v>2.0841869628845182E-3</v>
          </cell>
          <cell r="F31">
            <v>262348.44744868699</v>
          </cell>
        </row>
        <row r="32">
          <cell r="A32">
            <v>31</v>
          </cell>
          <cell r="B32">
            <v>10</v>
          </cell>
          <cell r="C32">
            <v>2020</v>
          </cell>
          <cell r="D32">
            <v>44135</v>
          </cell>
          <cell r="E32">
            <v>1.1905064839551707E-3</v>
          </cell>
          <cell r="F32">
            <v>149855.81106935453</v>
          </cell>
        </row>
        <row r="33">
          <cell r="A33">
            <v>32</v>
          </cell>
          <cell r="B33">
            <v>11</v>
          </cell>
          <cell r="C33">
            <v>2020</v>
          </cell>
          <cell r="D33">
            <v>44165</v>
          </cell>
          <cell r="E33">
            <v>6.5336381123998373E-4</v>
          </cell>
          <cell r="F33">
            <v>82242.612851169732</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4">
          <cell r="A4">
            <v>2018</v>
          </cell>
          <cell r="B4">
            <v>4</v>
          </cell>
          <cell r="C4" t="str">
            <v>4-2018</v>
          </cell>
          <cell r="D4">
            <v>82242.612851169732</v>
          </cell>
          <cell r="E4">
            <v>0</v>
          </cell>
        </row>
        <row r="5">
          <cell r="A5">
            <v>2018</v>
          </cell>
          <cell r="B5">
            <v>5</v>
          </cell>
          <cell r="C5" t="str">
            <v>5-2018</v>
          </cell>
          <cell r="D5">
            <v>149855.81106935453</v>
          </cell>
          <cell r="E5">
            <v>0</v>
          </cell>
        </row>
        <row r="6">
          <cell r="A6">
            <v>2018</v>
          </cell>
          <cell r="B6">
            <v>6</v>
          </cell>
          <cell r="C6" t="str">
            <v>6-2018</v>
          </cell>
          <cell r="D6">
            <v>262741.15466145758</v>
          </cell>
          <cell r="E6">
            <v>0</v>
          </cell>
          <cell r="F6">
            <v>0</v>
          </cell>
        </row>
        <row r="7">
          <cell r="A7">
            <v>2018</v>
          </cell>
          <cell r="B7">
            <v>7</v>
          </cell>
          <cell r="C7" t="str">
            <v>7-2018</v>
          </cell>
          <cell r="D7">
            <v>443271.67424963909</v>
          </cell>
          <cell r="E7">
            <v>0</v>
          </cell>
        </row>
        <row r="8">
          <cell r="A8">
            <v>2018</v>
          </cell>
          <cell r="B8">
            <v>8</v>
          </cell>
          <cell r="C8" t="str">
            <v>8-2018</v>
          </cell>
          <cell r="D8">
            <v>721024.75264631503</v>
          </cell>
          <cell r="E8">
            <v>0</v>
          </cell>
        </row>
        <row r="9">
          <cell r="A9">
            <v>2018</v>
          </cell>
          <cell r="B9">
            <v>9</v>
          </cell>
          <cell r="C9" t="str">
            <v>9-2018</v>
          </cell>
          <cell r="D9">
            <v>1131588.9296731481</v>
          </cell>
          <cell r="E9">
            <v>0</v>
          </cell>
        </row>
        <row r="10">
          <cell r="A10">
            <v>2018</v>
          </cell>
          <cell r="B10">
            <v>10</v>
          </cell>
          <cell r="C10" t="str">
            <v>10-2018</v>
          </cell>
          <cell r="D10">
            <v>1710169.9551312507</v>
          </cell>
          <cell r="E10">
            <v>0</v>
          </cell>
        </row>
        <row r="11">
          <cell r="A11">
            <v>2018</v>
          </cell>
          <cell r="B11">
            <v>11</v>
          </cell>
          <cell r="C11" t="str">
            <v>11-2018</v>
          </cell>
          <cell r="D11">
            <v>2476585.1058135987</v>
          </cell>
          <cell r="E11">
            <v>0</v>
          </cell>
        </row>
        <row r="12">
          <cell r="A12">
            <v>2018</v>
          </cell>
          <cell r="B12">
            <v>12</v>
          </cell>
          <cell r="C12" t="str">
            <v>12-2018</v>
          </cell>
          <cell r="D12">
            <v>3419052.435699435</v>
          </cell>
          <cell r="E12">
            <v>0</v>
          </cell>
        </row>
        <row r="13">
          <cell r="A13">
            <v>2019</v>
          </cell>
          <cell r="B13">
            <v>1</v>
          </cell>
          <cell r="C13" t="str">
            <v>1-2019</v>
          </cell>
          <cell r="D13">
            <v>4493751.5754200201</v>
          </cell>
          <cell r="E13">
            <v>0</v>
          </cell>
        </row>
        <row r="14">
          <cell r="A14">
            <v>2019</v>
          </cell>
          <cell r="B14">
            <v>2</v>
          </cell>
          <cell r="C14" t="str">
            <v>2-2019</v>
          </cell>
          <cell r="D14">
            <v>5642887.503307688</v>
          </cell>
          <cell r="E14">
            <v>0</v>
          </cell>
        </row>
        <row r="15">
          <cell r="A15">
            <v>2019</v>
          </cell>
          <cell r="B15">
            <v>3</v>
          </cell>
          <cell r="C15" t="str">
            <v>3-2019</v>
          </cell>
          <cell r="D15">
            <v>6807619.0840380639</v>
          </cell>
          <cell r="E15">
            <v>0</v>
          </cell>
        </row>
        <row r="16">
          <cell r="A16">
            <v>2019</v>
          </cell>
          <cell r="B16">
            <v>4</v>
          </cell>
          <cell r="C16" t="str">
            <v>4-2019</v>
          </cell>
          <cell r="D16">
            <v>7919318.0446813889</v>
          </cell>
          <cell r="E16">
            <v>0</v>
          </cell>
        </row>
        <row r="17">
          <cell r="A17">
            <v>2019</v>
          </cell>
          <cell r="B17">
            <v>5</v>
          </cell>
          <cell r="C17" t="str">
            <v>5-2019</v>
          </cell>
          <cell r="D17">
            <v>8887588.2903630994</v>
          </cell>
          <cell r="E17">
            <v>0</v>
          </cell>
        </row>
        <row r="18">
          <cell r="A18">
            <v>2019</v>
          </cell>
          <cell r="B18">
            <v>6</v>
          </cell>
          <cell r="C18" t="str">
            <v>6-2019</v>
          </cell>
          <cell r="D18">
            <v>9609377.7208840884</v>
          </cell>
          <cell r="E18">
            <v>0</v>
          </cell>
        </row>
        <row r="19">
          <cell r="A19">
            <v>2019</v>
          </cell>
          <cell r="B19">
            <v>7</v>
          </cell>
          <cell r="C19" t="str">
            <v>7-2019</v>
          </cell>
          <cell r="D19">
            <v>9995328.5571626835</v>
          </cell>
          <cell r="E19">
            <v>0</v>
          </cell>
        </row>
        <row r="20">
          <cell r="A20">
            <v>2019</v>
          </cell>
          <cell r="B20">
            <v>8</v>
          </cell>
          <cell r="C20" t="str">
            <v>8-2019</v>
          </cell>
          <cell r="D20">
            <v>9993334.2253773119</v>
          </cell>
          <cell r="E20">
            <v>0</v>
          </cell>
        </row>
        <row r="21">
          <cell r="A21">
            <v>2019</v>
          </cell>
          <cell r="B21">
            <v>9</v>
          </cell>
          <cell r="C21" t="str">
            <v>9-2019</v>
          </cell>
          <cell r="D21">
            <v>9601489.9856619835</v>
          </cell>
          <cell r="E21">
            <v>0</v>
          </cell>
        </row>
        <row r="22">
          <cell r="A22">
            <v>2019</v>
          </cell>
          <cell r="B22">
            <v>10</v>
          </cell>
          <cell r="C22" t="str">
            <v>10-2019</v>
          </cell>
          <cell r="D22">
            <v>8863292.3554321639</v>
          </cell>
          <cell r="E22">
            <v>0</v>
          </cell>
        </row>
        <row r="23">
          <cell r="A23">
            <v>2019</v>
          </cell>
          <cell r="B23">
            <v>11</v>
          </cell>
          <cell r="C23" t="str">
            <v>11-2019</v>
          </cell>
          <cell r="D23">
            <v>7861035.1266317377</v>
          </cell>
          <cell r="E23">
            <v>0</v>
          </cell>
        </row>
        <row r="24">
          <cell r="A24">
            <v>2019</v>
          </cell>
          <cell r="B24">
            <v>12</v>
          </cell>
          <cell r="C24" t="str">
            <v>12-2019</v>
          </cell>
          <cell r="D24">
            <v>6698732.2580044493</v>
          </cell>
          <cell r="E24">
            <v>0</v>
          </cell>
        </row>
        <row r="25">
          <cell r="A25">
            <v>2020</v>
          </cell>
          <cell r="B25">
            <v>1</v>
          </cell>
          <cell r="C25" t="str">
            <v>1-2020</v>
          </cell>
          <cell r="D25">
            <v>5484458.106263753</v>
          </cell>
          <cell r="E25">
            <v>0</v>
          </cell>
        </row>
        <row r="26">
          <cell r="A26">
            <v>2020</v>
          </cell>
          <cell r="B26">
            <v>2</v>
          </cell>
          <cell r="C26" t="str">
            <v>2-2020</v>
          </cell>
          <cell r="D26">
            <v>4314227.5492393756</v>
          </cell>
          <cell r="E26">
            <v>0</v>
          </cell>
        </row>
        <row r="27">
          <cell r="A27">
            <v>2020</v>
          </cell>
          <cell r="B27">
            <v>3</v>
          </cell>
          <cell r="C27" t="str">
            <v>3-2020</v>
          </cell>
          <cell r="D27">
            <v>3260623.0386555004</v>
          </cell>
          <cell r="E27">
            <v>0</v>
          </cell>
        </row>
        <row r="28">
          <cell r="A28">
            <v>2020</v>
          </cell>
          <cell r="B28">
            <v>4</v>
          </cell>
          <cell r="C28" t="str">
            <v>4-2020</v>
          </cell>
          <cell r="D28">
            <v>2367698.2797799842</v>
          </cell>
          <cell r="E28">
            <v>0</v>
          </cell>
        </row>
        <row r="29">
          <cell r="A29">
            <v>2020</v>
          </cell>
          <cell r="B29">
            <v>5</v>
          </cell>
          <cell r="C29" t="str">
            <v>5-2020</v>
          </cell>
          <cell r="D29">
            <v>1651887.0370815995</v>
          </cell>
          <cell r="E29">
            <v>0</v>
          </cell>
        </row>
        <row r="30">
          <cell r="A30">
            <v>2020</v>
          </cell>
          <cell r="B30">
            <v>6</v>
          </cell>
          <cell r="C30" t="str">
            <v>6-2020</v>
          </cell>
          <cell r="D30">
            <v>1107292.9947422135</v>
          </cell>
          <cell r="E30">
            <v>0</v>
          </cell>
        </row>
        <row r="31">
          <cell r="A31">
            <v>2020</v>
          </cell>
          <cell r="B31">
            <v>7</v>
          </cell>
          <cell r="C31" t="str">
            <v>7-2020</v>
          </cell>
          <cell r="D31">
            <v>713137.01742420916</v>
          </cell>
          <cell r="E31">
            <v>0</v>
          </cell>
        </row>
        <row r="32">
          <cell r="A32">
            <v>2020</v>
          </cell>
          <cell r="B32">
            <v>8</v>
          </cell>
          <cell r="C32" t="str">
            <v>8-2020</v>
          </cell>
          <cell r="D32">
            <v>441277.34246426699</v>
          </cell>
          <cell r="E32">
            <v>0</v>
          </cell>
        </row>
        <row r="33">
          <cell r="A33">
            <v>2020</v>
          </cell>
          <cell r="B33">
            <v>9</v>
          </cell>
          <cell r="C33" t="str">
            <v>9-2020</v>
          </cell>
          <cell r="D33">
            <v>262348.44744868699</v>
          </cell>
          <cell r="E33">
            <v>0</v>
          </cell>
        </row>
        <row r="34">
          <cell r="A34">
            <v>2020</v>
          </cell>
          <cell r="B34">
            <v>10</v>
          </cell>
          <cell r="C34" t="str">
            <v>10-2020</v>
          </cell>
          <cell r="D34">
            <v>149855.81106935453</v>
          </cell>
          <cell r="E34">
            <v>0</v>
          </cell>
        </row>
        <row r="35">
          <cell r="A35">
            <v>2020</v>
          </cell>
          <cell r="B35">
            <v>11</v>
          </cell>
          <cell r="C35" t="str">
            <v>11-2020</v>
          </cell>
          <cell r="D35">
            <v>82242.612851169732</v>
          </cell>
          <cell r="E35">
            <v>0</v>
          </cell>
        </row>
        <row r="36">
          <cell r="A36">
            <v>2020</v>
          </cell>
          <cell r="B36">
            <v>12</v>
          </cell>
          <cell r="C36" t="str">
            <v>12-2020</v>
          </cell>
          <cell r="D36">
            <v>0</v>
          </cell>
          <cell r="E36">
            <v>0</v>
          </cell>
        </row>
        <row r="37">
          <cell r="A37">
            <v>2021</v>
          </cell>
          <cell r="B37">
            <v>1</v>
          </cell>
          <cell r="C37" t="str">
            <v>1-2021</v>
          </cell>
          <cell r="D37">
            <v>0</v>
          </cell>
          <cell r="E37">
            <v>0</v>
          </cell>
        </row>
        <row r="38">
          <cell r="A38">
            <v>1900</v>
          </cell>
          <cell r="B38">
            <v>1</v>
          </cell>
          <cell r="C38" t="str">
            <v>1-1900</v>
          </cell>
          <cell r="D38">
            <v>0</v>
          </cell>
          <cell r="E38">
            <v>0</v>
          </cell>
        </row>
        <row r="39">
          <cell r="A39" t="str">
            <v>Grand Total</v>
          </cell>
          <cell r="B39">
            <v>0</v>
          </cell>
          <cell r="D39">
            <v>126605335.39578018</v>
          </cell>
          <cell r="E39">
            <v>0</v>
          </cell>
        </row>
        <row r="40">
          <cell r="B40">
            <v>0</v>
          </cell>
          <cell r="D40">
            <v>0</v>
          </cell>
          <cell r="E40">
            <v>0</v>
          </cell>
        </row>
      </sheetData>
      <sheetData sheetId="31"/>
      <sheetData sheetId="32">
        <row r="1">
          <cell r="A1" t="str">
            <v>datos01</v>
          </cell>
        </row>
        <row r="2">
          <cell r="A2" t="str">
            <v>datos02</v>
          </cell>
        </row>
        <row r="3">
          <cell r="A3" t="str">
            <v>name05</v>
          </cell>
        </row>
        <row r="4">
          <cell r="A4" t="str">
            <v>New_Project_02</v>
          </cell>
        </row>
        <row r="5">
          <cell r="A5" t="str">
            <v>Nuevo14</v>
          </cell>
        </row>
        <row r="6">
          <cell r="A6" t="str">
            <v>P01_14_test56</v>
          </cell>
        </row>
        <row r="7">
          <cell r="A7" t="str">
            <v>P01_15_free01</v>
          </cell>
        </row>
        <row r="8">
          <cell r="A8" t="str">
            <v>PJ_15_6.5_1_free</v>
          </cell>
        </row>
        <row r="9">
          <cell r="A9" t="str">
            <v>plan07</v>
          </cell>
        </row>
        <row r="10">
          <cell r="A10" t="str">
            <v>venga23</v>
          </cell>
        </row>
        <row r="11">
          <cell r="A11" t="str">
            <v>vengahombr88888</v>
          </cell>
        </row>
        <row r="12">
          <cell r="A12" t="str">
            <v>vengahombre</v>
          </cell>
        </row>
        <row r="13">
          <cell r="A13" t="str">
            <v>vengahombre333</v>
          </cell>
        </row>
        <row r="14">
          <cell r="A14" t="str">
            <v>vengahombre33377</v>
          </cell>
        </row>
      </sheetData>
      <sheetData sheetId="33"/>
      <sheetData sheetId="34"/>
      <sheetData sheetId="35"/>
      <sheetData sheetId="36"/>
      <sheetData sheetId="37"/>
      <sheetData sheetId="38"/>
      <sheetData sheetId="39"/>
      <sheetData sheetId="4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Bravo, Juan Carlos" refreshedDate="43544.014193171293" createdVersion="4" refreshedVersion="4" minRefreshableVersion="3" recordCount="83">
  <cacheSource type="worksheet">
    <worksheetSource name="Table6"/>
  </cacheSource>
  <cacheFields count="13">
    <cacheField name="index" numFmtId="0">
      <sharedItems containsSemiMixedTypes="0" containsString="0" containsNumber="1" containsInteger="1" minValue="1" maxValue="83"/>
    </cacheField>
    <cacheField name="date" numFmtId="14">
      <sharedItems containsSemiMixedTypes="0" containsNonDate="0" containsDate="1" containsString="0" minDate="2000-01-01T00:00:00" maxDate="2000-03-24T00:00:00" count="83">
        <d v="2000-01-01T00:00:00"/>
        <d v="2000-01-02T00:00:00"/>
        <d v="2000-01-03T00:00:00"/>
        <d v="2000-01-04T00:00:00"/>
        <d v="2000-01-05T00:00:00"/>
        <d v="2000-01-06T00:00:00"/>
        <d v="2000-01-07T00:00:00"/>
        <d v="2000-01-08T00:00:00"/>
        <d v="2000-01-09T00:00:00"/>
        <d v="2000-01-10T00:00:00"/>
        <d v="2000-01-11T00:00:00"/>
        <d v="2000-01-12T00:00:00"/>
        <d v="2000-01-13T00:00:00"/>
        <d v="2000-01-14T00:00:00"/>
        <d v="2000-01-15T00:00:00"/>
        <d v="2000-01-16T00:00:00"/>
        <d v="2000-01-17T00:00:00"/>
        <d v="2000-01-18T00:00:00"/>
        <d v="2000-01-19T00:00:00"/>
        <d v="2000-01-20T00:00:00"/>
        <d v="2000-01-21T00:00:00"/>
        <d v="2000-01-22T00:00:00"/>
        <d v="2000-01-23T00:00:00"/>
        <d v="2000-01-24T00:00:00"/>
        <d v="2000-01-25T00:00:00"/>
        <d v="2000-01-26T00:00:00"/>
        <d v="2000-01-27T00:00:00"/>
        <d v="2000-01-28T00:00:00"/>
        <d v="2000-01-29T00:00:00"/>
        <d v="2000-01-30T00:00:00"/>
        <d v="2000-01-31T00:00:00"/>
        <d v="2000-02-01T00:00:00"/>
        <d v="2000-02-02T00:00:00"/>
        <d v="2000-02-03T00:00:00"/>
        <d v="2000-02-04T00:00:00"/>
        <d v="2000-02-05T00:00:00"/>
        <d v="2000-02-06T00:00:00"/>
        <d v="2000-02-07T00:00:00"/>
        <d v="2000-02-08T00:00:00"/>
        <d v="2000-02-09T00:00:00"/>
        <d v="2000-02-10T00:00:00"/>
        <d v="2000-02-11T00:00:00"/>
        <d v="2000-02-12T00:00:00"/>
        <d v="2000-02-13T00:00:00"/>
        <d v="2000-02-14T00:00:00"/>
        <d v="2000-02-15T00:00:00"/>
        <d v="2000-02-16T00:00:00"/>
        <d v="2000-02-17T00:00:00"/>
        <d v="2000-02-18T00:00:00"/>
        <d v="2000-02-19T00:00:00"/>
        <d v="2000-02-20T00:00:00"/>
        <d v="2000-02-21T00:00:00"/>
        <d v="2000-02-22T00:00:00"/>
        <d v="2000-02-23T00:00:00"/>
        <d v="2000-02-24T00:00:00"/>
        <d v="2000-02-25T00:00:00"/>
        <d v="2000-02-26T00:00:00"/>
        <d v="2000-02-27T00:00:00"/>
        <d v="2000-02-28T00:00:00"/>
        <d v="2000-02-29T00:00:00"/>
        <d v="2000-03-01T00:00:00"/>
        <d v="2000-03-02T00:00:00"/>
        <d v="2000-03-03T00:00:00"/>
        <d v="2000-03-04T00:00:00"/>
        <d v="2000-03-05T00:00:00"/>
        <d v="2000-03-06T00:00:00"/>
        <d v="2000-03-07T00:00:00"/>
        <d v="2000-03-08T00:00:00"/>
        <d v="2000-03-09T00:00:00"/>
        <d v="2000-03-10T00:00:00"/>
        <d v="2000-03-11T00:00:00"/>
        <d v="2000-03-12T00:00:00"/>
        <d v="2000-03-13T00:00:00"/>
        <d v="2000-03-14T00:00:00"/>
        <d v="2000-03-15T00:00:00"/>
        <d v="2000-03-16T00:00:00"/>
        <d v="2000-03-17T00:00:00"/>
        <d v="2000-03-18T00:00:00"/>
        <d v="2000-03-19T00:00:00"/>
        <d v="2000-03-20T00:00:00"/>
        <d v="2000-03-21T00:00:00"/>
        <d v="2000-03-22T00:00:00"/>
        <d v="2000-03-23T00:00:00"/>
      </sharedItems>
    </cacheField>
    <cacheField name="day" numFmtId="0">
      <sharedItems containsSemiMixedTypes="0" containsString="0" containsNumber="1" containsInteger="1" minValue="1" maxValue="31"/>
    </cacheField>
    <cacheField name="month" numFmtId="0">
      <sharedItems containsSemiMixedTypes="0" containsString="0" containsNumber="1" containsInteger="1" minValue="1" maxValue="3"/>
    </cacheField>
    <cacheField name="year" numFmtId="0">
      <sharedItems containsSemiMixedTypes="0" containsString="0" containsNumber="1" containsInteger="1" minValue="2000" maxValue="2000"/>
    </cacheField>
    <cacheField name="week" numFmtId="0">
      <sharedItems containsSemiMixedTypes="0" containsString="0" containsNumber="1" containsInteger="1" minValue="1" maxValue="13"/>
    </cacheField>
    <cacheField name="weekday" numFmtId="0">
      <sharedItems containsSemiMixedTypes="0" containsString="0" containsNumber="1" containsInteger="1" minValue="1" maxValue="7"/>
    </cacheField>
    <cacheField name="ratio" numFmtId="0">
      <sharedItems containsSemiMixedTypes="0" containsString="0" containsNumber="1" minValue="3.5213682138279524E-4" maxValue="2.8477709574332315E-2"/>
    </cacheField>
    <cacheField name="revenue" numFmtId="0">
      <sharedItems containsSemiMixedTypes="0" containsString="0" containsNumber="1" minValue="70427.364276559048" maxValue="5695541.9148664633"/>
    </cacheField>
    <cacheField name="monthend" numFmtId="14">
      <sharedItems containsSemiMixedTypes="0" containsNonDate="0" containsDate="1" containsString="0" minDate="2000-01-31T00:00:00" maxDate="2000-04-01T00:00:00" count="3">
        <d v="2000-01-31T00:00:00"/>
        <d v="2000-02-29T00:00:00"/>
        <d v="2000-03-31T00:00:00"/>
      </sharedItems>
    </cacheField>
    <cacheField name="payment" numFmtId="14">
      <sharedItems containsSemiMixedTypes="0" containsNonDate="0" containsDate="1" containsString="0" minDate="2000-02-20T00:00:00" maxDate="2000-04-21T00:00:00"/>
    </cacheField>
    <cacheField name="collection" numFmtId="14">
      <sharedItems containsSemiMixedTypes="0" containsNonDate="0" containsDate="1" containsString="0" minDate="2000-03-01T00:00:00" maxDate="2000-05-01T00:00:00"/>
    </cacheField>
    <cacheField name="colamot" numFmtId="0">
      <sharedItems containsSemiMixedTypes="0" containsString="0" containsNumber="1" minValue="63384.627848903147" maxValue="5125987.7233798169"/>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Bravo, Juan Carlos" refreshedDate="43544.014302199073" createdVersion="4" refreshedVersion="4" minRefreshableVersion="3" recordCount="31">
  <cacheSource type="worksheet">
    <worksheetSource name="Table5"/>
  </cacheSource>
  <cacheFields count="13">
    <cacheField name="index" numFmtId="0">
      <sharedItems containsSemiMixedTypes="0" containsString="0" containsNumber="1" containsInteger="1" minValue="1" maxValue="31"/>
    </cacheField>
    <cacheField name="date" numFmtId="14">
      <sharedItems containsSemiMixedTypes="0" containsNonDate="0" containsDate="1" containsString="0" minDate="2000-01-01T00:00:00" maxDate="2000-02-01T00:00:00" count="31">
        <d v="2000-01-01T00:00:00"/>
        <d v="2000-01-02T00:00:00"/>
        <d v="2000-01-03T00:00:00"/>
        <d v="2000-01-04T00:00:00"/>
        <d v="2000-01-05T00:00:00"/>
        <d v="2000-01-06T00:00:00"/>
        <d v="2000-01-07T00:00:00"/>
        <d v="2000-01-08T00:00:00"/>
        <d v="2000-01-09T00:00:00"/>
        <d v="2000-01-10T00:00:00"/>
        <d v="2000-01-11T00:00:00"/>
        <d v="2000-01-12T00:00:00"/>
        <d v="2000-01-13T00:00:00"/>
        <d v="2000-01-14T00:00:00"/>
        <d v="2000-01-15T00:00:00"/>
        <d v="2000-01-16T00:00:00"/>
        <d v="2000-01-17T00:00:00"/>
        <d v="2000-01-18T00:00:00"/>
        <d v="2000-01-19T00:00:00"/>
        <d v="2000-01-20T00:00:00"/>
        <d v="2000-01-21T00:00:00"/>
        <d v="2000-01-22T00:00:00"/>
        <d v="2000-01-23T00:00:00"/>
        <d v="2000-01-24T00:00:00"/>
        <d v="2000-01-25T00:00:00"/>
        <d v="2000-01-26T00:00:00"/>
        <d v="2000-01-27T00:00:00"/>
        <d v="2000-01-28T00:00:00"/>
        <d v="2000-01-29T00:00:00"/>
        <d v="2000-01-30T00:00:00"/>
        <d v="2000-01-31T00:00:00"/>
      </sharedItems>
    </cacheField>
    <cacheField name="day" numFmtId="0">
      <sharedItems containsSemiMixedTypes="0" containsString="0" containsNumber="1" containsInteger="1" minValue="1" maxValue="31"/>
    </cacheField>
    <cacheField name="month" numFmtId="0">
      <sharedItems containsSemiMixedTypes="0" containsString="0" containsNumber="1" containsInteger="1" minValue="1" maxValue="1"/>
    </cacheField>
    <cacheField name="year" numFmtId="0">
      <sharedItems containsSemiMixedTypes="0" containsString="0" containsNumber="1" containsInteger="1" minValue="2000" maxValue="2000"/>
    </cacheField>
    <cacheField name="week" numFmtId="0">
      <sharedItems containsSemiMixedTypes="0" containsString="0" containsNumber="1" containsInteger="1" minValue="1" maxValue="6"/>
    </cacheField>
    <cacheField name="weekday" numFmtId="0">
      <sharedItems containsSemiMixedTypes="0" containsString="0" containsNumber="1" containsInteger="1" minValue="1" maxValue="7"/>
    </cacheField>
    <cacheField name="ratio" numFmtId="0">
      <sharedItems containsSemiMixedTypes="0" containsString="0" containsNumber="1" minValue="1.5438691029196216E-2" maxValue="2.8477709574332315E-2"/>
    </cacheField>
    <cacheField name="revenue" numFmtId="0">
      <sharedItems containsSemiMixedTypes="0" containsString="0" containsNumber="1" minValue="3087738.2058392433" maxValue="5695541.9148664633"/>
    </cacheField>
    <cacheField name="monthend" numFmtId="14">
      <sharedItems containsSemiMixedTypes="0" containsNonDate="0" containsDate="1" containsString="0" minDate="2000-01-31T00:00:00" maxDate="2000-02-01T00:00:00" count="1">
        <d v="2000-01-31T00:00:00"/>
      </sharedItems>
    </cacheField>
    <cacheField name="payment" numFmtId="0">
      <sharedItems containsSemiMixedTypes="0" containsDate="1" containsString="0" containsMixedTypes="1" minDate="2000-02-20T00:00:00" maxDate="1900-01-09T07:46:04"/>
    </cacheField>
    <cacheField name="collection" numFmtId="0">
      <sharedItems containsSemiMixedTypes="0" containsDate="1" containsString="0" containsMixedTypes="1" minDate="2000-03-01T00:00:00" maxDate="1900-01-09T08:46:04"/>
    </cacheField>
    <cacheField name="colamot" numFmtId="0">
      <sharedItems containsSemiMixedTypes="0" containsString="0" containsNumber="1" minValue="2778964.3852553191" maxValue="5125987.7233798169"/>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Bravo, Juan Carlos" refreshedDate="43544.892937962963" createdVersion="4" refreshedVersion="4" minRefreshableVersion="3" recordCount="83">
  <cacheSource type="worksheet">
    <worksheetSource name="Table2"/>
  </cacheSource>
  <cacheFields count="13">
    <cacheField name="index" numFmtId="0">
      <sharedItems containsSemiMixedTypes="0" containsString="0" containsNumber="1" containsInteger="1" minValue="1" maxValue="83"/>
    </cacheField>
    <cacheField name="date" numFmtId="14">
      <sharedItems containsSemiMixedTypes="0" containsNonDate="0" containsDate="1" containsString="0" minDate="2000-01-01T00:00:00" maxDate="2021-05-04T00:00:00" count="4003">
        <d v="2000-01-01T00:00:00"/>
        <d v="2000-01-02T00:00:00"/>
        <d v="2000-01-03T00:00:00"/>
        <d v="2000-01-04T00:00:00"/>
        <d v="2000-01-05T00:00:00"/>
        <d v="2000-01-06T00:00:00"/>
        <d v="2000-01-07T00:00:00"/>
        <d v="2000-01-08T00:00:00"/>
        <d v="2000-01-09T00:00:00"/>
        <d v="2000-01-10T00:00:00"/>
        <d v="2000-01-11T00:00:00"/>
        <d v="2000-01-12T00:00:00"/>
        <d v="2000-01-13T00:00:00"/>
        <d v="2000-01-14T00:00:00"/>
        <d v="2000-01-15T00:00:00"/>
        <d v="2000-01-16T00:00:00"/>
        <d v="2000-01-17T00:00:00"/>
        <d v="2000-01-18T00:00:00"/>
        <d v="2000-01-19T00:00:00"/>
        <d v="2000-01-20T00:00:00"/>
        <d v="2000-01-21T00:00:00"/>
        <d v="2000-01-22T00:00:00"/>
        <d v="2000-01-23T00:00:00"/>
        <d v="2000-01-24T00:00:00"/>
        <d v="2000-01-25T00:00:00"/>
        <d v="2000-01-26T00:00:00"/>
        <d v="2000-01-27T00:00:00"/>
        <d v="2000-01-28T00:00:00"/>
        <d v="2000-01-29T00:00:00"/>
        <d v="2000-01-30T00:00:00"/>
        <d v="2000-01-31T00:00:00"/>
        <d v="2000-02-01T00:00:00"/>
        <d v="2000-02-02T00:00:00"/>
        <d v="2000-02-03T00:00:00"/>
        <d v="2000-02-04T00:00:00"/>
        <d v="2000-02-05T00:00:00"/>
        <d v="2000-02-06T00:00:00"/>
        <d v="2000-02-07T00:00:00"/>
        <d v="2000-02-08T00:00:00"/>
        <d v="2000-02-09T00:00:00"/>
        <d v="2000-02-10T00:00:00"/>
        <d v="2000-02-11T00:00:00"/>
        <d v="2000-02-12T00:00:00"/>
        <d v="2000-02-13T00:00:00"/>
        <d v="2000-02-14T00:00:00"/>
        <d v="2000-02-15T00:00:00"/>
        <d v="2000-02-16T00:00:00"/>
        <d v="2000-02-17T00:00:00"/>
        <d v="2000-02-18T00:00:00"/>
        <d v="2000-02-19T00:00:00"/>
        <d v="2000-02-20T00:00:00"/>
        <d v="2000-02-21T00:00:00"/>
        <d v="2000-02-22T00:00:00"/>
        <d v="2000-02-23T00:00:00"/>
        <d v="2000-02-24T00:00:00"/>
        <d v="2000-02-25T00:00:00"/>
        <d v="2000-02-26T00:00:00"/>
        <d v="2000-02-27T00:00:00"/>
        <d v="2000-02-28T00:00:00"/>
        <d v="2000-02-29T00:00:00"/>
        <d v="2000-03-01T00:00:00"/>
        <d v="2000-03-02T00:00:00"/>
        <d v="2000-03-03T00:00:00"/>
        <d v="2000-03-04T00:00:00"/>
        <d v="2000-03-05T00:00:00"/>
        <d v="2000-03-06T00:00:00"/>
        <d v="2000-03-07T00:00:00"/>
        <d v="2000-03-08T00:00:00"/>
        <d v="2000-03-09T00:00:00"/>
        <d v="2000-03-10T00:00:00"/>
        <d v="2000-03-11T00:00:00"/>
        <d v="2000-03-12T00:00:00"/>
        <d v="2000-03-13T00:00:00"/>
        <d v="2000-03-14T00:00:00"/>
        <d v="2000-03-15T00:00:00"/>
        <d v="2000-03-16T00:00:00"/>
        <d v="2000-03-17T00:00:00"/>
        <d v="2000-03-18T00:00:00"/>
        <d v="2000-03-19T00:00:00"/>
        <d v="2000-03-20T00:00:00"/>
        <d v="2000-03-21T00:00:00"/>
        <d v="2000-03-22T00:00:00"/>
        <d v="2000-03-23T00:00:00"/>
        <d v="2000-09-19T00:00:00" u="1"/>
        <d v="2001-09-19T00:00:00" u="1"/>
        <d v="2002-09-19T00:00:00" u="1"/>
        <d v="2000-05-30T00:00:00" u="1"/>
        <d v="2001-05-30T00:00:00" u="1"/>
        <d v="2002-05-30T00:00:00" u="1"/>
        <d v="2010-09-19T00:00:00" u="1"/>
        <d v="2011-09-19T00:00:00" u="1"/>
        <d v="2012-09-19T00:00:00" u="1"/>
        <d v="2013-09-19T00:00:00" u="1"/>
        <d v="2014-09-19T00:00:00" u="1"/>
        <d v="2011-05-30T00:00:00" u="1"/>
        <d v="2012-05-30T00:00:00" u="1"/>
        <d v="2013-05-30T00:00:00" u="1"/>
        <d v="2018-09-19T00:00:00" u="1"/>
        <d v="2014-05-30T00:00:00" u="1"/>
        <d v="2019-09-19T00:00:00" u="1"/>
        <d v="2020-09-19T00:00:00" u="1"/>
        <d v="2018-05-30T00:00:00" u="1"/>
        <d v="2019-05-30T00:00:00" u="1"/>
        <d v="2020-05-30T00:00:00" u="1"/>
        <d v="2000-10-19T00:00:00" u="1"/>
        <d v="2001-10-19T00:00:00" u="1"/>
        <d v="2002-10-19T00:00:00" u="1"/>
        <d v="2000-06-30T00:00:00" u="1"/>
        <d v="2001-06-30T00:00:00" u="1"/>
        <d v="2002-06-30T00:00:00" u="1"/>
        <d v="2010-10-19T00:00:00" u="1"/>
        <d v="2011-10-19T00:00:00" u="1"/>
        <d v="2012-10-19T00:00:00" u="1"/>
        <d v="2013-10-19T00:00:00" u="1"/>
        <d v="2014-10-19T00:00:00" u="1"/>
        <d v="2011-06-30T00:00:00" u="1"/>
        <d v="2012-06-30T00:00:00" u="1"/>
        <d v="2013-06-30T00:00:00" u="1"/>
        <d v="2018-10-19T00:00:00" u="1"/>
        <d v="2014-06-30T00:00:00" u="1"/>
        <d v="2019-10-19T00:00:00" u="1"/>
        <d v="2020-10-19T00:00:00" u="1"/>
        <d v="2018-06-30T00:00:00" u="1"/>
        <d v="2019-06-30T00:00:00" u="1"/>
        <d v="2020-06-30T00:00:00" u="1"/>
        <d v="2000-11-19T00:00:00" u="1"/>
        <d v="2001-11-19T00:00:00" u="1"/>
        <d v="2002-11-19T00:00:00" u="1"/>
        <d v="2000-07-30T00:00:00" u="1"/>
        <d v="2001-07-30T00:00:00" u="1"/>
        <d v="2002-07-30T00:00:00" u="1"/>
        <d v="2010-11-19T00:00:00" u="1"/>
        <d v="2011-11-19T00:00:00" u="1"/>
        <d v="2012-11-19T00:00:00" u="1"/>
        <d v="2013-11-19T00:00:00" u="1"/>
        <d v="2014-11-19T00:00:00" u="1"/>
        <d v="2011-07-30T00:00:00" u="1"/>
        <d v="2012-07-30T00:00:00" u="1"/>
        <d v="2013-07-30T00:00:00" u="1"/>
        <d v="2018-11-19T00:00:00" u="1"/>
        <d v="2014-07-30T00:00:00" u="1"/>
        <d v="2019-11-19T00:00:00" u="1"/>
        <d v="2020-11-19T00:00:00" u="1"/>
        <d v="2018-07-30T00:00:00" u="1"/>
        <d v="2019-07-30T00:00:00" u="1"/>
        <d v="2020-07-30T00:00:00" u="1"/>
        <d v="2000-12-19T00:00:00" u="1"/>
        <d v="2001-12-19T00:00:00" u="1"/>
        <d v="2002-12-19T00:00:00" u="1"/>
        <d v="2000-08-30T00:00:00" u="1"/>
        <d v="2001-08-30T00:00:00" u="1"/>
        <d v="2002-08-30T00:00:00" u="1"/>
        <d v="2010-12-19T00:00:00" u="1"/>
        <d v="2011-12-19T00:00:00" u="1"/>
        <d v="2012-12-19T00:00:00" u="1"/>
        <d v="2013-12-19T00:00:00" u="1"/>
        <d v="2014-12-19T00:00:00" u="1"/>
        <d v="2010-08-30T00:00:00" u="1"/>
        <d v="2011-08-30T00:00:00" u="1"/>
        <d v="2012-08-30T00:00:00" u="1"/>
        <d v="2013-08-30T00:00:00" u="1"/>
        <d v="2018-12-19T00:00:00" u="1"/>
        <d v="2014-08-30T00:00:00" u="1"/>
        <d v="2019-12-19T00:00:00" u="1"/>
        <d v="2020-12-19T00:00:00" u="1"/>
        <d v="2018-08-30T00:00:00" u="1"/>
        <d v="2019-08-30T00:00:00" u="1"/>
        <d v="2020-08-30T00:00:00" u="1"/>
        <d v="2001-01-09T00:00:00" u="1"/>
        <d v="2002-01-09T00:00:00" u="1"/>
        <d v="2003-01-09T00:00:00" u="1"/>
        <d v="2000-09-30T00:00:00" u="1"/>
        <d v="2001-09-30T00:00:00" u="1"/>
        <d v="2011-01-09T00:00:00" u="1"/>
        <d v="2002-09-30T00:00:00" u="1"/>
        <d v="2012-01-09T00:00:00" u="1"/>
        <d v="2013-01-09T00:00:00" u="1"/>
        <d v="2014-01-09T00:00:00" u="1"/>
        <d v="2015-01-09T00:00:00" u="1"/>
        <d v="2019-01-09T00:00:00" u="1"/>
        <d v="2010-09-30T00:00:00" u="1"/>
        <d v="2020-01-09T00:00:00" u="1"/>
        <d v="2011-09-30T00:00:00" u="1"/>
        <d v="2021-01-09T00:00:00" u="1"/>
        <d v="2012-09-30T00:00:00" u="1"/>
        <d v="2013-09-30T00:00:00" u="1"/>
        <d v="2014-09-30T00:00:00" u="1"/>
        <d v="2018-09-30T00:00:00" u="1"/>
        <d v="2019-09-30T00:00:00" u="1"/>
        <d v="2020-09-30T00:00:00" u="1"/>
        <d v="2001-02-09T00:00:00" u="1"/>
        <d v="2002-02-09T00:00:00" u="1"/>
        <d v="2003-02-09T00:00:00" u="1"/>
        <d v="2000-10-30T00:00:00" u="1"/>
        <d v="2001-10-30T00:00:00" u="1"/>
        <d v="2011-02-09T00:00:00" u="1"/>
        <d v="2002-10-30T00:00:00" u="1"/>
        <d v="2012-02-09T00:00:00" u="1"/>
        <d v="2013-02-09T00:00:00" u="1"/>
        <d v="2014-02-09T00:00:00" u="1"/>
        <d v="2015-02-09T00:00:00" u="1"/>
        <d v="2018-02-09T00:00:00" u="1"/>
        <d v="2019-02-09T00:00:00" u="1"/>
        <d v="2010-10-30T00:00:00" u="1"/>
        <d v="2020-02-09T00:00:00" u="1"/>
        <d v="2011-10-30T00:00:00" u="1"/>
        <d v="2021-02-09T00:00:00" u="1"/>
        <d v="2012-10-30T00:00:00" u="1"/>
        <d v="2013-10-30T00:00:00" u="1"/>
        <d v="2014-10-30T00:00:00" u="1"/>
        <d v="2018-10-30T00:00:00" u="1"/>
        <d v="2019-10-30T00:00:00" u="1"/>
        <d v="2020-10-30T00:00:00" u="1"/>
        <d v="2001-03-09T00:00:00" u="1"/>
        <d v="2002-03-09T00:00:00" u="1"/>
        <d v="2000-11-30T00:00:00" u="1"/>
        <d v="2001-11-30T00:00:00" u="1"/>
        <d v="2011-03-09T00:00:00" u="1"/>
        <d v="2002-11-30T00:00:00" u="1"/>
        <d v="2012-03-09T00:00:00" u="1"/>
        <d v="2013-03-09T00:00:00" u="1"/>
        <d v="2014-03-09T00:00:00" u="1"/>
        <d v="2015-03-09T00:00:00" u="1"/>
        <d v="2018-03-09T00:00:00" u="1"/>
        <d v="2019-03-09T00:00:00" u="1"/>
        <d v="2010-11-30T00:00:00" u="1"/>
        <d v="2020-03-09T00:00:00" u="1"/>
        <d v="2011-11-30T00:00:00" u="1"/>
        <d v="2021-03-09T00:00:00" u="1"/>
        <d v="2012-11-30T00:00:00" u="1"/>
        <d v="2013-11-30T00:00:00" u="1"/>
        <d v="2014-11-30T00:00:00" u="1"/>
        <d v="2018-11-30T00:00:00" u="1"/>
        <d v="2019-11-30T00:00:00" u="1"/>
        <d v="2020-11-30T00:00:00" u="1"/>
        <d v="2000-04-09T00:00:00" u="1"/>
        <d v="2001-04-09T00:00:00" u="1"/>
        <d v="2002-04-09T00:00:00" u="1"/>
        <d v="2000-12-30T00:00:00" u="1"/>
        <d v="2001-12-30T00:00:00" u="1"/>
        <d v="2011-04-09T00:00:00" u="1"/>
        <d v="2002-12-30T00:00:00" u="1"/>
        <d v="2012-04-09T00:00:00" u="1"/>
        <d v="2013-04-09T00:00:00" u="1"/>
        <d v="2014-04-09T00:00:00" u="1"/>
        <d v="2018-04-09T00:00:00" u="1"/>
        <d v="2019-04-09T00:00:00" u="1"/>
        <d v="2010-12-30T00:00:00" u="1"/>
        <d v="2020-04-09T00:00:00" u="1"/>
        <d v="2011-12-30T00:00:00" u="1"/>
        <d v="2021-04-09T00:00:00" u="1"/>
        <d v="2012-12-30T00:00:00" u="1"/>
        <d v="2013-12-30T00:00:00" u="1"/>
        <d v="2014-12-30T00:00:00" u="1"/>
        <d v="2018-12-30T00:00:00" u="1"/>
        <d v="2019-12-30T00:00:00" u="1"/>
        <d v="2020-12-30T00:00:00" u="1"/>
        <d v="2000-05-09T00:00:00" u="1"/>
        <d v="2001-05-09T00:00:00" u="1"/>
        <d v="2002-05-09T00:00:00" u="1"/>
        <d v="2001-01-20T00:00:00" u="1"/>
        <d v="2002-01-20T00:00:00" u="1"/>
        <d v="2003-01-20T00:00:00" u="1"/>
        <d v="2011-05-09T00:00:00" u="1"/>
        <d v="2012-05-09T00:00:00" u="1"/>
        <d v="2013-05-09T00:00:00" u="1"/>
        <d v="2014-05-09T00:00:00" u="1"/>
        <d v="2011-01-20T00:00:00" u="1"/>
        <d v="2012-01-20T00:00:00" u="1"/>
        <d v="2013-01-20T00:00:00" u="1"/>
        <d v="2018-05-09T00:00:00" u="1"/>
        <d v="2014-01-20T00:00:00" u="1"/>
        <d v="2019-05-09T00:00:00" u="1"/>
        <d v="2015-01-20T00:00:00" u="1"/>
        <d v="2020-05-09T00:00:00" u="1"/>
        <d v="2019-01-20T00:00:00" u="1"/>
        <d v="2020-01-20T00:00:00" u="1"/>
        <d v="2021-01-20T00:00:00" u="1"/>
        <d v="2000-06-09T00:00:00" u="1"/>
        <d v="2001-06-09T00:00:00" u="1"/>
        <d v="2002-06-09T00:00:00" u="1"/>
        <d v="2001-02-20T00:00:00" u="1"/>
        <d v="2002-02-20T00:00:00" u="1"/>
        <d v="2003-02-20T00:00:00" u="1"/>
        <d v="2011-06-09T00:00:00" u="1"/>
        <d v="2012-06-09T00:00:00" u="1"/>
        <d v="2013-06-09T00:00:00" u="1"/>
        <d v="2014-06-09T00:00:00" u="1"/>
        <d v="2011-02-20T00:00:00" u="1"/>
        <d v="2012-02-20T00:00:00" u="1"/>
        <d v="2013-02-20T00:00:00" u="1"/>
        <d v="2018-06-09T00:00:00" u="1"/>
        <d v="2014-02-20T00:00:00" u="1"/>
        <d v="2019-06-09T00:00:00" u="1"/>
        <d v="2015-02-20T00:00:00" u="1"/>
        <d v="2020-06-09T00:00:00" u="1"/>
        <d v="2018-02-20T00:00:00" u="1"/>
        <d v="2019-02-20T00:00:00" u="1"/>
        <d v="2020-02-20T00:00:00" u="1"/>
        <d v="2021-02-20T00:00:00" u="1"/>
        <d v="2000-07-09T00:00:00" u="1"/>
        <d v="2001-07-09T00:00:00" u="1"/>
        <d v="2002-07-09T00:00:00" u="1"/>
        <d v="2001-03-20T00:00:00" u="1"/>
        <d v="2002-03-20T00:00:00" u="1"/>
        <d v="2011-07-09T00:00:00" u="1"/>
        <d v="2012-07-09T00:00:00" u="1"/>
        <d v="2013-07-09T00:00:00" u="1"/>
        <d v="2014-07-09T00:00:00" u="1"/>
        <d v="2011-03-20T00:00:00" u="1"/>
        <d v="2012-03-20T00:00:00" u="1"/>
        <d v="2013-03-20T00:00:00" u="1"/>
        <d v="2018-07-09T00:00:00" u="1"/>
        <d v="2014-03-20T00:00:00" u="1"/>
        <d v="2019-07-09T00:00:00" u="1"/>
        <d v="2020-07-09T00:00:00" u="1"/>
        <d v="2018-03-20T00:00:00" u="1"/>
        <d v="2019-03-20T00:00:00" u="1"/>
        <d v="2020-03-20T00:00:00" u="1"/>
        <d v="2021-03-20T00:00:00" u="1"/>
        <d v="2000-08-09T00:00:00" u="1"/>
        <d v="2001-08-09T00:00:00" u="1"/>
        <d v="2002-08-09T00:00:00" u="1"/>
        <d v="2000-04-20T00:00:00" u="1"/>
        <d v="2001-04-20T00:00:00" u="1"/>
        <d v="2002-04-20T00:00:00" u="1"/>
        <d v="2011-08-09T00:00:00" u="1"/>
        <d v="2012-08-09T00:00:00" u="1"/>
        <d v="2013-08-09T00:00:00" u="1"/>
        <d v="2014-08-09T00:00:00" u="1"/>
        <d v="2011-04-20T00:00:00" u="1"/>
        <d v="2012-04-20T00:00:00" u="1"/>
        <d v="2013-04-20T00:00:00" u="1"/>
        <d v="2018-08-09T00:00:00" u="1"/>
        <d v="2014-04-20T00:00:00" u="1"/>
        <d v="2019-08-09T00:00:00" u="1"/>
        <d v="2020-08-09T00:00:00" u="1"/>
        <d v="2018-04-20T00:00:00" u="1"/>
        <d v="2019-04-20T00:00:00" u="1"/>
        <d v="2020-04-20T00:00:00" u="1"/>
        <d v="2021-04-20T00:00:00" u="1"/>
        <d v="2000-09-09T00:00:00" u="1"/>
        <d v="2001-09-09T00:00:00" u="1"/>
        <d v="2002-09-09T00:00:00" u="1"/>
        <d v="2000-05-20T00:00:00" u="1"/>
        <d v="2001-05-20T00:00:00" u="1"/>
        <d v="2002-05-20T00:00:00" u="1"/>
        <d v="2010-09-09T00:00:00" u="1"/>
        <d v="2001-01-31T00:00:00" u="1"/>
        <d v="2011-09-09T00:00:00" u="1"/>
        <d v="2002-01-31T00:00:00" u="1"/>
        <d v="2012-09-09T00:00:00" u="1"/>
        <d v="2003-01-31T00:00:00" u="1"/>
        <d v="2013-09-09T00:00:00" u="1"/>
        <d v="2014-09-09T00:00:00" u="1"/>
        <d v="2011-05-20T00:00:00" u="1"/>
        <d v="2012-05-20T00:00:00" u="1"/>
        <d v="2013-05-20T00:00:00" u="1"/>
        <d v="2018-09-09T00:00:00" u="1"/>
        <d v="2014-05-20T00:00:00" u="1"/>
        <d v="2019-09-09T00:00:00" u="1"/>
        <d v="2020-09-09T00:00:00" u="1"/>
        <d v="2011-01-31T00:00:00" u="1"/>
        <d v="2012-01-31T00:00:00" u="1"/>
        <d v="2013-01-31T00:00:00" u="1"/>
        <d v="2018-05-20T00:00:00" u="1"/>
        <d v="2014-01-31T00:00:00" u="1"/>
        <d v="2019-05-20T00:00:00" u="1"/>
        <d v="2015-01-31T00:00:00" u="1"/>
        <d v="2020-05-20T00:00:00" u="1"/>
        <d v="2019-01-31T00:00:00" u="1"/>
        <d v="2020-01-31T00:00:00" u="1"/>
        <d v="2021-01-31T00:00:00" u="1"/>
        <d v="2000-10-09T00:00:00" u="1"/>
        <d v="2001-10-09T00:00:00" u="1"/>
        <d v="2002-10-09T00:00:00" u="1"/>
        <d v="2000-06-20T00:00:00" u="1"/>
        <d v="2001-06-20T00:00:00" u="1"/>
        <d v="2002-06-20T00:00:00" u="1"/>
        <d v="2010-10-09T00:00:00" u="1"/>
        <d v="2011-10-09T00:00:00" u="1"/>
        <d v="2012-10-09T00:00:00" u="1"/>
        <d v="2013-10-09T00:00:00" u="1"/>
        <d v="2014-10-09T00:00:00" u="1"/>
        <d v="2011-06-20T00:00:00" u="1"/>
        <d v="2012-06-20T00:00:00" u="1"/>
        <d v="2013-06-20T00:00:00" u="1"/>
        <d v="2018-10-09T00:00:00" u="1"/>
        <d v="2014-06-20T00:00:00" u="1"/>
        <d v="2019-10-09T00:00:00" u="1"/>
        <d v="2020-10-09T00:00:00" u="1"/>
        <d v="2018-06-20T00:00:00" u="1"/>
        <d v="2019-06-20T00:00:00" u="1"/>
        <d v="2020-06-20T00:00:00" u="1"/>
        <d v="2000-11-09T00:00:00" u="1"/>
        <d v="2001-11-09T00:00:00" u="1"/>
        <d v="2002-11-09T00:00:00" u="1"/>
        <d v="2000-07-20T00:00:00" u="1"/>
        <d v="2001-07-20T00:00:00" u="1"/>
        <d v="2002-07-20T00:00:00" u="1"/>
        <d v="2000-03-31T00:00:00" u="1"/>
        <d v="2010-11-09T00:00:00" u="1"/>
        <d v="2001-03-31T00:00:00" u="1"/>
        <d v="2011-11-09T00:00:00" u="1"/>
        <d v="2002-03-31T00:00:00" u="1"/>
        <d v="2012-11-09T00:00:00" u="1"/>
        <d v="2013-11-09T00:00:00" u="1"/>
        <d v="2014-11-09T00:00:00" u="1"/>
        <d v="2011-07-20T00:00:00" u="1"/>
        <d v="2012-07-20T00:00:00" u="1"/>
        <d v="2013-07-20T00:00:00" u="1"/>
        <d v="2018-11-09T00:00:00" u="1"/>
        <d v="2014-07-20T00:00:00" u="1"/>
        <d v="2019-11-09T00:00:00" u="1"/>
        <d v="2020-11-09T00:00:00" u="1"/>
        <d v="2011-03-31T00:00:00" u="1"/>
        <d v="2012-03-31T00:00:00" u="1"/>
        <d v="2013-03-31T00:00:00" u="1"/>
        <d v="2018-07-20T00:00:00" u="1"/>
        <d v="2014-03-31T00:00:00" u="1"/>
        <d v="2019-07-20T00:00:00" u="1"/>
        <d v="2020-07-20T00:00:00" u="1"/>
        <d v="2018-03-31T00:00:00" u="1"/>
        <d v="2019-03-31T00:00:00" u="1"/>
        <d v="2020-03-31T00:00:00" u="1"/>
        <d v="2021-03-31T00:00:00" u="1"/>
        <d v="2000-12-09T00:00:00" u="1"/>
        <d v="2001-12-09T00:00:00" u="1"/>
        <d v="2002-12-09T00:00:00" u="1"/>
        <d v="2000-08-20T00:00:00" u="1"/>
        <d v="2001-08-20T00:00:00" u="1"/>
        <d v="2002-08-20T00:00:00" u="1"/>
        <d v="2010-12-09T00:00:00" u="1"/>
        <d v="2011-12-09T00:00:00" u="1"/>
        <d v="2012-12-09T00:00:00" u="1"/>
        <d v="2013-12-09T00:00:00" u="1"/>
        <d v="2014-12-09T00:00:00" u="1"/>
        <d v="2011-08-20T00:00:00" u="1"/>
        <d v="2012-08-20T00:00:00" u="1"/>
        <d v="2013-08-20T00:00:00" u="1"/>
        <d v="2018-12-09T00:00:00" u="1"/>
        <d v="2014-08-20T00:00:00" u="1"/>
        <d v="2019-12-09T00:00:00" u="1"/>
        <d v="2020-12-09T00:00:00" u="1"/>
        <d v="2018-08-20T00:00:00" u="1"/>
        <d v="2019-08-20T00:00:00" u="1"/>
        <d v="2020-08-20T00:00:00" u="1"/>
        <d v="2000-09-20T00:00:00" u="1"/>
        <d v="2001-09-20T00:00:00" u="1"/>
        <d v="2002-09-20T00:00:00" u="1"/>
        <d v="2000-05-31T00:00:00" u="1"/>
        <d v="2001-05-31T00:00:00" u="1"/>
        <d v="2002-05-31T00:00:00" u="1"/>
        <d v="2010-09-20T00:00:00" u="1"/>
        <d v="2011-09-20T00:00:00" u="1"/>
        <d v="2012-09-20T00:00:00" u="1"/>
        <d v="2013-09-20T00:00:00" u="1"/>
        <d v="2014-09-20T00:00:00" u="1"/>
        <d v="2011-05-31T00:00:00" u="1"/>
        <d v="2012-05-31T00:00:00" u="1"/>
        <d v="2013-05-31T00:00:00" u="1"/>
        <d v="2018-09-20T00:00:00" u="1"/>
        <d v="2014-05-31T00:00:00" u="1"/>
        <d v="2019-09-20T00:00:00" u="1"/>
        <d v="2020-09-20T00:00:00" u="1"/>
        <d v="2018-05-31T00:00:00" u="1"/>
        <d v="2019-05-31T00:00:00" u="1"/>
        <d v="2020-05-31T00:00:00" u="1"/>
        <d v="2000-10-20T00:00:00" u="1"/>
        <d v="2001-10-20T00:00:00" u="1"/>
        <d v="2002-10-20T00:00:00" u="1"/>
        <d v="2010-10-20T00:00:00" u="1"/>
        <d v="2011-10-20T00:00:00" u="1"/>
        <d v="2012-10-20T00:00:00" u="1"/>
        <d v="2013-10-20T00:00:00" u="1"/>
        <d v="2014-10-20T00:00:00" u="1"/>
        <d v="2018-10-20T00:00:00" u="1"/>
        <d v="2019-10-20T00:00:00" u="1"/>
        <d v="2020-10-20T00:00:00" u="1"/>
        <d v="2000-11-20T00:00:00" u="1"/>
        <d v="2001-11-20T00:00:00" u="1"/>
        <d v="2002-11-20T00:00:00" u="1"/>
        <d v="2000-07-31T00:00:00" u="1"/>
        <d v="2001-07-31T00:00:00" u="1"/>
        <d v="2002-07-31T00:00:00" u="1"/>
        <d v="2010-11-20T00:00:00" u="1"/>
        <d v="2011-11-20T00:00:00" u="1"/>
        <d v="2012-11-20T00:00:00" u="1"/>
        <d v="2013-11-20T00:00:00" u="1"/>
        <d v="2014-11-20T00:00:00" u="1"/>
        <d v="2011-07-31T00:00:00" u="1"/>
        <d v="2012-07-31T00:00:00" u="1"/>
        <d v="2013-07-31T00:00:00" u="1"/>
        <d v="2018-11-20T00:00:00" u="1"/>
        <d v="2014-07-31T00:00:00" u="1"/>
        <d v="2019-11-20T00:00:00" u="1"/>
        <d v="2020-11-20T00:00:00" u="1"/>
        <d v="2018-07-31T00:00:00" u="1"/>
        <d v="2019-07-31T00:00:00" u="1"/>
        <d v="2020-07-31T00:00:00" u="1"/>
        <d v="2000-12-20T00:00:00" u="1"/>
        <d v="2001-12-20T00:00:00" u="1"/>
        <d v="2002-12-20T00:00:00" u="1"/>
        <d v="2000-08-31T00:00:00" u="1"/>
        <d v="2001-08-31T00:00:00" u="1"/>
        <d v="2002-08-31T00:00:00" u="1"/>
        <d v="2010-12-20T00:00:00" u="1"/>
        <d v="2011-12-20T00:00:00" u="1"/>
        <d v="2012-12-20T00:00:00" u="1"/>
        <d v="2013-12-20T00:00:00" u="1"/>
        <d v="2014-12-20T00:00:00" u="1"/>
        <d v="2010-08-31T00:00:00" u="1"/>
        <d v="2011-08-31T00:00:00" u="1"/>
        <d v="2012-08-31T00:00:00" u="1"/>
        <d v="2013-08-31T00:00:00" u="1"/>
        <d v="2018-12-20T00:00:00" u="1"/>
        <d v="2014-08-31T00:00:00" u="1"/>
        <d v="2019-12-20T00:00:00" u="1"/>
        <d v="2020-12-20T00:00:00" u="1"/>
        <d v="2018-08-31T00:00:00" u="1"/>
        <d v="2019-08-31T00:00:00" u="1"/>
        <d v="2020-08-31T00:00:00" u="1"/>
        <d v="2001-01-10T00:00:00" u="1"/>
        <d v="2002-01-10T00:00:00" u="1"/>
        <d v="2003-01-10T00:00:00" u="1"/>
        <d v="2011-01-10T00:00:00" u="1"/>
        <d v="2012-01-10T00:00:00" u="1"/>
        <d v="2013-01-10T00:00:00" u="1"/>
        <d v="2014-01-10T00:00:00" u="1"/>
        <d v="2015-01-10T00:00:00" u="1"/>
        <d v="2019-01-10T00:00:00" u="1"/>
        <d v="2020-01-10T00:00:00" u="1"/>
        <d v="2021-01-10T00:00:00" u="1"/>
        <d v="2001-02-10T00:00:00" u="1"/>
        <d v="2002-02-10T00:00:00" u="1"/>
        <d v="2003-02-10T00:00:00" u="1"/>
        <d v="2000-10-31T00:00:00" u="1"/>
        <d v="2001-10-31T00:00:00" u="1"/>
        <d v="2011-02-10T00:00:00" u="1"/>
        <d v="2002-10-31T00:00:00" u="1"/>
        <d v="2012-02-10T00:00:00" u="1"/>
        <d v="2013-02-10T00:00:00" u="1"/>
        <d v="2014-02-10T00:00:00" u="1"/>
        <d v="2015-02-10T00:00:00" u="1"/>
        <d v="2018-02-10T00:00:00" u="1"/>
        <d v="2019-02-10T00:00:00" u="1"/>
        <d v="2010-10-31T00:00:00" u="1"/>
        <d v="2020-02-10T00:00:00" u="1"/>
        <d v="2011-10-31T00:00:00" u="1"/>
        <d v="2021-02-10T00:00:00" u="1"/>
        <d v="2012-10-31T00:00:00" u="1"/>
        <d v="2013-10-31T00:00:00" u="1"/>
        <d v="2014-10-31T00:00:00" u="1"/>
        <d v="2018-10-31T00:00:00" u="1"/>
        <d v="2019-10-31T00:00:00" u="1"/>
        <d v="2020-10-31T00:00:00" u="1"/>
        <d v="2001-03-10T00:00:00" u="1"/>
        <d v="2002-03-10T00:00:00" u="1"/>
        <d v="2011-03-10T00:00:00" u="1"/>
        <d v="2012-03-10T00:00:00" u="1"/>
        <d v="2013-03-10T00:00:00" u="1"/>
        <d v="2014-03-10T00:00:00" u="1"/>
        <d v="2015-03-10T00:00:00" u="1"/>
        <d v="2018-03-10T00:00:00" u="1"/>
        <d v="2019-03-10T00:00:00" u="1"/>
        <d v="2020-03-10T00:00:00" u="1"/>
        <d v="2021-03-10T00:00:00" u="1"/>
        <d v="2000-04-10T00:00:00" u="1"/>
        <d v="2001-04-10T00:00:00" u="1"/>
        <d v="2002-04-10T00:00:00" u="1"/>
        <d v="2000-12-31T00:00:00" u="1"/>
        <d v="2001-12-31T00:00:00" u="1"/>
        <d v="2011-04-10T00:00:00" u="1"/>
        <d v="2002-12-31T00:00:00" u="1"/>
        <d v="2012-04-10T00:00:00" u="1"/>
        <d v="2013-04-10T00:00:00" u="1"/>
        <d v="2014-04-10T00:00:00" u="1"/>
        <d v="2018-04-10T00:00:00" u="1"/>
        <d v="2019-04-10T00:00:00" u="1"/>
        <d v="2010-12-31T00:00:00" u="1"/>
        <d v="2020-04-10T00:00:00" u="1"/>
        <d v="2011-12-31T00:00:00" u="1"/>
        <d v="2021-04-10T00:00:00" u="1"/>
        <d v="2012-12-31T00:00:00" u="1"/>
        <d v="2013-12-31T00:00:00" u="1"/>
        <d v="2014-12-31T00:00:00" u="1"/>
        <d v="2018-12-31T00:00:00" u="1"/>
        <d v="2019-12-31T00:00:00" u="1"/>
        <d v="2020-12-31T00:00:00" u="1"/>
        <d v="2000-05-10T00:00:00" u="1"/>
        <d v="2001-05-10T00:00:00" u="1"/>
        <d v="2002-05-10T00:00:00" u="1"/>
        <d v="2001-01-21T00:00:00" u="1"/>
        <d v="2002-01-21T00:00:00" u="1"/>
        <d v="2003-01-21T00:00:00" u="1"/>
        <d v="2011-05-10T00:00:00" u="1"/>
        <d v="2012-05-10T00:00:00" u="1"/>
        <d v="2013-05-10T00:00:00" u="1"/>
        <d v="2014-05-10T00:00:00" u="1"/>
        <d v="2011-01-21T00:00:00" u="1"/>
        <d v="2012-01-21T00:00:00" u="1"/>
        <d v="2013-01-21T00:00:00" u="1"/>
        <d v="2018-05-10T00:00:00" u="1"/>
        <d v="2014-01-21T00:00:00" u="1"/>
        <d v="2019-05-10T00:00:00" u="1"/>
        <d v="2015-01-21T00:00:00" u="1"/>
        <d v="2020-05-10T00:00:00" u="1"/>
        <d v="2019-01-21T00:00:00" u="1"/>
        <d v="2020-01-21T00:00:00" u="1"/>
        <d v="2021-01-21T00:00:00" u="1"/>
        <d v="2000-06-10T00:00:00" u="1"/>
        <d v="2001-06-10T00:00:00" u="1"/>
        <d v="2002-06-10T00:00:00" u="1"/>
        <d v="2001-02-21T00:00:00" u="1"/>
        <d v="2002-02-21T00:00:00" u="1"/>
        <d v="2003-02-21T00:00:00" u="1"/>
        <d v="2011-06-10T00:00:00" u="1"/>
        <d v="2012-06-10T00:00:00" u="1"/>
        <d v="2013-06-10T00:00:00" u="1"/>
        <d v="2014-06-10T00:00:00" u="1"/>
        <d v="2011-02-21T00:00:00" u="1"/>
        <d v="2012-02-21T00:00:00" u="1"/>
        <d v="2013-02-21T00:00:00" u="1"/>
        <d v="2018-06-10T00:00:00" u="1"/>
        <d v="2014-02-21T00:00:00" u="1"/>
        <d v="2019-06-10T00:00:00" u="1"/>
        <d v="2015-02-21T00:00:00" u="1"/>
        <d v="2020-06-10T00:00:00" u="1"/>
        <d v="2018-02-21T00:00:00" u="1"/>
        <d v="2019-02-21T00:00:00" u="1"/>
        <d v="2020-02-21T00:00:00" u="1"/>
        <d v="2021-02-21T00:00:00" u="1"/>
        <d v="2000-07-10T00:00:00" u="1"/>
        <d v="2001-07-10T00:00:00" u="1"/>
        <d v="2002-07-10T00:00:00" u="1"/>
        <d v="2001-03-21T00:00:00" u="1"/>
        <d v="2002-03-21T00:00:00" u="1"/>
        <d v="2011-07-10T00:00:00" u="1"/>
        <d v="2012-07-10T00:00:00" u="1"/>
        <d v="2013-07-10T00:00:00" u="1"/>
        <d v="2014-07-10T00:00:00" u="1"/>
        <d v="2011-03-21T00:00:00" u="1"/>
        <d v="2012-03-21T00:00:00" u="1"/>
        <d v="2013-03-21T00:00:00" u="1"/>
        <d v="2018-07-10T00:00:00" u="1"/>
        <d v="2014-03-21T00:00:00" u="1"/>
        <d v="2019-07-10T00:00:00" u="1"/>
        <d v="2020-07-10T00:00:00" u="1"/>
        <d v="2018-03-21T00:00:00" u="1"/>
        <d v="2019-03-21T00:00:00" u="1"/>
        <d v="2020-03-21T00:00:00" u="1"/>
        <d v="2021-03-21T00:00:00" u="1"/>
        <d v="2000-08-10T00:00:00" u="1"/>
        <d v="2001-08-10T00:00:00" u="1"/>
        <d v="2002-08-10T00:00:00" u="1"/>
        <d v="2000-04-21T00:00:00" u="1"/>
        <d v="2001-04-21T00:00:00" u="1"/>
        <d v="2002-04-21T00:00:00" u="1"/>
        <d v="2011-08-10T00:00:00" u="1"/>
        <d v="2012-08-10T00:00:00" u="1"/>
        <d v="2013-08-10T00:00:00" u="1"/>
        <d v="2014-08-10T00:00:00" u="1"/>
        <d v="2011-04-21T00:00:00" u="1"/>
        <d v="2012-04-21T00:00:00" u="1"/>
        <d v="2013-04-21T00:00:00" u="1"/>
        <d v="2018-08-10T00:00:00" u="1"/>
        <d v="2014-04-21T00:00:00" u="1"/>
        <d v="2019-08-10T00:00:00" u="1"/>
        <d v="2020-08-10T00:00:00" u="1"/>
        <d v="2018-04-21T00:00:00" u="1"/>
        <d v="2019-04-21T00:00:00" u="1"/>
        <d v="2020-04-21T00:00:00" u="1"/>
        <d v="2021-04-21T00:00:00" u="1"/>
        <d v="2000-09-10T00:00:00" u="1"/>
        <d v="2001-09-10T00:00:00" u="1"/>
        <d v="2002-09-10T00:00:00" u="1"/>
        <d v="2000-05-21T00:00:00" u="1"/>
        <d v="2001-05-21T00:00:00" u="1"/>
        <d v="2002-05-21T00:00:00" u="1"/>
        <d v="2010-09-10T00:00:00" u="1"/>
        <d v="2011-09-10T00:00:00" u="1"/>
        <d v="2012-09-10T00:00:00" u="1"/>
        <d v="2013-09-10T00:00:00" u="1"/>
        <d v="2014-09-10T00:00:00" u="1"/>
        <d v="2011-05-21T00:00:00" u="1"/>
        <d v="2012-05-21T00:00:00" u="1"/>
        <d v="2013-05-21T00:00:00" u="1"/>
        <d v="2018-09-10T00:00:00" u="1"/>
        <d v="2014-05-21T00:00:00" u="1"/>
        <d v="2019-09-10T00:00:00" u="1"/>
        <d v="2020-09-10T00:00:00" u="1"/>
        <d v="2018-05-21T00:00:00" u="1"/>
        <d v="2019-05-21T00:00:00" u="1"/>
        <d v="2020-05-21T00:00:00" u="1"/>
        <d v="2000-10-10T00:00:00" u="1"/>
        <d v="2001-10-10T00:00:00" u="1"/>
        <d v="2002-10-10T00:00:00" u="1"/>
        <d v="2000-06-21T00:00:00" u="1"/>
        <d v="2001-06-21T00:00:00" u="1"/>
        <d v="2002-06-21T00:00:00" u="1"/>
        <d v="2010-10-10T00:00:00" u="1"/>
        <d v="2011-10-10T00:00:00" u="1"/>
        <d v="2012-10-10T00:00:00" u="1"/>
        <d v="2013-10-10T00:00:00" u="1"/>
        <d v="2014-10-10T00:00:00" u="1"/>
        <d v="2011-06-21T00:00:00" u="1"/>
        <d v="2012-06-21T00:00:00" u="1"/>
        <d v="2013-06-21T00:00:00" u="1"/>
        <d v="2018-10-10T00:00:00" u="1"/>
        <d v="2014-06-21T00:00:00" u="1"/>
        <d v="2019-10-10T00:00:00" u="1"/>
        <d v="2020-10-10T00:00:00" u="1"/>
        <d v="2018-06-21T00:00:00" u="1"/>
        <d v="2019-06-21T00:00:00" u="1"/>
        <d v="2020-06-21T00:00:00" u="1"/>
        <d v="2000-11-10T00:00:00" u="1"/>
        <d v="2001-11-10T00:00:00" u="1"/>
        <d v="2002-11-10T00:00:00" u="1"/>
        <d v="2000-07-21T00:00:00" u="1"/>
        <d v="2001-07-21T00:00:00" u="1"/>
        <d v="2002-07-21T00:00:00" u="1"/>
        <d v="2010-11-10T00:00:00" u="1"/>
        <d v="2011-11-10T00:00:00" u="1"/>
        <d v="2012-11-10T00:00:00" u="1"/>
        <d v="2013-11-10T00:00:00" u="1"/>
        <d v="2014-11-10T00:00:00" u="1"/>
        <d v="2011-07-21T00:00:00" u="1"/>
        <d v="2012-07-21T00:00:00" u="1"/>
        <d v="2013-07-21T00:00:00" u="1"/>
        <d v="2018-11-10T00:00:00" u="1"/>
        <d v="2014-07-21T00:00:00" u="1"/>
        <d v="2019-11-10T00:00:00" u="1"/>
        <d v="2020-11-10T00:00:00" u="1"/>
        <d v="2018-07-21T00:00:00" u="1"/>
        <d v="2019-07-21T00:00:00" u="1"/>
        <d v="2020-07-21T00:00:00" u="1"/>
        <d v="2000-12-10T00:00:00" u="1"/>
        <d v="2001-12-10T00:00:00" u="1"/>
        <d v="2002-12-10T00:00:00" u="1"/>
        <d v="2000-08-21T00:00:00" u="1"/>
        <d v="2001-08-21T00:00:00" u="1"/>
        <d v="2002-08-21T00:00:00" u="1"/>
        <d v="2010-12-10T00:00:00" u="1"/>
        <d v="2011-12-10T00:00:00" u="1"/>
        <d v="2012-12-10T00:00:00" u="1"/>
        <d v="2013-12-10T00:00:00" u="1"/>
        <d v="2014-12-10T00:00:00" u="1"/>
        <d v="2011-08-21T00:00:00" u="1"/>
        <d v="2012-08-21T00:00:00" u="1"/>
        <d v="2013-08-21T00:00:00" u="1"/>
        <d v="2018-12-10T00:00:00" u="1"/>
        <d v="2014-08-21T00:00:00" u="1"/>
        <d v="2019-12-10T00:00:00" u="1"/>
        <d v="2020-12-10T00:00:00" u="1"/>
        <d v="2018-08-21T00:00:00" u="1"/>
        <d v="2019-08-21T00:00:00" u="1"/>
        <d v="2020-08-21T00:00:00" u="1"/>
        <d v="2000-09-21T00:00:00" u="1"/>
        <d v="2001-09-21T00:00:00" u="1"/>
        <d v="2002-09-21T00:00:00" u="1"/>
        <d v="2010-09-21T00:00:00" u="1"/>
        <d v="2011-09-21T00:00:00" u="1"/>
        <d v="2012-09-21T00:00:00" u="1"/>
        <d v="2013-09-21T00:00:00" u="1"/>
        <d v="2014-09-21T00:00:00" u="1"/>
        <d v="2018-09-21T00:00:00" u="1"/>
        <d v="2019-09-21T00:00:00" u="1"/>
        <d v="2020-09-21T00:00:00" u="1"/>
        <d v="2000-10-21T00:00:00" u="1"/>
        <d v="2001-10-21T00:00:00" u="1"/>
        <d v="2002-10-21T00:00:00" u="1"/>
        <d v="2010-10-21T00:00:00" u="1"/>
        <d v="2011-10-21T00:00:00" u="1"/>
        <d v="2012-10-21T00:00:00" u="1"/>
        <d v="2013-10-21T00:00:00" u="1"/>
        <d v="2014-10-21T00:00:00" u="1"/>
        <d v="2018-10-21T00:00:00" u="1"/>
        <d v="2019-10-21T00:00:00" u="1"/>
        <d v="2020-10-21T00:00:00" u="1"/>
        <d v="2000-11-21T00:00:00" u="1"/>
        <d v="2001-11-21T00:00:00" u="1"/>
        <d v="2002-11-21T00:00:00" u="1"/>
        <d v="2010-11-21T00:00:00" u="1"/>
        <d v="2011-11-21T00:00:00" u="1"/>
        <d v="2012-11-21T00:00:00" u="1"/>
        <d v="2013-11-21T00:00:00" u="1"/>
        <d v="2014-11-21T00:00:00" u="1"/>
        <d v="2018-11-21T00:00:00" u="1"/>
        <d v="2019-11-21T00:00:00" u="1"/>
        <d v="2020-11-21T00:00:00" u="1"/>
        <d v="2000-12-21T00:00:00" u="1"/>
        <d v="2001-12-21T00:00:00" u="1"/>
        <d v="2002-12-21T00:00:00" u="1"/>
        <d v="2010-12-21T00:00:00" u="1"/>
        <d v="2011-12-21T00:00:00" u="1"/>
        <d v="2012-12-21T00:00:00" u="1"/>
        <d v="2013-12-21T00:00:00" u="1"/>
        <d v="2014-12-21T00:00:00" u="1"/>
        <d v="2018-12-21T00:00:00" u="1"/>
        <d v="2019-12-21T00:00:00" u="1"/>
        <d v="2020-12-21T00:00:00" u="1"/>
        <d v="2001-01-11T00:00:00" u="1"/>
        <d v="2002-01-11T00:00:00" u="1"/>
        <d v="2003-01-11T00:00:00" u="1"/>
        <d v="2011-01-11T00:00:00" u="1"/>
        <d v="2012-01-11T00:00:00" u="1"/>
        <d v="2013-01-11T00:00:00" u="1"/>
        <d v="2014-01-11T00:00:00" u="1"/>
        <d v="2015-01-11T00:00:00" u="1"/>
        <d v="2019-01-11T00:00:00" u="1"/>
        <d v="2020-01-11T00:00:00" u="1"/>
        <d v="2021-01-11T00:00:00" u="1"/>
        <d v="2001-02-11T00:00:00" u="1"/>
        <d v="2002-02-11T00:00:00" u="1"/>
        <d v="2003-02-11T00:00:00" u="1"/>
        <d v="2011-02-11T00:00:00" u="1"/>
        <d v="2012-02-11T00:00:00" u="1"/>
        <d v="2013-02-11T00:00:00" u="1"/>
        <d v="2014-02-11T00:00:00" u="1"/>
        <d v="2015-02-11T00:00:00" u="1"/>
        <d v="2018-02-11T00:00:00" u="1"/>
        <d v="2019-02-11T00:00:00" u="1"/>
        <d v="2020-02-11T00:00:00" u="1"/>
        <d v="2021-02-11T00:00:00" u="1"/>
        <d v="2001-03-11T00:00:00" u="1"/>
        <d v="2002-03-11T00:00:00" u="1"/>
        <d v="2011-03-11T00:00:00" u="1"/>
        <d v="2012-03-11T00:00:00" u="1"/>
        <d v="2013-03-11T00:00:00" u="1"/>
        <d v="2014-03-11T00:00:00" u="1"/>
        <d v="2018-03-11T00:00:00" u="1"/>
        <d v="2019-03-11T00:00:00" u="1"/>
        <d v="2020-03-11T00:00:00" u="1"/>
        <d v="2021-03-11T00:00:00" u="1"/>
        <d v="2000-04-11T00:00:00" u="1"/>
        <d v="2001-04-11T00:00:00" u="1"/>
        <d v="2002-04-11T00:00:00" u="1"/>
        <d v="2011-04-11T00:00:00" u="1"/>
        <d v="2012-04-11T00:00:00" u="1"/>
        <d v="2013-04-11T00:00:00" u="1"/>
        <d v="2014-04-11T00:00:00" u="1"/>
        <d v="2018-04-11T00:00:00" u="1"/>
        <d v="2019-04-11T00:00:00" u="1"/>
        <d v="2020-04-11T00:00:00" u="1"/>
        <d v="2021-04-11T00:00:00" u="1"/>
        <d v="2000-05-11T00:00:00" u="1"/>
        <d v="2001-05-11T00:00:00" u="1"/>
        <d v="2002-05-11T00:00:00" u="1"/>
        <d v="2001-01-22T00:00:00" u="1"/>
        <d v="2002-01-22T00:00:00" u="1"/>
        <d v="2003-01-22T00:00:00" u="1"/>
        <d v="2011-05-11T00:00:00" u="1"/>
        <d v="2012-05-11T00:00:00" u="1"/>
        <d v="2013-05-11T00:00:00" u="1"/>
        <d v="2014-05-11T00:00:00" u="1"/>
        <d v="2011-01-22T00:00:00" u="1"/>
        <d v="2012-01-22T00:00:00" u="1"/>
        <d v="2013-01-22T00:00:00" u="1"/>
        <d v="2018-05-11T00:00:00" u="1"/>
        <d v="2014-01-22T00:00:00" u="1"/>
        <d v="2019-05-11T00:00:00" u="1"/>
        <d v="2015-01-22T00:00:00" u="1"/>
        <d v="2020-05-11T00:00:00" u="1"/>
        <d v="2019-01-22T00:00:00" u="1"/>
        <d v="2020-01-22T00:00:00" u="1"/>
        <d v="2021-01-22T00:00:00" u="1"/>
        <d v="2000-06-11T00:00:00" u="1"/>
        <d v="2001-06-11T00:00:00" u="1"/>
        <d v="2002-06-11T00:00:00" u="1"/>
        <d v="2001-02-22T00:00:00" u="1"/>
        <d v="2002-02-22T00:00:00" u="1"/>
        <d v="2003-02-22T00:00:00" u="1"/>
        <d v="2011-06-11T00:00:00" u="1"/>
        <d v="2012-06-11T00:00:00" u="1"/>
        <d v="2013-06-11T00:00:00" u="1"/>
        <d v="2014-06-11T00:00:00" u="1"/>
        <d v="2011-02-22T00:00:00" u="1"/>
        <d v="2012-02-22T00:00:00" u="1"/>
        <d v="2013-02-22T00:00:00" u="1"/>
        <d v="2018-06-11T00:00:00" u="1"/>
        <d v="2014-02-22T00:00:00" u="1"/>
        <d v="2019-06-11T00:00:00" u="1"/>
        <d v="2015-02-22T00:00:00" u="1"/>
        <d v="2020-06-11T00:00:00" u="1"/>
        <d v="2018-02-22T00:00:00" u="1"/>
        <d v="2019-02-22T00:00:00" u="1"/>
        <d v="2020-02-22T00:00:00" u="1"/>
        <d v="2021-02-22T00:00:00" u="1"/>
        <d v="2000-07-11T00:00:00" u="1"/>
        <d v="2001-07-11T00:00:00" u="1"/>
        <d v="2002-07-11T00:00:00" u="1"/>
        <d v="2001-03-22T00:00:00" u="1"/>
        <d v="2002-03-22T00:00:00" u="1"/>
        <d v="2011-07-11T00:00:00" u="1"/>
        <d v="2012-07-11T00:00:00" u="1"/>
        <d v="2013-07-11T00:00:00" u="1"/>
        <d v="2014-07-11T00:00:00" u="1"/>
        <d v="2011-03-22T00:00:00" u="1"/>
        <d v="2012-03-22T00:00:00" u="1"/>
        <d v="2013-03-22T00:00:00" u="1"/>
        <d v="2018-07-11T00:00:00" u="1"/>
        <d v="2014-03-22T00:00:00" u="1"/>
        <d v="2019-07-11T00:00:00" u="1"/>
        <d v="2020-07-11T00:00:00" u="1"/>
        <d v="2018-03-22T00:00:00" u="1"/>
        <d v="2019-03-22T00:00:00" u="1"/>
        <d v="2020-03-22T00:00:00" u="1"/>
        <d v="2021-03-22T00:00:00" u="1"/>
        <d v="2000-08-11T00:00:00" u="1"/>
        <d v="2001-08-11T00:00:00" u="1"/>
        <d v="2002-08-11T00:00:00" u="1"/>
        <d v="2000-04-22T00:00:00" u="1"/>
        <d v="2001-04-22T00:00:00" u="1"/>
        <d v="2002-04-22T00:00:00" u="1"/>
        <d v="2011-08-11T00:00:00" u="1"/>
        <d v="2012-08-11T00:00:00" u="1"/>
        <d v="2013-08-11T00:00:00" u="1"/>
        <d v="2014-08-11T00:00:00" u="1"/>
        <d v="2011-04-22T00:00:00" u="1"/>
        <d v="2012-04-22T00:00:00" u="1"/>
        <d v="2013-04-22T00:00:00" u="1"/>
        <d v="2018-08-11T00:00:00" u="1"/>
        <d v="2014-04-22T00:00:00" u="1"/>
        <d v="2019-08-11T00:00:00" u="1"/>
        <d v="2020-08-11T00:00:00" u="1"/>
        <d v="2018-04-22T00:00:00" u="1"/>
        <d v="2019-04-22T00:00:00" u="1"/>
        <d v="2020-04-22T00:00:00" u="1"/>
        <d v="2021-04-22T00:00:00" u="1"/>
        <d v="2000-09-11T00:00:00" u="1"/>
        <d v="2001-09-11T00:00:00" u="1"/>
        <d v="2002-09-11T00:00:00" u="1"/>
        <d v="2000-05-22T00:00:00" u="1"/>
        <d v="2001-05-22T00:00:00" u="1"/>
        <d v="2002-05-22T00:00:00" u="1"/>
        <d v="2010-09-11T00:00:00" u="1"/>
        <d v="2011-09-11T00:00:00" u="1"/>
        <d v="2012-09-11T00:00:00" u="1"/>
        <d v="2013-09-11T00:00:00" u="1"/>
        <d v="2014-09-11T00:00:00" u="1"/>
        <d v="2011-05-22T00:00:00" u="1"/>
        <d v="2012-05-22T00:00:00" u="1"/>
        <d v="2013-05-22T00:00:00" u="1"/>
        <d v="2018-09-11T00:00:00" u="1"/>
        <d v="2014-05-22T00:00:00" u="1"/>
        <d v="2019-09-11T00:00:00" u="1"/>
        <d v="2020-09-11T00:00:00" u="1"/>
        <d v="2018-05-22T00:00:00" u="1"/>
        <d v="2019-05-22T00:00:00" u="1"/>
        <d v="2020-05-22T00:00:00" u="1"/>
        <d v="2000-10-11T00:00:00" u="1"/>
        <d v="2001-10-11T00:00:00" u="1"/>
        <d v="2002-10-11T00:00:00" u="1"/>
        <d v="2000-06-22T00:00:00" u="1"/>
        <d v="2001-06-22T00:00:00" u="1"/>
        <d v="2002-06-22T00:00:00" u="1"/>
        <d v="2010-10-11T00:00:00" u="1"/>
        <d v="2011-10-11T00:00:00" u="1"/>
        <d v="2012-10-11T00:00:00" u="1"/>
        <d v="2013-10-11T00:00:00" u="1"/>
        <d v="2014-10-11T00:00:00" u="1"/>
        <d v="2011-06-22T00:00:00" u="1"/>
        <d v="2012-06-22T00:00:00" u="1"/>
        <d v="2013-06-22T00:00:00" u="1"/>
        <d v="2018-10-11T00:00:00" u="1"/>
        <d v="2014-06-22T00:00:00" u="1"/>
        <d v="2019-10-11T00:00:00" u="1"/>
        <d v="2020-10-11T00:00:00" u="1"/>
        <d v="2018-06-22T00:00:00" u="1"/>
        <d v="2019-06-22T00:00:00" u="1"/>
        <d v="2020-06-22T00:00:00" u="1"/>
        <d v="2000-11-11T00:00:00" u="1"/>
        <d v="2001-11-11T00:00:00" u="1"/>
        <d v="2002-11-11T00:00:00" u="1"/>
        <d v="2000-07-22T00:00:00" u="1"/>
        <d v="2001-07-22T00:00:00" u="1"/>
        <d v="2002-07-22T00:00:00" u="1"/>
        <d v="2010-11-11T00:00:00" u="1"/>
        <d v="2011-11-11T00:00:00" u="1"/>
        <d v="2012-11-11T00:00:00" u="1"/>
        <d v="2013-11-11T00:00:00" u="1"/>
        <d v="2014-11-11T00:00:00" u="1"/>
        <d v="2011-07-22T00:00:00" u="1"/>
        <d v="2012-07-22T00:00:00" u="1"/>
        <d v="2013-07-22T00:00:00" u="1"/>
        <d v="2018-11-11T00:00:00" u="1"/>
        <d v="2014-07-22T00:00:00" u="1"/>
        <d v="2019-11-11T00:00:00" u="1"/>
        <d v="2020-11-11T00:00:00" u="1"/>
        <d v="2018-07-22T00:00:00" u="1"/>
        <d v="2019-07-22T00:00:00" u="1"/>
        <d v="2020-07-22T00:00:00" u="1"/>
        <d v="2000-12-11T00:00:00" u="1"/>
        <d v="2001-12-11T00:00:00" u="1"/>
        <d v="2002-12-11T00:00:00" u="1"/>
        <d v="2000-08-22T00:00:00" u="1"/>
        <d v="2001-08-22T00:00:00" u="1"/>
        <d v="2002-08-22T00:00:00" u="1"/>
        <d v="2010-12-11T00:00:00" u="1"/>
        <d v="2011-12-11T00:00:00" u="1"/>
        <d v="2012-12-11T00:00:00" u="1"/>
        <d v="2013-12-11T00:00:00" u="1"/>
        <d v="2014-12-11T00:00:00" u="1"/>
        <d v="2011-08-22T00:00:00" u="1"/>
        <d v="2012-08-22T00:00:00" u="1"/>
        <d v="2013-08-22T00:00:00" u="1"/>
        <d v="2018-12-11T00:00:00" u="1"/>
        <d v="2014-08-22T00:00:00" u="1"/>
        <d v="2019-12-11T00:00:00" u="1"/>
        <d v="2020-12-11T00:00:00" u="1"/>
        <d v="2018-08-22T00:00:00" u="1"/>
        <d v="2019-08-22T00:00:00" u="1"/>
        <d v="2020-08-22T00:00:00" u="1"/>
        <d v="2001-01-01T00:00:00" u="1"/>
        <d v="2002-01-01T00:00:00" u="1"/>
        <d v="2003-01-01T00:00:00" u="1"/>
        <d v="2000-09-22T00:00:00" u="1"/>
        <d v="2001-09-22T00:00:00" u="1"/>
        <d v="2011-01-01T00:00:00" u="1"/>
        <d v="2002-09-22T00:00:00" u="1"/>
        <d v="2012-01-01T00:00:00" u="1"/>
        <d v="2013-01-01T00:00:00" u="1"/>
        <d v="2014-01-01T00:00:00" u="1"/>
        <d v="2015-01-01T00:00:00" u="1"/>
        <d v="2019-01-01T00:00:00" u="1"/>
        <d v="2010-09-22T00:00:00" u="1"/>
        <d v="2020-01-01T00:00:00" u="1"/>
        <d v="2011-09-22T00:00:00" u="1"/>
        <d v="2021-01-01T00:00:00" u="1"/>
        <d v="2012-09-22T00:00:00" u="1"/>
        <d v="2013-09-22T00:00:00" u="1"/>
        <d v="2014-09-22T00:00:00" u="1"/>
        <d v="2018-09-22T00:00:00" u="1"/>
        <d v="2019-09-22T00:00:00" u="1"/>
        <d v="2020-09-22T00:00:00" u="1"/>
        <d v="2001-02-01T00:00:00" u="1"/>
        <d v="2002-02-01T00:00:00" u="1"/>
        <d v="2003-02-01T00:00:00" u="1"/>
        <d v="2000-10-22T00:00:00" u="1"/>
        <d v="2001-10-22T00:00:00" u="1"/>
        <d v="2011-02-01T00:00:00" u="1"/>
        <d v="2002-10-22T00:00:00" u="1"/>
        <d v="2012-02-01T00:00:00" u="1"/>
        <d v="2013-02-01T00:00:00" u="1"/>
        <d v="2014-02-01T00:00:00" u="1"/>
        <d v="2015-02-01T00:00:00" u="1"/>
        <d v="2019-02-01T00:00:00" u="1"/>
        <d v="2010-10-22T00:00:00" u="1"/>
        <d v="2020-02-01T00:00:00" u="1"/>
        <d v="2011-10-22T00:00:00" u="1"/>
        <d v="2021-02-01T00:00:00" u="1"/>
        <d v="2012-10-22T00:00:00" u="1"/>
        <d v="2013-10-22T00:00:00" u="1"/>
        <d v="2014-10-22T00:00:00" u="1"/>
        <d v="2018-10-22T00:00:00" u="1"/>
        <d v="2019-10-22T00:00:00" u="1"/>
        <d v="2020-10-22T00:00:00" u="1"/>
        <d v="2001-03-01T00:00:00" u="1"/>
        <d v="2002-03-01T00:00:00" u="1"/>
        <d v="2003-03-01T00:00:00" u="1"/>
        <d v="2000-11-22T00:00:00" u="1"/>
        <d v="2001-11-22T00:00:00" u="1"/>
        <d v="2011-03-01T00:00:00" u="1"/>
        <d v="2002-11-22T00:00:00" u="1"/>
        <d v="2012-03-01T00:00:00" u="1"/>
        <d v="2013-03-01T00:00:00" u="1"/>
        <d v="2014-03-01T00:00:00" u="1"/>
        <d v="2015-03-01T00:00:00" u="1"/>
        <d v="2018-03-01T00:00:00" u="1"/>
        <d v="2019-03-01T00:00:00" u="1"/>
        <d v="2010-11-22T00:00:00" u="1"/>
        <d v="2020-03-01T00:00:00" u="1"/>
        <d v="2011-11-22T00:00:00" u="1"/>
        <d v="2021-03-01T00:00:00" u="1"/>
        <d v="2012-11-22T00:00:00" u="1"/>
        <d v="2013-11-22T00:00:00" u="1"/>
        <d v="2014-11-22T00:00:00" u="1"/>
        <d v="2018-11-22T00:00:00" u="1"/>
        <d v="2019-11-22T00:00:00" u="1"/>
        <d v="2020-11-22T00:00:00" u="1"/>
        <d v="2000-04-01T00:00:00" u="1"/>
        <d v="2001-04-01T00:00:00" u="1"/>
        <d v="2002-04-01T00:00:00" u="1"/>
        <d v="2000-12-22T00:00:00" u="1"/>
        <d v="2001-12-22T00:00:00" u="1"/>
        <d v="2011-04-01T00:00:00" u="1"/>
        <d v="2002-12-22T00:00:00" u="1"/>
        <d v="2012-04-01T00:00:00" u="1"/>
        <d v="2013-04-01T00:00:00" u="1"/>
        <d v="2014-04-01T00:00:00" u="1"/>
        <d v="2018-04-01T00:00:00" u="1"/>
        <d v="2019-04-01T00:00:00" u="1"/>
        <d v="2010-12-22T00:00:00" u="1"/>
        <d v="2020-04-01T00:00:00" u="1"/>
        <d v="2011-12-22T00:00:00" u="1"/>
        <d v="2021-04-01T00:00:00" u="1"/>
        <d v="2012-12-22T00:00:00" u="1"/>
        <d v="2013-12-22T00:00:00" u="1"/>
        <d v="2014-12-22T00:00:00" u="1"/>
        <d v="2018-12-22T00:00:00" u="1"/>
        <d v="2019-12-22T00:00:00" u="1"/>
        <d v="2020-12-22T00:00:00" u="1"/>
        <d v="2000-05-01T00:00:00" u="1"/>
        <d v="2001-05-01T00:00:00" u="1"/>
        <d v="2002-05-01T00:00:00" u="1"/>
        <d v="2001-01-12T00:00:00" u="1"/>
        <d v="2002-01-12T00:00:00" u="1"/>
        <d v="2003-01-12T00:00:00" u="1"/>
        <d v="2011-05-01T00:00:00" u="1"/>
        <d v="2012-05-01T00:00:00" u="1"/>
        <d v="2013-05-01T00:00:00" u="1"/>
        <d v="2014-05-01T00:00:00" u="1"/>
        <d v="2011-01-12T00:00:00" u="1"/>
        <d v="2012-01-12T00:00:00" u="1"/>
        <d v="2013-01-12T00:00:00" u="1"/>
        <d v="2018-05-01T00:00:00" u="1"/>
        <d v="2014-01-12T00:00:00" u="1"/>
        <d v="2019-05-01T00:00:00" u="1"/>
        <d v="2015-01-12T00:00:00" u="1"/>
        <d v="2020-05-01T00:00:00" u="1"/>
        <d v="2021-05-01T00:00:00" u="1"/>
        <d v="2019-01-12T00:00:00" u="1"/>
        <d v="2020-01-12T00:00:00" u="1"/>
        <d v="2021-01-12T00:00:00" u="1"/>
        <d v="2000-06-01T00:00:00" u="1"/>
        <d v="2001-06-01T00:00:00" u="1"/>
        <d v="2002-06-01T00:00:00" u="1"/>
        <d v="2001-02-12T00:00:00" u="1"/>
        <d v="2002-02-12T00:00:00" u="1"/>
        <d v="2003-02-12T00:00:00" u="1"/>
        <d v="2011-06-01T00:00:00" u="1"/>
        <d v="2012-06-01T00:00:00" u="1"/>
        <d v="2013-06-01T00:00:00" u="1"/>
        <d v="2014-06-01T00:00:00" u="1"/>
        <d v="2011-02-12T00:00:00" u="1"/>
        <d v="2012-02-12T00:00:00" u="1"/>
        <d v="2013-02-12T00:00:00" u="1"/>
        <d v="2018-06-01T00:00:00" u="1"/>
        <d v="2014-02-12T00:00:00" u="1"/>
        <d v="2019-06-01T00:00:00" u="1"/>
        <d v="2015-02-12T00:00:00" u="1"/>
        <d v="2020-06-01T00:00:00" u="1"/>
        <d v="2018-02-12T00:00:00" u="1"/>
        <d v="2019-02-12T00:00:00" u="1"/>
        <d v="2020-02-12T00:00:00" u="1"/>
        <d v="2021-02-12T00:00:00" u="1"/>
        <d v="2000-07-01T00:00:00" u="1"/>
        <d v="2001-07-01T00:00:00" u="1"/>
        <d v="2002-07-01T00:00:00" u="1"/>
        <d v="2001-03-12T00:00:00" u="1"/>
        <d v="2002-03-12T00:00:00" u="1"/>
        <d v="2011-07-01T00:00:00" u="1"/>
        <d v="2012-07-01T00:00:00" u="1"/>
        <d v="2013-07-01T00:00:00" u="1"/>
        <d v="2014-07-01T00:00:00" u="1"/>
        <d v="2011-03-12T00:00:00" u="1"/>
        <d v="2012-03-12T00:00:00" u="1"/>
        <d v="2013-03-12T00:00:00" u="1"/>
        <d v="2018-07-01T00:00:00" u="1"/>
        <d v="2014-03-12T00:00:00" u="1"/>
        <d v="2019-07-01T00:00:00" u="1"/>
        <d v="2020-07-01T00:00:00" u="1"/>
        <d v="2018-03-12T00:00:00" u="1"/>
        <d v="2019-03-12T00:00:00" u="1"/>
        <d v="2020-03-12T00:00:00" u="1"/>
        <d v="2021-03-12T00:00:00" u="1"/>
        <d v="2000-08-01T00:00:00" u="1"/>
        <d v="2001-08-01T00:00:00" u="1"/>
        <d v="2002-08-01T00:00:00" u="1"/>
        <d v="2000-04-12T00:00:00" u="1"/>
        <d v="2001-04-12T00:00:00" u="1"/>
        <d v="2002-04-12T00:00:00" u="1"/>
        <d v="2011-08-01T00:00:00" u="1"/>
        <d v="2012-08-01T00:00:00" u="1"/>
        <d v="2013-08-01T00:00:00" u="1"/>
        <d v="2014-08-01T00:00:00" u="1"/>
        <d v="2011-04-12T00:00:00" u="1"/>
        <d v="2012-04-12T00:00:00" u="1"/>
        <d v="2013-04-12T00:00:00" u="1"/>
        <d v="2018-08-01T00:00:00" u="1"/>
        <d v="2014-04-12T00:00:00" u="1"/>
        <d v="2019-08-01T00:00:00" u="1"/>
        <d v="2020-08-01T00:00:00" u="1"/>
        <d v="2018-04-12T00:00:00" u="1"/>
        <d v="2019-04-12T00:00:00" u="1"/>
        <d v="2020-04-12T00:00:00" u="1"/>
        <d v="2021-04-12T00:00:00" u="1"/>
        <d v="2000-09-01T00:00:00" u="1"/>
        <d v="2001-09-01T00:00:00" u="1"/>
        <d v="2002-09-01T00:00:00" u="1"/>
        <d v="2000-05-12T00:00:00" u="1"/>
        <d v="2001-05-12T00:00:00" u="1"/>
        <d v="2002-05-12T00:00:00" u="1"/>
        <d v="2010-09-01T00:00:00" u="1"/>
        <d v="2001-01-23T00:00:00" u="1"/>
        <d v="2011-09-01T00:00:00" u="1"/>
        <d v="2002-01-23T00:00:00" u="1"/>
        <d v="2012-09-01T00:00:00" u="1"/>
        <d v="2003-01-23T00:00:00" u="1"/>
        <d v="2013-09-01T00:00:00" u="1"/>
        <d v="2014-09-01T00:00:00" u="1"/>
        <d v="2011-05-12T00:00:00" u="1"/>
        <d v="2012-05-12T00:00:00" u="1"/>
        <d v="2013-05-12T00:00:00" u="1"/>
        <d v="2018-09-01T00:00:00" u="1"/>
        <d v="2014-05-12T00:00:00" u="1"/>
        <d v="2019-09-01T00:00:00" u="1"/>
        <d v="2020-09-01T00:00:00" u="1"/>
        <d v="2011-01-23T00:00:00" u="1"/>
        <d v="2012-01-23T00:00:00" u="1"/>
        <d v="2013-01-23T00:00:00" u="1"/>
        <d v="2018-05-12T00:00:00" u="1"/>
        <d v="2014-01-23T00:00:00" u="1"/>
        <d v="2019-05-12T00:00:00" u="1"/>
        <d v="2015-01-23T00:00:00" u="1"/>
        <d v="2020-05-12T00:00:00" u="1"/>
        <d v="2019-01-23T00:00:00" u="1"/>
        <d v="2020-01-23T00:00:00" u="1"/>
        <d v="2021-01-23T00:00:00" u="1"/>
        <d v="2000-10-01T00:00:00" u="1"/>
        <d v="2001-10-01T00:00:00" u="1"/>
        <d v="2002-10-01T00:00:00" u="1"/>
        <d v="2000-06-12T00:00:00" u="1"/>
        <d v="2001-06-12T00:00:00" u="1"/>
        <d v="2002-06-12T00:00:00" u="1"/>
        <d v="2010-10-01T00:00:00" u="1"/>
        <d v="2001-02-23T00:00:00" u="1"/>
        <d v="2011-10-01T00:00:00" u="1"/>
        <d v="2002-02-23T00:00:00" u="1"/>
        <d v="2012-10-01T00:00:00" u="1"/>
        <d v="2003-02-23T00:00:00" u="1"/>
        <d v="2013-10-01T00:00:00" u="1"/>
        <d v="2014-10-01T00:00:00" u="1"/>
        <d v="2011-06-12T00:00:00" u="1"/>
        <d v="2012-06-12T00:00:00" u="1"/>
        <d v="2013-06-12T00:00:00" u="1"/>
        <d v="2018-10-01T00:00:00" u="1"/>
        <d v="2014-06-12T00:00:00" u="1"/>
        <d v="2019-10-01T00:00:00" u="1"/>
        <d v="2020-10-01T00:00:00" u="1"/>
        <d v="2011-02-23T00:00:00" u="1"/>
        <d v="2012-02-23T00:00:00" u="1"/>
        <d v="2013-02-23T00:00:00" u="1"/>
        <d v="2018-06-12T00:00:00" u="1"/>
        <d v="2014-02-23T00:00:00" u="1"/>
        <d v="2019-06-12T00:00:00" u="1"/>
        <d v="2015-02-23T00:00:00" u="1"/>
        <d v="2020-06-12T00:00:00" u="1"/>
        <d v="2018-02-23T00:00:00" u="1"/>
        <d v="2019-02-23T00:00:00" u="1"/>
        <d v="2020-02-23T00:00:00" u="1"/>
        <d v="2021-02-23T00:00:00" u="1"/>
        <d v="2000-11-01T00:00:00" u="1"/>
        <d v="2001-11-01T00:00:00" u="1"/>
        <d v="2002-11-01T00:00:00" u="1"/>
        <d v="2000-07-12T00:00:00" u="1"/>
        <d v="2001-07-12T00:00:00" u="1"/>
        <d v="2002-07-12T00:00:00" u="1"/>
        <d v="2010-11-01T00:00:00" u="1"/>
        <d v="2001-03-23T00:00:00" u="1"/>
        <d v="2011-11-01T00:00:00" u="1"/>
        <d v="2002-03-23T00:00:00" u="1"/>
        <d v="2012-11-01T00:00:00" u="1"/>
        <d v="2013-11-01T00:00:00" u="1"/>
        <d v="2014-11-01T00:00:00" u="1"/>
        <d v="2011-07-12T00:00:00" u="1"/>
        <d v="2012-07-12T00:00:00" u="1"/>
        <d v="2013-07-12T00:00:00" u="1"/>
        <d v="2018-11-01T00:00:00" u="1"/>
        <d v="2014-07-12T00:00:00" u="1"/>
        <d v="2019-11-01T00:00:00" u="1"/>
        <d v="2020-11-01T00:00:00" u="1"/>
        <d v="2011-03-23T00:00:00" u="1"/>
        <d v="2012-03-23T00:00:00" u="1"/>
        <d v="2013-03-23T00:00:00" u="1"/>
        <d v="2018-07-12T00:00:00" u="1"/>
        <d v="2014-03-23T00:00:00" u="1"/>
        <d v="2019-07-12T00:00:00" u="1"/>
        <d v="2020-07-12T00:00:00" u="1"/>
        <d v="2018-03-23T00:00:00" u="1"/>
        <d v="2019-03-23T00:00:00" u="1"/>
        <d v="2020-03-23T00:00:00" u="1"/>
        <d v="2021-03-23T00:00:00" u="1"/>
        <d v="2000-12-01T00:00:00" u="1"/>
        <d v="2001-12-01T00:00:00" u="1"/>
        <d v="2002-12-01T00:00:00" u="1"/>
        <d v="2000-08-12T00:00:00" u="1"/>
        <d v="2001-08-12T00:00:00" u="1"/>
        <d v="2002-08-12T00:00:00" u="1"/>
        <d v="2000-04-23T00:00:00" u="1"/>
        <d v="2010-12-01T00:00:00" u="1"/>
        <d v="2001-04-23T00:00:00" u="1"/>
        <d v="2011-12-01T00:00:00" u="1"/>
        <d v="2002-04-23T00:00:00" u="1"/>
        <d v="2012-12-01T00:00:00" u="1"/>
        <d v="2013-12-01T00:00:00" u="1"/>
        <d v="2014-12-01T00:00:00" u="1"/>
        <d v="2011-08-12T00:00:00" u="1"/>
        <d v="2012-08-12T00:00:00" u="1"/>
        <d v="2013-08-12T00:00:00" u="1"/>
        <d v="2018-12-01T00:00:00" u="1"/>
        <d v="2014-08-12T00:00:00" u="1"/>
        <d v="2019-12-01T00:00:00" u="1"/>
        <d v="2020-12-01T00:00:00" u="1"/>
        <d v="2011-04-23T00:00:00" u="1"/>
        <d v="2012-04-23T00:00:00" u="1"/>
        <d v="2013-04-23T00:00:00" u="1"/>
        <d v="2018-08-12T00:00:00" u="1"/>
        <d v="2014-04-23T00:00:00" u="1"/>
        <d v="2019-08-12T00:00:00" u="1"/>
        <d v="2020-08-12T00:00:00" u="1"/>
        <d v="2018-04-23T00:00:00" u="1"/>
        <d v="2019-04-23T00:00:00" u="1"/>
        <d v="2020-04-23T00:00:00" u="1"/>
        <d v="2021-04-23T00:00:00" u="1"/>
        <d v="2000-09-12T00:00:00" u="1"/>
        <d v="2001-09-12T00:00:00" u="1"/>
        <d v="2002-09-12T00:00:00" u="1"/>
        <d v="2000-05-23T00:00:00" u="1"/>
        <d v="2001-05-23T00:00:00" u="1"/>
        <d v="2002-05-23T00:00:00" u="1"/>
        <d v="2010-09-12T00:00:00" u="1"/>
        <d v="2011-09-12T00:00:00" u="1"/>
        <d v="2012-09-12T00:00:00" u="1"/>
        <d v="2013-09-12T00:00:00" u="1"/>
        <d v="2014-09-12T00:00:00" u="1"/>
        <d v="2011-05-23T00:00:00" u="1"/>
        <d v="2012-05-23T00:00:00" u="1"/>
        <d v="2013-05-23T00:00:00" u="1"/>
        <d v="2018-09-12T00:00:00" u="1"/>
        <d v="2014-05-23T00:00:00" u="1"/>
        <d v="2019-09-12T00:00:00" u="1"/>
        <d v="2020-09-12T00:00:00" u="1"/>
        <d v="2018-05-23T00:00:00" u="1"/>
        <d v="2019-05-23T00:00:00" u="1"/>
        <d v="2020-05-23T00:00:00" u="1"/>
        <d v="2000-10-12T00:00:00" u="1"/>
        <d v="2001-10-12T00:00:00" u="1"/>
        <d v="2002-10-12T00:00:00" u="1"/>
        <d v="2000-06-23T00:00:00" u="1"/>
        <d v="2001-06-23T00:00:00" u="1"/>
        <d v="2002-06-23T00:00:00" u="1"/>
        <d v="2010-10-12T00:00:00" u="1"/>
        <d v="2011-10-12T00:00:00" u="1"/>
        <d v="2012-10-12T00:00:00" u="1"/>
        <d v="2013-10-12T00:00:00" u="1"/>
        <d v="2014-10-12T00:00:00" u="1"/>
        <d v="2011-06-23T00:00:00" u="1"/>
        <d v="2012-06-23T00:00:00" u="1"/>
        <d v="2013-06-23T00:00:00" u="1"/>
        <d v="2018-10-12T00:00:00" u="1"/>
        <d v="2014-06-23T00:00:00" u="1"/>
        <d v="2019-10-12T00:00:00" u="1"/>
        <d v="2020-10-12T00:00:00" u="1"/>
        <d v="2018-06-23T00:00:00" u="1"/>
        <d v="2019-06-23T00:00:00" u="1"/>
        <d v="2020-06-23T00:00:00" u="1"/>
        <d v="2000-11-12T00:00:00" u="1"/>
        <d v="2001-11-12T00:00:00" u="1"/>
        <d v="2002-11-12T00:00:00" u="1"/>
        <d v="2000-07-23T00:00:00" u="1"/>
        <d v="2001-07-23T00:00:00" u="1"/>
        <d v="2002-07-23T00:00:00" u="1"/>
        <d v="2010-11-12T00:00:00" u="1"/>
        <d v="2011-11-12T00:00:00" u="1"/>
        <d v="2012-11-12T00:00:00" u="1"/>
        <d v="2013-11-12T00:00:00" u="1"/>
        <d v="2014-11-12T00:00:00" u="1"/>
        <d v="2011-07-23T00:00:00" u="1"/>
        <d v="2012-07-23T00:00:00" u="1"/>
        <d v="2013-07-23T00:00:00" u="1"/>
        <d v="2018-11-12T00:00:00" u="1"/>
        <d v="2014-07-23T00:00:00" u="1"/>
        <d v="2019-11-12T00:00:00" u="1"/>
        <d v="2020-11-12T00:00:00" u="1"/>
        <d v="2018-07-23T00:00:00" u="1"/>
        <d v="2019-07-23T00:00:00" u="1"/>
        <d v="2020-07-23T00:00:00" u="1"/>
        <d v="2000-12-12T00:00:00" u="1"/>
        <d v="2001-12-12T00:00:00" u="1"/>
        <d v="2002-12-12T00:00:00" u="1"/>
        <d v="2000-08-23T00:00:00" u="1"/>
        <d v="2001-08-23T00:00:00" u="1"/>
        <d v="2002-08-23T00:00:00" u="1"/>
        <d v="2010-12-12T00:00:00" u="1"/>
        <d v="2011-12-12T00:00:00" u="1"/>
        <d v="2012-12-12T00:00:00" u="1"/>
        <d v="2013-12-12T00:00:00" u="1"/>
        <d v="2014-12-12T00:00:00" u="1"/>
        <d v="2011-08-23T00:00:00" u="1"/>
        <d v="2012-08-23T00:00:00" u="1"/>
        <d v="2013-08-23T00:00:00" u="1"/>
        <d v="2018-12-12T00:00:00" u="1"/>
        <d v="2014-08-23T00:00:00" u="1"/>
        <d v="2019-12-12T00:00:00" u="1"/>
        <d v="2020-12-12T00:00:00" u="1"/>
        <d v="2018-08-23T00:00:00" u="1"/>
        <d v="2019-08-23T00:00:00" u="1"/>
        <d v="2020-08-23T00:00:00" u="1"/>
        <d v="2001-01-02T00:00:00" u="1"/>
        <d v="2002-01-02T00:00:00" u="1"/>
        <d v="2003-01-02T00:00:00" u="1"/>
        <d v="2000-09-23T00:00:00" u="1"/>
        <d v="2001-09-23T00:00:00" u="1"/>
        <d v="2011-01-02T00:00:00" u="1"/>
        <d v="2002-09-23T00:00:00" u="1"/>
        <d v="2012-01-02T00:00:00" u="1"/>
        <d v="2013-01-02T00:00:00" u="1"/>
        <d v="2014-01-02T00:00:00" u="1"/>
        <d v="2015-01-02T00:00:00" u="1"/>
        <d v="2019-01-02T00:00:00" u="1"/>
        <d v="2010-09-23T00:00:00" u="1"/>
        <d v="2020-01-02T00:00:00" u="1"/>
        <d v="2011-09-23T00:00:00" u="1"/>
        <d v="2021-01-02T00:00:00" u="1"/>
        <d v="2012-09-23T00:00:00" u="1"/>
        <d v="2013-09-23T00:00:00" u="1"/>
        <d v="2014-09-23T00:00:00" u="1"/>
        <d v="2018-09-23T00:00:00" u="1"/>
        <d v="2019-09-23T00:00:00" u="1"/>
        <d v="2020-09-23T00:00:00" u="1"/>
        <d v="2001-02-02T00:00:00" u="1"/>
        <d v="2002-02-02T00:00:00" u="1"/>
        <d v="2003-02-02T00:00:00" u="1"/>
        <d v="2000-10-23T00:00:00" u="1"/>
        <d v="2001-10-23T00:00:00" u="1"/>
        <d v="2011-02-02T00:00:00" u="1"/>
        <d v="2002-10-23T00:00:00" u="1"/>
        <d v="2012-02-02T00:00:00" u="1"/>
        <d v="2013-02-02T00:00:00" u="1"/>
        <d v="2014-02-02T00:00:00" u="1"/>
        <d v="2015-02-02T00:00:00" u="1"/>
        <d v="2019-02-02T00:00:00" u="1"/>
        <d v="2010-10-23T00:00:00" u="1"/>
        <d v="2020-02-02T00:00:00" u="1"/>
        <d v="2011-10-23T00:00:00" u="1"/>
        <d v="2021-02-02T00:00:00" u="1"/>
        <d v="2012-10-23T00:00:00" u="1"/>
        <d v="2013-10-23T00:00:00" u="1"/>
        <d v="2014-10-23T00:00:00" u="1"/>
        <d v="2018-10-23T00:00:00" u="1"/>
        <d v="2019-10-23T00:00:00" u="1"/>
        <d v="2020-10-23T00:00:00" u="1"/>
        <d v="2001-03-02T00:00:00" u="1"/>
        <d v="2002-03-02T00:00:00" u="1"/>
        <d v="2003-03-02T00:00:00" u="1"/>
        <d v="2000-11-23T00:00:00" u="1"/>
        <d v="2001-11-23T00:00:00" u="1"/>
        <d v="2011-03-02T00:00:00" u="1"/>
        <d v="2002-11-23T00:00:00" u="1"/>
        <d v="2012-03-02T00:00:00" u="1"/>
        <d v="2013-03-02T00:00:00" u="1"/>
        <d v="2014-03-02T00:00:00" u="1"/>
        <d v="2015-03-02T00:00:00" u="1"/>
        <d v="2018-03-02T00:00:00" u="1"/>
        <d v="2019-03-02T00:00:00" u="1"/>
        <d v="2010-11-23T00:00:00" u="1"/>
        <d v="2020-03-02T00:00:00" u="1"/>
        <d v="2011-11-23T00:00:00" u="1"/>
        <d v="2021-03-02T00:00:00" u="1"/>
        <d v="2012-11-23T00:00:00" u="1"/>
        <d v="2013-11-23T00:00:00" u="1"/>
        <d v="2014-11-23T00:00:00" u="1"/>
        <d v="2018-11-23T00:00:00" u="1"/>
        <d v="2019-11-23T00:00:00" u="1"/>
        <d v="2020-11-23T00:00:00" u="1"/>
        <d v="2000-04-02T00:00:00" u="1"/>
        <d v="2001-04-02T00:00:00" u="1"/>
        <d v="2002-04-02T00:00:00" u="1"/>
        <d v="2000-12-23T00:00:00" u="1"/>
        <d v="2001-12-23T00:00:00" u="1"/>
        <d v="2011-04-02T00:00:00" u="1"/>
        <d v="2002-12-23T00:00:00" u="1"/>
        <d v="2012-04-02T00:00:00" u="1"/>
        <d v="2013-04-02T00:00:00" u="1"/>
        <d v="2014-04-02T00:00:00" u="1"/>
        <d v="2018-04-02T00:00:00" u="1"/>
        <d v="2019-04-02T00:00:00" u="1"/>
        <d v="2010-12-23T00:00:00" u="1"/>
        <d v="2020-04-02T00:00:00" u="1"/>
        <d v="2011-12-23T00:00:00" u="1"/>
        <d v="2021-04-02T00:00:00" u="1"/>
        <d v="2012-12-23T00:00:00" u="1"/>
        <d v="2013-12-23T00:00:00" u="1"/>
        <d v="2014-12-23T00:00:00" u="1"/>
        <d v="2018-12-23T00:00:00" u="1"/>
        <d v="2019-12-23T00:00:00" u="1"/>
        <d v="2020-12-23T00:00:00" u="1"/>
        <d v="2000-05-02T00:00:00" u="1"/>
        <d v="2001-05-02T00:00:00" u="1"/>
        <d v="2002-05-02T00:00:00" u="1"/>
        <d v="2001-01-13T00:00:00" u="1"/>
        <d v="2002-01-13T00:00:00" u="1"/>
        <d v="2003-01-13T00:00:00" u="1"/>
        <d v="2011-05-02T00:00:00" u="1"/>
        <d v="2012-05-02T00:00:00" u="1"/>
        <d v="2013-05-02T00:00:00" u="1"/>
        <d v="2014-05-02T00:00:00" u="1"/>
        <d v="2011-01-13T00:00:00" u="1"/>
        <d v="2012-01-13T00:00:00" u="1"/>
        <d v="2013-01-13T00:00:00" u="1"/>
        <d v="2018-05-02T00:00:00" u="1"/>
        <d v="2014-01-13T00:00:00" u="1"/>
        <d v="2019-05-02T00:00:00" u="1"/>
        <d v="2015-01-13T00:00:00" u="1"/>
        <d v="2020-05-02T00:00:00" u="1"/>
        <d v="2021-05-02T00:00:00" u="1"/>
        <d v="2019-01-13T00:00:00" u="1"/>
        <d v="2020-01-13T00:00:00" u="1"/>
        <d v="2021-01-13T00:00:00" u="1"/>
        <d v="2000-06-02T00:00:00" u="1"/>
        <d v="2001-06-02T00:00:00" u="1"/>
        <d v="2002-06-02T00:00:00" u="1"/>
        <d v="2001-02-13T00:00:00" u="1"/>
        <d v="2002-02-13T00:00:00" u="1"/>
        <d v="2003-02-13T00:00:00" u="1"/>
        <d v="2011-06-02T00:00:00" u="1"/>
        <d v="2012-06-02T00:00:00" u="1"/>
        <d v="2013-06-02T00:00:00" u="1"/>
        <d v="2014-06-02T00:00:00" u="1"/>
        <d v="2011-02-13T00:00:00" u="1"/>
        <d v="2012-02-13T00:00:00" u="1"/>
        <d v="2013-02-13T00:00:00" u="1"/>
        <d v="2018-06-02T00:00:00" u="1"/>
        <d v="2014-02-13T00:00:00" u="1"/>
        <d v="2019-06-02T00:00:00" u="1"/>
        <d v="2015-02-13T00:00:00" u="1"/>
        <d v="2020-06-02T00:00:00" u="1"/>
        <d v="2018-02-13T00:00:00" u="1"/>
        <d v="2019-02-13T00:00:00" u="1"/>
        <d v="2020-02-13T00:00:00" u="1"/>
        <d v="2021-02-13T00:00:00" u="1"/>
        <d v="2000-07-02T00:00:00" u="1"/>
        <d v="2001-07-02T00:00:00" u="1"/>
        <d v="2002-07-02T00:00:00" u="1"/>
        <d v="2001-03-13T00:00:00" u="1"/>
        <d v="2002-03-13T00:00:00" u="1"/>
        <d v="2011-07-02T00:00:00" u="1"/>
        <d v="2012-07-02T00:00:00" u="1"/>
        <d v="2013-07-02T00:00:00" u="1"/>
        <d v="2014-07-02T00:00:00" u="1"/>
        <d v="2011-03-13T00:00:00" u="1"/>
        <d v="2012-03-13T00:00:00" u="1"/>
        <d v="2013-03-13T00:00:00" u="1"/>
        <d v="2018-07-02T00:00:00" u="1"/>
        <d v="2014-03-13T00:00:00" u="1"/>
        <d v="2019-07-02T00:00:00" u="1"/>
        <d v="2020-07-02T00:00:00" u="1"/>
        <d v="2018-03-13T00:00:00" u="1"/>
        <d v="2019-03-13T00:00:00" u="1"/>
        <d v="2020-03-13T00:00:00" u="1"/>
        <d v="2021-03-13T00:00:00" u="1"/>
        <d v="2000-08-02T00:00:00" u="1"/>
        <d v="2001-08-02T00:00:00" u="1"/>
        <d v="2002-08-02T00:00:00" u="1"/>
        <d v="2000-04-13T00:00:00" u="1"/>
        <d v="2001-04-13T00:00:00" u="1"/>
        <d v="2002-04-13T00:00:00" u="1"/>
        <d v="2011-08-02T00:00:00" u="1"/>
        <d v="2012-08-02T00:00:00" u="1"/>
        <d v="2013-08-02T00:00:00" u="1"/>
        <d v="2014-08-02T00:00:00" u="1"/>
        <d v="2011-04-13T00:00:00" u="1"/>
        <d v="2012-04-13T00:00:00" u="1"/>
        <d v="2013-04-13T00:00:00" u="1"/>
        <d v="2018-08-02T00:00:00" u="1"/>
        <d v="2014-04-13T00:00:00" u="1"/>
        <d v="2019-08-02T00:00:00" u="1"/>
        <d v="2020-08-02T00:00:00" u="1"/>
        <d v="2018-04-13T00:00:00" u="1"/>
        <d v="2019-04-13T00:00:00" u="1"/>
        <d v="2020-04-13T00:00:00" u="1"/>
        <d v="2021-04-13T00:00:00" u="1"/>
        <d v="2000-09-02T00:00:00" u="1"/>
        <d v="2001-09-02T00:00:00" u="1"/>
        <d v="2002-09-02T00:00:00" u="1"/>
        <d v="2000-05-13T00:00:00" u="1"/>
        <d v="2001-05-13T00:00:00" u="1"/>
        <d v="2002-05-13T00:00:00" u="1"/>
        <d v="2010-09-02T00:00:00" u="1"/>
        <d v="2001-01-24T00:00:00" u="1"/>
        <d v="2011-09-02T00:00:00" u="1"/>
        <d v="2002-01-24T00:00:00" u="1"/>
        <d v="2012-09-02T00:00:00" u="1"/>
        <d v="2003-01-24T00:00:00" u="1"/>
        <d v="2013-09-02T00:00:00" u="1"/>
        <d v="2014-09-02T00:00:00" u="1"/>
        <d v="2011-05-13T00:00:00" u="1"/>
        <d v="2012-05-13T00:00:00" u="1"/>
        <d v="2013-05-13T00:00:00" u="1"/>
        <d v="2018-09-02T00:00:00" u="1"/>
        <d v="2014-05-13T00:00:00" u="1"/>
        <d v="2019-09-02T00:00:00" u="1"/>
        <d v="2020-09-02T00:00:00" u="1"/>
        <d v="2011-01-24T00:00:00" u="1"/>
        <d v="2012-01-24T00:00:00" u="1"/>
        <d v="2013-01-24T00:00:00" u="1"/>
        <d v="2018-05-13T00:00:00" u="1"/>
        <d v="2014-01-24T00:00:00" u="1"/>
        <d v="2019-05-13T00:00:00" u="1"/>
        <d v="2015-01-24T00:00:00" u="1"/>
        <d v="2020-05-13T00:00:00" u="1"/>
        <d v="2019-01-24T00:00:00" u="1"/>
        <d v="2020-01-24T00:00:00" u="1"/>
        <d v="2021-01-24T00:00:00" u="1"/>
        <d v="2000-10-02T00:00:00" u="1"/>
        <d v="2001-10-02T00:00:00" u="1"/>
        <d v="2002-10-02T00:00:00" u="1"/>
        <d v="2000-06-13T00:00:00" u="1"/>
        <d v="2001-06-13T00:00:00" u="1"/>
        <d v="2002-06-13T00:00:00" u="1"/>
        <d v="2010-10-02T00:00:00" u="1"/>
        <d v="2001-02-24T00:00:00" u="1"/>
        <d v="2011-10-02T00:00:00" u="1"/>
        <d v="2002-02-24T00:00:00" u="1"/>
        <d v="2012-10-02T00:00:00" u="1"/>
        <d v="2003-02-24T00:00:00" u="1"/>
        <d v="2013-10-02T00:00:00" u="1"/>
        <d v="2014-10-02T00:00:00" u="1"/>
        <d v="2011-06-13T00:00:00" u="1"/>
        <d v="2012-06-13T00:00:00" u="1"/>
        <d v="2013-06-13T00:00:00" u="1"/>
        <d v="2018-10-02T00:00:00" u="1"/>
        <d v="2014-06-13T00:00:00" u="1"/>
        <d v="2019-10-02T00:00:00" u="1"/>
        <d v="2020-10-02T00:00:00" u="1"/>
        <d v="2011-02-24T00:00:00" u="1"/>
        <d v="2012-02-24T00:00:00" u="1"/>
        <d v="2013-02-24T00:00:00" u="1"/>
        <d v="2018-06-13T00:00:00" u="1"/>
        <d v="2014-02-24T00:00:00" u="1"/>
        <d v="2019-06-13T00:00:00" u="1"/>
        <d v="2015-02-24T00:00:00" u="1"/>
        <d v="2020-06-13T00:00:00" u="1"/>
        <d v="2018-02-24T00:00:00" u="1"/>
        <d v="2019-02-24T00:00:00" u="1"/>
        <d v="2020-02-24T00:00:00" u="1"/>
        <d v="2021-02-24T00:00:00" u="1"/>
        <d v="2000-11-02T00:00:00" u="1"/>
        <d v="2001-11-02T00:00:00" u="1"/>
        <d v="2002-11-02T00:00:00" u="1"/>
        <d v="2000-07-13T00:00:00" u="1"/>
        <d v="2001-07-13T00:00:00" u="1"/>
        <d v="2002-07-13T00:00:00" u="1"/>
        <d v="2000-03-24T00:00:00" u="1"/>
        <d v="2010-11-02T00:00:00" u="1"/>
        <d v="2001-03-24T00:00:00" u="1"/>
        <d v="2011-11-02T00:00:00" u="1"/>
        <d v="2002-03-24T00:00:00" u="1"/>
        <d v="2012-11-02T00:00:00" u="1"/>
        <d v="2013-11-02T00:00:00" u="1"/>
        <d v="2014-11-02T00:00:00" u="1"/>
        <d v="2011-07-13T00:00:00" u="1"/>
        <d v="2012-07-13T00:00:00" u="1"/>
        <d v="2013-07-13T00:00:00" u="1"/>
        <d v="2018-11-02T00:00:00" u="1"/>
        <d v="2014-07-13T00:00:00" u="1"/>
        <d v="2019-11-02T00:00:00" u="1"/>
        <d v="2020-11-02T00:00:00" u="1"/>
        <d v="2011-03-24T00:00:00" u="1"/>
        <d v="2012-03-24T00:00:00" u="1"/>
        <d v="2013-03-24T00:00:00" u="1"/>
        <d v="2018-07-13T00:00:00" u="1"/>
        <d v="2014-03-24T00:00:00" u="1"/>
        <d v="2019-07-13T00:00:00" u="1"/>
        <d v="2020-07-13T00:00:00" u="1"/>
        <d v="2018-03-24T00:00:00" u="1"/>
        <d v="2019-03-24T00:00:00" u="1"/>
        <d v="2020-03-24T00:00:00" u="1"/>
        <d v="2021-03-24T00:00:00" u="1"/>
        <d v="2000-12-02T00:00:00" u="1"/>
        <d v="2001-12-02T00:00:00" u="1"/>
        <d v="2002-12-02T00:00:00" u="1"/>
        <d v="2000-08-13T00:00:00" u="1"/>
        <d v="2001-08-13T00:00:00" u="1"/>
        <d v="2002-08-13T00:00:00" u="1"/>
        <d v="2000-04-24T00:00:00" u="1"/>
        <d v="2010-12-02T00:00:00" u="1"/>
        <d v="2001-04-24T00:00:00" u="1"/>
        <d v="2011-12-02T00:00:00" u="1"/>
        <d v="2002-04-24T00:00:00" u="1"/>
        <d v="2012-12-02T00:00:00" u="1"/>
        <d v="2013-12-02T00:00:00" u="1"/>
        <d v="2014-12-02T00:00:00" u="1"/>
        <d v="2011-08-13T00:00:00" u="1"/>
        <d v="2012-08-13T00:00:00" u="1"/>
        <d v="2013-08-13T00:00:00" u="1"/>
        <d v="2018-12-02T00:00:00" u="1"/>
        <d v="2014-08-13T00:00:00" u="1"/>
        <d v="2019-12-02T00:00:00" u="1"/>
        <d v="2020-12-02T00:00:00" u="1"/>
        <d v="2011-04-24T00:00:00" u="1"/>
        <d v="2012-04-24T00:00:00" u="1"/>
        <d v="2013-04-24T00:00:00" u="1"/>
        <d v="2018-08-13T00:00:00" u="1"/>
        <d v="2014-04-24T00:00:00" u="1"/>
        <d v="2019-08-13T00:00:00" u="1"/>
        <d v="2020-08-13T00:00:00" u="1"/>
        <d v="2018-04-24T00:00:00" u="1"/>
        <d v="2019-04-24T00:00:00" u="1"/>
        <d v="2020-04-24T00:00:00" u="1"/>
        <d v="2021-04-24T00:00:00" u="1"/>
        <d v="2000-09-13T00:00:00" u="1"/>
        <d v="2001-09-13T00:00:00" u="1"/>
        <d v="2002-09-13T00:00:00" u="1"/>
        <d v="2000-05-24T00:00:00" u="1"/>
        <d v="2001-05-24T00:00:00" u="1"/>
        <d v="2002-05-24T00:00:00" u="1"/>
        <d v="2010-09-13T00:00:00" u="1"/>
        <d v="2011-09-13T00:00:00" u="1"/>
        <d v="2012-09-13T00:00:00" u="1"/>
        <d v="2013-09-13T00:00:00" u="1"/>
        <d v="2014-09-13T00:00:00" u="1"/>
        <d v="2011-05-24T00:00:00" u="1"/>
        <d v="2012-05-24T00:00:00" u="1"/>
        <d v="2013-05-24T00:00:00" u="1"/>
        <d v="2018-09-13T00:00:00" u="1"/>
        <d v="2014-05-24T00:00:00" u="1"/>
        <d v="2019-09-13T00:00:00" u="1"/>
        <d v="2020-09-13T00:00:00" u="1"/>
        <d v="2018-05-24T00:00:00" u="1"/>
        <d v="2019-05-24T00:00:00" u="1"/>
        <d v="2020-05-24T00:00:00" u="1"/>
        <d v="2000-10-13T00:00:00" u="1"/>
        <d v="2001-10-13T00:00:00" u="1"/>
        <d v="2002-10-13T00:00:00" u="1"/>
        <d v="2000-06-24T00:00:00" u="1"/>
        <d v="2001-06-24T00:00:00" u="1"/>
        <d v="2002-06-24T00:00:00" u="1"/>
        <d v="2010-10-13T00:00:00" u="1"/>
        <d v="2011-10-13T00:00:00" u="1"/>
        <d v="2012-10-13T00:00:00" u="1"/>
        <d v="2013-10-13T00:00:00" u="1"/>
        <d v="2014-10-13T00:00:00" u="1"/>
        <d v="2011-06-24T00:00:00" u="1"/>
        <d v="2012-06-24T00:00:00" u="1"/>
        <d v="2013-06-24T00:00:00" u="1"/>
        <d v="2018-10-13T00:00:00" u="1"/>
        <d v="2014-06-24T00:00:00" u="1"/>
        <d v="2019-10-13T00:00:00" u="1"/>
        <d v="2020-10-13T00:00:00" u="1"/>
        <d v="2018-06-24T00:00:00" u="1"/>
        <d v="2019-06-24T00:00:00" u="1"/>
        <d v="2020-06-24T00:00:00" u="1"/>
        <d v="2000-11-13T00:00:00" u="1"/>
        <d v="2001-11-13T00:00:00" u="1"/>
        <d v="2002-11-13T00:00:00" u="1"/>
        <d v="2000-07-24T00:00:00" u="1"/>
        <d v="2001-07-24T00:00:00" u="1"/>
        <d v="2002-07-24T00:00:00" u="1"/>
        <d v="2010-11-13T00:00:00" u="1"/>
        <d v="2011-11-13T00:00:00" u="1"/>
        <d v="2012-11-13T00:00:00" u="1"/>
        <d v="2013-11-13T00:00:00" u="1"/>
        <d v="2014-11-13T00:00:00" u="1"/>
        <d v="2011-07-24T00:00:00" u="1"/>
        <d v="2012-07-24T00:00:00" u="1"/>
        <d v="2013-07-24T00:00:00" u="1"/>
        <d v="2018-11-13T00:00:00" u="1"/>
        <d v="2014-07-24T00:00:00" u="1"/>
        <d v="2019-11-13T00:00:00" u="1"/>
        <d v="2020-11-13T00:00:00" u="1"/>
        <d v="2018-07-24T00:00:00" u="1"/>
        <d v="2019-07-24T00:00:00" u="1"/>
        <d v="2020-07-24T00:00:00" u="1"/>
        <d v="2000-12-13T00:00:00" u="1"/>
        <d v="2001-12-13T00:00:00" u="1"/>
        <d v="2002-12-13T00:00:00" u="1"/>
        <d v="2000-08-24T00:00:00" u="1"/>
        <d v="2001-08-24T00:00:00" u="1"/>
        <d v="2002-08-24T00:00:00" u="1"/>
        <d v="2010-12-13T00:00:00" u="1"/>
        <d v="2011-12-13T00:00:00" u="1"/>
        <d v="2012-12-13T00:00:00" u="1"/>
        <d v="2013-12-13T00:00:00" u="1"/>
        <d v="2014-12-13T00:00:00" u="1"/>
        <d v="2011-08-24T00:00:00" u="1"/>
        <d v="2012-08-24T00:00:00" u="1"/>
        <d v="2013-08-24T00:00:00" u="1"/>
        <d v="2018-12-13T00:00:00" u="1"/>
        <d v="2014-08-24T00:00:00" u="1"/>
        <d v="2019-12-13T00:00:00" u="1"/>
        <d v="2020-12-13T00:00:00" u="1"/>
        <d v="2018-08-24T00:00:00" u="1"/>
        <d v="2019-08-24T00:00:00" u="1"/>
        <d v="2020-08-24T00:00:00" u="1"/>
        <d v="2001-01-03T00:00:00" u="1"/>
        <d v="2002-01-03T00:00:00" u="1"/>
        <d v="2003-01-03T00:00:00" u="1"/>
        <d v="2000-09-24T00:00:00" u="1"/>
        <d v="2001-09-24T00:00:00" u="1"/>
        <d v="2011-01-03T00:00:00" u="1"/>
        <d v="2002-09-24T00:00:00" u="1"/>
        <d v="2012-01-03T00:00:00" u="1"/>
        <d v="2013-01-03T00:00:00" u="1"/>
        <d v="2014-01-03T00:00:00" u="1"/>
        <d v="2015-01-03T00:00:00" u="1"/>
        <d v="2019-01-03T00:00:00" u="1"/>
        <d v="2010-09-24T00:00:00" u="1"/>
        <d v="2020-01-03T00:00:00" u="1"/>
        <d v="2011-09-24T00:00:00" u="1"/>
        <d v="2021-01-03T00:00:00" u="1"/>
        <d v="2012-09-24T00:00:00" u="1"/>
        <d v="2013-09-24T00:00:00" u="1"/>
        <d v="2014-09-24T00:00:00" u="1"/>
        <d v="2018-09-24T00:00:00" u="1"/>
        <d v="2019-09-24T00:00:00" u="1"/>
        <d v="2020-09-24T00:00:00" u="1"/>
        <d v="2001-02-03T00:00:00" u="1"/>
        <d v="2002-02-03T00:00:00" u="1"/>
        <d v="2003-02-03T00:00:00" u="1"/>
        <d v="2000-10-24T00:00:00" u="1"/>
        <d v="2001-10-24T00:00:00" u="1"/>
        <d v="2011-02-03T00:00:00" u="1"/>
        <d v="2002-10-24T00:00:00" u="1"/>
        <d v="2012-02-03T00:00:00" u="1"/>
        <d v="2013-02-03T00:00:00" u="1"/>
        <d v="2014-02-03T00:00:00" u="1"/>
        <d v="2015-02-03T00:00:00" u="1"/>
        <d v="2019-02-03T00:00:00" u="1"/>
        <d v="2010-10-24T00:00:00" u="1"/>
        <d v="2020-02-03T00:00:00" u="1"/>
        <d v="2011-10-24T00:00:00" u="1"/>
        <d v="2021-02-03T00:00:00" u="1"/>
        <d v="2012-10-24T00:00:00" u="1"/>
        <d v="2013-10-24T00:00:00" u="1"/>
        <d v="2014-10-24T00:00:00" u="1"/>
        <d v="2018-10-24T00:00:00" u="1"/>
        <d v="2019-10-24T00:00:00" u="1"/>
        <d v="2020-10-24T00:00:00" u="1"/>
        <d v="2001-03-03T00:00:00" u="1"/>
        <d v="2002-03-03T00:00:00" u="1"/>
        <d v="2003-03-03T00:00:00" u="1"/>
        <d v="2000-11-24T00:00:00" u="1"/>
        <d v="2001-11-24T00:00:00" u="1"/>
        <d v="2011-03-03T00:00:00" u="1"/>
        <d v="2002-11-24T00:00:00" u="1"/>
        <d v="2012-03-03T00:00:00" u="1"/>
        <d v="2013-03-03T00:00:00" u="1"/>
        <d v="2014-03-03T00:00:00" u="1"/>
        <d v="2015-03-03T00:00:00" u="1"/>
        <d v="2018-03-03T00:00:00" u="1"/>
        <d v="2019-03-03T00:00:00" u="1"/>
        <d v="2010-11-24T00:00:00" u="1"/>
        <d v="2020-03-03T00:00:00" u="1"/>
        <d v="2011-11-24T00:00:00" u="1"/>
        <d v="2021-03-03T00:00:00" u="1"/>
        <d v="2012-11-24T00:00:00" u="1"/>
        <d v="2013-11-24T00:00:00" u="1"/>
        <d v="2014-11-24T00:00:00" u="1"/>
        <d v="2018-11-24T00:00:00" u="1"/>
        <d v="2019-11-24T00:00:00" u="1"/>
        <d v="2020-11-24T00:00:00" u="1"/>
        <d v="2000-04-03T00:00:00" u="1"/>
        <d v="2001-04-03T00:00:00" u="1"/>
        <d v="2002-04-03T00:00:00" u="1"/>
        <d v="2000-12-24T00:00:00" u="1"/>
        <d v="2001-12-24T00:00:00" u="1"/>
        <d v="2011-04-03T00:00:00" u="1"/>
        <d v="2002-12-24T00:00:00" u="1"/>
        <d v="2012-04-03T00:00:00" u="1"/>
        <d v="2013-04-03T00:00:00" u="1"/>
        <d v="2014-04-03T00:00:00" u="1"/>
        <d v="2018-04-03T00:00:00" u="1"/>
        <d v="2019-04-03T00:00:00" u="1"/>
        <d v="2010-12-24T00:00:00" u="1"/>
        <d v="2020-04-03T00:00:00" u="1"/>
        <d v="2011-12-24T00:00:00" u="1"/>
        <d v="2021-04-03T00:00:00" u="1"/>
        <d v="2012-12-24T00:00:00" u="1"/>
        <d v="2013-12-24T00:00:00" u="1"/>
        <d v="2014-12-24T00:00:00" u="1"/>
        <d v="2018-12-24T00:00:00" u="1"/>
        <d v="2019-12-24T00:00:00" u="1"/>
        <d v="2020-12-24T00:00:00" u="1"/>
        <d v="2000-05-03T00:00:00" u="1"/>
        <d v="2001-05-03T00:00:00" u="1"/>
        <d v="2002-05-03T00:00:00" u="1"/>
        <d v="2001-01-14T00:00:00" u="1"/>
        <d v="2002-01-14T00:00:00" u="1"/>
        <d v="2003-01-14T00:00:00" u="1"/>
        <d v="2011-05-03T00:00:00" u="1"/>
        <d v="2012-05-03T00:00:00" u="1"/>
        <d v="2013-05-03T00:00:00" u="1"/>
        <d v="2014-05-03T00:00:00" u="1"/>
        <d v="2011-01-14T00:00:00" u="1"/>
        <d v="2012-01-14T00:00:00" u="1"/>
        <d v="2013-01-14T00:00:00" u="1"/>
        <d v="2018-05-03T00:00:00" u="1"/>
        <d v="2014-01-14T00:00:00" u="1"/>
        <d v="2019-05-03T00:00:00" u="1"/>
        <d v="2015-01-14T00:00:00" u="1"/>
        <d v="2020-05-03T00:00:00" u="1"/>
        <d v="2021-05-03T00:00:00" u="1"/>
        <d v="2019-01-14T00:00:00" u="1"/>
        <d v="2020-01-14T00:00:00" u="1"/>
        <d v="2021-01-14T00:00:00" u="1"/>
        <d v="2000-06-03T00:00:00" u="1"/>
        <d v="2001-06-03T00:00:00" u="1"/>
        <d v="2002-06-03T00:00:00" u="1"/>
        <d v="2001-02-14T00:00:00" u="1"/>
        <d v="2002-02-14T00:00:00" u="1"/>
        <d v="2003-02-14T00:00:00" u="1"/>
        <d v="2011-06-03T00:00:00" u="1"/>
        <d v="2012-06-03T00:00:00" u="1"/>
        <d v="2013-06-03T00:00:00" u="1"/>
        <d v="2014-06-03T00:00:00" u="1"/>
        <d v="2011-02-14T00:00:00" u="1"/>
        <d v="2012-02-14T00:00:00" u="1"/>
        <d v="2013-02-14T00:00:00" u="1"/>
        <d v="2018-06-03T00:00:00" u="1"/>
        <d v="2014-02-14T00:00:00" u="1"/>
        <d v="2019-06-03T00:00:00" u="1"/>
        <d v="2015-02-14T00:00:00" u="1"/>
        <d v="2020-06-03T00:00:00" u="1"/>
        <d v="2018-02-14T00:00:00" u="1"/>
        <d v="2019-02-14T00:00:00" u="1"/>
        <d v="2020-02-14T00:00:00" u="1"/>
        <d v="2021-02-14T00:00:00" u="1"/>
        <d v="2000-07-03T00:00:00" u="1"/>
        <d v="2001-07-03T00:00:00" u="1"/>
        <d v="2002-07-03T00:00:00" u="1"/>
        <d v="2001-03-14T00:00:00" u="1"/>
        <d v="2002-03-14T00:00:00" u="1"/>
        <d v="2011-07-03T00:00:00" u="1"/>
        <d v="2012-07-03T00:00:00" u="1"/>
        <d v="2013-07-03T00:00:00" u="1"/>
        <d v="2014-07-03T00:00:00" u="1"/>
        <d v="2011-03-14T00:00:00" u="1"/>
        <d v="2012-03-14T00:00:00" u="1"/>
        <d v="2013-03-14T00:00:00" u="1"/>
        <d v="2018-07-03T00:00:00" u="1"/>
        <d v="2014-03-14T00:00:00" u="1"/>
        <d v="2019-07-03T00:00:00" u="1"/>
        <d v="2020-07-03T00:00:00" u="1"/>
        <d v="2018-03-14T00:00:00" u="1"/>
        <d v="2019-03-14T00:00:00" u="1"/>
        <d v="2020-03-14T00:00:00" u="1"/>
        <d v="2021-03-14T00:00:00" u="1"/>
        <d v="2000-08-03T00:00:00" u="1"/>
        <d v="2001-08-03T00:00:00" u="1"/>
        <d v="2002-08-03T00:00:00" u="1"/>
        <d v="2000-04-14T00:00:00" u="1"/>
        <d v="2001-04-14T00:00:00" u="1"/>
        <d v="2002-04-14T00:00:00" u="1"/>
        <d v="2011-08-03T00:00:00" u="1"/>
        <d v="2012-08-03T00:00:00" u="1"/>
        <d v="2013-08-03T00:00:00" u="1"/>
        <d v="2014-08-03T00:00:00" u="1"/>
        <d v="2011-04-14T00:00:00" u="1"/>
        <d v="2012-04-14T00:00:00" u="1"/>
        <d v="2013-04-14T00:00:00" u="1"/>
        <d v="2018-08-03T00:00:00" u="1"/>
        <d v="2014-04-14T00:00:00" u="1"/>
        <d v="2019-08-03T00:00:00" u="1"/>
        <d v="2020-08-03T00:00:00" u="1"/>
        <d v="2018-04-14T00:00:00" u="1"/>
        <d v="2019-04-14T00:00:00" u="1"/>
        <d v="2020-04-14T00:00:00" u="1"/>
        <d v="2021-04-14T00:00:00" u="1"/>
        <d v="2000-09-03T00:00:00" u="1"/>
        <d v="2001-09-03T00:00:00" u="1"/>
        <d v="2002-09-03T00:00:00" u="1"/>
        <d v="2000-05-14T00:00:00" u="1"/>
        <d v="2001-05-14T00:00:00" u="1"/>
        <d v="2002-05-14T00:00:00" u="1"/>
        <d v="2010-09-03T00:00:00" u="1"/>
        <d v="2001-01-25T00:00:00" u="1"/>
        <d v="2011-09-03T00:00:00" u="1"/>
        <d v="2002-01-25T00:00:00" u="1"/>
        <d v="2012-09-03T00:00:00" u="1"/>
        <d v="2003-01-25T00:00:00" u="1"/>
        <d v="2013-09-03T00:00:00" u="1"/>
        <d v="2014-09-03T00:00:00" u="1"/>
        <d v="2011-05-14T00:00:00" u="1"/>
        <d v="2012-05-14T00:00:00" u="1"/>
        <d v="2013-05-14T00:00:00" u="1"/>
        <d v="2018-09-03T00:00:00" u="1"/>
        <d v="2014-05-14T00:00:00" u="1"/>
        <d v="2019-09-03T00:00:00" u="1"/>
        <d v="2020-09-03T00:00:00" u="1"/>
        <d v="2011-01-25T00:00:00" u="1"/>
        <d v="2012-01-25T00:00:00" u="1"/>
        <d v="2013-01-25T00:00:00" u="1"/>
        <d v="2018-05-14T00:00:00" u="1"/>
        <d v="2014-01-25T00:00:00" u="1"/>
        <d v="2019-05-14T00:00:00" u="1"/>
        <d v="2015-01-25T00:00:00" u="1"/>
        <d v="2020-05-14T00:00:00" u="1"/>
        <d v="2019-01-25T00:00:00" u="1"/>
        <d v="2020-01-25T00:00:00" u="1"/>
        <d v="2021-01-25T00:00:00" u="1"/>
        <d v="2000-10-03T00:00:00" u="1"/>
        <d v="2001-10-03T00:00:00" u="1"/>
        <d v="2002-10-03T00:00:00" u="1"/>
        <d v="2000-06-14T00:00:00" u="1"/>
        <d v="2001-06-14T00:00:00" u="1"/>
        <d v="2002-06-14T00:00:00" u="1"/>
        <d v="2010-10-03T00:00:00" u="1"/>
        <d v="2001-02-25T00:00:00" u="1"/>
        <d v="2011-10-03T00:00:00" u="1"/>
        <d v="2002-02-25T00:00:00" u="1"/>
        <d v="2012-10-03T00:00:00" u="1"/>
        <d v="2003-02-25T00:00:00" u="1"/>
        <d v="2013-10-03T00:00:00" u="1"/>
        <d v="2014-10-03T00:00:00" u="1"/>
        <d v="2011-06-14T00:00:00" u="1"/>
        <d v="2012-06-14T00:00:00" u="1"/>
        <d v="2013-06-14T00:00:00" u="1"/>
        <d v="2018-10-03T00:00:00" u="1"/>
        <d v="2014-06-14T00:00:00" u="1"/>
        <d v="2019-10-03T00:00:00" u="1"/>
        <d v="2020-10-03T00:00:00" u="1"/>
        <d v="2011-02-25T00:00:00" u="1"/>
        <d v="2012-02-25T00:00:00" u="1"/>
        <d v="2013-02-25T00:00:00" u="1"/>
        <d v="2018-06-14T00:00:00" u="1"/>
        <d v="2014-02-25T00:00:00" u="1"/>
        <d v="2019-06-14T00:00:00" u="1"/>
        <d v="2015-02-25T00:00:00" u="1"/>
        <d v="2020-06-14T00:00:00" u="1"/>
        <d v="2018-02-25T00:00:00" u="1"/>
        <d v="2019-02-25T00:00:00" u="1"/>
        <d v="2020-02-25T00:00:00" u="1"/>
        <d v="2021-02-25T00:00:00" u="1"/>
        <d v="2000-11-03T00:00:00" u="1"/>
        <d v="2001-11-03T00:00:00" u="1"/>
        <d v="2002-11-03T00:00:00" u="1"/>
        <d v="2000-07-14T00:00:00" u="1"/>
        <d v="2001-07-14T00:00:00" u="1"/>
        <d v="2002-07-14T00:00:00" u="1"/>
        <d v="2000-03-25T00:00:00" u="1"/>
        <d v="2010-11-03T00:00:00" u="1"/>
        <d v="2001-03-25T00:00:00" u="1"/>
        <d v="2011-11-03T00:00:00" u="1"/>
        <d v="2002-03-25T00:00:00" u="1"/>
        <d v="2012-11-03T00:00:00" u="1"/>
        <d v="2013-11-03T00:00:00" u="1"/>
        <d v="2014-11-03T00:00:00" u="1"/>
        <d v="2011-07-14T00:00:00" u="1"/>
        <d v="2012-07-14T00:00:00" u="1"/>
        <d v="2013-07-14T00:00:00" u="1"/>
        <d v="2018-11-03T00:00:00" u="1"/>
        <d v="2014-07-14T00:00:00" u="1"/>
        <d v="2019-11-03T00:00:00" u="1"/>
        <d v="2020-11-03T00:00:00" u="1"/>
        <d v="2011-03-25T00:00:00" u="1"/>
        <d v="2012-03-25T00:00:00" u="1"/>
        <d v="2013-03-25T00:00:00" u="1"/>
        <d v="2018-07-14T00:00:00" u="1"/>
        <d v="2014-03-25T00:00:00" u="1"/>
        <d v="2019-07-14T00:00:00" u="1"/>
        <d v="2020-07-14T00:00:00" u="1"/>
        <d v="2018-03-25T00:00:00" u="1"/>
        <d v="2019-03-25T00:00:00" u="1"/>
        <d v="2020-03-25T00:00:00" u="1"/>
        <d v="2021-03-25T00:00:00" u="1"/>
        <d v="2000-12-03T00:00:00" u="1"/>
        <d v="2001-12-03T00:00:00" u="1"/>
        <d v="2002-12-03T00:00:00" u="1"/>
        <d v="2000-08-14T00:00:00" u="1"/>
        <d v="2001-08-14T00:00:00" u="1"/>
        <d v="2002-08-14T00:00:00" u="1"/>
        <d v="2000-04-25T00:00:00" u="1"/>
        <d v="2010-12-03T00:00:00" u="1"/>
        <d v="2001-04-25T00:00:00" u="1"/>
        <d v="2011-12-03T00:00:00" u="1"/>
        <d v="2002-04-25T00:00:00" u="1"/>
        <d v="2012-12-03T00:00:00" u="1"/>
        <d v="2013-12-03T00:00:00" u="1"/>
        <d v="2014-12-03T00:00:00" u="1"/>
        <d v="2011-08-14T00:00:00" u="1"/>
        <d v="2012-08-14T00:00:00" u="1"/>
        <d v="2013-08-14T00:00:00" u="1"/>
        <d v="2018-12-03T00:00:00" u="1"/>
        <d v="2014-08-14T00:00:00" u="1"/>
        <d v="2019-12-03T00:00:00" u="1"/>
        <d v="2020-12-03T00:00:00" u="1"/>
        <d v="2011-04-25T00:00:00" u="1"/>
        <d v="2012-04-25T00:00:00" u="1"/>
        <d v="2013-04-25T00:00:00" u="1"/>
        <d v="2018-08-14T00:00:00" u="1"/>
        <d v="2014-04-25T00:00:00" u="1"/>
        <d v="2019-08-14T00:00:00" u="1"/>
        <d v="2020-08-14T00:00:00" u="1"/>
        <d v="2018-04-25T00:00:00" u="1"/>
        <d v="2019-04-25T00:00:00" u="1"/>
        <d v="2020-04-25T00:00:00" u="1"/>
        <d v="2021-04-25T00:00:00" u="1"/>
        <d v="2000-09-14T00:00:00" u="1"/>
        <d v="2001-09-14T00:00:00" u="1"/>
        <d v="2002-09-14T00:00:00" u="1"/>
        <d v="2000-05-25T00:00:00" u="1"/>
        <d v="2001-05-25T00:00:00" u="1"/>
        <d v="2002-05-25T00:00:00" u="1"/>
        <d v="2010-09-14T00:00:00" u="1"/>
        <d v="2011-09-14T00:00:00" u="1"/>
        <d v="2012-09-14T00:00:00" u="1"/>
        <d v="2013-09-14T00:00:00" u="1"/>
        <d v="2014-09-14T00:00:00" u="1"/>
        <d v="2011-05-25T00:00:00" u="1"/>
        <d v="2012-05-25T00:00:00" u="1"/>
        <d v="2013-05-25T00:00:00" u="1"/>
        <d v="2018-09-14T00:00:00" u="1"/>
        <d v="2014-05-25T00:00:00" u="1"/>
        <d v="2019-09-14T00:00:00" u="1"/>
        <d v="2020-09-14T00:00:00" u="1"/>
        <d v="2018-05-25T00:00:00" u="1"/>
        <d v="2019-05-25T00:00:00" u="1"/>
        <d v="2020-05-25T00:00:00" u="1"/>
        <d v="2000-10-14T00:00:00" u="1"/>
        <d v="2001-10-14T00:00:00" u="1"/>
        <d v="2002-10-14T00:00:00" u="1"/>
        <d v="2000-06-25T00:00:00" u="1"/>
        <d v="2001-06-25T00:00:00" u="1"/>
        <d v="2002-06-25T00:00:00" u="1"/>
        <d v="2010-10-14T00:00:00" u="1"/>
        <d v="2011-10-14T00:00:00" u="1"/>
        <d v="2012-10-14T00:00:00" u="1"/>
        <d v="2013-10-14T00:00:00" u="1"/>
        <d v="2014-10-14T00:00:00" u="1"/>
        <d v="2011-06-25T00:00:00" u="1"/>
        <d v="2012-06-25T00:00:00" u="1"/>
        <d v="2013-06-25T00:00:00" u="1"/>
        <d v="2018-10-14T00:00:00" u="1"/>
        <d v="2014-06-25T00:00:00" u="1"/>
        <d v="2019-10-14T00:00:00" u="1"/>
        <d v="2020-10-14T00:00:00" u="1"/>
        <d v="2018-06-25T00:00:00" u="1"/>
        <d v="2019-06-25T00:00:00" u="1"/>
        <d v="2020-06-25T00:00:00" u="1"/>
        <d v="2000-11-14T00:00:00" u="1"/>
        <d v="2001-11-14T00:00:00" u="1"/>
        <d v="2002-11-14T00:00:00" u="1"/>
        <d v="2000-07-25T00:00:00" u="1"/>
        <d v="2001-07-25T00:00:00" u="1"/>
        <d v="2002-07-25T00:00:00" u="1"/>
        <d v="2010-11-14T00:00:00" u="1"/>
        <d v="2011-11-14T00:00:00" u="1"/>
        <d v="2012-11-14T00:00:00" u="1"/>
        <d v="2013-11-14T00:00:00" u="1"/>
        <d v="2014-11-14T00:00:00" u="1"/>
        <d v="2011-07-25T00:00:00" u="1"/>
        <d v="2012-07-25T00:00:00" u="1"/>
        <d v="2013-07-25T00:00:00" u="1"/>
        <d v="2018-11-14T00:00:00" u="1"/>
        <d v="2014-07-25T00:00:00" u="1"/>
        <d v="2019-11-14T00:00:00" u="1"/>
        <d v="2020-11-14T00:00:00" u="1"/>
        <d v="2018-07-25T00:00:00" u="1"/>
        <d v="2019-07-25T00:00:00" u="1"/>
        <d v="2020-07-25T00:00:00" u="1"/>
        <d v="2000-12-14T00:00:00" u="1"/>
        <d v="2001-12-14T00:00:00" u="1"/>
        <d v="2002-12-14T00:00:00" u="1"/>
        <d v="2000-08-25T00:00:00" u="1"/>
        <d v="2001-08-25T00:00:00" u="1"/>
        <d v="2002-08-25T00:00:00" u="1"/>
        <d v="2010-12-14T00:00:00" u="1"/>
        <d v="2011-12-14T00:00:00" u="1"/>
        <d v="2012-12-14T00:00:00" u="1"/>
        <d v="2013-12-14T00:00:00" u="1"/>
        <d v="2014-12-14T00:00:00" u="1"/>
        <d v="2010-08-25T00:00:00" u="1"/>
        <d v="2011-08-25T00:00:00" u="1"/>
        <d v="2012-08-25T00:00:00" u="1"/>
        <d v="2013-08-25T00:00:00" u="1"/>
        <d v="2018-12-14T00:00:00" u="1"/>
        <d v="2014-08-25T00:00:00" u="1"/>
        <d v="2019-12-14T00:00:00" u="1"/>
        <d v="2020-12-14T00:00:00" u="1"/>
        <d v="2018-08-25T00:00:00" u="1"/>
        <d v="2019-08-25T00:00:00" u="1"/>
        <d v="2020-08-25T00:00:00" u="1"/>
        <d v="2001-01-04T00:00:00" u="1"/>
        <d v="2002-01-04T00:00:00" u="1"/>
        <d v="2003-01-04T00:00:00" u="1"/>
        <d v="2000-09-25T00:00:00" u="1"/>
        <d v="2001-09-25T00:00:00" u="1"/>
        <d v="2011-01-04T00:00:00" u="1"/>
        <d v="2002-09-25T00:00:00" u="1"/>
        <d v="2012-01-04T00:00:00" u="1"/>
        <d v="2013-01-04T00:00:00" u="1"/>
        <d v="2014-01-04T00:00:00" u="1"/>
        <d v="2015-01-04T00:00:00" u="1"/>
        <d v="2019-01-04T00:00:00" u="1"/>
        <d v="2010-09-25T00:00:00" u="1"/>
        <d v="2020-01-04T00:00:00" u="1"/>
        <d v="2011-09-25T00:00:00" u="1"/>
        <d v="2021-01-04T00:00:00" u="1"/>
        <d v="2012-09-25T00:00:00" u="1"/>
        <d v="2013-09-25T00:00:00" u="1"/>
        <d v="2014-09-25T00:00:00" u="1"/>
        <d v="2018-09-25T00:00:00" u="1"/>
        <d v="2019-09-25T00:00:00" u="1"/>
        <d v="2020-09-25T00:00:00" u="1"/>
        <d v="2001-02-04T00:00:00" u="1"/>
        <d v="2002-02-04T00:00:00" u="1"/>
        <d v="2003-02-04T00:00:00" u="1"/>
        <d v="2000-10-25T00:00:00" u="1"/>
        <d v="2001-10-25T00:00:00" u="1"/>
        <d v="2011-02-04T00:00:00" u="1"/>
        <d v="2002-10-25T00:00:00" u="1"/>
        <d v="2012-02-04T00:00:00" u="1"/>
        <d v="2013-02-04T00:00:00" u="1"/>
        <d v="2014-02-04T00:00:00" u="1"/>
        <d v="2015-02-04T00:00:00" u="1"/>
        <d v="2018-02-04T00:00:00" u="1"/>
        <d v="2019-02-04T00:00:00" u="1"/>
        <d v="2010-10-25T00:00:00" u="1"/>
        <d v="2020-02-04T00:00:00" u="1"/>
        <d v="2011-10-25T00:00:00" u="1"/>
        <d v="2021-02-04T00:00:00" u="1"/>
        <d v="2012-10-25T00:00:00" u="1"/>
        <d v="2013-10-25T00:00:00" u="1"/>
        <d v="2014-10-25T00:00:00" u="1"/>
        <d v="2018-10-25T00:00:00" u="1"/>
        <d v="2019-10-25T00:00:00" u="1"/>
        <d v="2020-10-25T00:00:00" u="1"/>
        <d v="2001-03-04T00:00:00" u="1"/>
        <d v="2002-03-04T00:00:00" u="1"/>
        <d v="2003-03-04T00:00:00" u="1"/>
        <d v="2000-11-25T00:00:00" u="1"/>
        <d v="2001-11-25T00:00:00" u="1"/>
        <d v="2011-03-04T00:00:00" u="1"/>
        <d v="2002-11-25T00:00:00" u="1"/>
        <d v="2012-03-04T00:00:00" u="1"/>
        <d v="2013-03-04T00:00:00" u="1"/>
        <d v="2014-03-04T00:00:00" u="1"/>
        <d v="2015-03-04T00:00:00" u="1"/>
        <d v="2018-03-04T00:00:00" u="1"/>
        <d v="2019-03-04T00:00:00" u="1"/>
        <d v="2010-11-25T00:00:00" u="1"/>
        <d v="2020-03-04T00:00:00" u="1"/>
        <d v="2011-11-25T00:00:00" u="1"/>
        <d v="2021-03-04T00:00:00" u="1"/>
        <d v="2012-11-25T00:00:00" u="1"/>
        <d v="2013-11-25T00:00:00" u="1"/>
        <d v="2014-11-25T00:00:00" u="1"/>
        <d v="2018-11-25T00:00:00" u="1"/>
        <d v="2019-11-25T00:00:00" u="1"/>
        <d v="2020-11-25T00:00:00" u="1"/>
        <d v="2000-04-04T00:00:00" u="1"/>
        <d v="2001-04-04T00:00:00" u="1"/>
        <d v="2002-04-04T00:00:00" u="1"/>
        <d v="2000-12-25T00:00:00" u="1"/>
        <d v="2001-12-25T00:00:00" u="1"/>
        <d v="2011-04-04T00:00:00" u="1"/>
        <d v="2002-12-25T00:00:00" u="1"/>
        <d v="2012-04-04T00:00:00" u="1"/>
        <d v="2013-04-04T00:00:00" u="1"/>
        <d v="2014-04-04T00:00:00" u="1"/>
        <d v="2018-04-04T00:00:00" u="1"/>
        <d v="2019-04-04T00:00:00" u="1"/>
        <d v="2010-12-25T00:00:00" u="1"/>
        <d v="2020-04-04T00:00:00" u="1"/>
        <d v="2011-12-25T00:00:00" u="1"/>
        <d v="2021-04-04T00:00:00" u="1"/>
        <d v="2012-12-25T00:00:00" u="1"/>
        <d v="2013-12-25T00:00:00" u="1"/>
        <d v="2014-12-25T00:00:00" u="1"/>
        <d v="2018-12-25T00:00:00" u="1"/>
        <d v="2019-12-25T00:00:00" u="1"/>
        <d v="2020-12-25T00:00:00" u="1"/>
        <d v="2000-05-04T00:00:00" u="1"/>
        <d v="2001-05-04T00:00:00" u="1"/>
        <d v="2002-05-04T00:00:00" u="1"/>
        <d v="2001-01-15T00:00:00" u="1"/>
        <d v="2002-01-15T00:00:00" u="1"/>
        <d v="2003-01-15T00:00:00" u="1"/>
        <d v="2011-05-04T00:00:00" u="1"/>
        <d v="2012-05-04T00:00:00" u="1"/>
        <d v="2013-05-04T00:00:00" u="1"/>
        <d v="2014-05-04T00:00:00" u="1"/>
        <d v="2011-01-15T00:00:00" u="1"/>
        <d v="2012-01-15T00:00:00" u="1"/>
        <d v="2013-01-15T00:00:00" u="1"/>
        <d v="2018-05-04T00:00:00" u="1"/>
        <d v="2014-01-15T00:00:00" u="1"/>
        <d v="2019-05-04T00:00:00" u="1"/>
        <d v="2015-01-15T00:00:00" u="1"/>
        <d v="2020-05-04T00:00:00" u="1"/>
        <d v="2019-01-15T00:00:00" u="1"/>
        <d v="2020-01-15T00:00:00" u="1"/>
        <d v="2021-01-15T00:00:00" u="1"/>
        <d v="2000-06-04T00:00:00" u="1"/>
        <d v="2001-06-04T00:00:00" u="1"/>
        <d v="2002-06-04T00:00:00" u="1"/>
        <d v="2001-02-15T00:00:00" u="1"/>
        <d v="2002-02-15T00:00:00" u="1"/>
        <d v="2003-02-15T00:00:00" u="1"/>
        <d v="2011-06-04T00:00:00" u="1"/>
        <d v="2012-06-04T00:00:00" u="1"/>
        <d v="2013-06-04T00:00:00" u="1"/>
        <d v="2014-06-04T00:00:00" u="1"/>
        <d v="2011-02-15T00:00:00" u="1"/>
        <d v="2012-02-15T00:00:00" u="1"/>
        <d v="2013-02-15T00:00:00" u="1"/>
        <d v="2018-06-04T00:00:00" u="1"/>
        <d v="2014-02-15T00:00:00" u="1"/>
        <d v="2019-06-04T00:00:00" u="1"/>
        <d v="2015-02-15T00:00:00" u="1"/>
        <d v="2020-06-04T00:00:00" u="1"/>
        <d v="2018-02-15T00:00:00" u="1"/>
        <d v="2019-02-15T00:00:00" u="1"/>
        <d v="2020-02-15T00:00:00" u="1"/>
        <d v="2021-02-15T00:00:00" u="1"/>
        <d v="2000-07-04T00:00:00" u="1"/>
        <d v="2001-07-04T00:00:00" u="1"/>
        <d v="2002-07-04T00:00:00" u="1"/>
        <d v="2001-03-15T00:00:00" u="1"/>
        <d v="2002-03-15T00:00:00" u="1"/>
        <d v="2011-07-04T00:00:00" u="1"/>
        <d v="2012-07-04T00:00:00" u="1"/>
        <d v="2013-07-04T00:00:00" u="1"/>
        <d v="2014-07-04T00:00:00" u="1"/>
        <d v="2011-03-15T00:00:00" u="1"/>
        <d v="2012-03-15T00:00:00" u="1"/>
        <d v="2013-03-15T00:00:00" u="1"/>
        <d v="2018-07-04T00:00:00" u="1"/>
        <d v="2014-03-15T00:00:00" u="1"/>
        <d v="2019-07-04T00:00:00" u="1"/>
        <d v="2020-07-04T00:00:00" u="1"/>
        <d v="2018-03-15T00:00:00" u="1"/>
        <d v="2019-03-15T00:00:00" u="1"/>
        <d v="2020-03-15T00:00:00" u="1"/>
        <d v="2021-03-15T00:00:00" u="1"/>
        <d v="2000-08-04T00:00:00" u="1"/>
        <d v="2001-08-04T00:00:00" u="1"/>
        <d v="2002-08-04T00:00:00" u="1"/>
        <d v="2000-04-15T00:00:00" u="1"/>
        <d v="2001-04-15T00:00:00" u="1"/>
        <d v="2002-04-15T00:00:00" u="1"/>
        <d v="2011-08-04T00:00:00" u="1"/>
        <d v="2012-08-04T00:00:00" u="1"/>
        <d v="2013-08-04T00:00:00" u="1"/>
        <d v="2014-08-04T00:00:00" u="1"/>
        <d v="2011-04-15T00:00:00" u="1"/>
        <d v="2012-04-15T00:00:00" u="1"/>
        <d v="2013-04-15T00:00:00" u="1"/>
        <d v="2018-08-04T00:00:00" u="1"/>
        <d v="2014-04-15T00:00:00" u="1"/>
        <d v="2019-08-04T00:00:00" u="1"/>
        <d v="2020-08-04T00:00:00" u="1"/>
        <d v="2018-04-15T00:00:00" u="1"/>
        <d v="2019-04-15T00:00:00" u="1"/>
        <d v="2020-04-15T00:00:00" u="1"/>
        <d v="2021-04-15T00:00:00" u="1"/>
        <d v="2000-09-04T00:00:00" u="1"/>
        <d v="2001-09-04T00:00:00" u="1"/>
        <d v="2002-09-04T00:00:00" u="1"/>
        <d v="2000-05-15T00:00:00" u="1"/>
        <d v="2001-05-15T00:00:00" u="1"/>
        <d v="2002-05-15T00:00:00" u="1"/>
        <d v="2010-09-04T00:00:00" u="1"/>
        <d v="2001-01-26T00:00:00" u="1"/>
        <d v="2011-09-04T00:00:00" u="1"/>
        <d v="2002-01-26T00:00:00" u="1"/>
        <d v="2012-09-04T00:00:00" u="1"/>
        <d v="2003-01-26T00:00:00" u="1"/>
        <d v="2013-09-04T00:00:00" u="1"/>
        <d v="2014-09-04T00:00:00" u="1"/>
        <d v="2011-05-15T00:00:00" u="1"/>
        <d v="2012-05-15T00:00:00" u="1"/>
        <d v="2013-05-15T00:00:00" u="1"/>
        <d v="2018-09-04T00:00:00" u="1"/>
        <d v="2014-05-15T00:00:00" u="1"/>
        <d v="2019-09-04T00:00:00" u="1"/>
        <d v="2020-09-04T00:00:00" u="1"/>
        <d v="2011-01-26T00:00:00" u="1"/>
        <d v="2012-01-26T00:00:00" u="1"/>
        <d v="2013-01-26T00:00:00" u="1"/>
        <d v="2018-05-15T00:00:00" u="1"/>
        <d v="2014-01-26T00:00:00" u="1"/>
        <d v="2019-05-15T00:00:00" u="1"/>
        <d v="2015-01-26T00:00:00" u="1"/>
        <d v="2020-05-15T00:00:00" u="1"/>
        <d v="2019-01-26T00:00:00" u="1"/>
        <d v="2020-01-26T00:00:00" u="1"/>
        <d v="2021-01-26T00:00:00" u="1"/>
        <d v="2000-10-04T00:00:00" u="1"/>
        <d v="2001-10-04T00:00:00" u="1"/>
        <d v="2002-10-04T00:00:00" u="1"/>
        <d v="2000-06-15T00:00:00" u="1"/>
        <d v="2001-06-15T00:00:00" u="1"/>
        <d v="2002-06-15T00:00:00" u="1"/>
        <d v="2010-10-04T00:00:00" u="1"/>
        <d v="2001-02-26T00:00:00" u="1"/>
        <d v="2011-10-04T00:00:00" u="1"/>
        <d v="2002-02-26T00:00:00" u="1"/>
        <d v="2012-10-04T00:00:00" u="1"/>
        <d v="2003-02-26T00:00:00" u="1"/>
        <d v="2013-10-04T00:00:00" u="1"/>
        <d v="2014-10-04T00:00:00" u="1"/>
        <d v="2011-06-15T00:00:00" u="1"/>
        <d v="2012-06-15T00:00:00" u="1"/>
        <d v="2013-06-15T00:00:00" u="1"/>
        <d v="2018-10-04T00:00:00" u="1"/>
        <d v="2014-06-15T00:00:00" u="1"/>
        <d v="2019-10-04T00:00:00" u="1"/>
        <d v="2020-10-04T00:00:00" u="1"/>
        <d v="2011-02-26T00:00:00" u="1"/>
        <d v="2012-02-26T00:00:00" u="1"/>
        <d v="2013-02-26T00:00:00" u="1"/>
        <d v="2018-06-15T00:00:00" u="1"/>
        <d v="2014-02-26T00:00:00" u="1"/>
        <d v="2019-06-15T00:00:00" u="1"/>
        <d v="2015-02-26T00:00:00" u="1"/>
        <d v="2020-06-15T00:00:00" u="1"/>
        <d v="2018-02-26T00:00:00" u="1"/>
        <d v="2019-02-26T00:00:00" u="1"/>
        <d v="2020-02-26T00:00:00" u="1"/>
        <d v="2021-02-26T00:00:00" u="1"/>
        <d v="2000-11-04T00:00:00" u="1"/>
        <d v="2001-11-04T00:00:00" u="1"/>
        <d v="2002-11-04T00:00:00" u="1"/>
        <d v="2000-07-15T00:00:00" u="1"/>
        <d v="2001-07-15T00:00:00" u="1"/>
        <d v="2002-07-15T00:00:00" u="1"/>
        <d v="2000-03-26T00:00:00" u="1"/>
        <d v="2010-11-04T00:00:00" u="1"/>
        <d v="2001-03-26T00:00:00" u="1"/>
        <d v="2011-11-04T00:00:00" u="1"/>
        <d v="2002-03-26T00:00:00" u="1"/>
        <d v="2012-11-04T00:00:00" u="1"/>
        <d v="2013-11-04T00:00:00" u="1"/>
        <d v="2014-11-04T00:00:00" u="1"/>
        <d v="2011-07-15T00:00:00" u="1"/>
        <d v="2012-07-15T00:00:00" u="1"/>
        <d v="2013-07-15T00:00:00" u="1"/>
        <d v="2018-11-04T00:00:00" u="1"/>
        <d v="2014-07-15T00:00:00" u="1"/>
        <d v="2019-11-04T00:00:00" u="1"/>
        <d v="2020-11-04T00:00:00" u="1"/>
        <d v="2011-03-26T00:00:00" u="1"/>
        <d v="2012-03-26T00:00:00" u="1"/>
        <d v="2013-03-26T00:00:00" u="1"/>
        <d v="2018-07-15T00:00:00" u="1"/>
        <d v="2014-03-26T00:00:00" u="1"/>
        <d v="2019-07-15T00:00:00" u="1"/>
        <d v="2020-07-15T00:00:00" u="1"/>
        <d v="2018-03-26T00:00:00" u="1"/>
        <d v="2019-03-26T00:00:00" u="1"/>
        <d v="2020-03-26T00:00:00" u="1"/>
        <d v="2021-03-26T00:00:00" u="1"/>
        <d v="2000-12-04T00:00:00" u="1"/>
        <d v="2001-12-04T00:00:00" u="1"/>
        <d v="2002-12-04T00:00:00" u="1"/>
        <d v="2000-08-15T00:00:00" u="1"/>
        <d v="2001-08-15T00:00:00" u="1"/>
        <d v="2002-08-15T00:00:00" u="1"/>
        <d v="2000-04-26T00:00:00" u="1"/>
        <d v="2010-12-04T00:00:00" u="1"/>
        <d v="2001-04-26T00:00:00" u="1"/>
        <d v="2011-12-04T00:00:00" u="1"/>
        <d v="2002-04-26T00:00:00" u="1"/>
        <d v="2012-12-04T00:00:00" u="1"/>
        <d v="2013-12-04T00:00:00" u="1"/>
        <d v="2014-12-04T00:00:00" u="1"/>
        <d v="2011-08-15T00:00:00" u="1"/>
        <d v="2012-08-15T00:00:00" u="1"/>
        <d v="2013-08-15T00:00:00" u="1"/>
        <d v="2018-12-04T00:00:00" u="1"/>
        <d v="2014-08-15T00:00:00" u="1"/>
        <d v="2019-12-04T00:00:00" u="1"/>
        <d v="2020-12-04T00:00:00" u="1"/>
        <d v="2011-04-26T00:00:00" u="1"/>
        <d v="2012-04-26T00:00:00" u="1"/>
        <d v="2013-04-26T00:00:00" u="1"/>
        <d v="2018-08-15T00:00:00" u="1"/>
        <d v="2014-04-26T00:00:00" u="1"/>
        <d v="2019-08-15T00:00:00" u="1"/>
        <d v="2020-08-15T00:00:00" u="1"/>
        <d v="2018-04-26T00:00:00" u="1"/>
        <d v="2019-04-26T00:00:00" u="1"/>
        <d v="2020-04-26T00:00:00" u="1"/>
        <d v="2021-04-26T00:00:00" u="1"/>
        <d v="2000-09-15T00:00:00" u="1"/>
        <d v="2001-09-15T00:00:00" u="1"/>
        <d v="2002-09-15T00:00:00" u="1"/>
        <d v="2000-05-26T00:00:00" u="1"/>
        <d v="2001-05-26T00:00:00" u="1"/>
        <d v="2002-05-26T00:00:00" u="1"/>
        <d v="2010-09-15T00:00:00" u="1"/>
        <d v="2011-09-15T00:00:00" u="1"/>
        <d v="2012-09-15T00:00:00" u="1"/>
        <d v="2013-09-15T00:00:00" u="1"/>
        <d v="2014-09-15T00:00:00" u="1"/>
        <d v="2011-05-26T00:00:00" u="1"/>
        <d v="2012-05-26T00:00:00" u="1"/>
        <d v="2013-05-26T00:00:00" u="1"/>
        <d v="2018-09-15T00:00:00" u="1"/>
        <d v="2014-05-26T00:00:00" u="1"/>
        <d v="2019-09-15T00:00:00" u="1"/>
        <d v="2020-09-15T00:00:00" u="1"/>
        <d v="2018-05-26T00:00:00" u="1"/>
        <d v="2019-05-26T00:00:00" u="1"/>
        <d v="2020-05-26T00:00:00" u="1"/>
        <d v="2000-10-15T00:00:00" u="1"/>
        <d v="2001-10-15T00:00:00" u="1"/>
        <d v="2002-10-15T00:00:00" u="1"/>
        <d v="2000-06-26T00:00:00" u="1"/>
        <d v="2001-06-26T00:00:00" u="1"/>
        <d v="2002-06-26T00:00:00" u="1"/>
        <d v="2010-10-15T00:00:00" u="1"/>
        <d v="2011-10-15T00:00:00" u="1"/>
        <d v="2012-10-15T00:00:00" u="1"/>
        <d v="2013-10-15T00:00:00" u="1"/>
        <d v="2014-10-15T00:00:00" u="1"/>
        <d v="2011-06-26T00:00:00" u="1"/>
        <d v="2012-06-26T00:00:00" u="1"/>
        <d v="2013-06-26T00:00:00" u="1"/>
        <d v="2018-10-15T00:00:00" u="1"/>
        <d v="2014-06-26T00:00:00" u="1"/>
        <d v="2019-10-15T00:00:00" u="1"/>
        <d v="2020-10-15T00:00:00" u="1"/>
        <d v="2018-06-26T00:00:00" u="1"/>
        <d v="2019-06-26T00:00:00" u="1"/>
        <d v="2020-06-26T00:00:00" u="1"/>
        <d v="2000-11-15T00:00:00" u="1"/>
        <d v="2001-11-15T00:00:00" u="1"/>
        <d v="2002-11-15T00:00:00" u="1"/>
        <d v="2000-07-26T00:00:00" u="1"/>
        <d v="2001-07-26T00:00:00" u="1"/>
        <d v="2002-07-26T00:00:00" u="1"/>
        <d v="2010-11-15T00:00:00" u="1"/>
        <d v="2011-11-15T00:00:00" u="1"/>
        <d v="2012-11-15T00:00:00" u="1"/>
        <d v="2013-11-15T00:00:00" u="1"/>
        <d v="2014-11-15T00:00:00" u="1"/>
        <d v="2011-07-26T00:00:00" u="1"/>
        <d v="2012-07-26T00:00:00" u="1"/>
        <d v="2013-07-26T00:00:00" u="1"/>
        <d v="2018-11-15T00:00:00" u="1"/>
        <d v="2014-07-26T00:00:00" u="1"/>
        <d v="2019-11-15T00:00:00" u="1"/>
        <d v="2020-11-15T00:00:00" u="1"/>
        <d v="2018-07-26T00:00:00" u="1"/>
        <d v="2019-07-26T00:00:00" u="1"/>
        <d v="2020-07-26T00:00:00" u="1"/>
        <d v="2000-12-15T00:00:00" u="1"/>
        <d v="2001-12-15T00:00:00" u="1"/>
        <d v="2002-12-15T00:00:00" u="1"/>
        <d v="2000-08-26T00:00:00" u="1"/>
        <d v="2001-08-26T00:00:00" u="1"/>
        <d v="2002-08-26T00:00:00" u="1"/>
        <d v="2010-12-15T00:00:00" u="1"/>
        <d v="2011-12-15T00:00:00" u="1"/>
        <d v="2012-12-15T00:00:00" u="1"/>
        <d v="2013-12-15T00:00:00" u="1"/>
        <d v="2014-12-15T00:00:00" u="1"/>
        <d v="2010-08-26T00:00:00" u="1"/>
        <d v="2011-08-26T00:00:00" u="1"/>
        <d v="2012-08-26T00:00:00" u="1"/>
        <d v="2013-08-26T00:00:00" u="1"/>
        <d v="2018-12-15T00:00:00" u="1"/>
        <d v="2014-08-26T00:00:00" u="1"/>
        <d v="2019-12-15T00:00:00" u="1"/>
        <d v="2020-12-15T00:00:00" u="1"/>
        <d v="2018-08-26T00:00:00" u="1"/>
        <d v="2019-08-26T00:00:00" u="1"/>
        <d v="2020-08-26T00:00:00" u="1"/>
        <d v="2001-01-05T00:00:00" u="1"/>
        <d v="2002-01-05T00:00:00" u="1"/>
        <d v="2003-01-05T00:00:00" u="1"/>
        <d v="2000-09-26T00:00:00" u="1"/>
        <d v="2001-09-26T00:00:00" u="1"/>
        <d v="2011-01-05T00:00:00" u="1"/>
        <d v="2002-09-26T00:00:00" u="1"/>
        <d v="2012-01-05T00:00:00" u="1"/>
        <d v="2013-01-05T00:00:00" u="1"/>
        <d v="2014-01-05T00:00:00" u="1"/>
        <d v="2015-01-05T00:00:00" u="1"/>
        <d v="2019-01-05T00:00:00" u="1"/>
        <d v="2010-09-26T00:00:00" u="1"/>
        <d v="2020-01-05T00:00:00" u="1"/>
        <d v="2011-09-26T00:00:00" u="1"/>
        <d v="2021-01-05T00:00:00" u="1"/>
        <d v="2012-09-26T00:00:00" u="1"/>
        <d v="2013-09-26T00:00:00" u="1"/>
        <d v="2014-09-26T00:00:00" u="1"/>
        <d v="2018-09-26T00:00:00" u="1"/>
        <d v="2019-09-26T00:00:00" u="1"/>
        <d v="2020-09-26T00:00:00" u="1"/>
        <d v="2001-02-05T00:00:00" u="1"/>
        <d v="2002-02-05T00:00:00" u="1"/>
        <d v="2003-02-05T00:00:00" u="1"/>
        <d v="2000-10-26T00:00:00" u="1"/>
        <d v="2001-10-26T00:00:00" u="1"/>
        <d v="2011-02-05T00:00:00" u="1"/>
        <d v="2002-10-26T00:00:00" u="1"/>
        <d v="2012-02-05T00:00:00" u="1"/>
        <d v="2013-02-05T00:00:00" u="1"/>
        <d v="2014-02-05T00:00:00" u="1"/>
        <d v="2015-02-05T00:00:00" u="1"/>
        <d v="2018-02-05T00:00:00" u="1"/>
        <d v="2019-02-05T00:00:00" u="1"/>
        <d v="2010-10-26T00:00:00" u="1"/>
        <d v="2020-02-05T00:00:00" u="1"/>
        <d v="2011-10-26T00:00:00" u="1"/>
        <d v="2021-02-05T00:00:00" u="1"/>
        <d v="2012-10-26T00:00:00" u="1"/>
        <d v="2013-10-26T00:00:00" u="1"/>
        <d v="2014-10-26T00:00:00" u="1"/>
        <d v="2018-10-26T00:00:00" u="1"/>
        <d v="2019-10-26T00:00:00" u="1"/>
        <d v="2020-10-26T00:00:00" u="1"/>
        <d v="2001-03-05T00:00:00" u="1"/>
        <d v="2002-03-05T00:00:00" u="1"/>
        <d v="2000-11-26T00:00:00" u="1"/>
        <d v="2001-11-26T00:00:00" u="1"/>
        <d v="2011-03-05T00:00:00" u="1"/>
        <d v="2002-11-26T00:00:00" u="1"/>
        <d v="2012-03-05T00:00:00" u="1"/>
        <d v="2013-03-05T00:00:00" u="1"/>
        <d v="2014-03-05T00:00:00" u="1"/>
        <d v="2015-03-05T00:00:00" u="1"/>
        <d v="2018-03-05T00:00:00" u="1"/>
        <d v="2019-03-05T00:00:00" u="1"/>
        <d v="2010-11-26T00:00:00" u="1"/>
        <d v="2020-03-05T00:00:00" u="1"/>
        <d v="2011-11-26T00:00:00" u="1"/>
        <d v="2021-03-05T00:00:00" u="1"/>
        <d v="2012-11-26T00:00:00" u="1"/>
        <d v="2013-11-26T00:00:00" u="1"/>
        <d v="2014-11-26T00:00:00" u="1"/>
        <d v="2018-11-26T00:00:00" u="1"/>
        <d v="2019-11-26T00:00:00" u="1"/>
        <d v="2020-11-26T00:00:00" u="1"/>
        <d v="2000-04-05T00:00:00" u="1"/>
        <d v="2001-04-05T00:00:00" u="1"/>
        <d v="2002-04-05T00:00:00" u="1"/>
        <d v="2000-12-26T00:00:00" u="1"/>
        <d v="2001-12-26T00:00:00" u="1"/>
        <d v="2011-04-05T00:00:00" u="1"/>
        <d v="2002-12-26T00:00:00" u="1"/>
        <d v="2012-04-05T00:00:00" u="1"/>
        <d v="2013-04-05T00:00:00" u="1"/>
        <d v="2014-04-05T00:00:00" u="1"/>
        <d v="2018-04-05T00:00:00" u="1"/>
        <d v="2019-04-05T00:00:00" u="1"/>
        <d v="2010-12-26T00:00:00" u="1"/>
        <d v="2020-04-05T00:00:00" u="1"/>
        <d v="2011-12-26T00:00:00" u="1"/>
        <d v="2021-04-05T00:00:00" u="1"/>
        <d v="2012-12-26T00:00:00" u="1"/>
        <d v="2013-12-26T00:00:00" u="1"/>
        <d v="2014-12-26T00:00:00" u="1"/>
        <d v="2018-12-26T00:00:00" u="1"/>
        <d v="2019-12-26T00:00:00" u="1"/>
        <d v="2020-12-26T00:00:00" u="1"/>
        <d v="2000-05-05T00:00:00" u="1"/>
        <d v="2001-05-05T00:00:00" u="1"/>
        <d v="2002-05-05T00:00:00" u="1"/>
        <d v="2001-01-16T00:00:00" u="1"/>
        <d v="2002-01-16T00:00:00" u="1"/>
        <d v="2003-01-16T00:00:00" u="1"/>
        <d v="2011-05-05T00:00:00" u="1"/>
        <d v="2012-05-05T00:00:00" u="1"/>
        <d v="2013-05-05T00:00:00" u="1"/>
        <d v="2014-05-05T00:00:00" u="1"/>
        <d v="2011-01-16T00:00:00" u="1"/>
        <d v="2012-01-16T00:00:00" u="1"/>
        <d v="2013-01-16T00:00:00" u="1"/>
        <d v="2018-05-05T00:00:00" u="1"/>
        <d v="2014-01-16T00:00:00" u="1"/>
        <d v="2019-05-05T00:00:00" u="1"/>
        <d v="2015-01-16T00:00:00" u="1"/>
        <d v="2020-05-05T00:00:00" u="1"/>
        <d v="2019-01-16T00:00:00" u="1"/>
        <d v="2020-01-16T00:00:00" u="1"/>
        <d v="2021-01-16T00:00:00" u="1"/>
        <d v="2000-06-05T00:00:00" u="1"/>
        <d v="2001-06-05T00:00:00" u="1"/>
        <d v="2002-06-05T00:00:00" u="1"/>
        <d v="2001-02-16T00:00:00" u="1"/>
        <d v="2002-02-16T00:00:00" u="1"/>
        <d v="2003-02-16T00:00:00" u="1"/>
        <d v="2011-06-05T00:00:00" u="1"/>
        <d v="2012-06-05T00:00:00" u="1"/>
        <d v="2013-06-05T00:00:00" u="1"/>
        <d v="2014-06-05T00:00:00" u="1"/>
        <d v="2011-02-16T00:00:00" u="1"/>
        <d v="2012-02-16T00:00:00" u="1"/>
        <d v="2013-02-16T00:00:00" u="1"/>
        <d v="2018-06-05T00:00:00" u="1"/>
        <d v="2014-02-16T00:00:00" u="1"/>
        <d v="2019-06-05T00:00:00" u="1"/>
        <d v="2015-02-16T00:00:00" u="1"/>
        <d v="2020-06-05T00:00:00" u="1"/>
        <d v="2018-02-16T00:00:00" u="1"/>
        <d v="2019-02-16T00:00:00" u="1"/>
        <d v="2020-02-16T00:00:00" u="1"/>
        <d v="2021-02-16T00:00:00" u="1"/>
        <d v="2000-07-05T00:00:00" u="1"/>
        <d v="2001-07-05T00:00:00" u="1"/>
        <d v="2002-07-05T00:00:00" u="1"/>
        <d v="2001-03-16T00:00:00" u="1"/>
        <d v="2002-03-16T00:00:00" u="1"/>
        <d v="2011-07-05T00:00:00" u="1"/>
        <d v="2012-07-05T00:00:00" u="1"/>
        <d v="2013-07-05T00:00:00" u="1"/>
        <d v="2014-07-05T00:00:00" u="1"/>
        <d v="2011-03-16T00:00:00" u="1"/>
        <d v="2012-03-16T00:00:00" u="1"/>
        <d v="2013-03-16T00:00:00" u="1"/>
        <d v="2018-07-05T00:00:00" u="1"/>
        <d v="2014-03-16T00:00:00" u="1"/>
        <d v="2019-07-05T00:00:00" u="1"/>
        <d v="2020-07-05T00:00:00" u="1"/>
        <d v="2018-03-16T00:00:00" u="1"/>
        <d v="2019-03-16T00:00:00" u="1"/>
        <d v="2020-03-16T00:00:00" u="1"/>
        <d v="2021-03-16T00:00:00" u="1"/>
        <d v="2000-08-05T00:00:00" u="1"/>
        <d v="2001-08-05T00:00:00" u="1"/>
        <d v="2002-08-05T00:00:00" u="1"/>
        <d v="2000-04-16T00:00:00" u="1"/>
        <d v="2001-04-16T00:00:00" u="1"/>
        <d v="2002-04-16T00:00:00" u="1"/>
        <d v="2011-08-05T00:00:00" u="1"/>
        <d v="2012-08-05T00:00:00" u="1"/>
        <d v="2013-08-05T00:00:00" u="1"/>
        <d v="2014-08-05T00:00:00" u="1"/>
        <d v="2011-04-16T00:00:00" u="1"/>
        <d v="2012-04-16T00:00:00" u="1"/>
        <d v="2013-04-16T00:00:00" u="1"/>
        <d v="2018-08-05T00:00:00" u="1"/>
        <d v="2014-04-16T00:00:00" u="1"/>
        <d v="2019-08-05T00:00:00" u="1"/>
        <d v="2020-08-05T00:00:00" u="1"/>
        <d v="2018-04-16T00:00:00" u="1"/>
        <d v="2019-04-16T00:00:00" u="1"/>
        <d v="2020-04-16T00:00:00" u="1"/>
        <d v="2021-04-16T00:00:00" u="1"/>
        <d v="2000-09-05T00:00:00" u="1"/>
        <d v="2001-09-05T00:00:00" u="1"/>
        <d v="2002-09-05T00:00:00" u="1"/>
        <d v="2000-05-16T00:00:00" u="1"/>
        <d v="2001-05-16T00:00:00" u="1"/>
        <d v="2002-05-16T00:00:00" u="1"/>
        <d v="2010-09-05T00:00:00" u="1"/>
        <d v="2001-01-27T00:00:00" u="1"/>
        <d v="2011-09-05T00:00:00" u="1"/>
        <d v="2002-01-27T00:00:00" u="1"/>
        <d v="2012-09-05T00:00:00" u="1"/>
        <d v="2003-01-27T00:00:00" u="1"/>
        <d v="2013-09-05T00:00:00" u="1"/>
        <d v="2014-09-05T00:00:00" u="1"/>
        <d v="2011-05-16T00:00:00" u="1"/>
        <d v="2012-05-16T00:00:00" u="1"/>
        <d v="2013-05-16T00:00:00" u="1"/>
        <d v="2018-09-05T00:00:00" u="1"/>
        <d v="2014-05-16T00:00:00" u="1"/>
        <d v="2019-09-05T00:00:00" u="1"/>
        <d v="2020-09-05T00:00:00" u="1"/>
        <d v="2011-01-27T00:00:00" u="1"/>
        <d v="2012-01-27T00:00:00" u="1"/>
        <d v="2013-01-27T00:00:00" u="1"/>
        <d v="2018-05-16T00:00:00" u="1"/>
        <d v="2014-01-27T00:00:00" u="1"/>
        <d v="2019-05-16T00:00:00" u="1"/>
        <d v="2015-01-27T00:00:00" u="1"/>
        <d v="2020-05-16T00:00:00" u="1"/>
        <d v="2019-01-27T00:00:00" u="1"/>
        <d v="2020-01-27T00:00:00" u="1"/>
        <d v="2021-01-27T00:00:00" u="1"/>
        <d v="2000-10-05T00:00:00" u="1"/>
        <d v="2001-10-05T00:00:00" u="1"/>
        <d v="2002-10-05T00:00:00" u="1"/>
        <d v="2000-06-16T00:00:00" u="1"/>
        <d v="2001-06-16T00:00:00" u="1"/>
        <d v="2002-06-16T00:00:00" u="1"/>
        <d v="2010-10-05T00:00:00" u="1"/>
        <d v="2001-02-27T00:00:00" u="1"/>
        <d v="2011-10-05T00:00:00" u="1"/>
        <d v="2002-02-27T00:00:00" u="1"/>
        <d v="2012-10-05T00:00:00" u="1"/>
        <d v="2003-02-27T00:00:00" u="1"/>
        <d v="2013-10-05T00:00:00" u="1"/>
        <d v="2014-10-05T00:00:00" u="1"/>
        <d v="2011-06-16T00:00:00" u="1"/>
        <d v="2012-06-16T00:00:00" u="1"/>
        <d v="2013-06-16T00:00:00" u="1"/>
        <d v="2018-10-05T00:00:00" u="1"/>
        <d v="2014-06-16T00:00:00" u="1"/>
        <d v="2019-10-05T00:00:00" u="1"/>
        <d v="2020-10-05T00:00:00" u="1"/>
        <d v="2011-02-27T00:00:00" u="1"/>
        <d v="2012-02-27T00:00:00" u="1"/>
        <d v="2013-02-27T00:00:00" u="1"/>
        <d v="2018-06-16T00:00:00" u="1"/>
        <d v="2014-02-27T00:00:00" u="1"/>
        <d v="2019-06-16T00:00:00" u="1"/>
        <d v="2015-02-27T00:00:00" u="1"/>
        <d v="2020-06-16T00:00:00" u="1"/>
        <d v="2018-02-27T00:00:00" u="1"/>
        <d v="2019-02-27T00:00:00" u="1"/>
        <d v="2020-02-27T00:00:00" u="1"/>
        <d v="2021-02-27T00:00:00" u="1"/>
        <d v="2000-11-05T00:00:00" u="1"/>
        <d v="2001-11-05T00:00:00" u="1"/>
        <d v="2002-11-05T00:00:00" u="1"/>
        <d v="2000-07-16T00:00:00" u="1"/>
        <d v="2001-07-16T00:00:00" u="1"/>
        <d v="2002-07-16T00:00:00" u="1"/>
        <d v="2000-03-27T00:00:00" u="1"/>
        <d v="2010-11-05T00:00:00" u="1"/>
        <d v="2001-03-27T00:00:00" u="1"/>
        <d v="2011-11-05T00:00:00" u="1"/>
        <d v="2002-03-27T00:00:00" u="1"/>
        <d v="2012-11-05T00:00:00" u="1"/>
        <d v="2013-11-05T00:00:00" u="1"/>
        <d v="2014-11-05T00:00:00" u="1"/>
        <d v="2011-07-16T00:00:00" u="1"/>
        <d v="2012-07-16T00:00:00" u="1"/>
        <d v="2013-07-16T00:00:00" u="1"/>
        <d v="2018-11-05T00:00:00" u="1"/>
        <d v="2014-07-16T00:00:00" u="1"/>
        <d v="2019-11-05T00:00:00" u="1"/>
        <d v="2020-11-05T00:00:00" u="1"/>
        <d v="2011-03-27T00:00:00" u="1"/>
        <d v="2012-03-27T00:00:00" u="1"/>
        <d v="2013-03-27T00:00:00" u="1"/>
        <d v="2018-07-16T00:00:00" u="1"/>
        <d v="2014-03-27T00:00:00" u="1"/>
        <d v="2019-07-16T00:00:00" u="1"/>
        <d v="2020-07-16T00:00:00" u="1"/>
        <d v="2018-03-27T00:00:00" u="1"/>
        <d v="2019-03-27T00:00:00" u="1"/>
        <d v="2020-03-27T00:00:00" u="1"/>
        <d v="2021-03-27T00:00:00" u="1"/>
        <d v="2000-12-05T00:00:00" u="1"/>
        <d v="2001-12-05T00:00:00" u="1"/>
        <d v="2002-12-05T00:00:00" u="1"/>
        <d v="2000-08-16T00:00:00" u="1"/>
        <d v="2001-08-16T00:00:00" u="1"/>
        <d v="2002-08-16T00:00:00" u="1"/>
        <d v="2000-04-27T00:00:00" u="1"/>
        <d v="2010-12-05T00:00:00" u="1"/>
        <d v="2001-04-27T00:00:00" u="1"/>
        <d v="2011-12-05T00:00:00" u="1"/>
        <d v="2002-04-27T00:00:00" u="1"/>
        <d v="2012-12-05T00:00:00" u="1"/>
        <d v="2013-12-05T00:00:00" u="1"/>
        <d v="2014-12-05T00:00:00" u="1"/>
        <d v="2011-08-16T00:00:00" u="1"/>
        <d v="2012-08-16T00:00:00" u="1"/>
        <d v="2013-08-16T00:00:00" u="1"/>
        <d v="2018-12-05T00:00:00" u="1"/>
        <d v="2014-08-16T00:00:00" u="1"/>
        <d v="2019-12-05T00:00:00" u="1"/>
        <d v="2020-12-05T00:00:00" u="1"/>
        <d v="2011-04-27T00:00:00" u="1"/>
        <d v="2012-04-27T00:00:00" u="1"/>
        <d v="2013-04-27T00:00:00" u="1"/>
        <d v="2018-08-16T00:00:00" u="1"/>
        <d v="2014-04-27T00:00:00" u="1"/>
        <d v="2019-08-16T00:00:00" u="1"/>
        <d v="2020-08-16T00:00:00" u="1"/>
        <d v="2018-04-27T00:00:00" u="1"/>
        <d v="2019-04-27T00:00:00" u="1"/>
        <d v="2020-04-27T00:00:00" u="1"/>
        <d v="2021-04-27T00:00:00" u="1"/>
        <d v="2000-09-16T00:00:00" u="1"/>
        <d v="2001-09-16T00:00:00" u="1"/>
        <d v="2002-09-16T00:00:00" u="1"/>
        <d v="2000-05-27T00:00:00" u="1"/>
        <d v="2001-05-27T00:00:00" u="1"/>
        <d v="2002-05-27T00:00:00" u="1"/>
        <d v="2010-09-16T00:00:00" u="1"/>
        <d v="2011-09-16T00:00:00" u="1"/>
        <d v="2012-09-16T00:00:00" u="1"/>
        <d v="2013-09-16T00:00:00" u="1"/>
        <d v="2014-09-16T00:00:00" u="1"/>
        <d v="2011-05-27T00:00:00" u="1"/>
        <d v="2012-05-27T00:00:00" u="1"/>
        <d v="2013-05-27T00:00:00" u="1"/>
        <d v="2018-09-16T00:00:00" u="1"/>
        <d v="2014-05-27T00:00:00" u="1"/>
        <d v="2019-09-16T00:00:00" u="1"/>
        <d v="2020-09-16T00:00:00" u="1"/>
        <d v="2018-05-27T00:00:00" u="1"/>
        <d v="2019-05-27T00:00:00" u="1"/>
        <d v="2020-05-27T00:00:00" u="1"/>
        <d v="2000-10-16T00:00:00" u="1"/>
        <d v="2001-10-16T00:00:00" u="1"/>
        <d v="2002-10-16T00:00:00" u="1"/>
        <d v="2000-06-27T00:00:00" u="1"/>
        <d v="2001-06-27T00:00:00" u="1"/>
        <d v="2002-06-27T00:00:00" u="1"/>
        <d v="2010-10-16T00:00:00" u="1"/>
        <d v="2011-10-16T00:00:00" u="1"/>
        <d v="2012-10-16T00:00:00" u="1"/>
        <d v="2013-10-16T00:00:00" u="1"/>
        <d v="2014-10-16T00:00:00" u="1"/>
        <d v="2011-06-27T00:00:00" u="1"/>
        <d v="2012-06-27T00:00:00" u="1"/>
        <d v="2013-06-27T00:00:00" u="1"/>
        <d v="2018-10-16T00:00:00" u="1"/>
        <d v="2014-06-27T00:00:00" u="1"/>
        <d v="2019-10-16T00:00:00" u="1"/>
        <d v="2020-10-16T00:00:00" u="1"/>
        <d v="2018-06-27T00:00:00" u="1"/>
        <d v="2019-06-27T00:00:00" u="1"/>
        <d v="2020-06-27T00:00:00" u="1"/>
        <d v="2000-11-16T00:00:00" u="1"/>
        <d v="2001-11-16T00:00:00" u="1"/>
        <d v="2002-11-16T00:00:00" u="1"/>
        <d v="2000-07-27T00:00:00" u="1"/>
        <d v="2001-07-27T00:00:00" u="1"/>
        <d v="2002-07-27T00:00:00" u="1"/>
        <d v="2010-11-16T00:00:00" u="1"/>
        <d v="2011-11-16T00:00:00" u="1"/>
        <d v="2012-11-16T00:00:00" u="1"/>
        <d v="2013-11-16T00:00:00" u="1"/>
        <d v="2014-11-16T00:00:00" u="1"/>
        <d v="2011-07-27T00:00:00" u="1"/>
        <d v="2012-07-27T00:00:00" u="1"/>
        <d v="2013-07-27T00:00:00" u="1"/>
        <d v="2018-11-16T00:00:00" u="1"/>
        <d v="2014-07-27T00:00:00" u="1"/>
        <d v="2019-11-16T00:00:00" u="1"/>
        <d v="2020-11-16T00:00:00" u="1"/>
        <d v="2018-07-27T00:00:00" u="1"/>
        <d v="2019-07-27T00:00:00" u="1"/>
        <d v="2020-07-27T00:00:00" u="1"/>
        <d v="2000-12-16T00:00:00" u="1"/>
        <d v="2001-12-16T00:00:00" u="1"/>
        <d v="2002-12-16T00:00:00" u="1"/>
        <d v="2000-08-27T00:00:00" u="1"/>
        <d v="2001-08-27T00:00:00" u="1"/>
        <d v="2002-08-27T00:00:00" u="1"/>
        <d v="2010-12-16T00:00:00" u="1"/>
        <d v="2011-12-16T00:00:00" u="1"/>
        <d v="2012-12-16T00:00:00" u="1"/>
        <d v="2013-12-16T00:00:00" u="1"/>
        <d v="2014-12-16T00:00:00" u="1"/>
        <d v="2010-08-27T00:00:00" u="1"/>
        <d v="2011-08-27T00:00:00" u="1"/>
        <d v="2012-08-27T00:00:00" u="1"/>
        <d v="2013-08-27T00:00:00" u="1"/>
        <d v="2018-12-16T00:00:00" u="1"/>
        <d v="2014-08-27T00:00:00" u="1"/>
        <d v="2019-12-16T00:00:00" u="1"/>
        <d v="2020-12-16T00:00:00" u="1"/>
        <d v="2018-08-27T00:00:00" u="1"/>
        <d v="2019-08-27T00:00:00" u="1"/>
        <d v="2020-08-27T00:00:00" u="1"/>
        <d v="2001-01-06T00:00:00" u="1"/>
        <d v="2002-01-06T00:00:00" u="1"/>
        <d v="2003-01-06T00:00:00" u="1"/>
        <d v="2000-09-27T00:00:00" u="1"/>
        <d v="2001-09-27T00:00:00" u="1"/>
        <d v="2011-01-06T00:00:00" u="1"/>
        <d v="2002-09-27T00:00:00" u="1"/>
        <d v="2012-01-06T00:00:00" u="1"/>
        <d v="2013-01-06T00:00:00" u="1"/>
        <d v="2014-01-06T00:00:00" u="1"/>
        <d v="2015-01-06T00:00:00" u="1"/>
        <d v="2019-01-06T00:00:00" u="1"/>
        <d v="2010-09-27T00:00:00" u="1"/>
        <d v="2020-01-06T00:00:00" u="1"/>
        <d v="2011-09-27T00:00:00" u="1"/>
        <d v="2021-01-06T00:00:00" u="1"/>
        <d v="2012-09-27T00:00:00" u="1"/>
        <d v="2013-09-27T00:00:00" u="1"/>
        <d v="2014-09-27T00:00:00" u="1"/>
        <d v="2018-09-27T00:00:00" u="1"/>
        <d v="2019-09-27T00:00:00" u="1"/>
        <d v="2020-09-27T00:00:00" u="1"/>
        <d v="2001-02-06T00:00:00" u="1"/>
        <d v="2002-02-06T00:00:00" u="1"/>
        <d v="2003-02-06T00:00:00" u="1"/>
        <d v="2000-10-27T00:00:00" u="1"/>
        <d v="2001-10-27T00:00:00" u="1"/>
        <d v="2011-02-06T00:00:00" u="1"/>
        <d v="2002-10-27T00:00:00" u="1"/>
        <d v="2012-02-06T00:00:00" u="1"/>
        <d v="2013-02-06T00:00:00" u="1"/>
        <d v="2014-02-06T00:00:00" u="1"/>
        <d v="2015-02-06T00:00:00" u="1"/>
        <d v="2018-02-06T00:00:00" u="1"/>
        <d v="2019-02-06T00:00:00" u="1"/>
        <d v="2010-10-27T00:00:00" u="1"/>
        <d v="2020-02-06T00:00:00" u="1"/>
        <d v="2011-10-27T00:00:00" u="1"/>
        <d v="2021-02-06T00:00:00" u="1"/>
        <d v="2012-10-27T00:00:00" u="1"/>
        <d v="2013-10-27T00:00:00" u="1"/>
        <d v="2014-10-27T00:00:00" u="1"/>
        <d v="2018-10-27T00:00:00" u="1"/>
        <d v="2019-10-27T00:00:00" u="1"/>
        <d v="2020-10-27T00:00:00" u="1"/>
        <d v="2001-03-06T00:00:00" u="1"/>
        <d v="2002-03-06T00:00:00" u="1"/>
        <d v="2000-11-27T00:00:00" u="1"/>
        <d v="2001-11-27T00:00:00" u="1"/>
        <d v="2011-03-06T00:00:00" u="1"/>
        <d v="2002-11-27T00:00:00" u="1"/>
        <d v="2012-03-06T00:00:00" u="1"/>
        <d v="2013-03-06T00:00:00" u="1"/>
        <d v="2014-03-06T00:00:00" u="1"/>
        <d v="2015-03-06T00:00:00" u="1"/>
        <d v="2018-03-06T00:00:00" u="1"/>
        <d v="2019-03-06T00:00:00" u="1"/>
        <d v="2010-11-27T00:00:00" u="1"/>
        <d v="2020-03-06T00:00:00" u="1"/>
        <d v="2011-11-27T00:00:00" u="1"/>
        <d v="2021-03-06T00:00:00" u="1"/>
        <d v="2012-11-27T00:00:00" u="1"/>
        <d v="2013-11-27T00:00:00" u="1"/>
        <d v="2014-11-27T00:00:00" u="1"/>
        <d v="2018-11-27T00:00:00" u="1"/>
        <d v="2019-11-27T00:00:00" u="1"/>
        <d v="2020-11-27T00:00:00" u="1"/>
        <d v="2000-04-06T00:00:00" u="1"/>
        <d v="2001-04-06T00:00:00" u="1"/>
        <d v="2002-04-06T00:00:00" u="1"/>
        <d v="2000-12-27T00:00:00" u="1"/>
        <d v="2001-12-27T00:00:00" u="1"/>
        <d v="2011-04-06T00:00:00" u="1"/>
        <d v="2002-12-27T00:00:00" u="1"/>
        <d v="2012-04-06T00:00:00" u="1"/>
        <d v="2013-04-06T00:00:00" u="1"/>
        <d v="2014-04-06T00:00:00" u="1"/>
        <d v="2018-04-06T00:00:00" u="1"/>
        <d v="2019-04-06T00:00:00" u="1"/>
        <d v="2010-12-27T00:00:00" u="1"/>
        <d v="2020-04-06T00:00:00" u="1"/>
        <d v="2011-12-27T00:00:00" u="1"/>
        <d v="2021-04-06T00:00:00" u="1"/>
        <d v="2012-12-27T00:00:00" u="1"/>
        <d v="2013-12-27T00:00:00" u="1"/>
        <d v="2014-12-27T00:00:00" u="1"/>
        <d v="2018-12-27T00:00:00" u="1"/>
        <d v="2019-12-27T00:00:00" u="1"/>
        <d v="2020-12-27T00:00:00" u="1"/>
        <d v="2000-05-06T00:00:00" u="1"/>
        <d v="2001-05-06T00:00:00" u="1"/>
        <d v="2002-05-06T00:00:00" u="1"/>
        <d v="2001-01-17T00:00:00" u="1"/>
        <d v="2002-01-17T00:00:00" u="1"/>
        <d v="2003-01-17T00:00:00" u="1"/>
        <d v="2011-05-06T00:00:00" u="1"/>
        <d v="2012-05-06T00:00:00" u="1"/>
        <d v="2013-05-06T00:00:00" u="1"/>
        <d v="2014-05-06T00:00:00" u="1"/>
        <d v="2011-01-17T00:00:00" u="1"/>
        <d v="2012-01-17T00:00:00" u="1"/>
        <d v="2013-01-17T00:00:00" u="1"/>
        <d v="2018-05-06T00:00:00" u="1"/>
        <d v="2014-01-17T00:00:00" u="1"/>
        <d v="2019-05-06T00:00:00" u="1"/>
        <d v="2015-01-17T00:00:00" u="1"/>
        <d v="2020-05-06T00:00:00" u="1"/>
        <d v="2019-01-17T00:00:00" u="1"/>
        <d v="2020-01-17T00:00:00" u="1"/>
        <d v="2021-01-17T00:00:00" u="1"/>
        <d v="2000-06-06T00:00:00" u="1"/>
        <d v="2001-06-06T00:00:00" u="1"/>
        <d v="2002-06-06T00:00:00" u="1"/>
        <d v="2001-02-17T00:00:00" u="1"/>
        <d v="2002-02-17T00:00:00" u="1"/>
        <d v="2003-02-17T00:00:00" u="1"/>
        <d v="2011-06-06T00:00:00" u="1"/>
        <d v="2012-06-06T00:00:00" u="1"/>
        <d v="2013-06-06T00:00:00" u="1"/>
        <d v="2014-06-06T00:00:00" u="1"/>
        <d v="2011-02-17T00:00:00" u="1"/>
        <d v="2012-02-17T00:00:00" u="1"/>
        <d v="2013-02-17T00:00:00" u="1"/>
        <d v="2018-06-06T00:00:00" u="1"/>
        <d v="2014-02-17T00:00:00" u="1"/>
        <d v="2019-06-06T00:00:00" u="1"/>
        <d v="2015-02-17T00:00:00" u="1"/>
        <d v="2020-06-06T00:00:00" u="1"/>
        <d v="2018-02-17T00:00:00" u="1"/>
        <d v="2019-02-17T00:00:00" u="1"/>
        <d v="2020-02-17T00:00:00" u="1"/>
        <d v="2021-02-17T00:00:00" u="1"/>
        <d v="2000-07-06T00:00:00" u="1"/>
        <d v="2001-07-06T00:00:00" u="1"/>
        <d v="2002-07-06T00:00:00" u="1"/>
        <d v="2001-03-17T00:00:00" u="1"/>
        <d v="2002-03-17T00:00:00" u="1"/>
        <d v="2011-07-06T00:00:00" u="1"/>
        <d v="2012-07-06T00:00:00" u="1"/>
        <d v="2013-07-06T00:00:00" u="1"/>
        <d v="2014-07-06T00:00:00" u="1"/>
        <d v="2011-03-17T00:00:00" u="1"/>
        <d v="2012-03-17T00:00:00" u="1"/>
        <d v="2013-03-17T00:00:00" u="1"/>
        <d v="2018-07-06T00:00:00" u="1"/>
        <d v="2014-03-17T00:00:00" u="1"/>
        <d v="2019-07-06T00:00:00" u="1"/>
        <d v="2020-07-06T00:00:00" u="1"/>
        <d v="2018-03-17T00:00:00" u="1"/>
        <d v="2019-03-17T00:00:00" u="1"/>
        <d v="2020-03-17T00:00:00" u="1"/>
        <d v="2021-03-17T00:00:00" u="1"/>
        <d v="2000-08-06T00:00:00" u="1"/>
        <d v="2001-08-06T00:00:00" u="1"/>
        <d v="2002-08-06T00:00:00" u="1"/>
        <d v="2000-04-17T00:00:00" u="1"/>
        <d v="2001-04-17T00:00:00" u="1"/>
        <d v="2002-04-17T00:00:00" u="1"/>
        <d v="2011-08-06T00:00:00" u="1"/>
        <d v="2012-08-06T00:00:00" u="1"/>
        <d v="2013-08-06T00:00:00" u="1"/>
        <d v="2014-08-06T00:00:00" u="1"/>
        <d v="2011-04-17T00:00:00" u="1"/>
        <d v="2012-04-17T00:00:00" u="1"/>
        <d v="2013-04-17T00:00:00" u="1"/>
        <d v="2018-08-06T00:00:00" u="1"/>
        <d v="2014-04-17T00:00:00" u="1"/>
        <d v="2019-08-06T00:00:00" u="1"/>
        <d v="2020-08-06T00:00:00" u="1"/>
        <d v="2018-04-17T00:00:00" u="1"/>
        <d v="2019-04-17T00:00:00" u="1"/>
        <d v="2020-04-17T00:00:00" u="1"/>
        <d v="2021-04-17T00:00:00" u="1"/>
        <d v="2000-09-06T00:00:00" u="1"/>
        <d v="2001-09-06T00:00:00" u="1"/>
        <d v="2002-09-06T00:00:00" u="1"/>
        <d v="2000-05-17T00:00:00" u="1"/>
        <d v="2001-05-17T00:00:00" u="1"/>
        <d v="2002-05-17T00:00:00" u="1"/>
        <d v="2010-09-06T00:00:00" u="1"/>
        <d v="2001-01-28T00:00:00" u="1"/>
        <d v="2011-09-06T00:00:00" u="1"/>
        <d v="2002-01-28T00:00:00" u="1"/>
        <d v="2012-09-06T00:00:00" u="1"/>
        <d v="2003-01-28T00:00:00" u="1"/>
        <d v="2013-09-06T00:00:00" u="1"/>
        <d v="2014-09-06T00:00:00" u="1"/>
        <d v="2011-05-17T00:00:00" u="1"/>
        <d v="2012-05-17T00:00:00" u="1"/>
        <d v="2013-05-17T00:00:00" u="1"/>
        <d v="2018-09-06T00:00:00" u="1"/>
        <d v="2014-05-17T00:00:00" u="1"/>
        <d v="2019-09-06T00:00:00" u="1"/>
        <d v="2020-09-06T00:00:00" u="1"/>
        <d v="2011-01-28T00:00:00" u="1"/>
        <d v="2012-01-28T00:00:00" u="1"/>
        <d v="2013-01-28T00:00:00" u="1"/>
        <d v="2018-05-17T00:00:00" u="1"/>
        <d v="2014-01-28T00:00:00" u="1"/>
        <d v="2019-05-17T00:00:00" u="1"/>
        <d v="2015-01-28T00:00:00" u="1"/>
        <d v="2020-05-17T00:00:00" u="1"/>
        <d v="2019-01-28T00:00:00" u="1"/>
        <d v="2020-01-28T00:00:00" u="1"/>
        <d v="2021-01-28T00:00:00" u="1"/>
        <d v="2000-10-06T00:00:00" u="1"/>
        <d v="2001-10-06T00:00:00" u="1"/>
        <d v="2002-10-06T00:00:00" u="1"/>
        <d v="2000-06-17T00:00:00" u="1"/>
        <d v="2001-06-17T00:00:00" u="1"/>
        <d v="2002-06-17T00:00:00" u="1"/>
        <d v="2010-10-06T00:00:00" u="1"/>
        <d v="2001-02-28T00:00:00" u="1"/>
        <d v="2011-10-06T00:00:00" u="1"/>
        <d v="2002-02-28T00:00:00" u="1"/>
        <d v="2012-10-06T00:00:00" u="1"/>
        <d v="2003-02-28T00:00:00" u="1"/>
        <d v="2013-10-06T00:00:00" u="1"/>
        <d v="2014-10-06T00:00:00" u="1"/>
        <d v="2011-06-17T00:00:00" u="1"/>
        <d v="2012-06-17T00:00:00" u="1"/>
        <d v="2013-06-17T00:00:00" u="1"/>
        <d v="2018-10-06T00:00:00" u="1"/>
        <d v="2014-06-17T00:00:00" u="1"/>
        <d v="2019-10-06T00:00:00" u="1"/>
        <d v="2020-10-06T00:00:00" u="1"/>
        <d v="2011-02-28T00:00:00" u="1"/>
        <d v="2012-02-28T00:00:00" u="1"/>
        <d v="2013-02-28T00:00:00" u="1"/>
        <d v="2018-06-17T00:00:00" u="1"/>
        <d v="2014-02-28T00:00:00" u="1"/>
        <d v="2019-06-17T00:00:00" u="1"/>
        <d v="2015-02-28T00:00:00" u="1"/>
        <d v="2020-06-17T00:00:00" u="1"/>
        <d v="2018-02-28T00:00:00" u="1"/>
        <d v="2019-02-28T00:00:00" u="1"/>
        <d v="2020-02-28T00:00:00" u="1"/>
        <d v="2021-02-28T00:00:00" u="1"/>
        <d v="2000-11-06T00:00:00" u="1"/>
        <d v="2001-11-06T00:00:00" u="1"/>
        <d v="2002-11-06T00:00:00" u="1"/>
        <d v="2000-07-17T00:00:00" u="1"/>
        <d v="2001-07-17T00:00:00" u="1"/>
        <d v="2002-07-17T00:00:00" u="1"/>
        <d v="2000-03-28T00:00:00" u="1"/>
        <d v="2010-11-06T00:00:00" u="1"/>
        <d v="2001-03-28T00:00:00" u="1"/>
        <d v="2011-11-06T00:00:00" u="1"/>
        <d v="2002-03-28T00:00:00" u="1"/>
        <d v="2012-11-06T00:00:00" u="1"/>
        <d v="2013-11-06T00:00:00" u="1"/>
        <d v="2014-11-06T00:00:00" u="1"/>
        <d v="2011-07-17T00:00:00" u="1"/>
        <d v="2012-07-17T00:00:00" u="1"/>
        <d v="2013-07-17T00:00:00" u="1"/>
        <d v="2018-11-06T00:00:00" u="1"/>
        <d v="2014-07-17T00:00:00" u="1"/>
        <d v="2019-11-06T00:00:00" u="1"/>
        <d v="2020-11-06T00:00:00" u="1"/>
        <d v="2011-03-28T00:00:00" u="1"/>
        <d v="2012-03-28T00:00:00" u="1"/>
        <d v="2013-03-28T00:00:00" u="1"/>
        <d v="2018-07-17T00:00:00" u="1"/>
        <d v="2014-03-28T00:00:00" u="1"/>
        <d v="2019-07-17T00:00:00" u="1"/>
        <d v="2020-07-17T00:00:00" u="1"/>
        <d v="2018-03-28T00:00:00" u="1"/>
        <d v="2019-03-28T00:00:00" u="1"/>
        <d v="2020-03-28T00:00:00" u="1"/>
        <d v="2021-03-28T00:00:00" u="1"/>
        <d v="2000-12-06T00:00:00" u="1"/>
        <d v="2001-12-06T00:00:00" u="1"/>
        <d v="2002-12-06T00:00:00" u="1"/>
        <d v="2000-08-17T00:00:00" u="1"/>
        <d v="2001-08-17T00:00:00" u="1"/>
        <d v="2002-08-17T00:00:00" u="1"/>
        <d v="2000-04-28T00:00:00" u="1"/>
        <d v="2010-12-06T00:00:00" u="1"/>
        <d v="2001-04-28T00:00:00" u="1"/>
        <d v="2011-12-06T00:00:00" u="1"/>
        <d v="2002-04-28T00:00:00" u="1"/>
        <d v="2012-12-06T00:00:00" u="1"/>
        <d v="2013-12-06T00:00:00" u="1"/>
        <d v="2014-12-06T00:00:00" u="1"/>
        <d v="2011-08-17T00:00:00" u="1"/>
        <d v="2012-08-17T00:00:00" u="1"/>
        <d v="2013-08-17T00:00:00" u="1"/>
        <d v="2018-12-06T00:00:00" u="1"/>
        <d v="2014-08-17T00:00:00" u="1"/>
        <d v="2019-12-06T00:00:00" u="1"/>
        <d v="2020-12-06T00:00:00" u="1"/>
        <d v="2011-04-28T00:00:00" u="1"/>
        <d v="2012-04-28T00:00:00" u="1"/>
        <d v="2013-04-28T00:00:00" u="1"/>
        <d v="2018-08-17T00:00:00" u="1"/>
        <d v="2014-04-28T00:00:00" u="1"/>
        <d v="2019-08-17T00:00:00" u="1"/>
        <d v="2020-08-17T00:00:00" u="1"/>
        <d v="2018-04-28T00:00:00" u="1"/>
        <d v="2019-04-28T00:00:00" u="1"/>
        <d v="2020-04-28T00:00:00" u="1"/>
        <d v="2021-04-28T00:00:00" u="1"/>
        <d v="2000-09-17T00:00:00" u="1"/>
        <d v="2001-09-17T00:00:00" u="1"/>
        <d v="2002-09-17T00:00:00" u="1"/>
        <d v="2000-05-28T00:00:00" u="1"/>
        <d v="2001-05-28T00:00:00" u="1"/>
        <d v="2002-05-28T00:00:00" u="1"/>
        <d v="2010-09-17T00:00:00" u="1"/>
        <d v="2011-09-17T00:00:00" u="1"/>
        <d v="2012-09-17T00:00:00" u="1"/>
        <d v="2013-09-17T00:00:00" u="1"/>
        <d v="2014-09-17T00:00:00" u="1"/>
        <d v="2011-05-28T00:00:00" u="1"/>
        <d v="2012-05-28T00:00:00" u="1"/>
        <d v="2013-05-28T00:00:00" u="1"/>
        <d v="2018-09-17T00:00:00" u="1"/>
        <d v="2014-05-28T00:00:00" u="1"/>
        <d v="2019-09-17T00:00:00" u="1"/>
        <d v="2020-09-17T00:00:00" u="1"/>
        <d v="2018-05-28T00:00:00" u="1"/>
        <d v="2019-05-28T00:00:00" u="1"/>
        <d v="2020-05-28T00:00:00" u="1"/>
        <d v="2000-10-17T00:00:00" u="1"/>
        <d v="2001-10-17T00:00:00" u="1"/>
        <d v="2002-10-17T00:00:00" u="1"/>
        <d v="2000-06-28T00:00:00" u="1"/>
        <d v="2001-06-28T00:00:00" u="1"/>
        <d v="2002-06-28T00:00:00" u="1"/>
        <d v="2010-10-17T00:00:00" u="1"/>
        <d v="2011-10-17T00:00:00" u="1"/>
        <d v="2012-10-17T00:00:00" u="1"/>
        <d v="2013-10-17T00:00:00" u="1"/>
        <d v="2014-10-17T00:00:00" u="1"/>
        <d v="2011-06-28T00:00:00" u="1"/>
        <d v="2012-06-28T00:00:00" u="1"/>
        <d v="2013-06-28T00:00:00" u="1"/>
        <d v="2018-10-17T00:00:00" u="1"/>
        <d v="2014-06-28T00:00:00" u="1"/>
        <d v="2019-10-17T00:00:00" u="1"/>
        <d v="2020-10-17T00:00:00" u="1"/>
        <d v="2018-06-28T00:00:00" u="1"/>
        <d v="2019-06-28T00:00:00" u="1"/>
        <d v="2020-06-28T00:00:00" u="1"/>
        <d v="2000-11-17T00:00:00" u="1"/>
        <d v="2001-11-17T00:00:00" u="1"/>
        <d v="2002-11-17T00:00:00" u="1"/>
        <d v="2000-07-28T00:00:00" u="1"/>
        <d v="2001-07-28T00:00:00" u="1"/>
        <d v="2002-07-28T00:00:00" u="1"/>
        <d v="2010-11-17T00:00:00" u="1"/>
        <d v="2011-11-17T00:00:00" u="1"/>
        <d v="2012-11-17T00:00:00" u="1"/>
        <d v="2013-11-17T00:00:00" u="1"/>
        <d v="2014-11-17T00:00:00" u="1"/>
        <d v="2011-07-28T00:00:00" u="1"/>
        <d v="2012-07-28T00:00:00" u="1"/>
        <d v="2013-07-28T00:00:00" u="1"/>
        <d v="2018-11-17T00:00:00" u="1"/>
        <d v="2014-07-28T00:00:00" u="1"/>
        <d v="2019-11-17T00:00:00" u="1"/>
        <d v="2020-11-17T00:00:00" u="1"/>
        <d v="2018-07-28T00:00:00" u="1"/>
        <d v="2019-07-28T00:00:00" u="1"/>
        <d v="2020-07-28T00:00:00" u="1"/>
        <d v="2000-12-17T00:00:00" u="1"/>
        <d v="2001-12-17T00:00:00" u="1"/>
        <d v="2002-12-17T00:00:00" u="1"/>
        <d v="2000-08-28T00:00:00" u="1"/>
        <d v="2001-08-28T00:00:00" u="1"/>
        <d v="2002-08-28T00:00:00" u="1"/>
        <d v="2010-12-17T00:00:00" u="1"/>
        <d v="2011-12-17T00:00:00" u="1"/>
        <d v="2012-12-17T00:00:00" u="1"/>
        <d v="2013-12-17T00:00:00" u="1"/>
        <d v="2014-12-17T00:00:00" u="1"/>
        <d v="2010-08-28T00:00:00" u="1"/>
        <d v="2011-08-28T00:00:00" u="1"/>
        <d v="2012-08-28T00:00:00" u="1"/>
        <d v="2013-08-28T00:00:00" u="1"/>
        <d v="2018-12-17T00:00:00" u="1"/>
        <d v="2014-08-28T00:00:00" u="1"/>
        <d v="2019-12-17T00:00:00" u="1"/>
        <d v="2020-12-17T00:00:00" u="1"/>
        <d v="2018-08-28T00:00:00" u="1"/>
        <d v="2019-08-28T00:00:00" u="1"/>
        <d v="2020-08-28T00:00:00" u="1"/>
        <d v="2001-01-07T00:00:00" u="1"/>
        <d v="2002-01-07T00:00:00" u="1"/>
        <d v="2003-01-07T00:00:00" u="1"/>
        <d v="2000-09-28T00:00:00" u="1"/>
        <d v="2001-09-28T00:00:00" u="1"/>
        <d v="2011-01-07T00:00:00" u="1"/>
        <d v="2002-09-28T00:00:00" u="1"/>
        <d v="2012-01-07T00:00:00" u="1"/>
        <d v="2013-01-07T00:00:00" u="1"/>
        <d v="2014-01-07T00:00:00" u="1"/>
        <d v="2015-01-07T00:00:00" u="1"/>
        <d v="2019-01-07T00:00:00" u="1"/>
        <d v="2010-09-28T00:00:00" u="1"/>
        <d v="2020-01-07T00:00:00" u="1"/>
        <d v="2011-09-28T00:00:00" u="1"/>
        <d v="2021-01-07T00:00:00" u="1"/>
        <d v="2012-09-28T00:00:00" u="1"/>
        <d v="2013-09-28T00:00:00" u="1"/>
        <d v="2014-09-28T00:00:00" u="1"/>
        <d v="2018-09-28T00:00:00" u="1"/>
        <d v="2019-09-28T00:00:00" u="1"/>
        <d v="2020-09-28T00:00:00" u="1"/>
        <d v="2001-02-07T00:00:00" u="1"/>
        <d v="2002-02-07T00:00:00" u="1"/>
        <d v="2003-02-07T00:00:00" u="1"/>
        <d v="2000-10-28T00:00:00" u="1"/>
        <d v="2001-10-28T00:00:00" u="1"/>
        <d v="2011-02-07T00:00:00" u="1"/>
        <d v="2002-10-28T00:00:00" u="1"/>
        <d v="2012-02-07T00:00:00" u="1"/>
        <d v="2013-02-07T00:00:00" u="1"/>
        <d v="2014-02-07T00:00:00" u="1"/>
        <d v="2015-02-07T00:00:00" u="1"/>
        <d v="2018-02-07T00:00:00" u="1"/>
        <d v="2019-02-07T00:00:00" u="1"/>
        <d v="2010-10-28T00:00:00" u="1"/>
        <d v="2020-02-07T00:00:00" u="1"/>
        <d v="2011-10-28T00:00:00" u="1"/>
        <d v="2021-02-07T00:00:00" u="1"/>
        <d v="2012-10-28T00:00:00" u="1"/>
        <d v="2013-10-28T00:00:00" u="1"/>
        <d v="2014-10-28T00:00:00" u="1"/>
        <d v="2018-10-28T00:00:00" u="1"/>
        <d v="2019-10-28T00:00:00" u="1"/>
        <d v="2020-10-28T00:00:00" u="1"/>
        <d v="2001-03-07T00:00:00" u="1"/>
        <d v="2002-03-07T00:00:00" u="1"/>
        <d v="2000-11-28T00:00:00" u="1"/>
        <d v="2001-11-28T00:00:00" u="1"/>
        <d v="2011-03-07T00:00:00" u="1"/>
        <d v="2002-11-28T00:00:00" u="1"/>
        <d v="2012-03-07T00:00:00" u="1"/>
        <d v="2013-03-07T00:00:00" u="1"/>
        <d v="2014-03-07T00:00:00" u="1"/>
        <d v="2015-03-07T00:00:00" u="1"/>
        <d v="2018-03-07T00:00:00" u="1"/>
        <d v="2019-03-07T00:00:00" u="1"/>
        <d v="2010-11-28T00:00:00" u="1"/>
        <d v="2020-03-07T00:00:00" u="1"/>
        <d v="2011-11-28T00:00:00" u="1"/>
        <d v="2021-03-07T00:00:00" u="1"/>
        <d v="2012-11-28T00:00:00" u="1"/>
        <d v="2013-11-28T00:00:00" u="1"/>
        <d v="2014-11-28T00:00:00" u="1"/>
        <d v="2018-11-28T00:00:00" u="1"/>
        <d v="2019-11-28T00:00:00" u="1"/>
        <d v="2020-11-28T00:00:00" u="1"/>
        <d v="2000-04-07T00:00:00" u="1"/>
        <d v="2001-04-07T00:00:00" u="1"/>
        <d v="2002-04-07T00:00:00" u="1"/>
        <d v="2000-12-28T00:00:00" u="1"/>
        <d v="2001-12-28T00:00:00" u="1"/>
        <d v="2011-04-07T00:00:00" u="1"/>
        <d v="2002-12-28T00:00:00" u="1"/>
        <d v="2012-04-07T00:00:00" u="1"/>
        <d v="2013-04-07T00:00:00" u="1"/>
        <d v="2014-04-07T00:00:00" u="1"/>
        <d v="2018-04-07T00:00:00" u="1"/>
        <d v="2019-04-07T00:00:00" u="1"/>
        <d v="2010-12-28T00:00:00" u="1"/>
        <d v="2020-04-07T00:00:00" u="1"/>
        <d v="2011-12-28T00:00:00" u="1"/>
        <d v="2021-04-07T00:00:00" u="1"/>
        <d v="2012-12-28T00:00:00" u="1"/>
        <d v="2013-12-28T00:00:00" u="1"/>
        <d v="2014-12-28T00:00:00" u="1"/>
        <d v="2018-12-28T00:00:00" u="1"/>
        <d v="2019-12-28T00:00:00" u="1"/>
        <d v="2020-12-28T00:00:00" u="1"/>
        <d v="2000-05-07T00:00:00" u="1"/>
        <d v="2001-05-07T00:00:00" u="1"/>
        <d v="2002-05-07T00:00:00" u="1"/>
        <d v="2001-01-18T00:00:00" u="1"/>
        <d v="2002-01-18T00:00:00" u="1"/>
        <d v="2003-01-18T00:00:00" u="1"/>
        <d v="2011-05-07T00:00:00" u="1"/>
        <d v="2012-05-07T00:00:00" u="1"/>
        <d v="2013-05-07T00:00:00" u="1"/>
        <d v="2014-05-07T00:00:00" u="1"/>
        <d v="2011-01-18T00:00:00" u="1"/>
        <d v="2012-01-18T00:00:00" u="1"/>
        <d v="2013-01-18T00:00:00" u="1"/>
        <d v="2018-05-07T00:00:00" u="1"/>
        <d v="2014-01-18T00:00:00" u="1"/>
        <d v="2019-05-07T00:00:00" u="1"/>
        <d v="2015-01-18T00:00:00" u="1"/>
        <d v="2020-05-07T00:00:00" u="1"/>
        <d v="2019-01-18T00:00:00" u="1"/>
        <d v="2020-01-18T00:00:00" u="1"/>
        <d v="2021-01-18T00:00:00" u="1"/>
        <d v="2000-06-07T00:00:00" u="1"/>
        <d v="2001-06-07T00:00:00" u="1"/>
        <d v="2002-06-07T00:00:00" u="1"/>
        <d v="2001-02-18T00:00:00" u="1"/>
        <d v="2002-02-18T00:00:00" u="1"/>
        <d v="2003-02-18T00:00:00" u="1"/>
        <d v="2011-06-07T00:00:00" u="1"/>
        <d v="2012-06-07T00:00:00" u="1"/>
        <d v="2013-06-07T00:00:00" u="1"/>
        <d v="2014-06-07T00:00:00" u="1"/>
        <d v="2011-02-18T00:00:00" u="1"/>
        <d v="2012-02-18T00:00:00" u="1"/>
        <d v="2013-02-18T00:00:00" u="1"/>
        <d v="2018-06-07T00:00:00" u="1"/>
        <d v="2014-02-18T00:00:00" u="1"/>
        <d v="2019-06-07T00:00:00" u="1"/>
        <d v="2015-02-18T00:00:00" u="1"/>
        <d v="2020-06-07T00:00:00" u="1"/>
        <d v="2018-02-18T00:00:00" u="1"/>
        <d v="2019-02-18T00:00:00" u="1"/>
        <d v="2020-02-18T00:00:00" u="1"/>
        <d v="2021-02-18T00:00:00" u="1"/>
        <d v="2000-07-07T00:00:00" u="1"/>
        <d v="2001-07-07T00:00:00" u="1"/>
        <d v="2002-07-07T00:00:00" u="1"/>
        <d v="2001-03-18T00:00:00" u="1"/>
        <d v="2002-03-18T00:00:00" u="1"/>
        <d v="2011-07-07T00:00:00" u="1"/>
        <d v="2012-07-07T00:00:00" u="1"/>
        <d v="2013-07-07T00:00:00" u="1"/>
        <d v="2014-07-07T00:00:00" u="1"/>
        <d v="2011-03-18T00:00:00" u="1"/>
        <d v="2012-03-18T00:00:00" u="1"/>
        <d v="2013-03-18T00:00:00" u="1"/>
        <d v="2018-07-07T00:00:00" u="1"/>
        <d v="2014-03-18T00:00:00" u="1"/>
        <d v="2019-07-07T00:00:00" u="1"/>
        <d v="2020-07-07T00:00:00" u="1"/>
        <d v="2018-03-18T00:00:00" u="1"/>
        <d v="2019-03-18T00:00:00" u="1"/>
        <d v="2020-03-18T00:00:00" u="1"/>
        <d v="2021-03-18T00:00:00" u="1"/>
        <d v="2000-08-07T00:00:00" u="1"/>
        <d v="2001-08-07T00:00:00" u="1"/>
        <d v="2002-08-07T00:00:00" u="1"/>
        <d v="2000-04-18T00:00:00" u="1"/>
        <d v="2001-04-18T00:00:00" u="1"/>
        <d v="2002-04-18T00:00:00" u="1"/>
        <d v="2011-08-07T00:00:00" u="1"/>
        <d v="2012-08-07T00:00:00" u="1"/>
        <d v="2013-08-07T00:00:00" u="1"/>
        <d v="2014-08-07T00:00:00" u="1"/>
        <d v="2011-04-18T00:00:00" u="1"/>
        <d v="2012-04-18T00:00:00" u="1"/>
        <d v="2013-04-18T00:00:00" u="1"/>
        <d v="2018-08-07T00:00:00" u="1"/>
        <d v="2014-04-18T00:00:00" u="1"/>
        <d v="2019-08-07T00:00:00" u="1"/>
        <d v="2020-08-07T00:00:00" u="1"/>
        <d v="2018-04-18T00:00:00" u="1"/>
        <d v="2019-04-18T00:00:00" u="1"/>
        <d v="2020-04-18T00:00:00" u="1"/>
        <d v="2021-04-18T00:00:00" u="1"/>
        <d v="2000-09-07T00:00:00" u="1"/>
        <d v="2001-09-07T00:00:00" u="1"/>
        <d v="2002-09-07T00:00:00" u="1"/>
        <d v="2000-05-18T00:00:00" u="1"/>
        <d v="2001-05-18T00:00:00" u="1"/>
        <d v="2002-05-18T00:00:00" u="1"/>
        <d v="2010-09-07T00:00:00" u="1"/>
        <d v="2001-01-29T00:00:00" u="1"/>
        <d v="2011-09-07T00:00:00" u="1"/>
        <d v="2002-01-29T00:00:00" u="1"/>
        <d v="2012-09-07T00:00:00" u="1"/>
        <d v="2003-01-29T00:00:00" u="1"/>
        <d v="2013-09-07T00:00:00" u="1"/>
        <d v="2014-09-07T00:00:00" u="1"/>
        <d v="2011-05-18T00:00:00" u="1"/>
        <d v="2012-05-18T00:00:00" u="1"/>
        <d v="2013-05-18T00:00:00" u="1"/>
        <d v="2018-09-07T00:00:00" u="1"/>
        <d v="2014-05-18T00:00:00" u="1"/>
        <d v="2019-09-07T00:00:00" u="1"/>
        <d v="2020-09-07T00:00:00" u="1"/>
        <d v="2011-01-29T00:00:00" u="1"/>
        <d v="2012-01-29T00:00:00" u="1"/>
        <d v="2013-01-29T00:00:00" u="1"/>
        <d v="2018-05-18T00:00:00" u="1"/>
        <d v="2014-01-29T00:00:00" u="1"/>
        <d v="2019-05-18T00:00:00" u="1"/>
        <d v="2015-01-29T00:00:00" u="1"/>
        <d v="2020-05-18T00:00:00" u="1"/>
        <d v="2019-01-29T00:00:00" u="1"/>
        <d v="2020-01-29T00:00:00" u="1"/>
        <d v="2021-01-29T00:00:00" u="1"/>
        <d v="2000-10-07T00:00:00" u="1"/>
        <d v="2001-10-07T00:00:00" u="1"/>
        <d v="2002-10-07T00:00:00" u="1"/>
        <d v="2000-06-18T00:00:00" u="1"/>
        <d v="2001-06-18T00:00:00" u="1"/>
        <d v="2002-06-18T00:00:00" u="1"/>
        <d v="2010-10-07T00:00:00" u="1"/>
        <d v="2011-10-07T00:00:00" u="1"/>
        <d v="2012-10-07T00:00:00" u="1"/>
        <d v="2013-10-07T00:00:00" u="1"/>
        <d v="2014-10-07T00:00:00" u="1"/>
        <d v="2011-06-18T00:00:00" u="1"/>
        <d v="2012-06-18T00:00:00" u="1"/>
        <d v="2013-06-18T00:00:00" u="1"/>
        <d v="2018-10-07T00:00:00" u="1"/>
        <d v="2014-06-18T00:00:00" u="1"/>
        <d v="2019-10-07T00:00:00" u="1"/>
        <d v="2020-10-07T00:00:00" u="1"/>
        <d v="2012-02-29T00:00:00" u="1"/>
        <d v="2018-06-18T00:00:00" u="1"/>
        <d v="2019-06-18T00:00:00" u="1"/>
        <d v="2020-06-18T00:00:00" u="1"/>
        <d v="2020-02-29T00:00:00" u="1"/>
        <d v="2000-11-07T00:00:00" u="1"/>
        <d v="2001-11-07T00:00:00" u="1"/>
        <d v="2002-11-07T00:00:00" u="1"/>
        <d v="2000-07-18T00:00:00" u="1"/>
        <d v="2001-07-18T00:00:00" u="1"/>
        <d v="2002-07-18T00:00:00" u="1"/>
        <d v="2000-03-29T00:00:00" u="1"/>
        <d v="2010-11-07T00:00:00" u="1"/>
        <d v="2001-03-29T00:00:00" u="1"/>
        <d v="2011-11-07T00:00:00" u="1"/>
        <d v="2002-03-29T00:00:00" u="1"/>
        <d v="2012-11-07T00:00:00" u="1"/>
        <d v="2013-11-07T00:00:00" u="1"/>
        <d v="2014-11-07T00:00:00" u="1"/>
        <d v="2011-07-18T00:00:00" u="1"/>
        <d v="2012-07-18T00:00:00" u="1"/>
        <d v="2013-07-18T00:00:00" u="1"/>
        <d v="2018-11-07T00:00:00" u="1"/>
        <d v="2014-07-18T00:00:00" u="1"/>
        <d v="2019-11-07T00:00:00" u="1"/>
        <d v="2020-11-07T00:00:00" u="1"/>
        <d v="2011-03-29T00:00:00" u="1"/>
        <d v="2012-03-29T00:00:00" u="1"/>
        <d v="2013-03-29T00:00:00" u="1"/>
        <d v="2018-07-18T00:00:00" u="1"/>
        <d v="2014-03-29T00:00:00" u="1"/>
        <d v="2019-07-18T00:00:00" u="1"/>
        <d v="2020-07-18T00:00:00" u="1"/>
        <d v="2018-03-29T00:00:00" u="1"/>
        <d v="2019-03-29T00:00:00" u="1"/>
        <d v="2020-03-29T00:00:00" u="1"/>
        <d v="2021-03-29T00:00:00" u="1"/>
        <d v="2000-12-07T00:00:00" u="1"/>
        <d v="2001-12-07T00:00:00" u="1"/>
        <d v="2002-12-07T00:00:00" u="1"/>
        <d v="2000-08-18T00:00:00" u="1"/>
        <d v="2001-08-18T00:00:00" u="1"/>
        <d v="2002-08-18T00:00:00" u="1"/>
        <d v="2000-04-29T00:00:00" u="1"/>
        <d v="2010-12-07T00:00:00" u="1"/>
        <d v="2001-04-29T00:00:00" u="1"/>
        <d v="2011-12-07T00:00:00" u="1"/>
        <d v="2002-04-29T00:00:00" u="1"/>
        <d v="2012-12-07T00:00:00" u="1"/>
        <d v="2013-12-07T00:00:00" u="1"/>
        <d v="2014-12-07T00:00:00" u="1"/>
        <d v="2011-08-18T00:00:00" u="1"/>
        <d v="2012-08-18T00:00:00" u="1"/>
        <d v="2013-08-18T00:00:00" u="1"/>
        <d v="2018-12-07T00:00:00" u="1"/>
        <d v="2014-08-18T00:00:00" u="1"/>
        <d v="2019-12-07T00:00:00" u="1"/>
        <d v="2020-12-07T00:00:00" u="1"/>
        <d v="2011-04-29T00:00:00" u="1"/>
        <d v="2012-04-29T00:00:00" u="1"/>
        <d v="2013-04-29T00:00:00" u="1"/>
        <d v="2018-08-18T00:00:00" u="1"/>
        <d v="2014-04-29T00:00:00" u="1"/>
        <d v="2019-08-18T00:00:00" u="1"/>
        <d v="2020-08-18T00:00:00" u="1"/>
        <d v="2018-04-29T00:00:00" u="1"/>
        <d v="2019-04-29T00:00:00" u="1"/>
        <d v="2020-04-29T00:00:00" u="1"/>
        <d v="2021-04-29T00:00:00" u="1"/>
        <d v="2000-09-18T00:00:00" u="1"/>
        <d v="2001-09-18T00:00:00" u="1"/>
        <d v="2002-09-18T00:00:00" u="1"/>
        <d v="2000-05-29T00:00:00" u="1"/>
        <d v="2001-05-29T00:00:00" u="1"/>
        <d v="2002-05-29T00:00:00" u="1"/>
        <d v="2010-09-18T00:00:00" u="1"/>
        <d v="2011-09-18T00:00:00" u="1"/>
        <d v="2012-09-18T00:00:00" u="1"/>
        <d v="2013-09-18T00:00:00" u="1"/>
        <d v="2014-09-18T00:00:00" u="1"/>
        <d v="2011-05-29T00:00:00" u="1"/>
        <d v="2012-05-29T00:00:00" u="1"/>
        <d v="2013-05-29T00:00:00" u="1"/>
        <d v="2018-09-18T00:00:00" u="1"/>
        <d v="2014-05-29T00:00:00" u="1"/>
        <d v="2019-09-18T00:00:00" u="1"/>
        <d v="2020-09-18T00:00:00" u="1"/>
        <d v="2018-05-29T00:00:00" u="1"/>
        <d v="2019-05-29T00:00:00" u="1"/>
        <d v="2020-05-29T00:00:00" u="1"/>
        <d v="2000-10-18T00:00:00" u="1"/>
        <d v="2001-10-18T00:00:00" u="1"/>
        <d v="2002-10-18T00:00:00" u="1"/>
        <d v="2000-06-29T00:00:00" u="1"/>
        <d v="2001-06-29T00:00:00" u="1"/>
        <d v="2002-06-29T00:00:00" u="1"/>
        <d v="2010-10-18T00:00:00" u="1"/>
        <d v="2011-10-18T00:00:00" u="1"/>
        <d v="2012-10-18T00:00:00" u="1"/>
        <d v="2013-10-18T00:00:00" u="1"/>
        <d v="2014-10-18T00:00:00" u="1"/>
        <d v="2011-06-29T00:00:00" u="1"/>
        <d v="2012-06-29T00:00:00" u="1"/>
        <d v="2013-06-29T00:00:00" u="1"/>
        <d v="2018-10-18T00:00:00" u="1"/>
        <d v="2014-06-29T00:00:00" u="1"/>
        <d v="2019-10-18T00:00:00" u="1"/>
        <d v="2020-10-18T00:00:00" u="1"/>
        <d v="2018-06-29T00:00:00" u="1"/>
        <d v="2019-06-29T00:00:00" u="1"/>
        <d v="2020-06-29T00:00:00" u="1"/>
        <d v="2000-11-18T00:00:00" u="1"/>
        <d v="2001-11-18T00:00:00" u="1"/>
        <d v="2002-11-18T00:00:00" u="1"/>
        <d v="2000-07-29T00:00:00" u="1"/>
        <d v="2001-07-29T00:00:00" u="1"/>
        <d v="2002-07-29T00:00:00" u="1"/>
        <d v="2010-11-18T00:00:00" u="1"/>
        <d v="2011-11-18T00:00:00" u="1"/>
        <d v="2012-11-18T00:00:00" u="1"/>
        <d v="2013-11-18T00:00:00" u="1"/>
        <d v="2014-11-18T00:00:00" u="1"/>
        <d v="2011-07-29T00:00:00" u="1"/>
        <d v="2012-07-29T00:00:00" u="1"/>
        <d v="2013-07-29T00:00:00" u="1"/>
        <d v="2018-11-18T00:00:00" u="1"/>
        <d v="2014-07-29T00:00:00" u="1"/>
        <d v="2019-11-18T00:00:00" u="1"/>
        <d v="2020-11-18T00:00:00" u="1"/>
        <d v="2018-07-29T00:00:00" u="1"/>
        <d v="2019-07-29T00:00:00" u="1"/>
        <d v="2020-07-29T00:00:00" u="1"/>
        <d v="2000-12-18T00:00:00" u="1"/>
        <d v="2001-12-18T00:00:00" u="1"/>
        <d v="2002-12-18T00:00:00" u="1"/>
        <d v="2000-08-29T00:00:00" u="1"/>
        <d v="2001-08-29T00:00:00" u="1"/>
        <d v="2002-08-29T00:00:00" u="1"/>
        <d v="2010-12-18T00:00:00" u="1"/>
        <d v="2011-12-18T00:00:00" u="1"/>
        <d v="2012-12-18T00:00:00" u="1"/>
        <d v="2013-12-18T00:00:00" u="1"/>
        <d v="2014-12-18T00:00:00" u="1"/>
        <d v="2010-08-29T00:00:00" u="1"/>
        <d v="2011-08-29T00:00:00" u="1"/>
        <d v="2012-08-29T00:00:00" u="1"/>
        <d v="2013-08-29T00:00:00" u="1"/>
        <d v="2018-12-18T00:00:00" u="1"/>
        <d v="2014-08-29T00:00:00" u="1"/>
        <d v="2019-12-18T00:00:00" u="1"/>
        <d v="2020-12-18T00:00:00" u="1"/>
        <d v="2018-08-29T00:00:00" u="1"/>
        <d v="2019-08-29T00:00:00" u="1"/>
        <d v="2020-08-29T00:00:00" u="1"/>
        <d v="2001-01-08T00:00:00" u="1"/>
        <d v="2002-01-08T00:00:00" u="1"/>
        <d v="2003-01-08T00:00:00" u="1"/>
        <d v="2000-09-29T00:00:00" u="1"/>
        <d v="2001-09-29T00:00:00" u="1"/>
        <d v="2011-01-08T00:00:00" u="1"/>
        <d v="2002-09-29T00:00:00" u="1"/>
        <d v="2012-01-08T00:00:00" u="1"/>
        <d v="2013-01-08T00:00:00" u="1"/>
        <d v="2014-01-08T00:00:00" u="1"/>
        <d v="2015-01-08T00:00:00" u="1"/>
        <d v="2019-01-08T00:00:00" u="1"/>
        <d v="2010-09-29T00:00:00" u="1"/>
        <d v="2020-01-08T00:00:00" u="1"/>
        <d v="2011-09-29T00:00:00" u="1"/>
        <d v="2021-01-08T00:00:00" u="1"/>
        <d v="2012-09-29T00:00:00" u="1"/>
        <d v="2013-09-29T00:00:00" u="1"/>
        <d v="2014-09-29T00:00:00" u="1"/>
        <d v="2018-09-29T00:00:00" u="1"/>
        <d v="2019-09-29T00:00:00" u="1"/>
        <d v="2020-09-29T00:00:00" u="1"/>
        <d v="2001-02-08T00:00:00" u="1"/>
        <d v="2002-02-08T00:00:00" u="1"/>
        <d v="2003-02-08T00:00:00" u="1"/>
        <d v="2000-10-29T00:00:00" u="1"/>
        <d v="2001-10-29T00:00:00" u="1"/>
        <d v="2011-02-08T00:00:00" u="1"/>
        <d v="2002-10-29T00:00:00" u="1"/>
        <d v="2012-02-08T00:00:00" u="1"/>
        <d v="2013-02-08T00:00:00" u="1"/>
        <d v="2014-02-08T00:00:00" u="1"/>
        <d v="2015-02-08T00:00:00" u="1"/>
        <d v="2018-02-08T00:00:00" u="1"/>
        <d v="2019-02-08T00:00:00" u="1"/>
        <d v="2010-10-29T00:00:00" u="1"/>
        <d v="2020-02-08T00:00:00" u="1"/>
        <d v="2011-10-29T00:00:00" u="1"/>
        <d v="2021-02-08T00:00:00" u="1"/>
        <d v="2012-10-29T00:00:00" u="1"/>
        <d v="2013-10-29T00:00:00" u="1"/>
        <d v="2014-10-29T00:00:00" u="1"/>
        <d v="2018-10-29T00:00:00" u="1"/>
        <d v="2019-10-29T00:00:00" u="1"/>
        <d v="2020-10-29T00:00:00" u="1"/>
        <d v="2001-03-08T00:00:00" u="1"/>
        <d v="2002-03-08T00:00:00" u="1"/>
        <d v="2000-11-29T00:00:00" u="1"/>
        <d v="2001-11-29T00:00:00" u="1"/>
        <d v="2011-03-08T00:00:00" u="1"/>
        <d v="2002-11-29T00:00:00" u="1"/>
        <d v="2012-03-08T00:00:00" u="1"/>
        <d v="2013-03-08T00:00:00" u="1"/>
        <d v="2014-03-08T00:00:00" u="1"/>
        <d v="2015-03-08T00:00:00" u="1"/>
        <d v="2018-03-08T00:00:00" u="1"/>
        <d v="2019-03-08T00:00:00" u="1"/>
        <d v="2010-11-29T00:00:00" u="1"/>
        <d v="2020-03-08T00:00:00" u="1"/>
        <d v="2011-11-29T00:00:00" u="1"/>
        <d v="2021-03-08T00:00:00" u="1"/>
        <d v="2012-11-29T00:00:00" u="1"/>
        <d v="2013-11-29T00:00:00" u="1"/>
        <d v="2014-11-29T00:00:00" u="1"/>
        <d v="2018-11-29T00:00:00" u="1"/>
        <d v="2019-11-29T00:00:00" u="1"/>
        <d v="2020-11-29T00:00:00" u="1"/>
        <d v="2000-04-08T00:00:00" u="1"/>
        <d v="2001-04-08T00:00:00" u="1"/>
        <d v="2002-04-08T00:00:00" u="1"/>
        <d v="2000-12-29T00:00:00" u="1"/>
        <d v="2001-12-29T00:00:00" u="1"/>
        <d v="2011-04-08T00:00:00" u="1"/>
        <d v="2002-12-29T00:00:00" u="1"/>
        <d v="2012-04-08T00:00:00" u="1"/>
        <d v="2013-04-08T00:00:00" u="1"/>
        <d v="2014-04-08T00:00:00" u="1"/>
        <d v="2018-04-08T00:00:00" u="1"/>
        <d v="2019-04-08T00:00:00" u="1"/>
        <d v="2010-12-29T00:00:00" u="1"/>
        <d v="2020-04-08T00:00:00" u="1"/>
        <d v="2011-12-29T00:00:00" u="1"/>
        <d v="2021-04-08T00:00:00" u="1"/>
        <d v="2012-12-29T00:00:00" u="1"/>
        <d v="2013-12-29T00:00:00" u="1"/>
        <d v="2014-12-29T00:00:00" u="1"/>
        <d v="2018-12-29T00:00:00" u="1"/>
        <d v="2019-12-29T00:00:00" u="1"/>
        <d v="2020-12-29T00:00:00" u="1"/>
        <d v="2000-05-08T00:00:00" u="1"/>
        <d v="2001-05-08T00:00:00" u="1"/>
        <d v="2002-05-08T00:00:00" u="1"/>
        <d v="2001-01-19T00:00:00" u="1"/>
        <d v="2002-01-19T00:00:00" u="1"/>
        <d v="2003-01-19T00:00:00" u="1"/>
        <d v="2011-05-08T00:00:00" u="1"/>
        <d v="2012-05-08T00:00:00" u="1"/>
        <d v="2013-05-08T00:00:00" u="1"/>
        <d v="2014-05-08T00:00:00" u="1"/>
        <d v="2011-01-19T00:00:00" u="1"/>
        <d v="2012-01-19T00:00:00" u="1"/>
        <d v="2013-01-19T00:00:00" u="1"/>
        <d v="2018-05-08T00:00:00" u="1"/>
        <d v="2014-01-19T00:00:00" u="1"/>
        <d v="2019-05-08T00:00:00" u="1"/>
        <d v="2015-01-19T00:00:00" u="1"/>
        <d v="2020-05-08T00:00:00" u="1"/>
        <d v="2019-01-19T00:00:00" u="1"/>
        <d v="2020-01-19T00:00:00" u="1"/>
        <d v="2021-01-19T00:00:00" u="1"/>
        <d v="2000-06-08T00:00:00" u="1"/>
        <d v="2001-06-08T00:00:00" u="1"/>
        <d v="2002-06-08T00:00:00" u="1"/>
        <d v="2001-02-19T00:00:00" u="1"/>
        <d v="2002-02-19T00:00:00" u="1"/>
        <d v="2003-02-19T00:00:00" u="1"/>
        <d v="2011-06-08T00:00:00" u="1"/>
        <d v="2012-06-08T00:00:00" u="1"/>
        <d v="2013-06-08T00:00:00" u="1"/>
        <d v="2014-06-08T00:00:00" u="1"/>
        <d v="2011-02-19T00:00:00" u="1"/>
        <d v="2012-02-19T00:00:00" u="1"/>
        <d v="2013-02-19T00:00:00" u="1"/>
        <d v="2018-06-08T00:00:00" u="1"/>
        <d v="2014-02-19T00:00:00" u="1"/>
        <d v="2019-06-08T00:00:00" u="1"/>
        <d v="2015-02-19T00:00:00" u="1"/>
        <d v="2020-06-08T00:00:00" u="1"/>
        <d v="2018-02-19T00:00:00" u="1"/>
        <d v="2019-02-19T00:00:00" u="1"/>
        <d v="2020-02-19T00:00:00" u="1"/>
        <d v="2021-02-19T00:00:00" u="1"/>
        <d v="2000-07-08T00:00:00" u="1"/>
        <d v="2001-07-08T00:00:00" u="1"/>
        <d v="2002-07-08T00:00:00" u="1"/>
        <d v="2001-03-19T00:00:00" u="1"/>
        <d v="2002-03-19T00:00:00" u="1"/>
        <d v="2011-07-08T00:00:00" u="1"/>
        <d v="2012-07-08T00:00:00" u="1"/>
        <d v="2013-07-08T00:00:00" u="1"/>
        <d v="2014-07-08T00:00:00" u="1"/>
        <d v="2011-03-19T00:00:00" u="1"/>
        <d v="2012-03-19T00:00:00" u="1"/>
        <d v="2013-03-19T00:00:00" u="1"/>
        <d v="2018-07-08T00:00:00" u="1"/>
        <d v="2014-03-19T00:00:00" u="1"/>
        <d v="2019-07-08T00:00:00" u="1"/>
        <d v="2020-07-08T00:00:00" u="1"/>
        <d v="2018-03-19T00:00:00" u="1"/>
        <d v="2019-03-19T00:00:00" u="1"/>
        <d v="2020-03-19T00:00:00" u="1"/>
        <d v="2021-03-19T00:00:00" u="1"/>
        <d v="2000-08-08T00:00:00" u="1"/>
        <d v="2001-08-08T00:00:00" u="1"/>
        <d v="2002-08-08T00:00:00" u="1"/>
        <d v="2000-04-19T00:00:00" u="1"/>
        <d v="2001-04-19T00:00:00" u="1"/>
        <d v="2002-04-19T00:00:00" u="1"/>
        <d v="2011-08-08T00:00:00" u="1"/>
        <d v="2012-08-08T00:00:00" u="1"/>
        <d v="2013-08-08T00:00:00" u="1"/>
        <d v="2014-08-08T00:00:00" u="1"/>
        <d v="2011-04-19T00:00:00" u="1"/>
        <d v="2012-04-19T00:00:00" u="1"/>
        <d v="2013-04-19T00:00:00" u="1"/>
        <d v="2018-08-08T00:00:00" u="1"/>
        <d v="2014-04-19T00:00:00" u="1"/>
        <d v="2019-08-08T00:00:00" u="1"/>
        <d v="2020-08-08T00:00:00" u="1"/>
        <d v="2018-04-19T00:00:00" u="1"/>
        <d v="2019-04-19T00:00:00" u="1"/>
        <d v="2020-04-19T00:00:00" u="1"/>
        <d v="2021-04-19T00:00:00" u="1"/>
        <d v="2000-09-08T00:00:00" u="1"/>
        <d v="2001-09-08T00:00:00" u="1"/>
        <d v="2002-09-08T00:00:00" u="1"/>
        <d v="2000-05-19T00:00:00" u="1"/>
        <d v="2001-05-19T00:00:00" u="1"/>
        <d v="2002-05-19T00:00:00" u="1"/>
        <d v="2010-09-08T00:00:00" u="1"/>
        <d v="2001-01-30T00:00:00" u="1"/>
        <d v="2011-09-08T00:00:00" u="1"/>
        <d v="2002-01-30T00:00:00" u="1"/>
        <d v="2012-09-08T00:00:00" u="1"/>
        <d v="2003-01-30T00:00:00" u="1"/>
        <d v="2013-09-08T00:00:00" u="1"/>
        <d v="2014-09-08T00:00:00" u="1"/>
        <d v="2011-05-19T00:00:00" u="1"/>
        <d v="2012-05-19T00:00:00" u="1"/>
        <d v="2013-05-19T00:00:00" u="1"/>
        <d v="2018-09-08T00:00:00" u="1"/>
        <d v="2014-05-19T00:00:00" u="1"/>
        <d v="2019-09-08T00:00:00" u="1"/>
        <d v="2020-09-08T00:00:00" u="1"/>
        <d v="2011-01-30T00:00:00" u="1"/>
        <d v="2012-01-30T00:00:00" u="1"/>
        <d v="2013-01-30T00:00:00" u="1"/>
        <d v="2018-05-19T00:00:00" u="1"/>
        <d v="2014-01-30T00:00:00" u="1"/>
        <d v="2019-05-19T00:00:00" u="1"/>
        <d v="2015-01-30T00:00:00" u="1"/>
        <d v="2020-05-19T00:00:00" u="1"/>
        <d v="2019-01-30T00:00:00" u="1"/>
        <d v="2020-01-30T00:00:00" u="1"/>
        <d v="2021-01-30T00:00:00" u="1"/>
        <d v="2000-10-08T00:00:00" u="1"/>
        <d v="2001-10-08T00:00:00" u="1"/>
        <d v="2002-10-08T00:00:00" u="1"/>
        <d v="2000-06-19T00:00:00" u="1"/>
        <d v="2001-06-19T00:00:00" u="1"/>
        <d v="2002-06-19T00:00:00" u="1"/>
        <d v="2010-10-08T00:00:00" u="1"/>
        <d v="2011-10-08T00:00:00" u="1"/>
        <d v="2012-10-08T00:00:00" u="1"/>
        <d v="2013-10-08T00:00:00" u="1"/>
        <d v="2014-10-08T00:00:00" u="1"/>
        <d v="2011-06-19T00:00:00" u="1"/>
        <d v="2012-06-19T00:00:00" u="1"/>
        <d v="2013-06-19T00:00:00" u="1"/>
        <d v="2018-10-08T00:00:00" u="1"/>
        <d v="2014-06-19T00:00:00" u="1"/>
        <d v="2019-10-08T00:00:00" u="1"/>
        <d v="2020-10-08T00:00:00" u="1"/>
        <d v="2018-06-19T00:00:00" u="1"/>
        <d v="2019-06-19T00:00:00" u="1"/>
        <d v="2020-06-19T00:00:00" u="1"/>
        <d v="2000-11-08T00:00:00" u="1"/>
        <d v="2001-11-08T00:00:00" u="1"/>
        <d v="2002-11-08T00:00:00" u="1"/>
        <d v="2000-07-19T00:00:00" u="1"/>
        <d v="2001-07-19T00:00:00" u="1"/>
        <d v="2002-07-19T00:00:00" u="1"/>
        <d v="2000-03-30T00:00:00" u="1"/>
        <d v="2010-11-08T00:00:00" u="1"/>
        <d v="2001-03-30T00:00:00" u="1"/>
        <d v="2011-11-08T00:00:00" u="1"/>
        <d v="2002-03-30T00:00:00" u="1"/>
        <d v="2012-11-08T00:00:00" u="1"/>
        <d v="2013-11-08T00:00:00" u="1"/>
        <d v="2014-11-08T00:00:00" u="1"/>
        <d v="2011-07-19T00:00:00" u="1"/>
        <d v="2012-07-19T00:00:00" u="1"/>
        <d v="2013-07-19T00:00:00" u="1"/>
        <d v="2018-11-08T00:00:00" u="1"/>
        <d v="2014-07-19T00:00:00" u="1"/>
        <d v="2019-11-08T00:00:00" u="1"/>
        <d v="2020-11-08T00:00:00" u="1"/>
        <d v="2011-03-30T00:00:00" u="1"/>
        <d v="2012-03-30T00:00:00" u="1"/>
        <d v="2013-03-30T00:00:00" u="1"/>
        <d v="2018-07-19T00:00:00" u="1"/>
        <d v="2014-03-30T00:00:00" u="1"/>
        <d v="2019-07-19T00:00:00" u="1"/>
        <d v="2020-07-19T00:00:00" u="1"/>
        <d v="2018-03-30T00:00:00" u="1"/>
        <d v="2019-03-30T00:00:00" u="1"/>
        <d v="2020-03-30T00:00:00" u="1"/>
        <d v="2021-03-30T00:00:00" u="1"/>
        <d v="2000-12-08T00:00:00" u="1"/>
        <d v="2001-12-08T00:00:00" u="1"/>
        <d v="2002-12-08T00:00:00" u="1"/>
        <d v="2000-08-19T00:00:00" u="1"/>
        <d v="2001-08-19T00:00:00" u="1"/>
        <d v="2002-08-19T00:00:00" u="1"/>
        <d v="2000-04-30T00:00:00" u="1"/>
        <d v="2010-12-08T00:00:00" u="1"/>
        <d v="2001-04-30T00:00:00" u="1"/>
        <d v="2011-12-08T00:00:00" u="1"/>
        <d v="2002-04-30T00:00:00" u="1"/>
        <d v="2012-12-08T00:00:00" u="1"/>
        <d v="2013-12-08T00:00:00" u="1"/>
        <d v="2014-12-08T00:00:00" u="1"/>
        <d v="2011-08-19T00:00:00" u="1"/>
        <d v="2012-08-19T00:00:00" u="1"/>
        <d v="2013-08-19T00:00:00" u="1"/>
        <d v="2018-12-08T00:00:00" u="1"/>
        <d v="2014-08-19T00:00:00" u="1"/>
        <d v="2019-12-08T00:00:00" u="1"/>
        <d v="2020-12-08T00:00:00" u="1"/>
        <d v="2011-04-30T00:00:00" u="1"/>
        <d v="2012-04-30T00:00:00" u="1"/>
        <d v="2013-04-30T00:00:00" u="1"/>
        <d v="2018-08-19T00:00:00" u="1"/>
        <d v="2014-04-30T00:00:00" u="1"/>
        <d v="2019-08-19T00:00:00" u="1"/>
        <d v="2020-08-19T00:00:00" u="1"/>
        <d v="2018-04-30T00:00:00" u="1"/>
        <d v="2019-04-30T00:00:00" u="1"/>
        <d v="2020-04-30T00:00:00" u="1"/>
        <d v="2021-04-30T00:00:00" u="1"/>
      </sharedItems>
    </cacheField>
    <cacheField name="day"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month" numFmtId="0">
      <sharedItems containsSemiMixedTypes="0" containsString="0" containsNumber="1" containsInteger="1" minValue="1" maxValue="12" count="12">
        <n v="1"/>
        <n v="2"/>
        <n v="3"/>
        <n v="11" u="1"/>
        <n v="12" u="1"/>
        <n v="6" u="1"/>
        <n v="7" u="1"/>
        <n v="8" u="1"/>
        <n v="4" u="1"/>
        <n v="9" u="1"/>
        <n v="10" u="1"/>
        <n v="5" u="1"/>
      </sharedItems>
    </cacheField>
    <cacheField name="year" numFmtId="0">
      <sharedItems containsSemiMixedTypes="0" containsString="0" containsNumber="1" containsInteger="1" minValue="2000" maxValue="2021" count="14">
        <n v="2000"/>
        <n v="2003" u="1"/>
        <n v="2015" u="1"/>
        <n v="2001" u="1"/>
        <n v="2020" u="1"/>
        <n v="2013" u="1"/>
        <n v="2018" u="1"/>
        <n v="2011" u="1"/>
        <n v="2002" u="1"/>
        <n v="2021" u="1"/>
        <n v="2014" u="1"/>
        <n v="2019" u="1"/>
        <n v="2012" u="1"/>
        <n v="2010" u="1"/>
      </sharedItems>
    </cacheField>
    <cacheField name="week" numFmtId="1">
      <sharedItems containsSemiMixedTypes="0" containsString="0" containsNumber="1" containsInteger="1" minValue="1" maxValue="54" count="54">
        <n v="1"/>
        <n v="2"/>
        <n v="3"/>
        <n v="4"/>
        <n v="5"/>
        <n v="6"/>
        <n v="7"/>
        <n v="8"/>
        <n v="9"/>
        <n v="10"/>
        <n v="11"/>
        <n v="12"/>
        <n v="13"/>
        <n v="53" u="1"/>
        <n v="33" u="1"/>
        <n v="46" u="1"/>
        <n v="29" u="1"/>
        <n v="19" u="1"/>
        <n v="39" u="1"/>
        <n v="52" u="1"/>
        <n v="32" u="1"/>
        <n v="22" u="1"/>
        <n v="14" u="1"/>
        <n v="45" u="1"/>
        <n v="38" u="1"/>
        <n v="25" u="1"/>
        <n v="51" u="1"/>
        <n v="44" u="1"/>
        <n v="28" u="1"/>
        <n v="18" u="1"/>
        <n v="37" u="1"/>
        <n v="50" u="1"/>
        <n v="31" u="1"/>
        <n v="21" u="1"/>
        <n v="43" u="1"/>
        <n v="36" u="1"/>
        <n v="24" u="1"/>
        <n v="15" u="1"/>
        <n v="49" u="1"/>
        <n v="42" u="1"/>
        <n v="27" u="1"/>
        <n v="17" u="1"/>
        <n v="35" u="1"/>
        <n v="48" u="1"/>
        <n v="30" u="1"/>
        <n v="20" u="1"/>
        <n v="41" u="1"/>
        <n v="54" u="1"/>
        <n v="34" u="1"/>
        <n v="23" u="1"/>
        <n v="47" u="1"/>
        <n v="40" u="1"/>
        <n v="26" u="1"/>
        <n v="16" u="1"/>
      </sharedItems>
    </cacheField>
    <cacheField name="weekday" numFmtId="1">
      <sharedItems containsSemiMixedTypes="0" containsString="0" containsNumber="1" containsInteger="1" minValue="1" maxValue="7"/>
    </cacheField>
    <cacheField name="ratio" numFmtId="164">
      <sharedItems containsSemiMixedTypes="0" containsString="0" containsNumber="1" minValue="3.5213682138279524E-4" maxValue="2.8477709574332315E-2"/>
    </cacheField>
    <cacheField name="revenue" numFmtId="2">
      <sharedItems containsSemiMixedTypes="0" containsString="0" containsNumber="1" minValue="70427.364276559048" maxValue="5695541.9148664633"/>
    </cacheField>
    <cacheField name="monthend" numFmtId="14">
      <sharedItems containsNonDate="0" containsDate="1" containsMixedTypes="1" minDate="2000-01-31T00:00:00" maxDate="2021-06-01T00:00:00" count="74">
        <d v="2000-01-31T00:00:00"/>
        <d v="2000-02-29T00:00:00"/>
        <d v="2000-03-31T00:00:00"/>
        <d v="2018-03-31T00:00:00" u="1"/>
        <d v="2019-03-31T00:00:00" u="1"/>
        <d v="2020-03-31T00:00:00" u="1"/>
        <d v="2021-03-31T00:00:00" u="1"/>
        <e v="#VALUE!" u="1"/>
        <d v="2000-10-31T00:00:00" u="1"/>
        <d v="2001-10-31T00:00:00" u="1"/>
        <d v="2002-10-31T00:00:00" u="1"/>
        <d v="2018-10-31T00:00:00" u="1"/>
        <d v="2019-10-31T00:00:00" u="1"/>
        <d v="2020-10-31T00:00:00" u="1"/>
        <d v="2000-09-30T00:00:00" u="1"/>
        <d v="2001-09-30T00:00:00" u="1"/>
        <d v="2002-09-30T00:00:00" u="1"/>
        <d v="2018-09-30T00:00:00" u="1"/>
        <d v="2019-09-30T00:00:00" u="1"/>
        <d v="2020-09-30T00:00:00" u="1"/>
        <d v="2000-05-31T00:00:00" u="1"/>
        <d v="2001-05-31T00:00:00" u="1"/>
        <d v="2002-05-31T00:00:00" u="1"/>
        <d v="2018-05-31T00:00:00" u="1"/>
        <d v="2020-02-29T00:00:00" u="1"/>
        <d v="2019-05-31T00:00:00" u="1"/>
        <d v="2020-05-31T00:00:00" u="1"/>
        <d v="2021-05-31T00:00:00" u="1"/>
        <d v="2000-04-30T00:00:00" u="1"/>
        <d v="2001-04-30T00:00:00" u="1"/>
        <d v="2002-04-30T00:00:00" u="1"/>
        <d v="2018-04-30T00:00:00" u="1"/>
        <d v="2019-04-30T00:00:00" u="1"/>
        <d v="2020-04-30T00:00:00" u="1"/>
        <d v="2021-04-30T00:00:00" u="1"/>
        <d v="2001-02-28T00:00:00" u="1"/>
        <d v="2002-02-28T00:00:00" u="1"/>
        <d v="2003-02-28T00:00:00" u="1"/>
        <d v="2000-11-30T00:00:00" u="1"/>
        <d v="2001-11-30T00:00:00" u="1"/>
        <d v="2002-11-30T00:00:00" u="1"/>
        <d v="2018-02-28T00:00:00" u="1"/>
        <d v="2019-02-28T00:00:00" u="1"/>
        <d v="2021-02-28T00:00:00" u="1"/>
        <d v="2001-01-31T00:00:00" u="1"/>
        <d v="2002-01-31T00:00:00" u="1"/>
        <d v="2003-01-31T00:00:00" u="1"/>
        <d v="2018-11-30T00:00:00" u="1"/>
        <d v="2019-11-30T00:00:00" u="1"/>
        <d v="2020-11-30T00:00:00" u="1"/>
        <d v="2000-07-31T00:00:00" u="1"/>
        <d v="2001-07-31T00:00:00" u="1"/>
        <d v="2002-07-31T00:00:00" u="1"/>
        <d v="2019-01-31T00:00:00" u="1"/>
        <d v="2020-01-31T00:00:00" u="1"/>
        <d v="2021-01-31T00:00:00" u="1"/>
        <d v="2018-07-31T00:00:00" u="1"/>
        <d v="2019-07-31T00:00:00" u="1"/>
        <d v="2020-07-31T00:00:00" u="1"/>
        <d v="2000-06-30T00:00:00" u="1"/>
        <d v="2001-06-30T00:00:00" u="1"/>
        <d v="2002-06-30T00:00:00" u="1"/>
        <d v="2018-06-30T00:00:00" u="1"/>
        <d v="2019-06-30T00:00:00" u="1"/>
        <d v="2020-06-30T00:00:00" u="1"/>
        <d v="2000-08-31T00:00:00" u="1"/>
        <d v="2001-08-31T00:00:00" u="1"/>
        <d v="2002-08-31T00:00:00" u="1"/>
        <d v="2018-08-31T00:00:00" u="1"/>
        <d v="2019-08-31T00:00:00" u="1"/>
        <d v="2020-08-31T00:00:00" u="1"/>
        <d v="2001-03-31T00:00:00" u="1"/>
        <d v="2002-03-31T00:00:00" u="1"/>
        <d v="2003-03-31T00:00:00" u="1"/>
      </sharedItems>
    </cacheField>
    <cacheField name="payment" numFmtId="14">
      <sharedItems containsNonDate="0" containsDate="1" containsMixedTypes="1" minDate="2000-02-20T00:00:00" maxDate="2021-06-21T00:00:00" count="64">
        <d v="2000-02-20T00:00:00"/>
        <d v="2000-03-20T00:00:00"/>
        <d v="2000-04-20T00:00:00"/>
        <d v="2018-04-20T00:00:00" u="1"/>
        <d v="2019-04-20T00:00:00" u="1"/>
        <d v="2020-04-20T00:00:00" u="1"/>
        <d v="2021-04-20T00:00:00" u="1"/>
        <d v="2018-10-20T00:00:00" u="1"/>
        <d v="2019-10-20T00:00:00" u="1"/>
        <d v="2020-10-20T00:00:00" u="1"/>
        <e v="#VALUE!" u="1"/>
        <d v="2000-05-20T00:00:00" u="1"/>
        <d v="2001-05-20T00:00:00" u="1"/>
        <d v="2002-05-20T00:00:00" u="1"/>
        <d v="2000-11-20T00:00:00" u="1"/>
        <d v="2001-11-20T00:00:00" u="1"/>
        <d v="2018-05-20T00:00:00" u="1"/>
        <d v="2019-05-20T00:00:00" u="1"/>
        <d v="2020-05-20T00:00:00" u="1"/>
        <d v="2021-05-20T00:00:00" u="1"/>
        <d v="2018-11-20T00:00:00" u="1"/>
        <d v="2019-11-20T00:00:00" u="1"/>
        <d v="2020-11-20T00:00:00" u="1"/>
        <d v="2000-06-20T00:00:00" u="1"/>
        <d v="2001-06-20T00:00:00" u="1"/>
        <d v="2000-12-20T00:00:00" u="1"/>
        <d v="2001-12-20T00:00:00" u="1"/>
        <d v="2018-06-20T00:00:00" u="1"/>
        <d v="2019-06-20T00:00:00" u="1"/>
        <d v="2020-06-20T00:00:00" u="1"/>
        <d v="2021-06-20T00:00:00" u="1"/>
        <d v="2018-12-20T00:00:00" u="1"/>
        <d v="2019-12-20T00:00:00" u="1"/>
        <d v="2020-12-20T00:00:00" u="1"/>
        <d v="2000-07-20T00:00:00" u="1"/>
        <d v="2001-07-20T00:00:00" u="1"/>
        <d v="2018-07-20T00:00:00" u="1"/>
        <d v="2019-07-20T00:00:00" u="1"/>
        <d v="2020-07-20T00:00:00" u="1"/>
        <d v="2001-02-20T00:00:00" u="1"/>
        <d v="2002-02-20T00:00:00" u="1"/>
        <d v="2000-08-20T00:00:00" u="1"/>
        <d v="2001-08-20T00:00:00" u="1"/>
        <d v="2019-02-20T00:00:00" u="1"/>
        <d v="2020-02-20T00:00:00" u="1"/>
        <d v="2021-02-20T00:00:00" u="1"/>
        <d v="2018-08-20T00:00:00" u="1"/>
        <d v="2019-08-20T00:00:00" u="1"/>
        <d v="2020-08-20T00:00:00" u="1"/>
        <d v="2001-03-20T00:00:00" u="1"/>
        <d v="2002-03-20T00:00:00" u="1"/>
        <d v="2000-09-20T00:00:00" u="1"/>
        <d v="2001-09-20T00:00:00" u="1"/>
        <d v="2018-03-20T00:00:00" u="1"/>
        <d v="2019-03-20T00:00:00" u="1"/>
        <d v="2020-03-20T00:00:00" u="1"/>
        <d v="2021-03-20T00:00:00" u="1"/>
        <d v="2018-09-20T00:00:00" u="1"/>
        <d v="2019-09-20T00:00:00" u="1"/>
        <d v="2020-09-20T00:00:00" u="1"/>
        <d v="2001-04-20T00:00:00" u="1"/>
        <d v="2002-04-20T00:00:00" u="1"/>
        <d v="2000-10-20T00:00:00" u="1"/>
        <d v="2001-10-20T00:00:00" u="1"/>
      </sharedItems>
    </cacheField>
    <cacheField name="collection" numFmtId="14">
      <sharedItems containsNonDate="0" containsDate="1" containsMixedTypes="1" minDate="2000-03-01T00:00:00" maxDate="2021-07-01T00:00:00" count="65">
        <d v="2000-03-01T00:00:00"/>
        <d v="2000-03-30T00:00:00"/>
        <d v="2000-04-30T00:00:00"/>
        <e v="#VALUE!" u="1"/>
        <d v="2000-08-30T00:00:00" u="1"/>
        <d v="2001-08-30T00:00:00" u="1"/>
        <d v="2018-08-30T00:00:00" u="1"/>
        <d v="2019-08-30T00:00:00" u="1"/>
        <d v="2020-08-30T00:00:00" u="1"/>
        <d v="2001-03-30T00:00:00" u="1"/>
        <d v="2002-03-30T00:00:00" u="1"/>
        <d v="2000-09-30T00:00:00" u="1"/>
        <d v="2001-09-30T00:00:00" u="1"/>
        <d v="2018-03-30T00:00:00" u="1"/>
        <d v="2019-03-30T00:00:00" u="1"/>
        <d v="2020-03-30T00:00:00" u="1"/>
        <d v="2021-03-30T00:00:00" u="1"/>
        <d v="2018-09-30T00:00:00" u="1"/>
        <d v="2019-09-30T00:00:00" u="1"/>
        <d v="2020-09-30T00:00:00" u="1"/>
        <d v="2001-03-02T00:00:00" u="1"/>
        <d v="2002-03-02T00:00:00" u="1"/>
        <d v="2001-04-30T00:00:00" u="1"/>
        <d v="2002-04-30T00:00:00" u="1"/>
        <d v="2019-03-02T00:00:00" u="1"/>
        <d v="2021-03-02T00:00:00" u="1"/>
        <d v="2000-10-30T00:00:00" u="1"/>
        <d v="2001-10-30T00:00:00" u="1"/>
        <d v="2018-04-30T00:00:00" u="1"/>
        <d v="2019-04-30T00:00:00" u="1"/>
        <d v="2020-04-30T00:00:00" u="1"/>
        <d v="2021-04-30T00:00:00" u="1"/>
        <d v="2018-10-30T00:00:00" u="1"/>
        <d v="2019-10-30T00:00:00" u="1"/>
        <d v="2020-10-30T00:00:00" u="1"/>
        <d v="2000-05-30T00:00:00" u="1"/>
        <d v="2001-05-30T00:00:00" u="1"/>
        <d v="2002-05-30T00:00:00" u="1"/>
        <d v="2000-11-30T00:00:00" u="1"/>
        <d v="2001-11-30T00:00:00" u="1"/>
        <d v="2018-05-30T00:00:00" u="1"/>
        <d v="2019-05-30T00:00:00" u="1"/>
        <d v="2020-05-30T00:00:00" u="1"/>
        <d v="2021-05-30T00:00:00" u="1"/>
        <d v="2018-11-30T00:00:00" u="1"/>
        <d v="2019-11-30T00:00:00" u="1"/>
        <d v="2020-11-30T00:00:00" u="1"/>
        <d v="2020-03-01T00:00:00" u="1"/>
        <d v="2000-06-30T00:00:00" u="1"/>
        <d v="2001-06-30T00:00:00" u="1"/>
        <d v="2002-06-30T00:00:00" u="1"/>
        <d v="2000-12-30T00:00:00" u="1"/>
        <d v="2001-12-30T00:00:00" u="1"/>
        <d v="2018-06-30T00:00:00" u="1"/>
        <d v="2019-06-30T00:00:00" u="1"/>
        <d v="2020-06-30T00:00:00" u="1"/>
        <d v="2021-06-30T00:00:00" u="1"/>
        <d v="2018-12-30T00:00:00" u="1"/>
        <d v="2019-12-30T00:00:00" u="1"/>
        <d v="2020-12-30T00:00:00" u="1"/>
        <d v="2000-07-30T00:00:00" u="1"/>
        <d v="2001-07-30T00:00:00" u="1"/>
        <d v="2018-07-30T00:00:00" u="1"/>
        <d v="2019-07-30T00:00:00" u="1"/>
        <d v="2020-07-30T00:00:00" u="1"/>
      </sharedItems>
    </cacheField>
    <cacheField name="colamot" numFmtId="2">
      <sharedItems containsSemiMixedTypes="0" containsString="0" containsNumber="1" minValue="63384.627848903147" maxValue="5125987.723379816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3">
  <r>
    <n v="1"/>
    <x v="0"/>
    <n v="1"/>
    <n v="1"/>
    <n v="2000"/>
    <n v="1"/>
    <n v="7"/>
    <n v="4.3406898394638782E-4"/>
    <n v="86813.796789277563"/>
    <x v="0"/>
    <d v="2000-02-20T00:00:00"/>
    <d v="2000-03-01T00:00:00"/>
    <n v="78132.417110349808"/>
  </r>
  <r>
    <n v="2"/>
    <x v="1"/>
    <n v="2"/>
    <n v="1"/>
    <n v="2000"/>
    <n v="2"/>
    <n v="1"/>
    <n v="5.3234144815713193E-4"/>
    <n v="106468.28963142639"/>
    <x v="0"/>
    <d v="2000-02-20T00:00:00"/>
    <d v="2000-03-01T00:00:00"/>
    <n v="95821.460668283762"/>
  </r>
  <r>
    <n v="3"/>
    <x v="2"/>
    <n v="3"/>
    <n v="1"/>
    <n v="2000"/>
    <n v="2"/>
    <n v="2"/>
    <n v="6.4954017868507519E-4"/>
    <n v="129908.03573701505"/>
    <x v="0"/>
    <d v="2000-02-20T00:00:00"/>
    <d v="2000-03-01T00:00:00"/>
    <n v="116917.23216331354"/>
  </r>
  <r>
    <n v="4"/>
    <x v="3"/>
    <n v="4"/>
    <n v="1"/>
    <n v="2000"/>
    <n v="2"/>
    <n v="3"/>
    <n v="7.8850775869023925E-4"/>
    <n v="157701.55173804786"/>
    <x v="0"/>
    <d v="2000-02-20T00:00:00"/>
    <d v="2000-03-01T00:00:00"/>
    <n v="141931.39656424307"/>
  </r>
  <r>
    <n v="5"/>
    <x v="4"/>
    <n v="5"/>
    <n v="1"/>
    <n v="2000"/>
    <n v="2"/>
    <n v="4"/>
    <n v="9.5233585016906764E-4"/>
    <n v="190467.17003381354"/>
    <x v="0"/>
    <d v="2000-02-20T00:00:00"/>
    <d v="2000-03-01T00:00:00"/>
    <n v="171420.4530304322"/>
  </r>
  <r>
    <n v="6"/>
    <x v="5"/>
    <n v="6"/>
    <n v="1"/>
    <n v="2000"/>
    <n v="2"/>
    <n v="5"/>
    <n v="1.1443490348009631E-3"/>
    <n v="228869.80696019263"/>
    <x v="0"/>
    <d v="2000-02-20T00:00:00"/>
    <d v="2000-03-01T00:00:00"/>
    <n v="205982.82626417337"/>
  </r>
  <r>
    <n v="7"/>
    <x v="6"/>
    <n v="7"/>
    <n v="1"/>
    <n v="2000"/>
    <n v="2"/>
    <n v="6"/>
    <n v="1.368078739073009E-3"/>
    <n v="273615.74781460181"/>
    <x v="0"/>
    <d v="2000-02-20T00:00:00"/>
    <d v="2000-03-01T00:00:00"/>
    <n v="246254.17303314165"/>
  </r>
  <r>
    <n v="8"/>
    <x v="7"/>
    <n v="8"/>
    <n v="1"/>
    <n v="2000"/>
    <n v="2"/>
    <n v="7"/>
    <n v="1.627226062727493E-3"/>
    <n v="325445.21254549857"/>
    <x v="0"/>
    <d v="2000-02-20T00:00:00"/>
    <d v="2000-03-01T00:00:00"/>
    <n v="292900.69129094871"/>
  </r>
  <r>
    <n v="9"/>
    <x v="8"/>
    <n v="9"/>
    <n v="1"/>
    <n v="2000"/>
    <n v="3"/>
    <n v="1"/>
    <n v="1.9256125213568268E-3"/>
    <n v="385122.50427136535"/>
    <x v="0"/>
    <d v="2000-02-20T00:00:00"/>
    <d v="2000-03-01T00:00:00"/>
    <n v="346610.25384422881"/>
  </r>
  <r>
    <n v="10"/>
    <x v="9"/>
    <n v="10"/>
    <n v="1"/>
    <n v="2000"/>
    <n v="3"/>
    <n v="2"/>
    <n v="2.2671179882619587E-3"/>
    <n v="453423.59765239176"/>
    <x v="0"/>
    <d v="2000-02-20T00:00:00"/>
    <d v="2000-03-01T00:00:00"/>
    <n v="408081.23788715259"/>
  </r>
  <r>
    <n v="11"/>
    <x v="10"/>
    <n v="11"/>
    <n v="1"/>
    <n v="2000"/>
    <n v="3"/>
    <n v="3"/>
    <n v="2.6556054801163179E-3"/>
    <n v="531121.09602326353"/>
    <x v="0"/>
    <d v="2000-02-20T00:00:00"/>
    <d v="2000-03-01T00:00:00"/>
    <n v="478008.98642093717"/>
  </r>
  <r>
    <n v="12"/>
    <x v="11"/>
    <n v="12"/>
    <n v="1"/>
    <n v="2000"/>
    <n v="3"/>
    <n v="4"/>
    <n v="3.0948328739602007E-3"/>
    <n v="618966.57479204016"/>
    <x v="0"/>
    <d v="2000-02-20T00:00:00"/>
    <d v="2000-03-01T00:00:00"/>
    <n v="557069.91731283616"/>
  </r>
  <r>
    <n v="13"/>
    <x v="12"/>
    <n v="13"/>
    <n v="1"/>
    <n v="2000"/>
    <n v="3"/>
    <n v="5"/>
    <n v="3.5883521631022569E-3"/>
    <n v="717670.43262045144"/>
    <x v="0"/>
    <d v="2000-02-20T00:00:00"/>
    <d v="2000-03-01T00:00:00"/>
    <n v="645903.3893584063"/>
  </r>
  <r>
    <n v="14"/>
    <x v="13"/>
    <n v="14"/>
    <n v="1"/>
    <n v="2000"/>
    <n v="3"/>
    <n v="6"/>
    <n v="4.1393974447109013E-3"/>
    <n v="827879.48894218029"/>
    <x v="0"/>
    <d v="2000-02-20T00:00:00"/>
    <d v="2000-03-01T00:00:00"/>
    <n v="745091.54004796233"/>
  </r>
  <r>
    <n v="15"/>
    <x v="14"/>
    <n v="15"/>
    <n v="1"/>
    <n v="2000"/>
    <n v="3"/>
    <n v="7"/>
    <n v="4.7507634646432977E-3"/>
    <n v="950152.6929286595"/>
    <x v="0"/>
    <d v="2000-02-20T00:00:00"/>
    <d v="2000-03-01T00:00:00"/>
    <n v="855137.42363579362"/>
  </r>
  <r>
    <n v="16"/>
    <x v="15"/>
    <n v="16"/>
    <n v="1"/>
    <n v="2000"/>
    <n v="4"/>
    <n v="1"/>
    <n v="5.4246772021807159E-3"/>
    <n v="1084935.4404361432"/>
    <x v="0"/>
    <d v="2000-02-20T00:00:00"/>
    <d v="2000-03-01T00:00:00"/>
    <n v="976441.8963925289"/>
  </r>
  <r>
    <n v="17"/>
    <x v="16"/>
    <n v="17"/>
    <n v="1"/>
    <n v="2000"/>
    <n v="4"/>
    <n v="2"/>
    <n v="6.1626656304651084E-3"/>
    <n v="1232533.1260930216"/>
    <x v="0"/>
    <d v="2000-02-20T00:00:00"/>
    <d v="2000-03-01T00:00:00"/>
    <n v="1109279.8134837195"/>
  </r>
  <r>
    <n v="18"/>
    <x v="17"/>
    <n v="18"/>
    <n v="1"/>
    <n v="2000"/>
    <n v="4"/>
    <n v="3"/>
    <n v="6.9654234049265837E-3"/>
    <n v="1393084.6809853166"/>
    <x v="0"/>
    <d v="2000-02-20T00:00:00"/>
    <d v="2000-03-01T00:00:00"/>
    <n v="1253776.2128867849"/>
  </r>
  <r>
    <n v="19"/>
    <x v="18"/>
    <n v="19"/>
    <n v="1"/>
    <n v="2000"/>
    <n v="4"/>
    <n v="4"/>
    <n v="7.8326847762224365E-3"/>
    <n v="1566536.9552444874"/>
    <x v="0"/>
    <d v="2000-02-20T00:00:00"/>
    <d v="2000-03-01T00:00:00"/>
    <n v="1409883.2597200386"/>
  </r>
  <r>
    <n v="20"/>
    <x v="19"/>
    <n v="20"/>
    <n v="1"/>
    <n v="2000"/>
    <n v="4"/>
    <n v="5"/>
    <n v="8.763104459219441E-3"/>
    <n v="1752620.8918438882"/>
    <x v="0"/>
    <d v="2000-02-20T00:00:00"/>
    <d v="2000-03-01T00:00:00"/>
    <n v="1577358.8026594995"/>
  </r>
  <r>
    <n v="21"/>
    <x v="20"/>
    <n v="21"/>
    <n v="1"/>
    <n v="2000"/>
    <n v="4"/>
    <n v="6"/>
    <n v="9.7541524790725701E-3"/>
    <n v="1950830.4958145141"/>
    <x v="0"/>
    <d v="2000-02-20T00:00:00"/>
    <d v="2000-03-01T00:00:00"/>
    <n v="1755747.4462330628"/>
  </r>
  <r>
    <n v="22"/>
    <x v="21"/>
    <n v="22"/>
    <n v="1"/>
    <n v="2000"/>
    <n v="4"/>
    <n v="7"/>
    <n v="1.080202812614838E-2"/>
    <n v="2160405.6252296758"/>
    <x v="0"/>
    <d v="2000-02-20T00:00:00"/>
    <d v="2000-03-01T00:00:00"/>
    <n v="1944365.0627067082"/>
  </r>
  <r>
    <n v="23"/>
    <x v="22"/>
    <n v="23"/>
    <n v="1"/>
    <n v="2000"/>
    <n v="5"/>
    <n v="1"/>
    <n v="1.1901598055367165E-2"/>
    <n v="2380319.611073433"/>
    <x v="0"/>
    <d v="2000-02-20T00:00:00"/>
    <d v="2000-03-01T00:00:00"/>
    <n v="2142287.6499660895"/>
  </r>
  <r>
    <n v="24"/>
    <x v="23"/>
    <n v="24"/>
    <n v="1"/>
    <n v="2000"/>
    <n v="5"/>
    <n v="2"/>
    <n v="1.3046363242072994E-2"/>
    <n v="2609272.6484145988"/>
    <x v="0"/>
    <d v="2000-02-20T00:00:00"/>
    <d v="2000-03-01T00:00:00"/>
    <n v="2348345.3835731391"/>
  </r>
  <r>
    <n v="25"/>
    <x v="24"/>
    <n v="25"/>
    <n v="1"/>
    <n v="2000"/>
    <n v="5"/>
    <n v="3"/>
    <n v="1.4228458945108895E-2"/>
    <n v="2845691.7890217789"/>
    <x v="0"/>
    <d v="2000-02-20T00:00:00"/>
    <d v="2000-03-01T00:00:00"/>
    <n v="2561122.6101196012"/>
  </r>
  <r>
    <n v="26"/>
    <x v="25"/>
    <n v="26"/>
    <n v="1"/>
    <n v="2000"/>
    <n v="5"/>
    <n v="4"/>
    <n v="1.5438691029196216E-2"/>
    <n v="3087738.2058392433"/>
    <x v="0"/>
    <d v="2000-02-20T00:00:00"/>
    <d v="2000-03-01T00:00:00"/>
    <n v="2778964.3852553191"/>
  </r>
  <r>
    <n v="27"/>
    <x v="26"/>
    <n v="27"/>
    <n v="1"/>
    <n v="2000"/>
    <n v="5"/>
    <n v="5"/>
    <n v="1.6666610976523753E-2"/>
    <n v="3333322.1953047505"/>
    <x v="0"/>
    <d v="2000-02-20T00:00:00"/>
    <d v="2000-03-01T00:00:00"/>
    <n v="2999989.9757742756"/>
  </r>
  <r>
    <n v="28"/>
    <x v="27"/>
    <n v="28"/>
    <n v="1"/>
    <n v="2000"/>
    <n v="5"/>
    <n v="6"/>
    <n v="1.7900630698417495E-2"/>
    <n v="3580126.139683499"/>
    <x v="0"/>
    <d v="2000-02-20T00:00:00"/>
    <d v="2000-03-01T00:00:00"/>
    <n v="3222113.525715149"/>
  </r>
  <r>
    <n v="29"/>
    <x v="28"/>
    <n v="29"/>
    <n v="1"/>
    <n v="2000"/>
    <n v="5"/>
    <n v="7"/>
    <n v="1.9128176881846124E-2"/>
    <n v="3825635.3763692249"/>
    <x v="0"/>
    <d v="2000-02-20T00:00:00"/>
    <d v="2000-03-01T00:00:00"/>
    <n v="3443071.8387323027"/>
  </r>
  <r>
    <n v="30"/>
    <x v="29"/>
    <n v="30"/>
    <n v="1"/>
    <n v="2000"/>
    <n v="6"/>
    <n v="1"/>
    <n v="2.0335883123965309E-2"/>
    <n v="4067176.624793062"/>
    <x v="0"/>
    <d v="2000-02-20T00:00:00"/>
    <d v="2000-03-01T00:00:00"/>
    <n v="3660458.9623137559"/>
  </r>
  <r>
    <n v="31"/>
    <x v="30"/>
    <n v="31"/>
    <n v="1"/>
    <n v="2000"/>
    <n v="6"/>
    <n v="2"/>
    <n v="2.1509816582486029E-2"/>
    <n v="4301963.3164972058"/>
    <x v="0"/>
    <d v="2000-02-20T00:00:00"/>
    <d v="2000-03-01T00:00:00"/>
    <n v="3871766.9848474851"/>
  </r>
  <r>
    <n v="32"/>
    <x v="31"/>
    <n v="1"/>
    <n v="2"/>
    <n v="2000"/>
    <n v="6"/>
    <n v="3"/>
    <n v="2.2635734369121589E-2"/>
    <n v="4527146.8738243179"/>
    <x v="1"/>
    <d v="2000-03-20T00:00:00"/>
    <d v="2000-03-30T00:00:00"/>
    <n v="4074432.1864418862"/>
  </r>
  <r>
    <n v="33"/>
    <x v="32"/>
    <n v="2"/>
    <n v="2"/>
    <n v="2000"/>
    <n v="6"/>
    <n v="4"/>
    <n v="2.3699363510239359E-2"/>
    <n v="4739872.7020478714"/>
    <x v="1"/>
    <d v="2000-03-20T00:00:00"/>
    <d v="2000-03-30T00:00:00"/>
    <n v="4265885.4318430843"/>
  </r>
  <r>
    <n v="34"/>
    <x v="33"/>
    <n v="3"/>
    <n v="2"/>
    <n v="2000"/>
    <n v="6"/>
    <n v="5"/>
    <n v="2.4686697065492834E-2"/>
    <n v="4937339.4130985672"/>
    <x v="1"/>
    <d v="2000-03-20T00:00:00"/>
    <d v="2000-03-30T00:00:00"/>
    <n v="4443605.4717887109"/>
  </r>
  <r>
    <n v="35"/>
    <x v="34"/>
    <n v="4"/>
    <n v="2"/>
    <n v="2000"/>
    <n v="6"/>
    <n v="6"/>
    <n v="2.5584297999708468E-2"/>
    <n v="5116859.5999416932"/>
    <x v="1"/>
    <d v="2000-03-20T00:00:00"/>
    <d v="2000-03-30T00:00:00"/>
    <n v="4605173.6399475243"/>
  </r>
  <r>
    <n v="36"/>
    <x v="35"/>
    <n v="5"/>
    <n v="2"/>
    <n v="2000"/>
    <n v="6"/>
    <n v="7"/>
    <n v="2.6379601705265307E-2"/>
    <n v="5275920.3410530612"/>
    <x v="1"/>
    <d v="2000-03-20T00:00:00"/>
    <d v="2000-03-30T00:00:00"/>
    <n v="4748328.3069477556"/>
  </r>
  <r>
    <n v="37"/>
    <x v="36"/>
    <n v="6"/>
    <n v="2"/>
    <n v="2000"/>
    <n v="7"/>
    <n v="1"/>
    <n v="2.7061207718924354E-2"/>
    <n v="5412241.5437848708"/>
    <x v="1"/>
    <d v="2000-03-20T00:00:00"/>
    <d v="2000-03-30T00:00:00"/>
    <n v="4871017.389406384"/>
  </r>
  <r>
    <n v="38"/>
    <x v="37"/>
    <n v="7"/>
    <n v="2"/>
    <n v="2000"/>
    <n v="7"/>
    <n v="2"/>
    <n v="2.7619151200203515E-2"/>
    <n v="5523830.2400407027"/>
    <x v="1"/>
    <d v="2000-03-20T00:00:00"/>
    <d v="2000-03-30T00:00:00"/>
    <n v="4971447.2160366327"/>
  </r>
  <r>
    <n v="39"/>
    <x v="38"/>
    <n v="8"/>
    <n v="2"/>
    <n v="2000"/>
    <n v="7"/>
    <n v="3"/>
    <n v="2.8045145151504698E-2"/>
    <n v="5609029.0303009395"/>
    <x v="1"/>
    <d v="2000-03-20T00:00:00"/>
    <d v="2000-03-30T00:00:00"/>
    <n v="5048126.1272708457"/>
  </r>
  <r>
    <n v="40"/>
    <x v="39"/>
    <n v="9"/>
    <n v="2"/>
    <n v="2000"/>
    <n v="7"/>
    <n v="4"/>
    <n v="2.8332785157249189E-2"/>
    <n v="5666557.0314498376"/>
    <x v="1"/>
    <d v="2000-03-20T00:00:00"/>
    <d v="2000-03-30T00:00:00"/>
    <n v="5099901.3283048542"/>
  </r>
  <r>
    <n v="41"/>
    <x v="40"/>
    <n v="10"/>
    <n v="2"/>
    <n v="2000"/>
    <n v="7"/>
    <n v="5"/>
    <n v="2.8477709574332315E-2"/>
    <n v="5695541.9148664633"/>
    <x v="1"/>
    <d v="2000-03-20T00:00:00"/>
    <d v="2000-03-30T00:00:00"/>
    <n v="5125987.7233798169"/>
  </r>
  <r>
    <n v="42"/>
    <x v="41"/>
    <n v="11"/>
    <n v="2"/>
    <n v="2000"/>
    <n v="7"/>
    <n v="6"/>
    <n v="2.8477709574332315E-2"/>
    <n v="5695541.9148664633"/>
    <x v="1"/>
    <d v="2000-03-20T00:00:00"/>
    <d v="2000-03-30T00:00:00"/>
    <n v="5125987.7233798169"/>
  </r>
  <r>
    <n v="43"/>
    <x v="42"/>
    <n v="12"/>
    <n v="2"/>
    <n v="2000"/>
    <n v="7"/>
    <n v="7"/>
    <n v="2.8332785157249189E-2"/>
    <n v="5666557.0314498376"/>
    <x v="1"/>
    <d v="2000-03-20T00:00:00"/>
    <d v="2000-03-30T00:00:00"/>
    <n v="5099901.3283048542"/>
  </r>
  <r>
    <n v="44"/>
    <x v="43"/>
    <n v="13"/>
    <n v="2"/>
    <n v="2000"/>
    <n v="8"/>
    <n v="1"/>
    <n v="2.8045145151504698E-2"/>
    <n v="5609029.0303009395"/>
    <x v="1"/>
    <d v="2000-03-20T00:00:00"/>
    <d v="2000-03-30T00:00:00"/>
    <n v="5048126.1272708457"/>
  </r>
  <r>
    <n v="45"/>
    <x v="44"/>
    <n v="14"/>
    <n v="2"/>
    <n v="2000"/>
    <n v="8"/>
    <n v="2"/>
    <n v="2.7619151200203515E-2"/>
    <n v="5523830.2400407027"/>
    <x v="1"/>
    <d v="2000-03-20T00:00:00"/>
    <d v="2000-03-30T00:00:00"/>
    <n v="4971447.2160366327"/>
  </r>
  <r>
    <n v="46"/>
    <x v="45"/>
    <n v="15"/>
    <n v="2"/>
    <n v="2000"/>
    <n v="8"/>
    <n v="3"/>
    <n v="2.7061207718924354E-2"/>
    <n v="5412241.5437848708"/>
    <x v="1"/>
    <d v="2000-03-20T00:00:00"/>
    <d v="2000-03-30T00:00:00"/>
    <n v="4871017.389406384"/>
  </r>
  <r>
    <n v="47"/>
    <x v="46"/>
    <n v="16"/>
    <n v="2"/>
    <n v="2000"/>
    <n v="8"/>
    <n v="4"/>
    <n v="2.6379601705265307E-2"/>
    <n v="5275920.3410530612"/>
    <x v="1"/>
    <d v="2000-03-20T00:00:00"/>
    <d v="2000-03-30T00:00:00"/>
    <n v="4748328.3069477556"/>
  </r>
  <r>
    <n v="48"/>
    <x v="47"/>
    <n v="17"/>
    <n v="2"/>
    <n v="2000"/>
    <n v="8"/>
    <n v="5"/>
    <n v="2.5584297999708468E-2"/>
    <n v="5116859.5999416932"/>
    <x v="1"/>
    <d v="2000-03-20T00:00:00"/>
    <d v="2000-03-30T00:00:00"/>
    <n v="4605173.6399475243"/>
  </r>
  <r>
    <n v="49"/>
    <x v="48"/>
    <n v="18"/>
    <n v="2"/>
    <n v="2000"/>
    <n v="8"/>
    <n v="6"/>
    <n v="2.4686697065492834E-2"/>
    <n v="4937339.4130985672"/>
    <x v="1"/>
    <d v="2000-03-20T00:00:00"/>
    <d v="2000-03-30T00:00:00"/>
    <n v="4443605.4717887109"/>
  </r>
  <r>
    <n v="50"/>
    <x v="49"/>
    <n v="19"/>
    <n v="2"/>
    <n v="2000"/>
    <n v="8"/>
    <n v="7"/>
    <n v="2.3699363510239359E-2"/>
    <n v="4739872.7020478714"/>
    <x v="1"/>
    <d v="2000-03-20T00:00:00"/>
    <d v="2000-03-30T00:00:00"/>
    <n v="4265885.4318430843"/>
  </r>
  <r>
    <n v="51"/>
    <x v="50"/>
    <n v="20"/>
    <n v="2"/>
    <n v="2000"/>
    <n v="9"/>
    <n v="1"/>
    <n v="2.2635734369121589E-2"/>
    <n v="4527146.8738243179"/>
    <x v="1"/>
    <d v="2000-03-20T00:00:00"/>
    <d v="2000-03-30T00:00:00"/>
    <n v="4074432.1864418862"/>
  </r>
  <r>
    <n v="52"/>
    <x v="51"/>
    <n v="21"/>
    <n v="2"/>
    <n v="2000"/>
    <n v="9"/>
    <n v="2"/>
    <n v="2.1509816582486029E-2"/>
    <n v="4301963.3164972058"/>
    <x v="1"/>
    <d v="2000-03-20T00:00:00"/>
    <d v="2000-03-30T00:00:00"/>
    <n v="3871766.9848474851"/>
  </r>
  <r>
    <n v="53"/>
    <x v="52"/>
    <n v="22"/>
    <n v="2"/>
    <n v="2000"/>
    <n v="9"/>
    <n v="3"/>
    <n v="2.0335883123965309E-2"/>
    <n v="4067176.624793062"/>
    <x v="1"/>
    <d v="2000-03-20T00:00:00"/>
    <d v="2000-03-30T00:00:00"/>
    <n v="3660458.9623137559"/>
  </r>
  <r>
    <n v="54"/>
    <x v="53"/>
    <n v="23"/>
    <n v="2"/>
    <n v="2000"/>
    <n v="9"/>
    <n v="4"/>
    <n v="1.9128176881846124E-2"/>
    <n v="3825635.3763692249"/>
    <x v="1"/>
    <d v="2000-03-20T00:00:00"/>
    <d v="2000-03-30T00:00:00"/>
    <n v="3443071.8387323027"/>
  </r>
  <r>
    <n v="55"/>
    <x v="54"/>
    <n v="24"/>
    <n v="2"/>
    <n v="2000"/>
    <n v="9"/>
    <n v="5"/>
    <n v="1.7900630698417495E-2"/>
    <n v="3580126.139683499"/>
    <x v="1"/>
    <d v="2000-03-20T00:00:00"/>
    <d v="2000-03-30T00:00:00"/>
    <n v="3222113.525715149"/>
  </r>
  <r>
    <n v="56"/>
    <x v="55"/>
    <n v="25"/>
    <n v="2"/>
    <n v="2000"/>
    <n v="9"/>
    <n v="6"/>
    <n v="1.6666610976523753E-2"/>
    <n v="3333322.1953047505"/>
    <x v="1"/>
    <d v="2000-03-20T00:00:00"/>
    <d v="2000-03-30T00:00:00"/>
    <n v="2999989.9757742756"/>
  </r>
  <r>
    <n v="57"/>
    <x v="56"/>
    <n v="26"/>
    <n v="2"/>
    <n v="2000"/>
    <n v="9"/>
    <n v="7"/>
    <n v="1.5438691029196216E-2"/>
    <n v="3087738.2058392433"/>
    <x v="1"/>
    <d v="2000-03-20T00:00:00"/>
    <d v="2000-03-30T00:00:00"/>
    <n v="2778964.3852553191"/>
  </r>
  <r>
    <n v="58"/>
    <x v="57"/>
    <n v="27"/>
    <n v="2"/>
    <n v="2000"/>
    <n v="10"/>
    <n v="1"/>
    <n v="1.4228458945108895E-2"/>
    <n v="2845691.7890217789"/>
    <x v="1"/>
    <d v="2000-03-20T00:00:00"/>
    <d v="2000-03-30T00:00:00"/>
    <n v="2561122.6101196012"/>
  </r>
  <r>
    <n v="59"/>
    <x v="58"/>
    <n v="28"/>
    <n v="2"/>
    <n v="2000"/>
    <n v="10"/>
    <n v="2"/>
    <n v="1.3046363242072994E-2"/>
    <n v="2609272.6484145988"/>
    <x v="1"/>
    <d v="2000-03-20T00:00:00"/>
    <d v="2000-03-30T00:00:00"/>
    <n v="2348345.3835731391"/>
  </r>
  <r>
    <n v="60"/>
    <x v="59"/>
    <n v="29"/>
    <n v="2"/>
    <n v="2000"/>
    <n v="10"/>
    <n v="3"/>
    <n v="1.1901598055367165E-2"/>
    <n v="2380319.611073433"/>
    <x v="1"/>
    <d v="2000-03-20T00:00:00"/>
    <d v="2000-03-30T00:00:00"/>
    <n v="2142287.6499660895"/>
  </r>
  <r>
    <n v="61"/>
    <x v="60"/>
    <n v="1"/>
    <n v="3"/>
    <n v="2000"/>
    <n v="10"/>
    <n v="4"/>
    <n v="1.080202812614838E-2"/>
    <n v="2160405.6252296758"/>
    <x v="2"/>
    <d v="2000-04-20T00:00:00"/>
    <d v="2000-04-30T00:00:00"/>
    <n v="1944365.0627067082"/>
  </r>
  <r>
    <n v="62"/>
    <x v="61"/>
    <n v="2"/>
    <n v="3"/>
    <n v="2000"/>
    <n v="10"/>
    <n v="5"/>
    <n v="9.7541524790725701E-3"/>
    <n v="1950830.4958145141"/>
    <x v="2"/>
    <d v="2000-04-20T00:00:00"/>
    <d v="2000-04-30T00:00:00"/>
    <n v="1755747.4462330628"/>
  </r>
  <r>
    <n v="63"/>
    <x v="62"/>
    <n v="3"/>
    <n v="3"/>
    <n v="2000"/>
    <n v="10"/>
    <n v="6"/>
    <n v="8.763104459219441E-3"/>
    <n v="1752620.8918438882"/>
    <x v="2"/>
    <d v="2000-04-20T00:00:00"/>
    <d v="2000-04-30T00:00:00"/>
    <n v="1577358.8026594995"/>
  </r>
  <r>
    <n v="64"/>
    <x v="63"/>
    <n v="4"/>
    <n v="3"/>
    <n v="2000"/>
    <n v="10"/>
    <n v="7"/>
    <n v="7.8326847762224365E-3"/>
    <n v="1566536.9552444874"/>
    <x v="2"/>
    <d v="2000-04-20T00:00:00"/>
    <d v="2000-04-30T00:00:00"/>
    <n v="1409883.2597200386"/>
  </r>
  <r>
    <n v="65"/>
    <x v="64"/>
    <n v="5"/>
    <n v="3"/>
    <n v="2000"/>
    <n v="11"/>
    <n v="1"/>
    <n v="6.9654234049265837E-3"/>
    <n v="1393084.6809853166"/>
    <x v="2"/>
    <d v="2000-04-20T00:00:00"/>
    <d v="2000-04-30T00:00:00"/>
    <n v="1253776.2128867849"/>
  </r>
  <r>
    <n v="66"/>
    <x v="65"/>
    <n v="6"/>
    <n v="3"/>
    <n v="2000"/>
    <n v="11"/>
    <n v="2"/>
    <n v="6.1626656304651084E-3"/>
    <n v="1232533.1260930216"/>
    <x v="2"/>
    <d v="2000-04-20T00:00:00"/>
    <d v="2000-04-30T00:00:00"/>
    <n v="1109279.8134837195"/>
  </r>
  <r>
    <n v="67"/>
    <x v="66"/>
    <n v="7"/>
    <n v="3"/>
    <n v="2000"/>
    <n v="11"/>
    <n v="3"/>
    <n v="5.4246772021807159E-3"/>
    <n v="1084935.4404361432"/>
    <x v="2"/>
    <d v="2000-04-20T00:00:00"/>
    <d v="2000-04-30T00:00:00"/>
    <n v="976441.8963925289"/>
  </r>
  <r>
    <n v="68"/>
    <x v="67"/>
    <n v="8"/>
    <n v="3"/>
    <n v="2000"/>
    <n v="11"/>
    <n v="4"/>
    <n v="4.7507634646432977E-3"/>
    <n v="950152.6929286595"/>
    <x v="2"/>
    <d v="2000-04-20T00:00:00"/>
    <d v="2000-04-30T00:00:00"/>
    <n v="855137.42363579362"/>
  </r>
  <r>
    <n v="69"/>
    <x v="68"/>
    <n v="9"/>
    <n v="3"/>
    <n v="2000"/>
    <n v="11"/>
    <n v="5"/>
    <n v="4.1393974447109013E-3"/>
    <n v="827879.48894218029"/>
    <x v="2"/>
    <d v="2000-04-20T00:00:00"/>
    <d v="2000-04-30T00:00:00"/>
    <n v="745091.54004796233"/>
  </r>
  <r>
    <n v="70"/>
    <x v="69"/>
    <n v="10"/>
    <n v="3"/>
    <n v="2000"/>
    <n v="11"/>
    <n v="6"/>
    <n v="3.5883521631022569E-3"/>
    <n v="717670.43262045144"/>
    <x v="2"/>
    <d v="2000-04-20T00:00:00"/>
    <d v="2000-04-30T00:00:00"/>
    <n v="645903.3893584063"/>
  </r>
  <r>
    <n v="71"/>
    <x v="70"/>
    <n v="11"/>
    <n v="3"/>
    <n v="2000"/>
    <n v="11"/>
    <n v="7"/>
    <n v="3.0948328739602007E-3"/>
    <n v="618966.57479204016"/>
    <x v="2"/>
    <d v="2000-04-20T00:00:00"/>
    <d v="2000-04-30T00:00:00"/>
    <n v="557069.91731283616"/>
  </r>
  <r>
    <n v="72"/>
    <x v="71"/>
    <n v="12"/>
    <n v="3"/>
    <n v="2000"/>
    <n v="12"/>
    <n v="1"/>
    <n v="2.6556054801163179E-3"/>
    <n v="531121.09602326353"/>
    <x v="2"/>
    <d v="2000-04-20T00:00:00"/>
    <d v="2000-04-30T00:00:00"/>
    <n v="478008.98642093717"/>
  </r>
  <r>
    <n v="73"/>
    <x v="72"/>
    <n v="13"/>
    <n v="3"/>
    <n v="2000"/>
    <n v="12"/>
    <n v="2"/>
    <n v="2.2671179882619587E-3"/>
    <n v="453423.59765239176"/>
    <x v="2"/>
    <d v="2000-04-20T00:00:00"/>
    <d v="2000-04-30T00:00:00"/>
    <n v="408081.23788715259"/>
  </r>
  <r>
    <n v="74"/>
    <x v="73"/>
    <n v="14"/>
    <n v="3"/>
    <n v="2000"/>
    <n v="12"/>
    <n v="3"/>
    <n v="1.9256125213568268E-3"/>
    <n v="385122.50427136535"/>
    <x v="2"/>
    <d v="2000-04-20T00:00:00"/>
    <d v="2000-04-30T00:00:00"/>
    <n v="346610.25384422881"/>
  </r>
  <r>
    <n v="75"/>
    <x v="74"/>
    <n v="15"/>
    <n v="3"/>
    <n v="2000"/>
    <n v="12"/>
    <n v="4"/>
    <n v="1.627226062727493E-3"/>
    <n v="325445.21254549857"/>
    <x v="2"/>
    <d v="2000-04-20T00:00:00"/>
    <d v="2000-04-30T00:00:00"/>
    <n v="292900.69129094871"/>
  </r>
  <r>
    <n v="76"/>
    <x v="75"/>
    <n v="16"/>
    <n v="3"/>
    <n v="2000"/>
    <n v="12"/>
    <n v="5"/>
    <n v="1.368078739073009E-3"/>
    <n v="273615.74781460181"/>
    <x v="2"/>
    <d v="2000-04-20T00:00:00"/>
    <d v="2000-04-30T00:00:00"/>
    <n v="246254.17303314165"/>
  </r>
  <r>
    <n v="77"/>
    <x v="76"/>
    <n v="17"/>
    <n v="3"/>
    <n v="2000"/>
    <n v="12"/>
    <n v="6"/>
    <n v="1.1443490348009631E-3"/>
    <n v="228869.80696019263"/>
    <x v="2"/>
    <d v="2000-04-20T00:00:00"/>
    <d v="2000-04-30T00:00:00"/>
    <n v="205982.82626417337"/>
  </r>
  <r>
    <n v="78"/>
    <x v="77"/>
    <n v="18"/>
    <n v="3"/>
    <n v="2000"/>
    <n v="12"/>
    <n v="7"/>
    <n v="9.5233585016906764E-4"/>
    <n v="190467.17003381354"/>
    <x v="2"/>
    <d v="2000-04-20T00:00:00"/>
    <d v="2000-04-30T00:00:00"/>
    <n v="171420.4530304322"/>
  </r>
  <r>
    <n v="79"/>
    <x v="78"/>
    <n v="19"/>
    <n v="3"/>
    <n v="2000"/>
    <n v="13"/>
    <n v="1"/>
    <n v="7.8850775869023925E-4"/>
    <n v="157701.55173804786"/>
    <x v="2"/>
    <d v="2000-04-20T00:00:00"/>
    <d v="2000-04-30T00:00:00"/>
    <n v="141931.39656424307"/>
  </r>
  <r>
    <n v="80"/>
    <x v="79"/>
    <n v="20"/>
    <n v="3"/>
    <n v="2000"/>
    <n v="13"/>
    <n v="2"/>
    <n v="6.4954017868507519E-4"/>
    <n v="129908.03573701505"/>
    <x v="2"/>
    <d v="2000-04-20T00:00:00"/>
    <d v="2000-04-30T00:00:00"/>
    <n v="116917.23216331354"/>
  </r>
  <r>
    <n v="81"/>
    <x v="80"/>
    <n v="21"/>
    <n v="3"/>
    <n v="2000"/>
    <n v="13"/>
    <n v="3"/>
    <n v="5.3234144815713193E-4"/>
    <n v="106468.28963142639"/>
    <x v="2"/>
    <d v="2000-04-20T00:00:00"/>
    <d v="2000-04-30T00:00:00"/>
    <n v="95821.460668283762"/>
  </r>
  <r>
    <n v="82"/>
    <x v="81"/>
    <n v="22"/>
    <n v="3"/>
    <n v="2000"/>
    <n v="13"/>
    <n v="4"/>
    <n v="4.3406898394638782E-4"/>
    <n v="86813.796789277563"/>
    <x v="2"/>
    <d v="2000-04-20T00:00:00"/>
    <d v="2000-04-30T00:00:00"/>
    <n v="78132.417110349808"/>
  </r>
  <r>
    <n v="83"/>
    <x v="82"/>
    <n v="23"/>
    <n v="3"/>
    <n v="2000"/>
    <n v="13"/>
    <n v="5"/>
    <n v="3.5213682138279524E-4"/>
    <n v="70427.364276559048"/>
    <x v="2"/>
    <d v="2000-04-20T00:00:00"/>
    <d v="2000-04-30T00:00:00"/>
    <n v="63384.627848903147"/>
  </r>
</pivotCacheRecords>
</file>

<file path=xl/pivotCache/pivotCacheRecords2.xml><?xml version="1.0" encoding="utf-8"?>
<pivotCacheRecords xmlns="http://schemas.openxmlformats.org/spreadsheetml/2006/main" xmlns:r="http://schemas.openxmlformats.org/officeDocument/2006/relationships" count="31">
  <r>
    <n v="1"/>
    <x v="0"/>
    <n v="1"/>
    <n v="1"/>
    <n v="2000"/>
    <n v="1"/>
    <n v="7"/>
    <n v="1.6666610976523753E-2"/>
    <n v="3333322.1953047505"/>
    <x v="0"/>
    <d v="2000-02-20T00:00:00"/>
    <d v="2000-03-01T00:00:00"/>
    <n v="2999989.9757742756"/>
  </r>
  <r>
    <n v="2"/>
    <x v="1"/>
    <n v="2"/>
    <n v="1"/>
    <n v="2000"/>
    <n v="2"/>
    <n v="1"/>
    <n v="1.7900630698417495E-2"/>
    <n v="3580126.139683499"/>
    <x v="0"/>
    <d v="2000-02-20T00:00:00"/>
    <d v="2000-03-01T00:00:00"/>
    <n v="3222113.525715149"/>
  </r>
  <r>
    <n v="3"/>
    <x v="2"/>
    <n v="3"/>
    <n v="1"/>
    <n v="2000"/>
    <n v="2"/>
    <n v="2"/>
    <n v="1.9128176881846124E-2"/>
    <n v="3825635.3763692249"/>
    <x v="0"/>
    <d v="2000-02-20T00:00:00"/>
    <d v="2000-03-01T00:00:00"/>
    <n v="3443071.8387323027"/>
  </r>
  <r>
    <n v="4"/>
    <x v="3"/>
    <n v="4"/>
    <n v="1"/>
    <n v="2000"/>
    <n v="2"/>
    <n v="3"/>
    <n v="2.0335883123965309E-2"/>
    <n v="4067176.624793062"/>
    <x v="0"/>
    <d v="2000-02-20T00:00:00"/>
    <d v="2000-03-01T00:00:00"/>
    <n v="3660458.9623137559"/>
  </r>
  <r>
    <n v="5"/>
    <x v="4"/>
    <n v="5"/>
    <n v="1"/>
    <n v="2000"/>
    <n v="2"/>
    <n v="4"/>
    <n v="2.1509816582486029E-2"/>
    <n v="4301963.3164972058"/>
    <x v="0"/>
    <d v="2000-02-20T00:00:00"/>
    <d v="2000-03-01T00:00:00"/>
    <n v="3871766.9848474851"/>
  </r>
  <r>
    <n v="6"/>
    <x v="5"/>
    <n v="6"/>
    <n v="1"/>
    <n v="2000"/>
    <n v="2"/>
    <n v="5"/>
    <n v="2.2635734369121589E-2"/>
    <n v="4527146.8738243179"/>
    <x v="0"/>
    <d v="2000-02-20T00:00:00"/>
    <d v="2000-03-01T00:00:00"/>
    <n v="4074432.1864418862"/>
  </r>
  <r>
    <n v="7"/>
    <x v="6"/>
    <n v="7"/>
    <n v="1"/>
    <n v="2000"/>
    <n v="2"/>
    <n v="6"/>
    <n v="2.3699363510239359E-2"/>
    <n v="4739872.7020478714"/>
    <x v="0"/>
    <d v="2000-02-20T00:00:00"/>
    <d v="2000-03-01T00:00:00"/>
    <n v="4265885.4318430843"/>
  </r>
  <r>
    <n v="8"/>
    <x v="7"/>
    <n v="8"/>
    <n v="1"/>
    <n v="2000"/>
    <n v="2"/>
    <n v="7"/>
    <n v="2.4686697065492834E-2"/>
    <n v="4937339.4130985672"/>
    <x v="0"/>
    <d v="2000-02-20T00:00:00"/>
    <d v="2000-03-01T00:00:00"/>
    <n v="4443605.4717887109"/>
  </r>
  <r>
    <n v="9"/>
    <x v="8"/>
    <n v="9"/>
    <n v="1"/>
    <n v="2000"/>
    <n v="3"/>
    <n v="1"/>
    <n v="2.5584297999708468E-2"/>
    <n v="5116859.5999416932"/>
    <x v="0"/>
    <d v="2000-02-20T00:00:00"/>
    <d v="2000-03-01T00:00:00"/>
    <n v="4605173.6399475243"/>
  </r>
  <r>
    <n v="10"/>
    <x v="9"/>
    <n v="10"/>
    <n v="1"/>
    <n v="2000"/>
    <n v="3"/>
    <n v="2"/>
    <n v="2.6379601705265307E-2"/>
    <n v="5275920.3410530612"/>
    <x v="0"/>
    <d v="2000-02-20T00:00:00"/>
    <d v="2000-03-01T00:00:00"/>
    <n v="4748328.3069477556"/>
  </r>
  <r>
    <n v="11"/>
    <x v="10"/>
    <n v="11"/>
    <n v="1"/>
    <n v="2000"/>
    <n v="3"/>
    <n v="3"/>
    <n v="2.7061207718924354E-2"/>
    <n v="5412241.5437848708"/>
    <x v="0"/>
    <d v="2000-02-20T00:00:00"/>
    <d v="2000-03-01T00:00:00"/>
    <n v="4871017.389406384"/>
  </r>
  <r>
    <n v="12"/>
    <x v="11"/>
    <n v="12"/>
    <n v="1"/>
    <n v="2000"/>
    <n v="3"/>
    <n v="4"/>
    <n v="2.7619151200203515E-2"/>
    <n v="5523830.2400407027"/>
    <x v="0"/>
    <d v="2000-02-20T00:00:00"/>
    <d v="2000-03-01T00:00:00"/>
    <n v="4971447.2160366327"/>
  </r>
  <r>
    <n v="13"/>
    <x v="12"/>
    <n v="13"/>
    <n v="1"/>
    <n v="2000"/>
    <n v="3"/>
    <n v="5"/>
    <n v="2.8045145151504698E-2"/>
    <n v="5609029.0303009395"/>
    <x v="0"/>
    <d v="2000-02-20T00:00:00"/>
    <d v="2000-03-01T00:00:00"/>
    <n v="5048126.1272708457"/>
  </r>
  <r>
    <n v="14"/>
    <x v="13"/>
    <n v="14"/>
    <n v="1"/>
    <n v="2000"/>
    <n v="3"/>
    <n v="6"/>
    <n v="2.8332785157249189E-2"/>
    <n v="5666557.0314498376"/>
    <x v="0"/>
    <d v="2000-02-20T00:00:00"/>
    <d v="2000-03-01T00:00:00"/>
    <n v="5099901.3283048542"/>
  </r>
  <r>
    <n v="15"/>
    <x v="14"/>
    <n v="15"/>
    <n v="1"/>
    <n v="2000"/>
    <n v="3"/>
    <n v="7"/>
    <n v="2.8477709574332315E-2"/>
    <n v="5695541.9148664633"/>
    <x v="0"/>
    <d v="2000-02-20T00:00:00"/>
    <d v="2000-03-01T00:00:00"/>
    <n v="5125987.7233798169"/>
  </r>
  <r>
    <n v="16"/>
    <x v="15"/>
    <n v="16"/>
    <n v="1"/>
    <n v="2000"/>
    <n v="4"/>
    <n v="1"/>
    <n v="2.8477709574332315E-2"/>
    <n v="5695541.9148664633"/>
    <x v="0"/>
    <d v="2000-02-20T00:00:00"/>
    <d v="2000-03-01T00:00:00"/>
    <n v="5125987.7233798169"/>
  </r>
  <r>
    <n v="17"/>
    <x v="16"/>
    <n v="17"/>
    <n v="1"/>
    <n v="2000"/>
    <n v="4"/>
    <n v="2"/>
    <n v="2.8332785157249189E-2"/>
    <n v="5666557.0314498376"/>
    <x v="0"/>
    <d v="2000-02-20T00:00:00"/>
    <d v="2000-03-01T00:00:00"/>
    <n v="5099901.3283048542"/>
  </r>
  <r>
    <n v="18"/>
    <x v="17"/>
    <n v="18"/>
    <n v="1"/>
    <n v="2000"/>
    <n v="4"/>
    <n v="3"/>
    <n v="2.8045145151504698E-2"/>
    <n v="5609029.0303009395"/>
    <x v="0"/>
    <d v="2000-02-20T00:00:00"/>
    <d v="2000-03-01T00:00:00"/>
    <n v="5048126.1272708457"/>
  </r>
  <r>
    <n v="19"/>
    <x v="18"/>
    <n v="19"/>
    <n v="1"/>
    <n v="2000"/>
    <n v="4"/>
    <n v="4"/>
    <n v="2.7619151200203515E-2"/>
    <n v="5523830.2400407027"/>
    <x v="0"/>
    <d v="2000-02-20T00:00:00"/>
    <d v="2000-03-01T00:00:00"/>
    <n v="4971447.2160366327"/>
  </r>
  <r>
    <n v="20"/>
    <x v="19"/>
    <n v="20"/>
    <n v="1"/>
    <n v="2000"/>
    <n v="4"/>
    <n v="5"/>
    <n v="2.7061207718924354E-2"/>
    <n v="5412241.5437848708"/>
    <x v="0"/>
    <d v="2000-02-20T00:00:00"/>
    <d v="2000-03-01T00:00:00"/>
    <n v="4871017.389406384"/>
  </r>
  <r>
    <n v="21"/>
    <x v="20"/>
    <n v="21"/>
    <n v="1"/>
    <n v="2000"/>
    <n v="4"/>
    <n v="6"/>
    <n v="2.6379601705265307E-2"/>
    <n v="5275920.3410530612"/>
    <x v="0"/>
    <d v="2000-02-20T00:00:00"/>
    <d v="2000-03-01T00:00:00"/>
    <n v="4748328.3069477556"/>
  </r>
  <r>
    <n v="22"/>
    <x v="21"/>
    <n v="22"/>
    <n v="1"/>
    <n v="2000"/>
    <n v="4"/>
    <n v="7"/>
    <n v="2.5584297999708468E-2"/>
    <n v="5116859.5999416932"/>
    <x v="0"/>
    <d v="2000-02-20T00:00:00"/>
    <d v="2000-03-01T00:00:00"/>
    <n v="4605173.6399475243"/>
  </r>
  <r>
    <n v="23"/>
    <x v="22"/>
    <n v="23"/>
    <n v="1"/>
    <n v="2000"/>
    <n v="5"/>
    <n v="1"/>
    <n v="2.4686697065492834E-2"/>
    <n v="4937339.4130985672"/>
    <x v="0"/>
    <d v="2000-02-20T00:00:00"/>
    <d v="2000-03-01T00:00:00"/>
    <n v="4443605.4717887109"/>
  </r>
  <r>
    <n v="24"/>
    <x v="23"/>
    <n v="24"/>
    <n v="1"/>
    <n v="2000"/>
    <n v="5"/>
    <n v="2"/>
    <n v="2.3699363510239359E-2"/>
    <n v="4739872.7020478714"/>
    <x v="0"/>
    <d v="2000-02-20T00:00:00"/>
    <d v="2000-03-01T00:00:00"/>
    <n v="4265885.4318430843"/>
  </r>
  <r>
    <n v="25"/>
    <x v="24"/>
    <n v="25"/>
    <n v="1"/>
    <n v="2000"/>
    <n v="5"/>
    <n v="3"/>
    <n v="2.2635734369121589E-2"/>
    <n v="4527146.8738243179"/>
    <x v="0"/>
    <d v="2000-02-20T00:00:00"/>
    <d v="2000-03-01T00:00:00"/>
    <n v="4074432.1864418862"/>
  </r>
  <r>
    <n v="26"/>
    <x v="25"/>
    <n v="26"/>
    <n v="1"/>
    <n v="2000"/>
    <n v="5"/>
    <n v="4"/>
    <n v="2.1509816582486029E-2"/>
    <n v="4301963.3164972058"/>
    <x v="0"/>
    <d v="2000-02-20T00:00:00"/>
    <d v="2000-03-01T00:00:00"/>
    <n v="3871766.9848474851"/>
  </r>
  <r>
    <n v="27"/>
    <x v="26"/>
    <n v="27"/>
    <n v="1"/>
    <n v="2000"/>
    <n v="5"/>
    <n v="5"/>
    <n v="2.0335883123965309E-2"/>
    <n v="4067176.624793062"/>
    <x v="0"/>
    <d v="2000-02-20T00:00:00"/>
    <d v="2000-03-01T00:00:00"/>
    <n v="3660458.9623137559"/>
  </r>
  <r>
    <n v="28"/>
    <x v="27"/>
    <n v="28"/>
    <n v="1"/>
    <n v="2000"/>
    <n v="5"/>
    <n v="6"/>
    <n v="1.9128176881846124E-2"/>
    <n v="3825635.3763692249"/>
    <x v="0"/>
    <d v="2000-02-20T00:00:00"/>
    <d v="2000-03-01T00:00:00"/>
    <n v="3443071.8387323027"/>
  </r>
  <r>
    <n v="29"/>
    <x v="28"/>
    <n v="29"/>
    <n v="1"/>
    <n v="2000"/>
    <n v="5"/>
    <n v="7"/>
    <n v="1.7900630698417495E-2"/>
    <n v="3580126.139683499"/>
    <x v="0"/>
    <d v="2000-02-20T00:00:00"/>
    <d v="2000-03-01T00:00:00"/>
    <n v="3222113.525715149"/>
  </r>
  <r>
    <n v="30"/>
    <x v="29"/>
    <n v="30"/>
    <n v="1"/>
    <n v="2000"/>
    <n v="6"/>
    <n v="1"/>
    <n v="1.6666610976523753E-2"/>
    <n v="3333322.1953047505"/>
    <x v="0"/>
    <d v="2000-02-20T00:00:00"/>
    <d v="2000-03-01T00:00:00"/>
    <n v="2999989.9757742756"/>
  </r>
  <r>
    <n v="31"/>
    <x v="30"/>
    <n v="31"/>
    <n v="1"/>
    <n v="2000"/>
    <n v="6"/>
    <n v="2"/>
    <n v="1.5438691029196216E-2"/>
    <n v="3087738.2058392433"/>
    <x v="0"/>
    <n v="36576"/>
    <n v="36586"/>
    <n v="2778964.3852553191"/>
  </r>
</pivotCacheRecords>
</file>

<file path=xl/pivotCache/pivotCacheRecords3.xml><?xml version="1.0" encoding="utf-8"?>
<pivotCacheRecords xmlns="http://schemas.openxmlformats.org/spreadsheetml/2006/main" xmlns:r="http://schemas.openxmlformats.org/officeDocument/2006/relationships" count="83">
  <r>
    <n v="1"/>
    <x v="0"/>
    <x v="0"/>
    <x v="0"/>
    <x v="0"/>
    <x v="0"/>
    <n v="7"/>
    <n v="4.3406898394638782E-4"/>
    <n v="86813.796789277563"/>
    <x v="0"/>
    <x v="0"/>
    <x v="0"/>
    <n v="78132.417110349808"/>
  </r>
  <r>
    <n v="2"/>
    <x v="1"/>
    <x v="1"/>
    <x v="0"/>
    <x v="0"/>
    <x v="1"/>
    <n v="1"/>
    <n v="5.3234144815713193E-4"/>
    <n v="106468.28963142639"/>
    <x v="0"/>
    <x v="0"/>
    <x v="0"/>
    <n v="95821.460668283762"/>
  </r>
  <r>
    <n v="3"/>
    <x v="2"/>
    <x v="2"/>
    <x v="0"/>
    <x v="0"/>
    <x v="1"/>
    <n v="2"/>
    <n v="6.4954017868507519E-4"/>
    <n v="129908.03573701505"/>
    <x v="0"/>
    <x v="0"/>
    <x v="0"/>
    <n v="116917.23216331354"/>
  </r>
  <r>
    <n v="4"/>
    <x v="3"/>
    <x v="3"/>
    <x v="0"/>
    <x v="0"/>
    <x v="1"/>
    <n v="3"/>
    <n v="7.8850775869023925E-4"/>
    <n v="157701.55173804786"/>
    <x v="0"/>
    <x v="0"/>
    <x v="0"/>
    <n v="141931.39656424307"/>
  </r>
  <r>
    <n v="5"/>
    <x v="4"/>
    <x v="4"/>
    <x v="0"/>
    <x v="0"/>
    <x v="1"/>
    <n v="4"/>
    <n v="9.5233585016906764E-4"/>
    <n v="190467.17003381354"/>
    <x v="0"/>
    <x v="0"/>
    <x v="0"/>
    <n v="171420.4530304322"/>
  </r>
  <r>
    <n v="6"/>
    <x v="5"/>
    <x v="5"/>
    <x v="0"/>
    <x v="0"/>
    <x v="1"/>
    <n v="5"/>
    <n v="1.1443490348009631E-3"/>
    <n v="228869.80696019263"/>
    <x v="0"/>
    <x v="0"/>
    <x v="0"/>
    <n v="205982.82626417337"/>
  </r>
  <r>
    <n v="7"/>
    <x v="6"/>
    <x v="6"/>
    <x v="0"/>
    <x v="0"/>
    <x v="1"/>
    <n v="6"/>
    <n v="1.368078739073009E-3"/>
    <n v="273615.74781460181"/>
    <x v="0"/>
    <x v="0"/>
    <x v="0"/>
    <n v="246254.17303314165"/>
  </r>
  <r>
    <n v="8"/>
    <x v="7"/>
    <x v="7"/>
    <x v="0"/>
    <x v="0"/>
    <x v="1"/>
    <n v="7"/>
    <n v="1.627226062727493E-3"/>
    <n v="325445.21254549857"/>
    <x v="0"/>
    <x v="0"/>
    <x v="0"/>
    <n v="292900.69129094871"/>
  </r>
  <r>
    <n v="9"/>
    <x v="8"/>
    <x v="8"/>
    <x v="0"/>
    <x v="0"/>
    <x v="2"/>
    <n v="1"/>
    <n v="1.9256125213568268E-3"/>
    <n v="385122.50427136535"/>
    <x v="0"/>
    <x v="0"/>
    <x v="0"/>
    <n v="346610.25384422881"/>
  </r>
  <r>
    <n v="10"/>
    <x v="9"/>
    <x v="9"/>
    <x v="0"/>
    <x v="0"/>
    <x v="2"/>
    <n v="2"/>
    <n v="2.2671179882619587E-3"/>
    <n v="453423.59765239176"/>
    <x v="0"/>
    <x v="0"/>
    <x v="0"/>
    <n v="408081.23788715259"/>
  </r>
  <r>
    <n v="11"/>
    <x v="10"/>
    <x v="10"/>
    <x v="0"/>
    <x v="0"/>
    <x v="2"/>
    <n v="3"/>
    <n v="2.6556054801163179E-3"/>
    <n v="531121.09602326353"/>
    <x v="0"/>
    <x v="0"/>
    <x v="0"/>
    <n v="478008.98642093717"/>
  </r>
  <r>
    <n v="12"/>
    <x v="11"/>
    <x v="11"/>
    <x v="0"/>
    <x v="0"/>
    <x v="2"/>
    <n v="4"/>
    <n v="3.0948328739602007E-3"/>
    <n v="618966.57479204016"/>
    <x v="0"/>
    <x v="0"/>
    <x v="0"/>
    <n v="557069.91731283616"/>
  </r>
  <r>
    <n v="13"/>
    <x v="12"/>
    <x v="12"/>
    <x v="0"/>
    <x v="0"/>
    <x v="2"/>
    <n v="5"/>
    <n v="3.5883521631022569E-3"/>
    <n v="717670.43262045144"/>
    <x v="0"/>
    <x v="0"/>
    <x v="0"/>
    <n v="645903.3893584063"/>
  </r>
  <r>
    <n v="14"/>
    <x v="13"/>
    <x v="13"/>
    <x v="0"/>
    <x v="0"/>
    <x v="2"/>
    <n v="6"/>
    <n v="4.1393974447109013E-3"/>
    <n v="827879.48894218029"/>
    <x v="0"/>
    <x v="0"/>
    <x v="0"/>
    <n v="745091.54004796233"/>
  </r>
  <r>
    <n v="15"/>
    <x v="14"/>
    <x v="14"/>
    <x v="0"/>
    <x v="0"/>
    <x v="2"/>
    <n v="7"/>
    <n v="4.7507634646432977E-3"/>
    <n v="950152.6929286595"/>
    <x v="0"/>
    <x v="0"/>
    <x v="0"/>
    <n v="855137.42363579362"/>
  </r>
  <r>
    <n v="16"/>
    <x v="15"/>
    <x v="15"/>
    <x v="0"/>
    <x v="0"/>
    <x v="3"/>
    <n v="1"/>
    <n v="5.4246772021807159E-3"/>
    <n v="1084935.4404361432"/>
    <x v="0"/>
    <x v="0"/>
    <x v="0"/>
    <n v="976441.8963925289"/>
  </r>
  <r>
    <n v="17"/>
    <x v="16"/>
    <x v="16"/>
    <x v="0"/>
    <x v="0"/>
    <x v="3"/>
    <n v="2"/>
    <n v="6.1626656304651084E-3"/>
    <n v="1232533.1260930216"/>
    <x v="0"/>
    <x v="0"/>
    <x v="0"/>
    <n v="1109279.8134837195"/>
  </r>
  <r>
    <n v="18"/>
    <x v="17"/>
    <x v="17"/>
    <x v="0"/>
    <x v="0"/>
    <x v="3"/>
    <n v="3"/>
    <n v="6.9654234049265837E-3"/>
    <n v="1393084.6809853166"/>
    <x v="0"/>
    <x v="0"/>
    <x v="0"/>
    <n v="1253776.2128867849"/>
  </r>
  <r>
    <n v="19"/>
    <x v="18"/>
    <x v="18"/>
    <x v="0"/>
    <x v="0"/>
    <x v="3"/>
    <n v="4"/>
    <n v="7.8326847762224365E-3"/>
    <n v="1566536.9552444874"/>
    <x v="0"/>
    <x v="0"/>
    <x v="0"/>
    <n v="1409883.2597200386"/>
  </r>
  <r>
    <n v="20"/>
    <x v="19"/>
    <x v="19"/>
    <x v="0"/>
    <x v="0"/>
    <x v="3"/>
    <n v="5"/>
    <n v="8.763104459219441E-3"/>
    <n v="1752620.8918438882"/>
    <x v="0"/>
    <x v="0"/>
    <x v="0"/>
    <n v="1577358.8026594995"/>
  </r>
  <r>
    <n v="21"/>
    <x v="20"/>
    <x v="20"/>
    <x v="0"/>
    <x v="0"/>
    <x v="3"/>
    <n v="6"/>
    <n v="9.7541524790725701E-3"/>
    <n v="1950830.4958145141"/>
    <x v="0"/>
    <x v="0"/>
    <x v="0"/>
    <n v="1755747.4462330628"/>
  </r>
  <r>
    <n v="22"/>
    <x v="21"/>
    <x v="21"/>
    <x v="0"/>
    <x v="0"/>
    <x v="3"/>
    <n v="7"/>
    <n v="1.080202812614838E-2"/>
    <n v="2160405.6252296758"/>
    <x v="0"/>
    <x v="0"/>
    <x v="0"/>
    <n v="1944365.0627067082"/>
  </r>
  <r>
    <n v="23"/>
    <x v="22"/>
    <x v="22"/>
    <x v="0"/>
    <x v="0"/>
    <x v="4"/>
    <n v="1"/>
    <n v="1.1901598055367165E-2"/>
    <n v="2380319.611073433"/>
    <x v="0"/>
    <x v="0"/>
    <x v="0"/>
    <n v="2142287.6499660895"/>
  </r>
  <r>
    <n v="24"/>
    <x v="23"/>
    <x v="23"/>
    <x v="0"/>
    <x v="0"/>
    <x v="4"/>
    <n v="2"/>
    <n v="1.3046363242072994E-2"/>
    <n v="2609272.6484145988"/>
    <x v="0"/>
    <x v="0"/>
    <x v="0"/>
    <n v="2348345.3835731391"/>
  </r>
  <r>
    <n v="25"/>
    <x v="24"/>
    <x v="24"/>
    <x v="0"/>
    <x v="0"/>
    <x v="4"/>
    <n v="3"/>
    <n v="1.4228458945108895E-2"/>
    <n v="2845691.7890217789"/>
    <x v="0"/>
    <x v="0"/>
    <x v="0"/>
    <n v="2561122.6101196012"/>
  </r>
  <r>
    <n v="26"/>
    <x v="25"/>
    <x v="25"/>
    <x v="0"/>
    <x v="0"/>
    <x v="4"/>
    <n v="4"/>
    <n v="1.5438691029196216E-2"/>
    <n v="3087738.2058392433"/>
    <x v="0"/>
    <x v="0"/>
    <x v="0"/>
    <n v="2778964.3852553191"/>
  </r>
  <r>
    <n v="27"/>
    <x v="26"/>
    <x v="26"/>
    <x v="0"/>
    <x v="0"/>
    <x v="4"/>
    <n v="5"/>
    <n v="1.6666610976523753E-2"/>
    <n v="3333322.1953047505"/>
    <x v="0"/>
    <x v="0"/>
    <x v="0"/>
    <n v="2999989.9757742756"/>
  </r>
  <r>
    <n v="28"/>
    <x v="27"/>
    <x v="27"/>
    <x v="0"/>
    <x v="0"/>
    <x v="4"/>
    <n v="6"/>
    <n v="1.7900630698417495E-2"/>
    <n v="3580126.139683499"/>
    <x v="0"/>
    <x v="0"/>
    <x v="0"/>
    <n v="3222113.525715149"/>
  </r>
  <r>
    <n v="29"/>
    <x v="28"/>
    <x v="28"/>
    <x v="0"/>
    <x v="0"/>
    <x v="4"/>
    <n v="7"/>
    <n v="1.9128176881846124E-2"/>
    <n v="3825635.3763692249"/>
    <x v="0"/>
    <x v="0"/>
    <x v="0"/>
    <n v="3443071.8387323027"/>
  </r>
  <r>
    <n v="30"/>
    <x v="29"/>
    <x v="29"/>
    <x v="0"/>
    <x v="0"/>
    <x v="5"/>
    <n v="1"/>
    <n v="2.0335883123965309E-2"/>
    <n v="4067176.624793062"/>
    <x v="0"/>
    <x v="0"/>
    <x v="0"/>
    <n v="3660458.9623137559"/>
  </r>
  <r>
    <n v="31"/>
    <x v="30"/>
    <x v="30"/>
    <x v="0"/>
    <x v="0"/>
    <x v="5"/>
    <n v="2"/>
    <n v="2.1509816582486029E-2"/>
    <n v="4301963.3164972058"/>
    <x v="0"/>
    <x v="0"/>
    <x v="0"/>
    <n v="3871766.9848474851"/>
  </r>
  <r>
    <n v="32"/>
    <x v="31"/>
    <x v="0"/>
    <x v="1"/>
    <x v="0"/>
    <x v="5"/>
    <n v="3"/>
    <n v="2.2635734369121589E-2"/>
    <n v="4527146.8738243179"/>
    <x v="1"/>
    <x v="1"/>
    <x v="1"/>
    <n v="4074432.1864418862"/>
  </r>
  <r>
    <n v="33"/>
    <x v="32"/>
    <x v="1"/>
    <x v="1"/>
    <x v="0"/>
    <x v="5"/>
    <n v="4"/>
    <n v="2.3699363510239359E-2"/>
    <n v="4739872.7020478714"/>
    <x v="1"/>
    <x v="1"/>
    <x v="1"/>
    <n v="4265885.4318430843"/>
  </r>
  <r>
    <n v="34"/>
    <x v="33"/>
    <x v="2"/>
    <x v="1"/>
    <x v="0"/>
    <x v="5"/>
    <n v="5"/>
    <n v="2.4686697065492834E-2"/>
    <n v="4937339.4130985672"/>
    <x v="1"/>
    <x v="1"/>
    <x v="1"/>
    <n v="4443605.4717887109"/>
  </r>
  <r>
    <n v="35"/>
    <x v="34"/>
    <x v="3"/>
    <x v="1"/>
    <x v="0"/>
    <x v="5"/>
    <n v="6"/>
    <n v="2.5584297999708468E-2"/>
    <n v="5116859.5999416932"/>
    <x v="1"/>
    <x v="1"/>
    <x v="1"/>
    <n v="4605173.6399475243"/>
  </r>
  <r>
    <n v="36"/>
    <x v="35"/>
    <x v="4"/>
    <x v="1"/>
    <x v="0"/>
    <x v="5"/>
    <n v="7"/>
    <n v="2.6379601705265307E-2"/>
    <n v="5275920.3410530612"/>
    <x v="1"/>
    <x v="1"/>
    <x v="1"/>
    <n v="4748328.3069477556"/>
  </r>
  <r>
    <n v="37"/>
    <x v="36"/>
    <x v="5"/>
    <x v="1"/>
    <x v="0"/>
    <x v="6"/>
    <n v="1"/>
    <n v="2.7061207718924354E-2"/>
    <n v="5412241.5437848708"/>
    <x v="1"/>
    <x v="1"/>
    <x v="1"/>
    <n v="4871017.389406384"/>
  </r>
  <r>
    <n v="38"/>
    <x v="37"/>
    <x v="6"/>
    <x v="1"/>
    <x v="0"/>
    <x v="6"/>
    <n v="2"/>
    <n v="2.7619151200203515E-2"/>
    <n v="5523830.2400407027"/>
    <x v="1"/>
    <x v="1"/>
    <x v="1"/>
    <n v="4971447.2160366327"/>
  </r>
  <r>
    <n v="39"/>
    <x v="38"/>
    <x v="7"/>
    <x v="1"/>
    <x v="0"/>
    <x v="6"/>
    <n v="3"/>
    <n v="2.8045145151504698E-2"/>
    <n v="5609029.0303009395"/>
    <x v="1"/>
    <x v="1"/>
    <x v="1"/>
    <n v="5048126.1272708457"/>
  </r>
  <r>
    <n v="40"/>
    <x v="39"/>
    <x v="8"/>
    <x v="1"/>
    <x v="0"/>
    <x v="6"/>
    <n v="4"/>
    <n v="2.8332785157249189E-2"/>
    <n v="5666557.0314498376"/>
    <x v="1"/>
    <x v="1"/>
    <x v="1"/>
    <n v="5099901.3283048542"/>
  </r>
  <r>
    <n v="41"/>
    <x v="40"/>
    <x v="9"/>
    <x v="1"/>
    <x v="0"/>
    <x v="6"/>
    <n v="5"/>
    <n v="2.8477709574332315E-2"/>
    <n v="5695541.9148664633"/>
    <x v="1"/>
    <x v="1"/>
    <x v="1"/>
    <n v="5125987.7233798169"/>
  </r>
  <r>
    <n v="42"/>
    <x v="41"/>
    <x v="10"/>
    <x v="1"/>
    <x v="0"/>
    <x v="6"/>
    <n v="6"/>
    <n v="2.8477709574332315E-2"/>
    <n v="5695541.9148664633"/>
    <x v="1"/>
    <x v="1"/>
    <x v="1"/>
    <n v="5125987.7233798169"/>
  </r>
  <r>
    <n v="43"/>
    <x v="42"/>
    <x v="11"/>
    <x v="1"/>
    <x v="0"/>
    <x v="6"/>
    <n v="7"/>
    <n v="2.8332785157249189E-2"/>
    <n v="5666557.0314498376"/>
    <x v="1"/>
    <x v="1"/>
    <x v="1"/>
    <n v="5099901.3283048542"/>
  </r>
  <r>
    <n v="44"/>
    <x v="43"/>
    <x v="12"/>
    <x v="1"/>
    <x v="0"/>
    <x v="7"/>
    <n v="1"/>
    <n v="2.8045145151504698E-2"/>
    <n v="5609029.0303009395"/>
    <x v="1"/>
    <x v="1"/>
    <x v="1"/>
    <n v="5048126.1272708457"/>
  </r>
  <r>
    <n v="45"/>
    <x v="44"/>
    <x v="13"/>
    <x v="1"/>
    <x v="0"/>
    <x v="7"/>
    <n v="2"/>
    <n v="2.7619151200203515E-2"/>
    <n v="5523830.2400407027"/>
    <x v="1"/>
    <x v="1"/>
    <x v="1"/>
    <n v="4971447.2160366327"/>
  </r>
  <r>
    <n v="46"/>
    <x v="45"/>
    <x v="14"/>
    <x v="1"/>
    <x v="0"/>
    <x v="7"/>
    <n v="3"/>
    <n v="2.7061207718924354E-2"/>
    <n v="5412241.5437848708"/>
    <x v="1"/>
    <x v="1"/>
    <x v="1"/>
    <n v="4871017.389406384"/>
  </r>
  <r>
    <n v="47"/>
    <x v="46"/>
    <x v="15"/>
    <x v="1"/>
    <x v="0"/>
    <x v="7"/>
    <n v="4"/>
    <n v="2.6379601705265307E-2"/>
    <n v="5275920.3410530612"/>
    <x v="1"/>
    <x v="1"/>
    <x v="1"/>
    <n v="4748328.3069477556"/>
  </r>
  <r>
    <n v="48"/>
    <x v="47"/>
    <x v="16"/>
    <x v="1"/>
    <x v="0"/>
    <x v="7"/>
    <n v="5"/>
    <n v="2.5584297999708468E-2"/>
    <n v="5116859.5999416932"/>
    <x v="1"/>
    <x v="1"/>
    <x v="1"/>
    <n v="4605173.6399475243"/>
  </r>
  <r>
    <n v="49"/>
    <x v="48"/>
    <x v="17"/>
    <x v="1"/>
    <x v="0"/>
    <x v="7"/>
    <n v="6"/>
    <n v="2.4686697065492834E-2"/>
    <n v="4937339.4130985672"/>
    <x v="1"/>
    <x v="1"/>
    <x v="1"/>
    <n v="4443605.4717887109"/>
  </r>
  <r>
    <n v="50"/>
    <x v="49"/>
    <x v="18"/>
    <x v="1"/>
    <x v="0"/>
    <x v="7"/>
    <n v="7"/>
    <n v="2.3699363510239359E-2"/>
    <n v="4739872.7020478714"/>
    <x v="1"/>
    <x v="1"/>
    <x v="1"/>
    <n v="4265885.4318430843"/>
  </r>
  <r>
    <n v="51"/>
    <x v="50"/>
    <x v="19"/>
    <x v="1"/>
    <x v="0"/>
    <x v="8"/>
    <n v="1"/>
    <n v="2.2635734369121589E-2"/>
    <n v="4527146.8738243179"/>
    <x v="1"/>
    <x v="1"/>
    <x v="1"/>
    <n v="4074432.1864418862"/>
  </r>
  <r>
    <n v="52"/>
    <x v="51"/>
    <x v="20"/>
    <x v="1"/>
    <x v="0"/>
    <x v="8"/>
    <n v="2"/>
    <n v="2.1509816582486029E-2"/>
    <n v="4301963.3164972058"/>
    <x v="1"/>
    <x v="1"/>
    <x v="1"/>
    <n v="3871766.9848474851"/>
  </r>
  <r>
    <n v="53"/>
    <x v="52"/>
    <x v="21"/>
    <x v="1"/>
    <x v="0"/>
    <x v="8"/>
    <n v="3"/>
    <n v="2.0335883123965309E-2"/>
    <n v="4067176.624793062"/>
    <x v="1"/>
    <x v="1"/>
    <x v="1"/>
    <n v="3660458.9623137559"/>
  </r>
  <r>
    <n v="54"/>
    <x v="53"/>
    <x v="22"/>
    <x v="1"/>
    <x v="0"/>
    <x v="8"/>
    <n v="4"/>
    <n v="1.9128176881846124E-2"/>
    <n v="3825635.3763692249"/>
    <x v="1"/>
    <x v="1"/>
    <x v="1"/>
    <n v="3443071.8387323027"/>
  </r>
  <r>
    <n v="55"/>
    <x v="54"/>
    <x v="23"/>
    <x v="1"/>
    <x v="0"/>
    <x v="8"/>
    <n v="5"/>
    <n v="1.7900630698417495E-2"/>
    <n v="3580126.139683499"/>
    <x v="1"/>
    <x v="1"/>
    <x v="1"/>
    <n v="3222113.525715149"/>
  </r>
  <r>
    <n v="56"/>
    <x v="55"/>
    <x v="24"/>
    <x v="1"/>
    <x v="0"/>
    <x v="8"/>
    <n v="6"/>
    <n v="1.6666610976523753E-2"/>
    <n v="3333322.1953047505"/>
    <x v="1"/>
    <x v="1"/>
    <x v="1"/>
    <n v="2999989.9757742756"/>
  </r>
  <r>
    <n v="57"/>
    <x v="56"/>
    <x v="25"/>
    <x v="1"/>
    <x v="0"/>
    <x v="8"/>
    <n v="7"/>
    <n v="1.5438691029196216E-2"/>
    <n v="3087738.2058392433"/>
    <x v="1"/>
    <x v="1"/>
    <x v="1"/>
    <n v="2778964.3852553191"/>
  </r>
  <r>
    <n v="58"/>
    <x v="57"/>
    <x v="26"/>
    <x v="1"/>
    <x v="0"/>
    <x v="9"/>
    <n v="1"/>
    <n v="1.4228458945108895E-2"/>
    <n v="2845691.7890217789"/>
    <x v="1"/>
    <x v="1"/>
    <x v="1"/>
    <n v="2561122.6101196012"/>
  </r>
  <r>
    <n v="59"/>
    <x v="58"/>
    <x v="27"/>
    <x v="1"/>
    <x v="0"/>
    <x v="9"/>
    <n v="2"/>
    <n v="1.3046363242072994E-2"/>
    <n v="2609272.6484145988"/>
    <x v="1"/>
    <x v="1"/>
    <x v="1"/>
    <n v="2348345.3835731391"/>
  </r>
  <r>
    <n v="60"/>
    <x v="59"/>
    <x v="28"/>
    <x v="1"/>
    <x v="0"/>
    <x v="9"/>
    <n v="3"/>
    <n v="1.1901598055367165E-2"/>
    <n v="2380319.611073433"/>
    <x v="1"/>
    <x v="1"/>
    <x v="1"/>
    <n v="2142287.6499660895"/>
  </r>
  <r>
    <n v="61"/>
    <x v="60"/>
    <x v="0"/>
    <x v="2"/>
    <x v="0"/>
    <x v="9"/>
    <n v="4"/>
    <n v="1.080202812614838E-2"/>
    <n v="2160405.6252296758"/>
    <x v="2"/>
    <x v="2"/>
    <x v="2"/>
    <n v="1944365.0627067082"/>
  </r>
  <r>
    <n v="62"/>
    <x v="61"/>
    <x v="1"/>
    <x v="2"/>
    <x v="0"/>
    <x v="9"/>
    <n v="5"/>
    <n v="9.7541524790725701E-3"/>
    <n v="1950830.4958145141"/>
    <x v="2"/>
    <x v="2"/>
    <x v="2"/>
    <n v="1755747.4462330628"/>
  </r>
  <r>
    <n v="63"/>
    <x v="62"/>
    <x v="2"/>
    <x v="2"/>
    <x v="0"/>
    <x v="9"/>
    <n v="6"/>
    <n v="8.763104459219441E-3"/>
    <n v="1752620.8918438882"/>
    <x v="2"/>
    <x v="2"/>
    <x v="2"/>
    <n v="1577358.8026594995"/>
  </r>
  <r>
    <n v="64"/>
    <x v="63"/>
    <x v="3"/>
    <x v="2"/>
    <x v="0"/>
    <x v="9"/>
    <n v="7"/>
    <n v="7.8326847762224365E-3"/>
    <n v="1566536.9552444874"/>
    <x v="2"/>
    <x v="2"/>
    <x v="2"/>
    <n v="1409883.2597200386"/>
  </r>
  <r>
    <n v="65"/>
    <x v="64"/>
    <x v="4"/>
    <x v="2"/>
    <x v="0"/>
    <x v="10"/>
    <n v="1"/>
    <n v="6.9654234049265837E-3"/>
    <n v="1393084.6809853166"/>
    <x v="2"/>
    <x v="2"/>
    <x v="2"/>
    <n v="1253776.2128867849"/>
  </r>
  <r>
    <n v="66"/>
    <x v="65"/>
    <x v="5"/>
    <x v="2"/>
    <x v="0"/>
    <x v="10"/>
    <n v="2"/>
    <n v="6.1626656304651084E-3"/>
    <n v="1232533.1260930216"/>
    <x v="2"/>
    <x v="2"/>
    <x v="2"/>
    <n v="1109279.8134837195"/>
  </r>
  <r>
    <n v="67"/>
    <x v="66"/>
    <x v="6"/>
    <x v="2"/>
    <x v="0"/>
    <x v="10"/>
    <n v="3"/>
    <n v="5.4246772021807159E-3"/>
    <n v="1084935.4404361432"/>
    <x v="2"/>
    <x v="2"/>
    <x v="2"/>
    <n v="976441.8963925289"/>
  </r>
  <r>
    <n v="68"/>
    <x v="67"/>
    <x v="7"/>
    <x v="2"/>
    <x v="0"/>
    <x v="10"/>
    <n v="4"/>
    <n v="4.7507634646432977E-3"/>
    <n v="950152.6929286595"/>
    <x v="2"/>
    <x v="2"/>
    <x v="2"/>
    <n v="855137.42363579362"/>
  </r>
  <r>
    <n v="69"/>
    <x v="68"/>
    <x v="8"/>
    <x v="2"/>
    <x v="0"/>
    <x v="10"/>
    <n v="5"/>
    <n v="4.1393974447109013E-3"/>
    <n v="827879.48894218029"/>
    <x v="2"/>
    <x v="2"/>
    <x v="2"/>
    <n v="745091.54004796233"/>
  </r>
  <r>
    <n v="70"/>
    <x v="69"/>
    <x v="9"/>
    <x v="2"/>
    <x v="0"/>
    <x v="10"/>
    <n v="6"/>
    <n v="3.5883521631022569E-3"/>
    <n v="717670.43262045144"/>
    <x v="2"/>
    <x v="2"/>
    <x v="2"/>
    <n v="645903.3893584063"/>
  </r>
  <r>
    <n v="71"/>
    <x v="70"/>
    <x v="10"/>
    <x v="2"/>
    <x v="0"/>
    <x v="10"/>
    <n v="7"/>
    <n v="3.0948328739602007E-3"/>
    <n v="618966.57479204016"/>
    <x v="2"/>
    <x v="2"/>
    <x v="2"/>
    <n v="557069.91731283616"/>
  </r>
  <r>
    <n v="72"/>
    <x v="71"/>
    <x v="11"/>
    <x v="2"/>
    <x v="0"/>
    <x v="11"/>
    <n v="1"/>
    <n v="2.6556054801163179E-3"/>
    <n v="531121.09602326353"/>
    <x v="2"/>
    <x v="2"/>
    <x v="2"/>
    <n v="478008.98642093717"/>
  </r>
  <r>
    <n v="73"/>
    <x v="72"/>
    <x v="12"/>
    <x v="2"/>
    <x v="0"/>
    <x v="11"/>
    <n v="2"/>
    <n v="2.2671179882619587E-3"/>
    <n v="453423.59765239176"/>
    <x v="2"/>
    <x v="2"/>
    <x v="2"/>
    <n v="408081.23788715259"/>
  </r>
  <r>
    <n v="74"/>
    <x v="73"/>
    <x v="13"/>
    <x v="2"/>
    <x v="0"/>
    <x v="11"/>
    <n v="3"/>
    <n v="1.9256125213568268E-3"/>
    <n v="385122.50427136535"/>
    <x v="2"/>
    <x v="2"/>
    <x v="2"/>
    <n v="346610.25384422881"/>
  </r>
  <r>
    <n v="75"/>
    <x v="74"/>
    <x v="14"/>
    <x v="2"/>
    <x v="0"/>
    <x v="11"/>
    <n v="4"/>
    <n v="1.627226062727493E-3"/>
    <n v="325445.21254549857"/>
    <x v="2"/>
    <x v="2"/>
    <x v="2"/>
    <n v="292900.69129094871"/>
  </r>
  <r>
    <n v="76"/>
    <x v="75"/>
    <x v="15"/>
    <x v="2"/>
    <x v="0"/>
    <x v="11"/>
    <n v="5"/>
    <n v="1.368078739073009E-3"/>
    <n v="273615.74781460181"/>
    <x v="2"/>
    <x v="2"/>
    <x v="2"/>
    <n v="246254.17303314165"/>
  </r>
  <r>
    <n v="77"/>
    <x v="76"/>
    <x v="16"/>
    <x v="2"/>
    <x v="0"/>
    <x v="11"/>
    <n v="6"/>
    <n v="1.1443490348009631E-3"/>
    <n v="228869.80696019263"/>
    <x v="2"/>
    <x v="2"/>
    <x v="2"/>
    <n v="205982.82626417337"/>
  </r>
  <r>
    <n v="78"/>
    <x v="77"/>
    <x v="17"/>
    <x v="2"/>
    <x v="0"/>
    <x v="11"/>
    <n v="7"/>
    <n v="9.5233585016906764E-4"/>
    <n v="190467.17003381354"/>
    <x v="2"/>
    <x v="2"/>
    <x v="2"/>
    <n v="171420.4530304322"/>
  </r>
  <r>
    <n v="79"/>
    <x v="78"/>
    <x v="18"/>
    <x v="2"/>
    <x v="0"/>
    <x v="12"/>
    <n v="1"/>
    <n v="7.8850775869023925E-4"/>
    <n v="157701.55173804786"/>
    <x v="2"/>
    <x v="2"/>
    <x v="2"/>
    <n v="141931.39656424307"/>
  </r>
  <r>
    <n v="80"/>
    <x v="79"/>
    <x v="19"/>
    <x v="2"/>
    <x v="0"/>
    <x v="12"/>
    <n v="2"/>
    <n v="6.4954017868507519E-4"/>
    <n v="129908.03573701505"/>
    <x v="2"/>
    <x v="2"/>
    <x v="2"/>
    <n v="116917.23216331354"/>
  </r>
  <r>
    <n v="81"/>
    <x v="80"/>
    <x v="20"/>
    <x v="2"/>
    <x v="0"/>
    <x v="12"/>
    <n v="3"/>
    <n v="5.3234144815713193E-4"/>
    <n v="106468.28963142639"/>
    <x v="2"/>
    <x v="2"/>
    <x v="2"/>
    <n v="95821.460668283762"/>
  </r>
  <r>
    <n v="82"/>
    <x v="81"/>
    <x v="21"/>
    <x v="2"/>
    <x v="0"/>
    <x v="12"/>
    <n v="4"/>
    <n v="4.3406898394638782E-4"/>
    <n v="86813.796789277563"/>
    <x v="2"/>
    <x v="2"/>
    <x v="2"/>
    <n v="78132.417110349808"/>
  </r>
  <r>
    <n v="83"/>
    <x v="82"/>
    <x v="22"/>
    <x v="2"/>
    <x v="0"/>
    <x v="12"/>
    <n v="5"/>
    <n v="3.5213682138279524E-4"/>
    <n v="70427.364276559048"/>
    <x v="2"/>
    <x v="2"/>
    <x v="2"/>
    <n v="63384.62784890314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2" cacheId="626"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I2:J6" firstHeaderRow="1" firstDataRow="1" firstDataCol="1"/>
  <pivotFields count="13">
    <pivotField showAll="0"/>
    <pivotField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showAll="0"/>
    <pivotField showAll="0"/>
    <pivotField showAll="0"/>
    <pivotField showAll="0"/>
    <pivotField showAll="0"/>
    <pivotField showAll="0"/>
    <pivotField dataField="1" showAll="0"/>
    <pivotField axis="axisRow" showAll="0">
      <items count="4">
        <item x="0"/>
        <item x="1"/>
        <item x="2"/>
        <item t="default"/>
      </items>
    </pivotField>
    <pivotField showAll="0"/>
    <pivotField showAll="0"/>
    <pivotField showAll="0"/>
  </pivotFields>
  <rowFields count="1">
    <field x="9"/>
  </rowFields>
  <rowItems count="4">
    <i>
      <x/>
    </i>
    <i>
      <x v="1"/>
    </i>
    <i>
      <x v="2"/>
    </i>
    <i t="grand">
      <x/>
    </i>
  </rowItems>
  <colItems count="1">
    <i/>
  </colItems>
  <dataFields count="1">
    <dataField name="Sum of revenue"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2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B2:C4" firstHeaderRow="1" firstDataRow="1" firstDataCol="1"/>
  <pivotFields count="13">
    <pivotField showAll="0"/>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pivotField showAll="0"/>
    <pivotField showAll="0"/>
    <pivotField showAll="0"/>
    <pivotField showAll="0"/>
    <pivotField showAll="0"/>
    <pivotField dataField="1" showAll="0"/>
    <pivotField axis="axisRow" showAll="0">
      <items count="2">
        <item x="0"/>
        <item t="default"/>
      </items>
    </pivotField>
    <pivotField showAll="0"/>
    <pivotField showAll="0"/>
    <pivotField showAll="0"/>
  </pivotFields>
  <rowFields count="1">
    <field x="9"/>
  </rowFields>
  <rowItems count="2">
    <i>
      <x/>
    </i>
    <i t="grand">
      <x/>
    </i>
  </rowItems>
  <colItems count="1">
    <i/>
  </colItems>
  <dataFields count="1">
    <dataField name="Sum of revenue" fld="8" baseField="0" baseItem="373188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636"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rowHeaderCaption="1">
  <location ref="B3:F7" firstHeaderRow="0" firstDataRow="1" firstDataCol="3" rowPageCount="1" colPageCount="1"/>
  <pivotFields count="13">
    <pivotField showAll="0"/>
    <pivotField axis="axisRow" numFmtId="14" showAll="0">
      <items count="40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m="1" x="1644"/>
        <item m="1" x="2031"/>
        <item m="1" x="2419"/>
        <item m="1" x="2806"/>
        <item m="1" x="3193"/>
        <item m="1" x="3570"/>
        <item m="1" x="3945"/>
        <item m="1" x="400"/>
        <item m="1" x="1080"/>
        <item m="1" x="1466"/>
        <item m="1" x="1853"/>
        <item m="1" x="2242"/>
        <item m="1" x="2629"/>
        <item m="1" x="3016"/>
        <item m="1" x="3403"/>
        <item m="1" x="3780"/>
        <item m="1" x="235"/>
        <item m="1" x="567"/>
        <item m="1" x="834"/>
        <item m="1" x="1169"/>
        <item m="1" x="1555"/>
        <item m="1" x="1942"/>
        <item m="1" x="2330"/>
        <item m="1" x="2717"/>
        <item m="1" x="3104"/>
        <item m="1" x="3491"/>
        <item m="1" x="3868"/>
        <item m="1" x="323"/>
        <item m="1" x="655"/>
        <item m="1" x="911"/>
        <item m="1" x="1289"/>
        <item m="1" x="1676"/>
        <item m="1" x="2063"/>
        <item m="1" x="2451"/>
        <item m="1" x="2838"/>
        <item m="1" x="3225"/>
        <item m="1" x="3602"/>
        <item m="1" x="3977"/>
        <item m="1" x="1102"/>
        <item m="1" x="1488"/>
        <item m="1" x="1875"/>
        <item m="1" x="2264"/>
        <item m="1" x="2651"/>
        <item m="1" x="3038"/>
        <item m="1" x="3425"/>
        <item m="1" x="3802"/>
        <item m="1" x="257"/>
        <item m="1" x="589"/>
        <item m="1" x="845"/>
        <item m="1" x="1190"/>
        <item m="1" x="1576"/>
        <item m="1" x="1963"/>
        <item m="1" x="2351"/>
        <item m="1" x="2738"/>
        <item m="1" x="3125"/>
        <item m="1" x="3512"/>
        <item m="1" x="3889"/>
        <item m="1" x="344"/>
        <item m="1" x="676"/>
        <item m="1" x="932"/>
        <item m="1" x="1318"/>
        <item m="1" x="1705"/>
        <item m="1" x="2092"/>
        <item m="1" x="2480"/>
        <item m="1" x="2867"/>
        <item m="1" x="3254"/>
        <item m="1" x="3631"/>
        <item m="1" x="86"/>
        <item m="1" x="450"/>
        <item m="1" x="1124"/>
        <item m="1" x="1510"/>
        <item m="1" x="1897"/>
        <item m="1" x="2285"/>
        <item m="1" x="2672"/>
        <item m="1" x="3059"/>
        <item m="1" x="3446"/>
        <item m="1" x="3823"/>
        <item m="1" x="278"/>
        <item m="1" x="610"/>
        <item m="1" x="866"/>
        <item m="1" x="1222"/>
        <item m="1" x="1608"/>
        <item m="1" x="1995"/>
        <item m="1" x="2383"/>
        <item m="1" x="2770"/>
        <item m="1" x="3157"/>
        <item m="1" x="3544"/>
        <item m="1" x="3921"/>
        <item m="1" x="376"/>
        <item m="1" x="697"/>
        <item m="1" x="953"/>
        <item m="1" x="1339"/>
        <item m="1" x="1726"/>
        <item m="1" x="2113"/>
        <item m="1" x="2501"/>
        <item m="1" x="2888"/>
        <item m="1" x="3275"/>
        <item m="1" x="3652"/>
        <item m="1" x="107"/>
        <item m="1" x="1146"/>
        <item m="1" x="1532"/>
        <item m="1" x="1919"/>
        <item m="1" x="2307"/>
        <item m="1" x="2694"/>
        <item m="1" x="3081"/>
        <item m="1" x="3468"/>
        <item m="1" x="3845"/>
        <item m="1" x="300"/>
        <item m="1" x="632"/>
        <item m="1" x="888"/>
        <item m="1" x="1255"/>
        <item m="1" x="1641"/>
        <item m="1" x="2028"/>
        <item m="1" x="2416"/>
        <item m="1" x="2803"/>
        <item m="1" x="3190"/>
        <item m="1" x="3567"/>
        <item m="1" x="3942"/>
        <item m="1" x="397"/>
        <item m="1" x="718"/>
        <item m="1" x="974"/>
        <item m="1" x="1360"/>
        <item m="1" x="1747"/>
        <item m="1" x="2134"/>
        <item m="1" x="2522"/>
        <item m="1" x="2909"/>
        <item m="1" x="3296"/>
        <item m="1" x="3673"/>
        <item m="1" x="128"/>
        <item m="1" x="482"/>
        <item m="1" x="1166"/>
        <item m="1" x="1552"/>
        <item m="1" x="1939"/>
        <item m="1" x="2327"/>
        <item m="1" x="2714"/>
        <item m="1" x="3101"/>
        <item m="1" x="3488"/>
        <item m="1" x="3865"/>
        <item m="1" x="320"/>
        <item m="1" x="652"/>
        <item m="1" x="908"/>
        <item m="1" x="1286"/>
        <item m="1" x="1673"/>
        <item m="1" x="2060"/>
        <item m="1" x="2448"/>
        <item m="1" x="2835"/>
        <item m="1" x="3222"/>
        <item m="1" x="3599"/>
        <item m="1" x="3974"/>
        <item m="1" x="429"/>
        <item m="1" x="739"/>
        <item m="1" x="995"/>
        <item m="1" x="1381"/>
        <item m="1" x="1768"/>
        <item m="1" x="2155"/>
        <item m="1" x="2543"/>
        <item m="1" x="2930"/>
        <item m="1" x="3317"/>
        <item m="1" x="3694"/>
        <item m="1" x="149"/>
        <item m="1" x="503"/>
        <item m="1" x="1187"/>
        <item m="1" x="1573"/>
        <item m="1" x="1960"/>
        <item m="1" x="2348"/>
        <item m="1" x="2735"/>
        <item m="1" x="3122"/>
        <item m="1" x="3509"/>
        <item m="1" x="3886"/>
        <item m="1" x="341"/>
        <item m="1" x="673"/>
        <item m="1" x="929"/>
        <item m="1" x="1315"/>
        <item m="1" x="1702"/>
        <item m="1" x="2089"/>
        <item m="1" x="2477"/>
        <item m="1" x="2864"/>
        <item m="1" x="3251"/>
        <item m="1" x="3628"/>
        <item m="1" x="83"/>
        <item m="1" x="447"/>
        <item m="1" x="757"/>
        <item m="1" x="1016"/>
        <item m="1" x="1402"/>
        <item m="1" x="1789"/>
        <item m="1" x="2177"/>
        <item m="1" x="2565"/>
        <item m="1" x="2952"/>
        <item m="1" x="3339"/>
        <item m="1" x="3716"/>
        <item m="1" x="171"/>
        <item m="1" x="1219"/>
        <item m="1" x="1605"/>
        <item m="1" x="1992"/>
        <item m="1" x="2380"/>
        <item m="1" x="2767"/>
        <item m="1" x="3154"/>
        <item m="1" x="3541"/>
        <item m="1" x="3918"/>
        <item m="1" x="373"/>
        <item m="1" x="694"/>
        <item m="1" x="950"/>
        <item m="1" x="1336"/>
        <item m="1" x="1723"/>
        <item m="1" x="2110"/>
        <item m="1" x="2498"/>
        <item m="1" x="2885"/>
        <item m="1" x="3272"/>
        <item m="1" x="3649"/>
        <item m="1" x="104"/>
        <item m="1" x="468"/>
        <item m="1" x="768"/>
        <item m="1" x="1038"/>
        <item m="1" x="1424"/>
        <item m="1" x="1811"/>
        <item m="1" x="2199"/>
        <item m="1" x="2587"/>
        <item m="1" x="2974"/>
        <item m="1" x="3361"/>
        <item m="1" x="3738"/>
        <item m="1" x="193"/>
        <item m="1" x="536"/>
        <item m="1" x="1252"/>
        <item m="1" x="1638"/>
        <item m="1" x="2025"/>
        <item m="1" x="2413"/>
        <item m="1" x="2800"/>
        <item m="1" x="3187"/>
        <item m="1" x="3564"/>
        <item m="1" x="3939"/>
        <item m="1" x="394"/>
        <item m="1" x="715"/>
        <item m="1" x="971"/>
        <item m="1" x="1357"/>
        <item m="1" x="1744"/>
        <item m="1" x="2131"/>
        <item m="1" x="2519"/>
        <item m="1" x="2906"/>
        <item m="1" x="3293"/>
        <item m="1" x="3670"/>
        <item m="1" x="125"/>
        <item m="1" x="479"/>
        <item m="1" x="779"/>
        <item m="1" x="1060"/>
        <item m="1" x="1446"/>
        <item m="1" x="1833"/>
        <item m="1" x="2222"/>
        <item m="1" x="2609"/>
        <item m="1" x="2996"/>
        <item m="1" x="3383"/>
        <item m="1" x="3760"/>
        <item m="1" x="215"/>
        <item m="1" x="1283"/>
        <item m="1" x="1670"/>
        <item m="1" x="2057"/>
        <item m="1" x="2445"/>
        <item m="1" x="2832"/>
        <item m="1" x="3219"/>
        <item m="1" x="3596"/>
        <item m="1" x="3971"/>
        <item m="1" x="426"/>
        <item m="1" x="736"/>
        <item m="1" x="992"/>
        <item m="1" x="1378"/>
        <item m="1" x="1765"/>
        <item m="1" x="2152"/>
        <item m="1" x="2540"/>
        <item m="1" x="2927"/>
        <item m="1" x="3314"/>
        <item m="1" x="3691"/>
        <item m="1" x="146"/>
        <item m="1" x="500"/>
        <item m="1" x="790"/>
        <item m="1" x="1083"/>
        <item m="1" x="1469"/>
        <item m="1" x="1856"/>
        <item m="1" x="2245"/>
        <item m="1" x="2632"/>
        <item m="1" x="3019"/>
        <item m="1" x="3406"/>
        <item m="1" x="3783"/>
        <item m="1" x="238"/>
        <item m="1" x="570"/>
        <item m="1" x="1013"/>
        <item m="1" x="1399"/>
        <item m="1" x="1786"/>
        <item m="1" x="2174"/>
        <item m="1" x="2562"/>
        <item m="1" x="2949"/>
        <item m="1" x="3336"/>
        <item m="1" x="3713"/>
        <item m="1" x="168"/>
        <item m="1" x="522"/>
        <item m="1" x="801"/>
        <item m="1" x="1105"/>
        <item m="1" x="1491"/>
        <item m="1" x="1878"/>
        <item m="1" x="2267"/>
        <item m="1" x="2654"/>
        <item m="1" x="3041"/>
        <item m="1" x="3428"/>
        <item m="1" x="3805"/>
        <item m="1" x="260"/>
        <item m="1" x="592"/>
        <item m="1" x="848"/>
        <item m="1" x="1194"/>
        <item m="1" x="1580"/>
        <item m="1" x="1967"/>
        <item m="1" x="2355"/>
        <item m="1" x="2742"/>
        <item m="1" x="3129"/>
        <item m="1" x="3516"/>
        <item m="1" x="3893"/>
        <item m="1" x="348"/>
        <item m="1" x="1035"/>
        <item m="1" x="1421"/>
        <item m="1" x="1808"/>
        <item m="1" x="2196"/>
        <item m="1" x="2584"/>
        <item m="1" x="2971"/>
        <item m="1" x="3358"/>
        <item m="1" x="3735"/>
        <item m="1" x="190"/>
        <item m="1" x="533"/>
        <item m="1" x="812"/>
        <item m="1" x="1127"/>
        <item m="1" x="1513"/>
        <item m="1" x="1900"/>
        <item m="1" x="2288"/>
        <item m="1" x="2675"/>
        <item m="1" x="3062"/>
        <item m="1" x="3449"/>
        <item m="1" x="3826"/>
        <item m="1" x="281"/>
        <item m="1" x="613"/>
        <item m="1" x="869"/>
        <item m="1" x="1226"/>
        <item m="1" x="1612"/>
        <item m="1" x="1999"/>
        <item m="1" x="2387"/>
        <item m="1" x="2774"/>
        <item m="1" x="3161"/>
        <item m="1" x="1057"/>
        <item m="1" x="1443"/>
        <item m="1" x="1830"/>
        <item m="1" x="2219"/>
        <item m="1" x="2607"/>
        <item m="1" x="2994"/>
        <item m="1" x="3381"/>
        <item m="1" x="3758"/>
        <item m="1" x="213"/>
        <item m="1" x="556"/>
        <item m="1" x="824"/>
        <item m="1" x="1149"/>
        <item m="1" x="1535"/>
        <item m="1" x="1922"/>
        <item m="1" x="2310"/>
        <item m="1" x="2697"/>
        <item m="1" x="3084"/>
        <item m="1" x="3471"/>
        <item m="1" x="3848"/>
        <item m="1" x="303"/>
        <item m="1" x="635"/>
        <item m="1" x="891"/>
        <item m="1" x="1259"/>
        <item m="1" x="1646"/>
        <item m="1" x="2033"/>
        <item m="1" x="2421"/>
        <item m="1" x="2808"/>
        <item m="1" x="3195"/>
        <item m="1" x="3572"/>
        <item m="1" x="3947"/>
        <item m="1" x="402"/>
        <item m="1" x="1081"/>
        <item m="1" x="1467"/>
        <item m="1" x="1854"/>
        <item m="1" x="2243"/>
        <item m="1" x="2630"/>
        <item m="1" x="3017"/>
        <item m="1" x="3404"/>
        <item m="1" x="3781"/>
        <item m="1" x="236"/>
        <item m="1" x="568"/>
        <item m="1" x="835"/>
        <item m="1" x="1170"/>
        <item m="1" x="1556"/>
        <item m="1" x="1943"/>
        <item m="1" x="2331"/>
        <item m="1" x="2718"/>
        <item m="1" x="3105"/>
        <item m="1" x="3492"/>
        <item m="1" x="3869"/>
        <item m="1" x="324"/>
        <item m="1" x="656"/>
        <item m="1" x="912"/>
        <item m="1" x="1291"/>
        <item m="1" x="1678"/>
        <item m="1" x="2065"/>
        <item m="1" x="2453"/>
        <item m="1" x="2840"/>
        <item m="1" x="3227"/>
        <item m="1" x="3604"/>
        <item m="1" x="3979"/>
        <item m="1" x="1103"/>
        <item m="1" x="1489"/>
        <item m="1" x="1876"/>
        <item m="1" x="2265"/>
        <item m="1" x="2652"/>
        <item m="1" x="3039"/>
        <item m="1" x="3426"/>
        <item m="1" x="3803"/>
        <item m="1" x="258"/>
        <item m="1" x="590"/>
        <item m="1" x="846"/>
        <item m="1" x="1191"/>
        <item m="1" x="1577"/>
        <item m="1" x="1964"/>
        <item m="1" x="2352"/>
        <item m="1" x="2739"/>
        <item m="1" x="3126"/>
        <item m="1" x="3513"/>
        <item m="1" x="3890"/>
        <item m="1" x="345"/>
        <item m="1" x="677"/>
        <item m="1" x="933"/>
        <item m="1" x="1319"/>
        <item m="1" x="1706"/>
        <item m="1" x="2093"/>
        <item m="1" x="2481"/>
        <item m="1" x="2868"/>
        <item m="1" x="3255"/>
        <item m="1" x="3632"/>
        <item m="1" x="87"/>
        <item m="1" x="451"/>
        <item m="1" x="1125"/>
        <item m="1" x="1511"/>
        <item m="1" x="1898"/>
        <item m="1" x="2286"/>
        <item m="1" x="2673"/>
        <item m="1" x="3060"/>
        <item m="1" x="3447"/>
        <item m="1" x="3824"/>
        <item m="1" x="279"/>
        <item m="1" x="611"/>
        <item m="1" x="867"/>
        <item m="1" x="1223"/>
        <item m="1" x="1609"/>
        <item m="1" x="1996"/>
        <item m="1" x="2384"/>
        <item m="1" x="2771"/>
        <item m="1" x="3158"/>
        <item m="1" x="3545"/>
        <item m="1" x="3922"/>
        <item m="1" x="377"/>
        <item m="1" x="698"/>
        <item m="1" x="954"/>
        <item m="1" x="1340"/>
        <item m="1" x="1727"/>
        <item m="1" x="2114"/>
        <item m="1" x="2502"/>
        <item m="1" x="2889"/>
        <item m="1" x="3276"/>
        <item m="1" x="3653"/>
        <item m="1" x="108"/>
        <item m="1" x="1147"/>
        <item m="1" x="1533"/>
        <item m="1" x="1920"/>
        <item m="1" x="2308"/>
        <item m="1" x="2695"/>
        <item m="1" x="3082"/>
        <item m="1" x="3469"/>
        <item m="1" x="3846"/>
        <item m="1" x="301"/>
        <item m="1" x="633"/>
        <item m="1" x="889"/>
        <item m="1" x="1256"/>
        <item m="1" x="1642"/>
        <item m="1" x="2029"/>
        <item m="1" x="2417"/>
        <item m="1" x="2804"/>
        <item m="1" x="3191"/>
        <item m="1" x="3568"/>
        <item m="1" x="3943"/>
        <item m="1" x="398"/>
        <item m="1" x="719"/>
        <item m="1" x="975"/>
        <item m="1" x="1361"/>
        <item m="1" x="1748"/>
        <item m="1" x="2135"/>
        <item m="1" x="2523"/>
        <item m="1" x="2910"/>
        <item m="1" x="3297"/>
        <item m="1" x="3674"/>
        <item m="1" x="129"/>
        <item m="1" x="483"/>
        <item m="1" x="1167"/>
        <item m="1" x="1553"/>
        <item m="1" x="1940"/>
        <item m="1" x="2328"/>
        <item m="1" x="2715"/>
        <item m="1" x="3102"/>
        <item m="1" x="3489"/>
        <item m="1" x="3866"/>
        <item m="1" x="321"/>
        <item m="1" x="653"/>
        <item m="1" x="909"/>
        <item m="1" x="1287"/>
        <item m="1" x="1674"/>
        <item m="1" x="2061"/>
        <item m="1" x="2449"/>
        <item m="1" x="2836"/>
        <item m="1" x="3223"/>
        <item m="1" x="3600"/>
        <item m="1" x="3975"/>
        <item m="1" x="430"/>
        <item m="1" x="740"/>
        <item m="1" x="996"/>
        <item m="1" x="1382"/>
        <item m="1" x="1769"/>
        <item m="1" x="2156"/>
        <item m="1" x="2544"/>
        <item m="1" x="2931"/>
        <item m="1" x="3318"/>
        <item m="1" x="3695"/>
        <item m="1" x="150"/>
        <item m="1" x="504"/>
        <item m="1" x="1188"/>
        <item m="1" x="1574"/>
        <item m="1" x="1961"/>
        <item m="1" x="2349"/>
        <item m="1" x="2736"/>
        <item m="1" x="3123"/>
        <item m="1" x="3510"/>
        <item m="1" x="3887"/>
        <item m="1" x="342"/>
        <item m="1" x="674"/>
        <item m="1" x="930"/>
        <item m="1" x="1316"/>
        <item m="1" x="1703"/>
        <item m="1" x="2090"/>
        <item m="1" x="2478"/>
        <item m="1" x="2865"/>
        <item m="1" x="3252"/>
        <item m="1" x="3629"/>
        <item m="1" x="84"/>
        <item m="1" x="448"/>
        <item m="1" x="758"/>
        <item m="1" x="1017"/>
        <item m="1" x="1403"/>
        <item m="1" x="1790"/>
        <item m="1" x="2178"/>
        <item m="1" x="2566"/>
        <item m="1" x="2953"/>
        <item m="1" x="3340"/>
        <item m="1" x="3717"/>
        <item m="1" x="172"/>
        <item m="1" x="1220"/>
        <item m="1" x="1606"/>
        <item m="1" x="1993"/>
        <item m="1" x="2381"/>
        <item m="1" x="2768"/>
        <item m="1" x="3155"/>
        <item m="1" x="3542"/>
        <item m="1" x="3919"/>
        <item m="1" x="374"/>
        <item m="1" x="695"/>
        <item m="1" x="951"/>
        <item m="1" x="1337"/>
        <item m="1" x="1724"/>
        <item m="1" x="2111"/>
        <item m="1" x="2499"/>
        <item m="1" x="2886"/>
        <item m="1" x="3273"/>
        <item m="1" x="3650"/>
        <item m="1" x="105"/>
        <item m="1" x="469"/>
        <item m="1" x="769"/>
        <item m="1" x="1039"/>
        <item m="1" x="1425"/>
        <item m="1" x="1812"/>
        <item m="1" x="2200"/>
        <item m="1" x="2588"/>
        <item m="1" x="2975"/>
        <item m="1" x="3362"/>
        <item m="1" x="3739"/>
        <item m="1" x="194"/>
        <item m="1" x="537"/>
        <item m="1" x="1253"/>
        <item m="1" x="1639"/>
        <item m="1" x="2026"/>
        <item m="1" x="2414"/>
        <item m="1" x="2801"/>
        <item m="1" x="3188"/>
        <item m="1" x="3565"/>
        <item m="1" x="3940"/>
        <item m="1" x="395"/>
        <item m="1" x="716"/>
        <item m="1" x="972"/>
        <item m="1" x="1358"/>
        <item m="1" x="1745"/>
        <item m="1" x="2132"/>
        <item m="1" x="2520"/>
        <item m="1" x="2907"/>
        <item m="1" x="3294"/>
        <item m="1" x="3671"/>
        <item m="1" x="126"/>
        <item m="1" x="480"/>
        <item m="1" x="780"/>
        <item m="1" x="1061"/>
        <item m="1" x="1447"/>
        <item m="1" x="1834"/>
        <item m="1" x="2223"/>
        <item m="1" x="2610"/>
        <item m="1" x="2997"/>
        <item m="1" x="3384"/>
        <item m="1" x="3761"/>
        <item m="1" x="216"/>
        <item m="1" x="1284"/>
        <item m="1" x="1671"/>
        <item m="1" x="2058"/>
        <item m="1" x="2446"/>
        <item m="1" x="2833"/>
        <item m="1" x="3220"/>
        <item m="1" x="3597"/>
        <item m="1" x="3972"/>
        <item m="1" x="427"/>
        <item m="1" x="737"/>
        <item m="1" x="993"/>
        <item m="1" x="1379"/>
        <item m="1" x="1766"/>
        <item m="1" x="2153"/>
        <item m="1" x="2541"/>
        <item m="1" x="2928"/>
        <item m="1" x="3315"/>
        <item m="1" x="3692"/>
        <item m="1" x="147"/>
        <item m="1" x="501"/>
        <item m="1" x="791"/>
        <item m="1" x="1084"/>
        <item m="1" x="1470"/>
        <item m="1" x="1857"/>
        <item m="1" x="2246"/>
        <item m="1" x="2633"/>
        <item m="1" x="3020"/>
        <item m="1" x="3407"/>
        <item m="1" x="3784"/>
        <item m="1" x="239"/>
        <item m="1" x="571"/>
        <item m="1" x="1014"/>
        <item m="1" x="1400"/>
        <item m="1" x="1787"/>
        <item m="1" x="2175"/>
        <item m="1" x="2563"/>
        <item m="1" x="2950"/>
        <item m="1" x="3337"/>
        <item m="1" x="3714"/>
        <item m="1" x="169"/>
        <item m="1" x="523"/>
        <item m="1" x="802"/>
        <item m="1" x="1106"/>
        <item m="1" x="1492"/>
        <item m="1" x="1879"/>
        <item m="1" x="2268"/>
        <item m="1" x="2655"/>
        <item m="1" x="3042"/>
        <item m="1" x="3429"/>
        <item m="1" x="3806"/>
        <item m="1" x="261"/>
        <item m="1" x="593"/>
        <item m="1" x="849"/>
        <item m="1" x="1196"/>
        <item m="1" x="1582"/>
        <item m="1" x="1969"/>
        <item m="1" x="2357"/>
        <item m="1" x="2744"/>
        <item m="1" x="3131"/>
        <item m="1" x="3518"/>
        <item m="1" x="3895"/>
        <item m="1" x="350"/>
        <item m="1" x="1036"/>
        <item m="1" x="1422"/>
        <item m="1" x="1809"/>
        <item m="1" x="2197"/>
        <item m="1" x="2585"/>
        <item m="1" x="2972"/>
        <item m="1" x="3359"/>
        <item m="1" x="3736"/>
        <item m="1" x="191"/>
        <item m="1" x="534"/>
        <item m="1" x="813"/>
        <item m="1" x="1128"/>
        <item m="1" x="1514"/>
        <item m="1" x="1901"/>
        <item m="1" x="2289"/>
        <item m="1" x="2676"/>
        <item m="1" x="3063"/>
        <item m="1" x="3450"/>
        <item m="1" x="3827"/>
        <item m="1" x="282"/>
        <item m="1" x="614"/>
        <item m="1" x="870"/>
        <item m="1" x="1228"/>
        <item m="1" x="1614"/>
        <item m="1" x="2001"/>
        <item m="1" x="2389"/>
        <item m="1" x="2776"/>
        <item m="1" x="3163"/>
        <item m="1" x="1058"/>
        <item m="1" x="1444"/>
        <item m="1" x="1831"/>
        <item m="1" x="2220"/>
        <item m="1" x="2608"/>
        <item m="1" x="2995"/>
        <item m="1" x="3382"/>
        <item m="1" x="3759"/>
        <item m="1" x="214"/>
        <item m="1" x="557"/>
        <item m="1" x="825"/>
        <item m="1" x="1150"/>
        <item m="1" x="1536"/>
        <item m="1" x="1923"/>
        <item m="1" x="2311"/>
        <item m="1" x="2698"/>
        <item m="1" x="3085"/>
        <item m="1" x="3472"/>
        <item m="1" x="3849"/>
        <item m="1" x="304"/>
        <item m="1" x="636"/>
        <item m="1" x="892"/>
        <item m="1" x="1261"/>
        <item m="1" x="1648"/>
        <item m="1" x="2035"/>
        <item m="1" x="2423"/>
        <item m="1" x="2810"/>
        <item m="1" x="3197"/>
        <item m="1" x="3574"/>
        <item m="1" x="3949"/>
        <item m="1" x="404"/>
        <item m="1" x="1082"/>
        <item m="1" x="1468"/>
        <item m="1" x="1855"/>
        <item m="1" x="2244"/>
        <item m="1" x="2631"/>
        <item m="1" x="3018"/>
        <item m="1" x="3405"/>
        <item m="1" x="3782"/>
        <item m="1" x="237"/>
        <item m="1" x="569"/>
        <item m="1" x="836"/>
        <item m="1" x="1171"/>
        <item m="1" x="1557"/>
        <item m="1" x="1944"/>
        <item m="1" x="2332"/>
        <item m="1" x="2719"/>
        <item m="1" x="3106"/>
        <item m="1" x="3493"/>
        <item m="1" x="3870"/>
        <item m="1" x="325"/>
        <item m="1" x="657"/>
        <item m="1" x="913"/>
        <item m="1" x="1293"/>
        <item m="1" x="1680"/>
        <item m="1" x="2067"/>
        <item m="1" x="2455"/>
        <item m="1" x="2842"/>
        <item m="1" x="3229"/>
        <item m="1" x="3606"/>
        <item m="1" x="3981"/>
        <item m="1" x="1104"/>
        <item m="1" x="1490"/>
        <item m="1" x="1877"/>
        <item m="1" x="2266"/>
        <item m="1" x="2653"/>
        <item m="1" x="3040"/>
        <item m="1" x="3427"/>
        <item m="1" x="3804"/>
        <item m="1" x="259"/>
        <item m="1" x="591"/>
        <item m="1" x="847"/>
        <item m="1" x="1192"/>
        <item m="1" x="1578"/>
        <item m="1" x="1965"/>
        <item m="1" x="2353"/>
        <item m="1" x="2740"/>
        <item m="1" x="3127"/>
        <item m="1" x="3514"/>
        <item m="1" x="3891"/>
        <item m="1" x="346"/>
        <item m="1" x="678"/>
        <item m="1" x="934"/>
        <item m="1" x="1320"/>
        <item m="1" x="1707"/>
        <item m="1" x="2094"/>
        <item m="1" x="2482"/>
        <item m="1" x="2869"/>
        <item m="1" x="3256"/>
        <item m="1" x="3633"/>
        <item m="1" x="88"/>
        <item m="1" x="452"/>
        <item m="1" x="1126"/>
        <item m="1" x="1512"/>
        <item m="1" x="1899"/>
        <item m="1" x="2287"/>
        <item m="1" x="2674"/>
        <item m="1" x="3061"/>
        <item m="1" x="3448"/>
        <item m="1" x="3825"/>
        <item m="1" x="280"/>
        <item m="1" x="612"/>
        <item m="1" x="868"/>
        <item m="1" x="1224"/>
        <item m="1" x="1610"/>
        <item m="1" x="1997"/>
        <item m="1" x="2385"/>
        <item m="1" x="2772"/>
        <item m="1" x="3159"/>
        <item m="1" x="3546"/>
        <item m="1" x="3923"/>
        <item m="1" x="378"/>
        <item m="1" x="699"/>
        <item m="1" x="955"/>
        <item m="1" x="1341"/>
        <item m="1" x="1728"/>
        <item m="1" x="2115"/>
        <item m="1" x="2503"/>
        <item m="1" x="2890"/>
        <item m="1" x="3277"/>
        <item m="1" x="3654"/>
        <item m="1" x="109"/>
        <item m="1" x="1148"/>
        <item m="1" x="1534"/>
        <item m="1" x="1921"/>
        <item m="1" x="2309"/>
        <item m="1" x="2696"/>
        <item m="1" x="3083"/>
        <item m="1" x="3470"/>
        <item m="1" x="3847"/>
        <item m="1" x="302"/>
        <item m="1" x="634"/>
        <item m="1" x="890"/>
        <item m="1" x="1257"/>
        <item m="1" x="1643"/>
        <item m="1" x="2030"/>
        <item m="1" x="2418"/>
        <item m="1" x="2805"/>
        <item m="1" x="3192"/>
        <item m="1" x="3569"/>
        <item m="1" x="3944"/>
        <item m="1" x="399"/>
        <item m="1" x="720"/>
        <item m="1" x="976"/>
        <item m="1" x="1362"/>
        <item m="1" x="1749"/>
        <item m="1" x="2136"/>
        <item m="1" x="2524"/>
        <item m="1" x="2911"/>
        <item m="1" x="3298"/>
        <item m="1" x="3675"/>
        <item m="1" x="130"/>
        <item m="1" x="484"/>
        <item m="1" x="1168"/>
        <item m="1" x="1554"/>
        <item m="1" x="1941"/>
        <item m="1" x="2329"/>
        <item m="1" x="2716"/>
        <item m="1" x="3103"/>
        <item m="1" x="3490"/>
        <item m="1" x="3867"/>
        <item m="1" x="322"/>
        <item m="1" x="654"/>
        <item m="1" x="910"/>
        <item m="1" x="1288"/>
        <item m="1" x="1675"/>
        <item m="1" x="2062"/>
        <item m="1" x="2450"/>
        <item m="1" x="2837"/>
        <item m="1" x="3224"/>
        <item m="1" x="3601"/>
        <item m="1" x="3976"/>
        <item m="1" x="431"/>
        <item m="1" x="741"/>
        <item m="1" x="997"/>
        <item m="1" x="1383"/>
        <item m="1" x="1770"/>
        <item m="1" x="2157"/>
        <item m="1" x="2545"/>
        <item m="1" x="2932"/>
        <item m="1" x="3319"/>
        <item m="1" x="3696"/>
        <item m="1" x="151"/>
        <item m="1" x="505"/>
        <item m="1" x="1189"/>
        <item m="1" x="1575"/>
        <item m="1" x="1962"/>
        <item m="1" x="2350"/>
        <item m="1" x="2737"/>
        <item m="1" x="3124"/>
        <item m="1" x="3511"/>
        <item m="1" x="3888"/>
        <item m="1" x="343"/>
        <item m="1" x="675"/>
        <item m="1" x="931"/>
        <item m="1" x="1317"/>
        <item m="1" x="1704"/>
        <item m="1" x="2091"/>
        <item m="1" x="2479"/>
        <item m="1" x="2866"/>
        <item m="1" x="3253"/>
        <item m="1" x="3630"/>
        <item m="1" x="85"/>
        <item m="1" x="449"/>
        <item m="1" x="759"/>
        <item m="1" x="1019"/>
        <item m="1" x="1405"/>
        <item m="1" x="1792"/>
        <item m="1" x="2180"/>
        <item m="1" x="2568"/>
        <item m="1" x="2955"/>
        <item m="1" x="3342"/>
        <item m="1" x="3719"/>
        <item m="1" x="174"/>
        <item m="1" x="1221"/>
        <item m="1" x="1607"/>
        <item m="1" x="1994"/>
        <item m="1" x="2382"/>
        <item m="1" x="2769"/>
        <item m="1" x="3156"/>
        <item m="1" x="3543"/>
        <item m="1" x="3920"/>
        <item m="1" x="375"/>
        <item m="1" x="696"/>
        <item m="1" x="952"/>
        <item m="1" x="1338"/>
        <item m="1" x="1725"/>
        <item m="1" x="2112"/>
        <item m="1" x="2500"/>
        <item m="1" x="2887"/>
        <item m="1" x="3274"/>
        <item m="1" x="3651"/>
        <item m="1" x="106"/>
        <item m="1" x="470"/>
        <item m="1" x="770"/>
        <item m="1" x="1041"/>
        <item m="1" x="1427"/>
        <item m="1" x="1814"/>
        <item m="1" x="2202"/>
        <item m="1" x="2590"/>
        <item m="1" x="2977"/>
        <item m="1" x="3364"/>
        <item m="1" x="3741"/>
        <item m="1" x="196"/>
        <item m="1" x="539"/>
        <item m="1" x="1254"/>
        <item m="1" x="1640"/>
        <item m="1" x="2027"/>
        <item m="1" x="2415"/>
        <item m="1" x="2802"/>
        <item m="1" x="3189"/>
        <item m="1" x="3566"/>
        <item m="1" x="3941"/>
        <item m="1" x="396"/>
        <item m="1" x="717"/>
        <item m="1" x="973"/>
        <item m="1" x="1359"/>
        <item m="1" x="1746"/>
        <item m="1" x="2133"/>
        <item m="1" x="2521"/>
        <item m="1" x="2908"/>
        <item m="1" x="3295"/>
        <item m="1" x="3672"/>
        <item m="1" x="127"/>
        <item m="1" x="481"/>
        <item m="1" x="781"/>
        <item m="1" x="1063"/>
        <item m="1" x="1449"/>
        <item m="1" x="1836"/>
        <item m="1" x="2225"/>
        <item m="1" x="2612"/>
        <item m="1" x="2999"/>
        <item m="1" x="3386"/>
        <item m="1" x="3763"/>
        <item m="1" x="218"/>
        <item m="1" x="1285"/>
        <item m="1" x="1672"/>
        <item m="1" x="2059"/>
        <item m="1" x="2447"/>
        <item m="1" x="2834"/>
        <item m="1" x="3221"/>
        <item m="1" x="3598"/>
        <item m="1" x="3973"/>
        <item m="1" x="428"/>
        <item m="1" x="738"/>
        <item m="1" x="994"/>
        <item m="1" x="1380"/>
        <item m="1" x="1767"/>
        <item m="1" x="2154"/>
        <item m="1" x="2542"/>
        <item m="1" x="2929"/>
        <item m="1" x="3316"/>
        <item m="1" x="3693"/>
        <item m="1" x="148"/>
        <item m="1" x="502"/>
        <item m="1" x="792"/>
        <item m="1" x="1086"/>
        <item m="1" x="1472"/>
        <item m="1" x="1859"/>
        <item m="1" x="2248"/>
        <item m="1" x="2635"/>
        <item m="1" x="3022"/>
        <item m="1" x="3409"/>
        <item m="1" x="3786"/>
        <item m="1" x="241"/>
        <item m="1" x="573"/>
        <item m="1" x="1015"/>
        <item m="1" x="1401"/>
        <item m="1" x="1788"/>
        <item m="1" x="2176"/>
        <item m="1" x="2564"/>
        <item m="1" x="2951"/>
        <item m="1" x="3338"/>
        <item m="1" x="3715"/>
        <item m="1" x="170"/>
        <item m="1" x="524"/>
        <item m="1" x="803"/>
        <item m="1" x="1107"/>
        <item m="1" x="1493"/>
        <item m="1" x="1880"/>
        <item m="1" x="2269"/>
        <item m="1" x="2656"/>
        <item m="1" x="3043"/>
        <item m="1" x="3430"/>
        <item m="1" x="3807"/>
        <item m="1" x="262"/>
        <item m="1" x="594"/>
        <item m="1" x="850"/>
        <item m="1" x="1198"/>
        <item m="1" x="1584"/>
        <item m="1" x="1971"/>
        <item m="1" x="2359"/>
        <item m="1" x="2746"/>
        <item m="1" x="3133"/>
        <item m="1" x="3520"/>
        <item m="1" x="3897"/>
        <item m="1" x="352"/>
        <item m="1" x="1037"/>
        <item m="1" x="1423"/>
        <item m="1" x="1810"/>
        <item m="1" x="2198"/>
        <item m="1" x="2586"/>
        <item m="1" x="2973"/>
        <item m="1" x="3360"/>
        <item m="1" x="3737"/>
        <item m="1" x="192"/>
        <item m="1" x="535"/>
        <item m="1" x="814"/>
        <item m="1" x="1129"/>
        <item m="1" x="1515"/>
        <item m="1" x="1902"/>
        <item m="1" x="2290"/>
        <item m="1" x="2677"/>
        <item m="1" x="3064"/>
        <item m="1" x="3451"/>
        <item m="1" x="3828"/>
        <item m="1" x="283"/>
        <item m="1" x="615"/>
        <item m="1" x="871"/>
        <item m="1" x="1230"/>
        <item m="1" x="1616"/>
        <item m="1" x="2003"/>
        <item m="1" x="2391"/>
        <item m="1" x="2778"/>
        <item m="1" x="3165"/>
        <item m="1" x="1059"/>
        <item m="1" x="1445"/>
        <item m="1" x="1832"/>
        <item m="1" x="2221"/>
        <item m="1" x="2163"/>
        <item m="1" x="2551"/>
        <item m="1" x="2938"/>
        <item m="1" x="3325"/>
        <item m="1" x="3702"/>
        <item m="1" x="157"/>
        <item m="1" x="511"/>
        <item m="1" x="1193"/>
        <item m="1" x="1579"/>
        <item m="1" x="1966"/>
        <item m="1" x="2354"/>
        <item m="1" x="2741"/>
        <item m="1" x="3128"/>
        <item m="1" x="3515"/>
        <item m="1" x="3892"/>
        <item m="1" x="347"/>
        <item m="1" x="679"/>
        <item m="1" x="935"/>
        <item m="1" x="1321"/>
        <item m="1" x="1708"/>
        <item m="1" x="2095"/>
        <item m="1" x="2483"/>
        <item m="1" x="2870"/>
        <item m="1" x="3257"/>
        <item m="1" x="3634"/>
        <item m="1" x="89"/>
        <item m="1" x="453"/>
        <item m="1" x="760"/>
        <item m="1" x="1025"/>
        <item m="1" x="1411"/>
        <item m="1" x="1798"/>
        <item m="1" x="2186"/>
        <item m="1" x="2574"/>
        <item m="1" x="2961"/>
        <item m="1" x="3348"/>
        <item m="1" x="3725"/>
        <item m="1" x="180"/>
        <item m="1" x="1225"/>
        <item m="1" x="1611"/>
        <item m="1" x="1998"/>
        <item m="1" x="2386"/>
        <item m="1" x="2773"/>
        <item m="1" x="3160"/>
        <item m="1" x="3547"/>
        <item m="1" x="3924"/>
        <item m="1" x="379"/>
        <item m="1" x="700"/>
        <item m="1" x="956"/>
        <item m="1" x="1342"/>
        <item m="1" x="1729"/>
        <item m="1" x="2116"/>
        <item m="1" x="2504"/>
        <item m="1" x="2891"/>
        <item m="1" x="3278"/>
        <item m="1" x="3655"/>
        <item m="1" x="110"/>
        <item m="1" x="471"/>
        <item m="1" x="771"/>
        <item m="1" x="1047"/>
        <item m="1" x="1433"/>
        <item m="1" x="1820"/>
        <item m="1" x="2209"/>
        <item m="1" x="2597"/>
        <item m="1" x="2984"/>
        <item m="1" x="3371"/>
        <item m="1" x="3748"/>
        <item m="1" x="203"/>
        <item m="1" x="546"/>
        <item m="1" x="1258"/>
        <item m="1" x="1645"/>
        <item m="1" x="2032"/>
        <item m="1" x="2420"/>
        <item m="1" x="2807"/>
        <item m="1" x="3194"/>
        <item m="1" x="3571"/>
        <item m="1" x="3946"/>
        <item m="1" x="401"/>
        <item m="1" x="721"/>
        <item m="1" x="977"/>
        <item m="1" x="1363"/>
        <item m="1" x="1750"/>
        <item m="1" x="2137"/>
        <item m="1" x="2525"/>
        <item m="1" x="2912"/>
        <item m="1" x="3299"/>
        <item m="1" x="3676"/>
        <item m="1" x="131"/>
        <item m="1" x="485"/>
        <item m="1" x="782"/>
        <item m="1" x="1070"/>
        <item m="1" x="1456"/>
        <item m="1" x="1843"/>
        <item m="1" x="2232"/>
        <item m="1" x="2619"/>
        <item m="1" x="3006"/>
        <item m="1" x="3393"/>
        <item m="1" x="3770"/>
        <item m="1" x="225"/>
        <item m="1" x="1290"/>
        <item m="1" x="1677"/>
        <item m="1" x="2064"/>
        <item m="1" x="2452"/>
        <item m="1" x="2839"/>
        <item m="1" x="3226"/>
        <item m="1" x="3603"/>
        <item m="1" x="3978"/>
        <item m="1" x="432"/>
        <item m="1" x="742"/>
        <item m="1" x="998"/>
        <item m="1" x="1384"/>
        <item m="1" x="1771"/>
        <item m="1" x="2158"/>
        <item m="1" x="2546"/>
        <item m="1" x="2933"/>
        <item m="1" x="3320"/>
        <item m="1" x="3697"/>
        <item m="1" x="152"/>
        <item m="1" x="506"/>
        <item m="1" x="793"/>
        <item m="1" x="1092"/>
        <item m="1" x="1478"/>
        <item m="1" x="1865"/>
        <item m="1" x="2254"/>
        <item m="1" x="2641"/>
        <item m="1" x="3028"/>
        <item m="1" x="3415"/>
        <item m="1" x="3792"/>
        <item m="1" x="247"/>
        <item m="1" x="579"/>
        <item m="1" x="1018"/>
        <item m="1" x="1404"/>
        <item m="1" x="1791"/>
        <item m="1" x="2179"/>
        <item m="1" x="2567"/>
        <item m="1" x="2954"/>
        <item m="1" x="3341"/>
        <item m="1" x="3718"/>
        <item m="1" x="173"/>
        <item m="1" x="525"/>
        <item m="1" x="804"/>
        <item m="1" x="1112"/>
        <item m="1" x="1498"/>
        <item m="1" x="1885"/>
        <item m="1" x="2274"/>
        <item m="1" x="2661"/>
        <item m="1" x="3048"/>
        <item m="1" x="3435"/>
        <item m="1" x="3812"/>
        <item m="1" x="267"/>
        <item m="1" x="599"/>
        <item m="1" x="855"/>
        <item m="1" x="1208"/>
        <item m="1" x="1594"/>
        <item m="1" x="1981"/>
        <item m="1" x="2369"/>
        <item m="1" x="2756"/>
        <item m="1" x="3143"/>
        <item m="1" x="3530"/>
        <item m="1" x="3907"/>
        <item m="1" x="362"/>
        <item m="1" x="1040"/>
        <item m="1" x="1426"/>
        <item m="1" x="1813"/>
        <item m="1" x="2201"/>
        <item m="1" x="2589"/>
        <item m="1" x="2976"/>
        <item m="1" x="3363"/>
        <item m="1" x="3740"/>
        <item m="1" x="195"/>
        <item m="1" x="538"/>
        <item m="1" x="815"/>
        <item m="1" x="1134"/>
        <item m="1" x="1520"/>
        <item m="1" x="1907"/>
        <item m="1" x="2295"/>
        <item m="1" x="2682"/>
        <item m="1" x="3069"/>
        <item m="1" x="3456"/>
        <item m="1" x="3833"/>
        <item m="1" x="288"/>
        <item m="1" x="620"/>
        <item m="1" x="876"/>
        <item m="1" x="1240"/>
        <item m="1" x="1626"/>
        <item m="1" x="2013"/>
        <item m="1" x="2401"/>
        <item m="1" x="2788"/>
        <item m="1" x="3175"/>
        <item m="1" x="1062"/>
        <item m="1" x="1448"/>
        <item m="1" x="1835"/>
        <item m="1" x="2224"/>
        <item m="1" x="2611"/>
        <item m="1" x="2998"/>
        <item m="1" x="3385"/>
        <item m="1" x="3762"/>
        <item m="1" x="217"/>
        <item m="1" x="558"/>
        <item m="1" x="826"/>
        <item m="1" x="1155"/>
        <item m="1" x="1541"/>
        <item m="1" x="1928"/>
        <item m="1" x="2316"/>
        <item m="1" x="2703"/>
        <item m="1" x="3090"/>
        <item m="1" x="3477"/>
        <item m="1" x="3854"/>
        <item m="1" x="309"/>
        <item m="1" x="641"/>
        <item m="1" x="897"/>
        <item m="1" x="1272"/>
        <item m="1" x="1659"/>
        <item m="1" x="2046"/>
        <item m="1" x="2434"/>
        <item m="1" x="2821"/>
        <item m="1" x="3208"/>
        <item m="1" x="3585"/>
        <item m="1" x="3960"/>
        <item m="1" x="415"/>
        <item m="1" x="1085"/>
        <item m="1" x="1471"/>
        <item m="1" x="1858"/>
        <item m="1" x="2247"/>
        <item m="1" x="2634"/>
        <item m="1" x="3021"/>
        <item m="1" x="3408"/>
        <item m="1" x="3785"/>
        <item m="1" x="240"/>
        <item m="1" x="572"/>
        <item m="1" x="837"/>
        <item m="1" x="1176"/>
        <item m="1" x="1562"/>
        <item m="1" x="1949"/>
        <item m="1" x="2337"/>
        <item m="1" x="2724"/>
        <item m="1" x="3111"/>
        <item m="1" x="3498"/>
        <item m="1" x="3875"/>
        <item m="1" x="330"/>
        <item m="1" x="662"/>
        <item m="1" x="918"/>
        <item m="1" x="1304"/>
        <item m="1" x="1691"/>
        <item m="1" x="2078"/>
        <item m="1" x="2466"/>
        <item m="1" x="2853"/>
        <item m="1" x="3240"/>
        <item m="1" x="3617"/>
        <item m="1" x="3992"/>
        <item m="1" x="1108"/>
        <item m="1" x="1494"/>
        <item m="1" x="1881"/>
        <item m="1" x="2270"/>
        <item m="1" x="2657"/>
        <item m="1" x="3044"/>
        <item m="1" x="3431"/>
        <item m="1" x="3808"/>
        <item m="1" x="263"/>
        <item m="1" x="595"/>
        <item m="1" x="851"/>
        <item m="1" x="1201"/>
        <item m="1" x="1587"/>
        <item m="1" x="1974"/>
        <item m="1" x="2362"/>
        <item m="1" x="2749"/>
        <item m="1" x="3136"/>
        <item m="1" x="3523"/>
        <item m="1" x="3900"/>
        <item m="1" x="355"/>
        <item m="1" x="684"/>
        <item m="1" x="940"/>
        <item m="1" x="1326"/>
        <item m="1" x="1713"/>
        <item m="1" x="2100"/>
        <item m="1" x="2488"/>
        <item m="1" x="2875"/>
        <item m="1" x="3262"/>
        <item m="1" x="3639"/>
        <item m="1" x="94"/>
        <item m="1" x="458"/>
        <item m="1" x="1130"/>
        <item m="1" x="1516"/>
        <item m="1" x="1903"/>
        <item m="1" x="2291"/>
        <item m="1" x="2678"/>
        <item m="1" x="3065"/>
        <item m="1" x="3452"/>
        <item m="1" x="3829"/>
        <item m="1" x="284"/>
        <item m="1" x="616"/>
        <item m="1" x="872"/>
        <item m="1" x="1233"/>
        <item m="1" x="1619"/>
        <item m="1" x="2006"/>
        <item m="1" x="2394"/>
        <item m="1" x="2781"/>
        <item m="1" x="3168"/>
        <item m="1" x="3552"/>
        <item m="1" x="3929"/>
        <item m="1" x="384"/>
        <item m="1" x="705"/>
        <item m="1" x="961"/>
        <item m="1" x="1347"/>
        <item m="1" x="1734"/>
        <item m="1" x="2121"/>
        <item m="1" x="2509"/>
        <item m="1" x="2896"/>
        <item m="1" x="3283"/>
        <item m="1" x="3660"/>
        <item m="1" x="115"/>
        <item m="1" x="1151"/>
        <item m="1" x="1537"/>
        <item m="1" x="1924"/>
        <item m="1" x="2312"/>
        <item m="1" x="2699"/>
        <item m="1" x="3086"/>
        <item m="1" x="3473"/>
        <item m="1" x="3850"/>
        <item m="1" x="305"/>
        <item m="1" x="637"/>
        <item m="1" x="893"/>
        <item m="1" x="1265"/>
        <item m="1" x="1652"/>
        <item m="1" x="2039"/>
        <item m="1" x="2427"/>
        <item m="1" x="2814"/>
        <item m="1" x="3201"/>
        <item m="1" x="3578"/>
        <item m="1" x="3953"/>
        <item m="1" x="408"/>
        <item m="1" x="726"/>
        <item m="1" x="982"/>
        <item m="1" x="1368"/>
        <item m="1" x="1755"/>
        <item m="1" x="2142"/>
        <item m="1" x="2530"/>
        <item m="1" x="2917"/>
        <item m="1" x="3304"/>
        <item m="1" x="3681"/>
        <item m="1" x="136"/>
        <item m="1" x="490"/>
        <item m="1" x="1172"/>
        <item m="1" x="1558"/>
        <item m="1" x="1945"/>
        <item m="1" x="2333"/>
        <item m="1" x="2720"/>
        <item m="1" x="3107"/>
        <item m="1" x="3494"/>
        <item m="1" x="3871"/>
        <item m="1" x="326"/>
        <item m="1" x="658"/>
        <item m="1" x="914"/>
        <item m="1" x="1297"/>
        <item m="1" x="1684"/>
        <item m="1" x="2071"/>
        <item m="1" x="2459"/>
        <item m="1" x="2846"/>
        <item m="1" x="3233"/>
        <item m="1" x="3610"/>
        <item m="1" x="3985"/>
        <item m="1" x="437"/>
        <item m="1" x="747"/>
        <item m="1" x="1003"/>
        <item m="1" x="1389"/>
        <item m="1" x="1776"/>
        <item m="1" x="2164"/>
        <item m="1" x="2552"/>
        <item m="1" x="2939"/>
        <item m="1" x="3326"/>
        <item m="1" x="3703"/>
        <item m="1" x="158"/>
        <item m="1" x="512"/>
        <item m="1" x="1195"/>
        <item m="1" x="1581"/>
        <item m="1" x="1968"/>
        <item m="1" x="2356"/>
        <item m="1" x="2743"/>
        <item m="1" x="3130"/>
        <item m="1" x="3517"/>
        <item m="1" x="3894"/>
        <item m="1" x="349"/>
        <item m="1" x="680"/>
        <item m="1" x="936"/>
        <item m="1" x="1322"/>
        <item m="1" x="1709"/>
        <item m="1" x="2096"/>
        <item m="1" x="2484"/>
        <item m="1" x="2871"/>
        <item m="1" x="3258"/>
        <item m="1" x="3635"/>
        <item m="1" x="90"/>
        <item m="1" x="454"/>
        <item m="1" x="761"/>
        <item m="1" x="1027"/>
        <item m="1" x="1413"/>
        <item m="1" x="1800"/>
        <item m="1" x="2188"/>
        <item m="1" x="2576"/>
        <item m="1" x="2963"/>
        <item m="1" x="3350"/>
        <item m="1" x="3727"/>
        <item m="1" x="182"/>
        <item m="1" x="1227"/>
        <item m="1" x="1613"/>
        <item m="1" x="2000"/>
        <item m="1" x="2388"/>
        <item m="1" x="2775"/>
        <item m="1" x="3162"/>
        <item m="1" x="3548"/>
        <item m="1" x="3925"/>
        <item m="1" x="380"/>
        <item m="1" x="701"/>
        <item m="1" x="957"/>
        <item m="1" x="1343"/>
        <item m="1" x="1730"/>
        <item m="1" x="2117"/>
        <item m="1" x="2505"/>
        <item m="1" x="2892"/>
        <item m="1" x="3279"/>
        <item m="1" x="3656"/>
        <item m="1" x="111"/>
        <item m="1" x="472"/>
        <item m="1" x="772"/>
        <item m="1" x="1049"/>
        <item m="1" x="1435"/>
        <item m="1" x="1822"/>
        <item m="1" x="2211"/>
        <item m="1" x="2599"/>
        <item m="1" x="2986"/>
        <item m="1" x="3373"/>
        <item m="1" x="3750"/>
        <item m="1" x="205"/>
        <item m="1" x="548"/>
        <item m="1" x="1260"/>
        <item m="1" x="1647"/>
        <item m="1" x="2034"/>
        <item m="1" x="2422"/>
        <item m="1" x="2809"/>
        <item m="1" x="3196"/>
        <item m="1" x="3573"/>
        <item m="1" x="3948"/>
        <item m="1" x="403"/>
        <item m="1" x="722"/>
        <item m="1" x="978"/>
        <item m="1" x="1364"/>
        <item m="1" x="1751"/>
        <item m="1" x="2138"/>
        <item m="1" x="2526"/>
        <item m="1" x="2913"/>
        <item m="1" x="3300"/>
        <item m="1" x="3677"/>
        <item m="1" x="132"/>
        <item m="1" x="486"/>
        <item m="1" x="783"/>
        <item m="1" x="1072"/>
        <item m="1" x="1458"/>
        <item m="1" x="1845"/>
        <item m="1" x="2234"/>
        <item m="1" x="2621"/>
        <item m="1" x="3008"/>
        <item m="1" x="3395"/>
        <item m="1" x="3772"/>
        <item m="1" x="227"/>
        <item m="1" x="1292"/>
        <item m="1" x="1679"/>
        <item m="1" x="2066"/>
        <item m="1" x="2454"/>
        <item m="1" x="2841"/>
        <item m="1" x="3228"/>
        <item m="1" x="3605"/>
        <item m="1" x="3980"/>
        <item m="1" x="433"/>
        <item m="1" x="743"/>
        <item m="1" x="999"/>
        <item m="1" x="1385"/>
        <item m="1" x="1772"/>
        <item m="1" x="2159"/>
        <item m="1" x="2547"/>
        <item m="1" x="2934"/>
        <item m="1" x="3321"/>
        <item m="1" x="3698"/>
        <item m="1" x="153"/>
        <item m="1" x="507"/>
        <item m="1" x="794"/>
        <item m="1" x="1094"/>
        <item m="1" x="1480"/>
        <item m="1" x="1867"/>
        <item m="1" x="2256"/>
        <item m="1" x="2643"/>
        <item m="1" x="3030"/>
        <item m="1" x="3417"/>
        <item m="1" x="3794"/>
        <item m="1" x="249"/>
        <item m="1" x="581"/>
        <item m="1" x="1020"/>
        <item m="1" x="1406"/>
        <item m="1" x="1793"/>
        <item m="1" x="2181"/>
        <item m="1" x="2569"/>
        <item m="1" x="2956"/>
        <item m="1" x="3343"/>
        <item m="1" x="3720"/>
        <item m="1" x="175"/>
        <item m="1" x="526"/>
        <item m="1" x="805"/>
        <item m="1" x="1113"/>
        <item m="1" x="1499"/>
        <item m="1" x="1886"/>
        <item m="1" x="2275"/>
        <item m="1" x="2662"/>
        <item m="1" x="3049"/>
        <item m="1" x="3436"/>
        <item m="1" x="3813"/>
        <item m="1" x="268"/>
        <item m="1" x="600"/>
        <item m="1" x="856"/>
        <item m="1" x="1209"/>
        <item m="1" x="1595"/>
        <item m="1" x="1982"/>
        <item m="1" x="2370"/>
        <item m="1" x="2757"/>
        <item m="1" x="3144"/>
        <item m="1" x="3531"/>
        <item m="1" x="3908"/>
        <item m="1" x="363"/>
        <item m="1" x="1042"/>
        <item m="1" x="1428"/>
        <item m="1" x="1815"/>
        <item m="1" x="2203"/>
        <item m="1" x="2591"/>
        <item m="1" x="2978"/>
        <item m="1" x="3365"/>
        <item m="1" x="3742"/>
        <item m="1" x="197"/>
        <item m="1" x="540"/>
        <item m="1" x="816"/>
        <item m="1" x="1135"/>
        <item m="1" x="1521"/>
        <item m="1" x="1908"/>
        <item m="1" x="2296"/>
        <item m="1" x="2683"/>
        <item m="1" x="3070"/>
        <item m="1" x="3457"/>
        <item m="1" x="3834"/>
        <item m="1" x="289"/>
        <item m="1" x="621"/>
        <item m="1" x="877"/>
        <item m="1" x="1241"/>
        <item m="1" x="1627"/>
        <item m="1" x="2014"/>
        <item m="1" x="2402"/>
        <item m="1" x="2789"/>
        <item m="1" x="3176"/>
        <item m="1" x="3559"/>
        <item m="1" x="1064"/>
        <item m="1" x="1450"/>
        <item m="1" x="1837"/>
        <item m="1" x="2226"/>
        <item m="1" x="2613"/>
        <item m="1" x="3000"/>
        <item m="1" x="3387"/>
        <item m="1" x="3764"/>
        <item m="1" x="219"/>
        <item m="1" x="559"/>
        <item m="1" x="827"/>
        <item m="1" x="1156"/>
        <item m="1" x="1542"/>
        <item m="1" x="1929"/>
        <item m="1" x="2317"/>
        <item m="1" x="2704"/>
        <item m="1" x="3091"/>
        <item m="1" x="3478"/>
        <item m="1" x="3855"/>
        <item m="1" x="310"/>
        <item m="1" x="642"/>
        <item m="1" x="898"/>
        <item m="1" x="1273"/>
        <item m="1" x="1660"/>
        <item m="1" x="2047"/>
        <item m="1" x="2435"/>
        <item m="1" x="2822"/>
        <item m="1" x="3209"/>
        <item m="1" x="3586"/>
        <item m="1" x="3961"/>
        <item m="1" x="416"/>
        <item m="1" x="1087"/>
        <item m="1" x="1473"/>
        <item m="1" x="1860"/>
        <item m="1" x="2249"/>
        <item m="1" x="2636"/>
        <item m="1" x="3023"/>
        <item m="1" x="3410"/>
        <item m="1" x="3787"/>
        <item m="1" x="242"/>
        <item m="1" x="574"/>
        <item m="1" x="838"/>
        <item m="1" x="1177"/>
        <item m="1" x="1563"/>
        <item m="1" x="1950"/>
        <item m="1" x="2338"/>
        <item m="1" x="2725"/>
        <item m="1" x="3112"/>
        <item m="1" x="3499"/>
        <item m="1" x="3876"/>
        <item m="1" x="331"/>
        <item m="1" x="663"/>
        <item m="1" x="919"/>
        <item m="1" x="1305"/>
        <item m="1" x="1692"/>
        <item m="1" x="2079"/>
        <item m="1" x="2467"/>
        <item m="1" x="2854"/>
        <item m="1" x="3241"/>
        <item m="1" x="3618"/>
        <item m="1" x="3993"/>
        <item m="1" x="1109"/>
        <item m="1" x="1495"/>
        <item m="1" x="1882"/>
        <item m="1" x="2271"/>
        <item m="1" x="2658"/>
        <item m="1" x="3045"/>
        <item m="1" x="3432"/>
        <item m="1" x="3809"/>
        <item m="1" x="264"/>
        <item m="1" x="596"/>
        <item m="1" x="852"/>
        <item m="1" x="1202"/>
        <item m="1" x="1588"/>
        <item m="1" x="1975"/>
        <item m="1" x="2363"/>
        <item m="1" x="2750"/>
        <item m="1" x="3137"/>
        <item m="1" x="3524"/>
        <item m="1" x="3901"/>
        <item m="1" x="356"/>
        <item m="1" x="685"/>
        <item m="1" x="941"/>
        <item m="1" x="1327"/>
        <item m="1" x="1714"/>
        <item m="1" x="2101"/>
        <item m="1" x="2489"/>
        <item m="1" x="2876"/>
        <item m="1" x="3263"/>
        <item m="1" x="3640"/>
        <item m="1" x="95"/>
        <item m="1" x="459"/>
        <item m="1" x="1131"/>
        <item m="1" x="1517"/>
        <item m="1" x="1904"/>
        <item m="1" x="2292"/>
        <item m="1" x="2679"/>
        <item m="1" x="3066"/>
        <item m="1" x="3453"/>
        <item m="1" x="3830"/>
        <item m="1" x="285"/>
        <item m="1" x="617"/>
        <item m="1" x="873"/>
        <item m="1" x="1234"/>
        <item m="1" x="1620"/>
        <item m="1" x="2007"/>
        <item m="1" x="2395"/>
        <item m="1" x="2782"/>
        <item m="1" x="3169"/>
        <item m="1" x="3553"/>
        <item m="1" x="3930"/>
        <item m="1" x="385"/>
        <item m="1" x="706"/>
        <item m="1" x="962"/>
        <item m="1" x="1348"/>
        <item m="1" x="1735"/>
        <item m="1" x="2122"/>
        <item m="1" x="2510"/>
        <item m="1" x="2897"/>
        <item m="1" x="3284"/>
        <item m="1" x="3661"/>
        <item m="1" x="116"/>
        <item m="1" x="1152"/>
        <item m="1" x="1538"/>
        <item m="1" x="1925"/>
        <item m="1" x="2313"/>
        <item m="1" x="2700"/>
        <item m="1" x="3087"/>
        <item m="1" x="3474"/>
        <item m="1" x="3851"/>
        <item m="1" x="306"/>
        <item m="1" x="638"/>
        <item m="1" x="894"/>
        <item m="1" x="1266"/>
        <item m="1" x="1653"/>
        <item m="1" x="2040"/>
        <item m="1" x="2428"/>
        <item m="1" x="2815"/>
        <item m="1" x="3202"/>
        <item m="1" x="3579"/>
        <item m="1" x="3954"/>
        <item m="1" x="409"/>
        <item m="1" x="727"/>
        <item m="1" x="983"/>
        <item m="1" x="1369"/>
        <item m="1" x="1756"/>
        <item m="1" x="2143"/>
        <item m="1" x="2531"/>
        <item m="1" x="2918"/>
        <item m="1" x="3305"/>
        <item m="1" x="3682"/>
        <item m="1" x="137"/>
        <item m="1" x="491"/>
        <item m="1" x="1173"/>
        <item m="1" x="1559"/>
        <item m="1" x="1946"/>
        <item m="1" x="2334"/>
        <item m="1" x="2721"/>
        <item m="1" x="3108"/>
        <item m="1" x="3495"/>
        <item m="1" x="3872"/>
        <item m="1" x="327"/>
        <item m="1" x="659"/>
        <item m="1" x="915"/>
        <item m="1" x="1298"/>
        <item m="1" x="1685"/>
        <item m="1" x="2072"/>
        <item m="1" x="2460"/>
        <item m="1" x="2847"/>
        <item m="1" x="3234"/>
        <item m="1" x="3611"/>
        <item m="1" x="3986"/>
        <item m="1" x="438"/>
        <item m="1" x="748"/>
        <item m="1" x="1004"/>
        <item m="1" x="1390"/>
        <item m="1" x="1777"/>
        <item m="1" x="2165"/>
        <item m="1" x="2553"/>
        <item m="1" x="2940"/>
        <item m="1" x="3327"/>
        <item m="1" x="3704"/>
        <item m="1" x="159"/>
        <item m="1" x="513"/>
        <item m="1" x="1197"/>
        <item m="1" x="1583"/>
        <item m="1" x="1970"/>
        <item m="1" x="2358"/>
        <item m="1" x="2745"/>
        <item m="1" x="3132"/>
        <item m="1" x="3519"/>
        <item m="1" x="3896"/>
        <item m="1" x="351"/>
        <item m="1" x="681"/>
        <item m="1" x="937"/>
        <item m="1" x="1323"/>
        <item m="1" x="1710"/>
        <item m="1" x="2097"/>
        <item m="1" x="2485"/>
        <item m="1" x="2872"/>
        <item m="1" x="3259"/>
        <item m="1" x="3636"/>
        <item m="1" x="91"/>
        <item m="1" x="455"/>
        <item m="1" x="762"/>
        <item m="1" x="1029"/>
        <item m="1" x="1415"/>
        <item m="1" x="1802"/>
        <item m="1" x="2190"/>
        <item m="1" x="2578"/>
        <item m="1" x="2965"/>
        <item m="1" x="3352"/>
        <item m="1" x="3729"/>
        <item m="1" x="184"/>
        <item m="1" x="1229"/>
        <item m="1" x="1615"/>
        <item m="1" x="2002"/>
        <item m="1" x="2390"/>
        <item m="1" x="2777"/>
        <item m="1" x="3164"/>
        <item m="1" x="3549"/>
        <item m="1" x="3926"/>
        <item m="1" x="381"/>
        <item m="1" x="702"/>
        <item m="1" x="958"/>
        <item m="1" x="1344"/>
        <item m="1" x="1731"/>
        <item m="1" x="2118"/>
        <item m="1" x="2506"/>
        <item m="1" x="2893"/>
        <item m="1" x="3280"/>
        <item m="1" x="3657"/>
        <item m="1" x="112"/>
        <item m="1" x="473"/>
        <item m="1" x="773"/>
        <item m="1" x="1051"/>
        <item m="1" x="1437"/>
        <item m="1" x="1824"/>
        <item m="1" x="2213"/>
        <item m="1" x="2601"/>
        <item m="1" x="2988"/>
        <item m="1" x="3375"/>
        <item m="1" x="3752"/>
        <item m="1" x="207"/>
        <item m="1" x="550"/>
        <item m="1" x="1262"/>
        <item m="1" x="1649"/>
        <item m="1" x="2036"/>
        <item m="1" x="2424"/>
        <item m="1" x="2811"/>
        <item m="1" x="3198"/>
        <item m="1" x="3575"/>
        <item m="1" x="3950"/>
        <item m="1" x="405"/>
        <item m="1" x="723"/>
        <item m="1" x="979"/>
        <item m="1" x="1365"/>
        <item m="1" x="1752"/>
        <item m="1" x="2139"/>
        <item m="1" x="2527"/>
        <item m="1" x="2914"/>
        <item m="1" x="3301"/>
        <item m="1" x="3678"/>
        <item m="1" x="133"/>
        <item m="1" x="487"/>
        <item m="1" x="784"/>
        <item m="1" x="1074"/>
        <item m="1" x="1460"/>
        <item m="1" x="1847"/>
        <item m="1" x="2236"/>
        <item m="1" x="2623"/>
        <item m="1" x="3010"/>
        <item m="1" x="3397"/>
        <item m="1" x="3774"/>
        <item m="1" x="229"/>
        <item m="1" x="1294"/>
        <item m="1" x="1681"/>
        <item m="1" x="2068"/>
        <item m="1" x="2456"/>
        <item m="1" x="2843"/>
        <item m="1" x="3230"/>
        <item m="1" x="3607"/>
        <item m="1" x="3982"/>
        <item m="1" x="434"/>
        <item m="1" x="744"/>
        <item m="1" x="1000"/>
        <item m="1" x="1386"/>
        <item m="1" x="1773"/>
        <item m="1" x="2160"/>
        <item m="1" x="2548"/>
        <item m="1" x="2935"/>
        <item m="1" x="3322"/>
        <item m="1" x="3699"/>
        <item m="1" x="154"/>
        <item m="1" x="508"/>
        <item m="1" x="795"/>
        <item m="1" x="1096"/>
        <item m="1" x="1482"/>
        <item m="1" x="1869"/>
        <item m="1" x="2258"/>
        <item m="1" x="2645"/>
        <item m="1" x="3032"/>
        <item m="1" x="3419"/>
        <item m="1" x="3796"/>
        <item m="1" x="251"/>
        <item m="1" x="583"/>
        <item m="1" x="1021"/>
        <item m="1" x="1407"/>
        <item m="1" x="1794"/>
        <item m="1" x="2182"/>
        <item m="1" x="2570"/>
        <item m="1" x="2957"/>
        <item m="1" x="3344"/>
        <item m="1" x="3721"/>
        <item m="1" x="176"/>
        <item m="1" x="527"/>
        <item m="1" x="806"/>
        <item m="1" x="1114"/>
        <item m="1" x="1500"/>
        <item m="1" x="1887"/>
        <item m="1" x="2276"/>
        <item m="1" x="2663"/>
        <item m="1" x="3050"/>
        <item m="1" x="3437"/>
        <item m="1" x="3814"/>
        <item m="1" x="269"/>
        <item m="1" x="601"/>
        <item m="1" x="857"/>
        <item m="1" x="1210"/>
        <item m="1" x="1596"/>
        <item m="1" x="1983"/>
        <item m="1" x="2371"/>
        <item m="1" x="2758"/>
        <item m="1" x="3145"/>
        <item m="1" x="3532"/>
        <item m="1" x="3909"/>
        <item m="1" x="364"/>
        <item m="1" x="1043"/>
        <item m="1" x="1429"/>
        <item m="1" x="1816"/>
        <item m="1" x="2204"/>
        <item m="1" x="2592"/>
        <item m="1" x="2979"/>
        <item m="1" x="3366"/>
        <item m="1" x="3743"/>
        <item m="1" x="198"/>
        <item m="1" x="541"/>
        <item m="1" x="817"/>
        <item m="1" x="1136"/>
        <item m="1" x="1522"/>
        <item m="1" x="1909"/>
        <item m="1" x="2297"/>
        <item m="1" x="2684"/>
        <item m="1" x="3071"/>
        <item m="1" x="3458"/>
        <item m="1" x="3835"/>
        <item m="1" x="290"/>
        <item m="1" x="622"/>
        <item m="1" x="878"/>
        <item m="1" x="1242"/>
        <item m="1" x="1628"/>
        <item m="1" x="2015"/>
        <item m="1" x="2403"/>
        <item m="1" x="2790"/>
        <item m="1" x="3177"/>
        <item m="1" x="1065"/>
        <item m="1" x="1451"/>
        <item m="1" x="1838"/>
        <item m="1" x="2227"/>
        <item m="1" x="2614"/>
        <item m="1" x="3001"/>
        <item m="1" x="3388"/>
        <item m="1" x="3765"/>
        <item m="1" x="220"/>
        <item m="1" x="560"/>
        <item m="1" x="828"/>
        <item m="1" x="1157"/>
        <item m="1" x="1543"/>
        <item m="1" x="1930"/>
        <item m="1" x="2318"/>
        <item m="1" x="2705"/>
        <item m="1" x="3092"/>
        <item m="1" x="3479"/>
        <item m="1" x="3856"/>
        <item m="1" x="311"/>
        <item m="1" x="643"/>
        <item m="1" x="899"/>
        <item m="1" x="1274"/>
        <item m="1" x="1661"/>
        <item m="1" x="2048"/>
        <item m="1" x="2436"/>
        <item m="1" x="2823"/>
        <item m="1" x="3210"/>
        <item m="1" x="3587"/>
        <item m="1" x="3962"/>
        <item m="1" x="417"/>
        <item m="1" x="1088"/>
        <item m="1" x="1474"/>
        <item m="1" x="1861"/>
        <item m="1" x="2250"/>
        <item m="1" x="2637"/>
        <item m="1" x="3024"/>
        <item m="1" x="3411"/>
        <item m="1" x="3788"/>
        <item m="1" x="243"/>
        <item m="1" x="575"/>
        <item m="1" x="839"/>
        <item m="1" x="1178"/>
        <item m="1" x="1564"/>
        <item m="1" x="1951"/>
        <item m="1" x="2339"/>
        <item m="1" x="2726"/>
        <item m="1" x="3113"/>
        <item m="1" x="3500"/>
        <item m="1" x="3877"/>
        <item m="1" x="332"/>
        <item m="1" x="664"/>
        <item m="1" x="920"/>
        <item m="1" x="1306"/>
        <item m="1" x="1693"/>
        <item m="1" x="2080"/>
        <item m="1" x="2468"/>
        <item m="1" x="2855"/>
        <item m="1" x="3242"/>
        <item m="1" x="3619"/>
        <item m="1" x="3994"/>
        <item m="1" x="1110"/>
        <item m="1" x="1496"/>
        <item m="1" x="1883"/>
        <item m="1" x="2272"/>
        <item m="1" x="2659"/>
        <item m="1" x="3046"/>
        <item m="1" x="3433"/>
        <item m="1" x="3810"/>
        <item m="1" x="265"/>
        <item m="1" x="597"/>
        <item m="1" x="853"/>
        <item m="1" x="1203"/>
        <item m="1" x="1589"/>
        <item m="1" x="1976"/>
        <item m="1" x="2364"/>
        <item m="1" x="2751"/>
        <item m="1" x="3138"/>
        <item m="1" x="3525"/>
        <item m="1" x="3902"/>
        <item m="1" x="357"/>
        <item m="1" x="686"/>
        <item m="1" x="942"/>
        <item m="1" x="1328"/>
        <item m="1" x="1715"/>
        <item m="1" x="2102"/>
        <item m="1" x="2490"/>
        <item m="1" x="2877"/>
        <item m="1" x="3264"/>
        <item m="1" x="3641"/>
        <item m="1" x="96"/>
        <item m="1" x="460"/>
        <item m="1" x="1132"/>
        <item m="1" x="1518"/>
        <item m="1" x="1905"/>
        <item m="1" x="2293"/>
        <item m="1" x="2680"/>
        <item m="1" x="3067"/>
        <item m="1" x="3454"/>
        <item m="1" x="3831"/>
        <item m="1" x="286"/>
        <item m="1" x="618"/>
        <item m="1" x="874"/>
        <item m="1" x="1235"/>
        <item m="1" x="1621"/>
        <item m="1" x="2008"/>
        <item m="1" x="2396"/>
        <item m="1" x="2783"/>
        <item m="1" x="3170"/>
        <item m="1" x="3554"/>
        <item m="1" x="3931"/>
        <item m="1" x="386"/>
        <item m="1" x="707"/>
        <item m="1" x="963"/>
        <item m="1" x="1349"/>
        <item m="1" x="1736"/>
        <item m="1" x="2123"/>
        <item m="1" x="2511"/>
        <item m="1" x="2898"/>
        <item m="1" x="3285"/>
        <item m="1" x="3662"/>
        <item m="1" x="117"/>
        <item m="1" x="1153"/>
        <item m="1" x="1539"/>
        <item m="1" x="1926"/>
        <item m="1" x="2314"/>
        <item m="1" x="2701"/>
        <item m="1" x="3088"/>
        <item m="1" x="3475"/>
        <item m="1" x="3852"/>
        <item m="1" x="307"/>
        <item m="1" x="639"/>
        <item m="1" x="895"/>
        <item m="1" x="1267"/>
        <item m="1" x="1654"/>
        <item m="1" x="2041"/>
        <item m="1" x="2429"/>
        <item m="1" x="2816"/>
        <item m="1" x="3203"/>
        <item m="1" x="3580"/>
        <item m="1" x="3955"/>
        <item m="1" x="410"/>
        <item m="1" x="728"/>
        <item m="1" x="984"/>
        <item m="1" x="1370"/>
        <item m="1" x="1757"/>
        <item m="1" x="2144"/>
        <item m="1" x="2532"/>
        <item m="1" x="2919"/>
        <item m="1" x="3306"/>
        <item m="1" x="3683"/>
        <item m="1" x="138"/>
        <item m="1" x="492"/>
        <item m="1" x="1174"/>
        <item m="1" x="1560"/>
        <item m="1" x="1947"/>
        <item m="1" x="2335"/>
        <item m="1" x="2722"/>
        <item m="1" x="3109"/>
        <item m="1" x="3496"/>
        <item m="1" x="3873"/>
        <item m="1" x="328"/>
        <item m="1" x="660"/>
        <item m="1" x="916"/>
        <item m="1" x="1299"/>
        <item m="1" x="1686"/>
        <item m="1" x="2073"/>
        <item m="1" x="2461"/>
        <item m="1" x="2848"/>
        <item m="1" x="3235"/>
        <item m="1" x="3612"/>
        <item m="1" x="3987"/>
        <item m="1" x="439"/>
        <item m="1" x="749"/>
        <item m="1" x="1005"/>
        <item m="1" x="1391"/>
        <item m="1" x="1778"/>
        <item m="1" x="2166"/>
        <item m="1" x="2554"/>
        <item m="1" x="2941"/>
        <item m="1" x="3328"/>
        <item m="1" x="3705"/>
        <item m="1" x="160"/>
        <item m="1" x="514"/>
        <item m="1" x="1199"/>
        <item m="1" x="1585"/>
        <item m="1" x="1972"/>
        <item m="1" x="2360"/>
        <item m="1" x="2747"/>
        <item m="1" x="3134"/>
        <item m="1" x="3521"/>
        <item m="1" x="3898"/>
        <item m="1" x="353"/>
        <item m="1" x="682"/>
        <item m="1" x="938"/>
        <item m="1" x="1324"/>
        <item m="1" x="1711"/>
        <item m="1" x="2098"/>
        <item m="1" x="2486"/>
        <item m="1" x="2873"/>
        <item m="1" x="3260"/>
        <item m="1" x="3637"/>
        <item m="1" x="92"/>
        <item m="1" x="456"/>
        <item m="1" x="763"/>
        <item m="1" x="1030"/>
        <item m="1" x="1416"/>
        <item m="1" x="1803"/>
        <item m="1" x="2191"/>
        <item m="1" x="2579"/>
        <item m="1" x="2966"/>
        <item m="1" x="3353"/>
        <item m="1" x="3730"/>
        <item m="1" x="185"/>
        <item m="1" x="1231"/>
        <item m="1" x="1617"/>
        <item m="1" x="2004"/>
        <item m="1" x="2392"/>
        <item m="1" x="2779"/>
        <item m="1" x="3166"/>
        <item m="1" x="3550"/>
        <item m="1" x="3927"/>
        <item m="1" x="382"/>
        <item m="1" x="703"/>
        <item m="1" x="959"/>
        <item m="1" x="1345"/>
        <item m="1" x="1732"/>
        <item m="1" x="2119"/>
        <item m="1" x="2507"/>
        <item m="1" x="2894"/>
        <item m="1" x="3281"/>
        <item m="1" x="3658"/>
        <item m="1" x="113"/>
        <item m="1" x="474"/>
        <item m="1" x="774"/>
        <item m="1" x="1052"/>
        <item m="1" x="1438"/>
        <item m="1" x="1825"/>
        <item m="1" x="2214"/>
        <item m="1" x="2602"/>
        <item m="1" x="2989"/>
        <item m="1" x="3376"/>
        <item m="1" x="3753"/>
        <item m="1" x="208"/>
        <item m="1" x="551"/>
        <item m="1" x="1263"/>
        <item m="1" x="1650"/>
        <item m="1" x="2037"/>
        <item m="1" x="2425"/>
        <item m="1" x="2812"/>
        <item m="1" x="3199"/>
        <item m="1" x="3576"/>
        <item m="1" x="3951"/>
        <item m="1" x="406"/>
        <item m="1" x="724"/>
        <item m="1" x="980"/>
        <item m="1" x="1366"/>
        <item m="1" x="1753"/>
        <item m="1" x="2140"/>
        <item m="1" x="2528"/>
        <item m="1" x="2915"/>
        <item m="1" x="3302"/>
        <item m="1" x="3679"/>
        <item m="1" x="134"/>
        <item m="1" x="488"/>
        <item m="1" x="785"/>
        <item m="1" x="1075"/>
        <item m="1" x="1461"/>
        <item m="1" x="1848"/>
        <item m="1" x="2237"/>
        <item m="1" x="2624"/>
        <item m="1" x="3011"/>
        <item m="1" x="3398"/>
        <item m="1" x="3775"/>
        <item m="1" x="230"/>
        <item m="1" x="1295"/>
        <item m="1" x="1682"/>
        <item m="1" x="2069"/>
        <item m="1" x="2457"/>
        <item m="1" x="2844"/>
        <item m="1" x="3231"/>
        <item m="1" x="3608"/>
        <item m="1" x="3983"/>
        <item m="1" x="435"/>
        <item m="1" x="745"/>
        <item m="1" x="1001"/>
        <item m="1" x="1387"/>
        <item m="1" x="1774"/>
        <item m="1" x="2161"/>
        <item m="1" x="2549"/>
        <item m="1" x="2936"/>
        <item m="1" x="3323"/>
        <item m="1" x="3700"/>
        <item m="1" x="155"/>
        <item m="1" x="509"/>
        <item m="1" x="796"/>
        <item m="1" x="1097"/>
        <item m="1" x="1483"/>
        <item m="1" x="1870"/>
        <item m="1" x="2259"/>
        <item m="1" x="2646"/>
        <item m="1" x="3033"/>
        <item m="1" x="3420"/>
        <item m="1" x="3797"/>
        <item m="1" x="252"/>
        <item m="1" x="584"/>
        <item m="1" x="1022"/>
        <item m="1" x="1408"/>
        <item m="1" x="1795"/>
        <item m="1" x="2183"/>
        <item m="1" x="2571"/>
        <item m="1" x="2958"/>
        <item m="1" x="3345"/>
        <item m="1" x="3722"/>
        <item m="1" x="177"/>
        <item m="1" x="528"/>
        <item m="1" x="807"/>
        <item m="1" x="1116"/>
        <item m="1" x="1502"/>
        <item m="1" x="1889"/>
        <item m="1" x="2278"/>
        <item m="1" x="2665"/>
        <item m="1" x="3052"/>
        <item m="1" x="3439"/>
        <item m="1" x="3816"/>
        <item m="1" x="271"/>
        <item m="1" x="603"/>
        <item m="1" x="859"/>
        <item m="1" x="1212"/>
        <item m="1" x="1598"/>
        <item m="1" x="1985"/>
        <item m="1" x="2373"/>
        <item m="1" x="2760"/>
        <item m="1" x="3147"/>
        <item m="1" x="3534"/>
        <item m="1" x="3911"/>
        <item m="1" x="366"/>
        <item m="1" x="1044"/>
        <item m="1" x="1430"/>
        <item m="1" x="1817"/>
        <item m="1" x="2205"/>
        <item m="1" x="2593"/>
        <item m="1" x="2980"/>
        <item m="1" x="3367"/>
        <item m="1" x="3744"/>
        <item m="1" x="199"/>
        <item m="1" x="542"/>
        <item m="1" x="818"/>
        <item m="1" x="1138"/>
        <item m="1" x="1524"/>
        <item m="1" x="1911"/>
        <item m="1" x="2299"/>
        <item m="1" x="2686"/>
        <item m="1" x="3073"/>
        <item m="1" x="3460"/>
        <item m="1" x="3837"/>
        <item m="1" x="292"/>
        <item m="1" x="624"/>
        <item m="1" x="880"/>
        <item m="1" x="1244"/>
        <item m="1" x="1630"/>
        <item m="1" x="2017"/>
        <item m="1" x="2405"/>
        <item m="1" x="2792"/>
        <item m="1" x="3179"/>
        <item m="1" x="1066"/>
        <item m="1" x="1452"/>
        <item m="1" x="1839"/>
        <item m="1" x="2228"/>
        <item m="1" x="2615"/>
        <item m="1" x="3002"/>
        <item m="1" x="3389"/>
        <item m="1" x="3766"/>
        <item m="1" x="221"/>
        <item m="1" x="561"/>
        <item m="1" x="829"/>
        <item m="1" x="1159"/>
        <item m="1" x="1545"/>
        <item m="1" x="1932"/>
        <item m="1" x="2320"/>
        <item m="1" x="2707"/>
        <item m="1" x="3094"/>
        <item m="1" x="3481"/>
        <item m="1" x="3858"/>
        <item m="1" x="313"/>
        <item m="1" x="645"/>
        <item m="1" x="901"/>
        <item m="1" x="1276"/>
        <item m="1" x="1663"/>
        <item m="1" x="2050"/>
        <item m="1" x="2438"/>
        <item m="1" x="2825"/>
        <item m="1" x="3212"/>
        <item m="1" x="3589"/>
        <item m="1" x="3964"/>
        <item m="1" x="419"/>
        <item m="1" x="1089"/>
        <item m="1" x="1475"/>
        <item m="1" x="1862"/>
        <item m="1" x="2251"/>
        <item m="1" x="2638"/>
        <item m="1" x="3025"/>
        <item m="1" x="3412"/>
        <item m="1" x="3789"/>
        <item m="1" x="244"/>
        <item m="1" x="576"/>
        <item m="1" x="840"/>
        <item m="1" x="1180"/>
        <item m="1" x="1566"/>
        <item m="1" x="1953"/>
        <item m="1" x="2341"/>
        <item m="1" x="2728"/>
        <item m="1" x="3115"/>
        <item m="1" x="3502"/>
        <item m="1" x="3879"/>
        <item m="1" x="334"/>
        <item m="1" x="666"/>
        <item m="1" x="922"/>
        <item m="1" x="1308"/>
        <item m="1" x="1695"/>
        <item m="1" x="2082"/>
        <item m="1" x="2470"/>
        <item m="1" x="2857"/>
        <item m="1" x="3244"/>
        <item m="1" x="3621"/>
        <item m="1" x="3996"/>
        <item m="1" x="1111"/>
        <item m="1" x="1497"/>
        <item m="1" x="1884"/>
        <item m="1" x="2273"/>
        <item m="1" x="2660"/>
        <item m="1" x="3047"/>
        <item m="1" x="3434"/>
        <item m="1" x="3811"/>
        <item m="1" x="266"/>
        <item m="1" x="598"/>
        <item m="1" x="854"/>
        <item m="1" x="1205"/>
        <item m="1" x="1591"/>
        <item m="1" x="1978"/>
        <item m="1" x="2366"/>
        <item m="1" x="2753"/>
        <item m="1" x="3140"/>
        <item m="1" x="3527"/>
        <item m="1" x="3904"/>
        <item m="1" x="359"/>
        <item m="1" x="688"/>
        <item m="1" x="944"/>
        <item m="1" x="1330"/>
        <item m="1" x="1717"/>
        <item m="1" x="2104"/>
        <item m="1" x="2492"/>
        <item m="1" x="2879"/>
        <item m="1" x="3266"/>
        <item m="1" x="3643"/>
        <item m="1" x="98"/>
        <item m="1" x="462"/>
        <item m="1" x="1133"/>
        <item m="1" x="1519"/>
        <item m="1" x="1906"/>
        <item m="1" x="2294"/>
        <item m="1" x="2681"/>
        <item m="1" x="3068"/>
        <item m="1" x="3455"/>
        <item m="1" x="3832"/>
        <item m="1" x="287"/>
        <item m="1" x="619"/>
        <item m="1" x="875"/>
        <item m="1" x="1237"/>
        <item m="1" x="1623"/>
        <item m="1" x="2010"/>
        <item m="1" x="2398"/>
        <item m="1" x="2785"/>
        <item m="1" x="3172"/>
        <item m="1" x="3556"/>
        <item m="1" x="3933"/>
        <item m="1" x="388"/>
        <item m="1" x="709"/>
        <item m="1" x="965"/>
        <item m="1" x="1351"/>
        <item m="1" x="1738"/>
        <item m="1" x="2125"/>
        <item m="1" x="2513"/>
        <item m="1" x="2900"/>
        <item m="1" x="3287"/>
        <item m="1" x="3664"/>
        <item m="1" x="119"/>
        <item m="1" x="1154"/>
        <item m="1" x="1540"/>
        <item m="1" x="1927"/>
        <item m="1" x="2315"/>
        <item m="1" x="2702"/>
        <item m="1" x="3089"/>
        <item m="1" x="3476"/>
        <item m="1" x="3853"/>
        <item m="1" x="308"/>
        <item m="1" x="640"/>
        <item m="1" x="896"/>
        <item m="1" x="1269"/>
        <item m="1" x="1656"/>
        <item m="1" x="2043"/>
        <item m="1" x="2431"/>
        <item m="1" x="2818"/>
        <item m="1" x="3205"/>
        <item m="1" x="3582"/>
        <item m="1" x="3957"/>
        <item m="1" x="412"/>
        <item m="1" x="730"/>
        <item m="1" x="986"/>
        <item m="1" x="1372"/>
        <item m="1" x="1759"/>
        <item m="1" x="2146"/>
        <item m="1" x="2534"/>
        <item m="1" x="2921"/>
        <item m="1" x="3308"/>
        <item m="1" x="3685"/>
        <item m="1" x="140"/>
        <item m="1" x="494"/>
        <item m="1" x="1175"/>
        <item m="1" x="1561"/>
        <item m="1" x="1948"/>
        <item m="1" x="2336"/>
        <item m="1" x="2723"/>
        <item m="1" x="3110"/>
        <item m="1" x="3497"/>
        <item m="1" x="3874"/>
        <item m="1" x="329"/>
        <item m="1" x="661"/>
        <item m="1" x="917"/>
        <item m="1" x="1301"/>
        <item m="1" x="1688"/>
        <item m="1" x="2075"/>
        <item m="1" x="2463"/>
        <item m="1" x="2850"/>
        <item m="1" x="3237"/>
        <item m="1" x="3614"/>
        <item m="1" x="3989"/>
        <item m="1" x="441"/>
        <item m="1" x="751"/>
        <item m="1" x="1007"/>
        <item m="1" x="1393"/>
        <item m="1" x="1780"/>
        <item m="1" x="2168"/>
        <item m="1" x="2556"/>
        <item m="1" x="2943"/>
        <item m="1" x="3330"/>
        <item m="1" x="3707"/>
        <item m="1" x="162"/>
        <item m="1" x="516"/>
        <item m="1" x="1200"/>
        <item m="1" x="1586"/>
        <item m="1" x="1973"/>
        <item m="1" x="2361"/>
        <item m="1" x="2748"/>
        <item m="1" x="3135"/>
        <item m="1" x="3522"/>
        <item m="1" x="3899"/>
        <item m="1" x="354"/>
        <item m="1" x="683"/>
        <item m="1" x="939"/>
        <item m="1" x="1325"/>
        <item m="1" x="1712"/>
        <item m="1" x="2099"/>
        <item m="1" x="2487"/>
        <item m="1" x="2874"/>
        <item m="1" x="3261"/>
        <item m="1" x="3638"/>
        <item m="1" x="93"/>
        <item m="1" x="457"/>
        <item m="1" x="764"/>
        <item m="1" x="1031"/>
        <item m="1" x="1417"/>
        <item m="1" x="1804"/>
        <item m="1" x="2192"/>
        <item m="1" x="2580"/>
        <item m="1" x="2967"/>
        <item m="1" x="3354"/>
        <item m="1" x="3731"/>
        <item m="1" x="186"/>
        <item m="1" x="1232"/>
        <item m="1" x="1618"/>
        <item m="1" x="2005"/>
        <item m="1" x="2393"/>
        <item m="1" x="2780"/>
        <item m="1" x="3167"/>
        <item m="1" x="3551"/>
        <item m="1" x="3928"/>
        <item m="1" x="383"/>
        <item m="1" x="704"/>
        <item m="1" x="960"/>
        <item m="1" x="1346"/>
        <item m="1" x="1733"/>
        <item m="1" x="2120"/>
        <item m="1" x="2508"/>
        <item m="1" x="2895"/>
        <item m="1" x="3282"/>
        <item m="1" x="3659"/>
        <item m="1" x="114"/>
        <item m="1" x="475"/>
        <item m="1" x="775"/>
        <item m="1" x="1053"/>
        <item m="1" x="1439"/>
        <item m="1" x="1826"/>
        <item m="1" x="2215"/>
        <item m="1" x="2603"/>
        <item m="1" x="2990"/>
        <item m="1" x="3377"/>
        <item m="1" x="3754"/>
        <item m="1" x="209"/>
        <item m="1" x="552"/>
        <item m="1" x="1264"/>
        <item m="1" x="1651"/>
        <item m="1" x="2038"/>
        <item m="1" x="2426"/>
        <item m="1" x="2813"/>
        <item m="1" x="3200"/>
        <item m="1" x="3577"/>
        <item m="1" x="3952"/>
        <item m="1" x="407"/>
        <item m="1" x="725"/>
        <item m="1" x="981"/>
        <item m="1" x="1367"/>
        <item m="1" x="1754"/>
        <item m="1" x="2141"/>
        <item m="1" x="2529"/>
        <item m="1" x="2916"/>
        <item m="1" x="3303"/>
        <item m="1" x="3680"/>
        <item m="1" x="135"/>
        <item m="1" x="489"/>
        <item m="1" x="786"/>
        <item m="1" x="1076"/>
        <item m="1" x="1462"/>
        <item m="1" x="1849"/>
        <item m="1" x="2238"/>
        <item m="1" x="2625"/>
        <item m="1" x="3012"/>
        <item m="1" x="3399"/>
        <item m="1" x="3776"/>
        <item m="1" x="231"/>
        <item m="1" x="1296"/>
        <item m="1" x="1683"/>
        <item m="1" x="2070"/>
        <item m="1" x="2458"/>
        <item m="1" x="2845"/>
        <item m="1" x="3232"/>
        <item m="1" x="3609"/>
        <item m="1" x="3984"/>
        <item m="1" x="436"/>
        <item m="1" x="746"/>
        <item m="1" x="1002"/>
        <item m="1" x="1388"/>
        <item m="1" x="1775"/>
        <item m="1" x="2162"/>
        <item m="1" x="2550"/>
        <item m="1" x="2937"/>
        <item m="1" x="3324"/>
        <item m="1" x="3701"/>
        <item m="1" x="156"/>
        <item m="1" x="510"/>
        <item m="1" x="797"/>
        <item m="1" x="1098"/>
        <item m="1" x="1484"/>
        <item m="1" x="1871"/>
        <item m="1" x="2260"/>
        <item m="1" x="2647"/>
        <item m="1" x="3034"/>
        <item m="1" x="3421"/>
        <item m="1" x="3798"/>
        <item m="1" x="253"/>
        <item m="1" x="585"/>
        <item m="1" x="1023"/>
        <item m="1" x="1409"/>
        <item m="1" x="1796"/>
        <item m="1" x="2184"/>
        <item m="1" x="2572"/>
        <item m="1" x="2959"/>
        <item m="1" x="3346"/>
        <item m="1" x="3723"/>
        <item m="1" x="178"/>
        <item m="1" x="529"/>
        <item m="1" x="808"/>
        <item m="1" x="1118"/>
        <item m="1" x="1504"/>
        <item m="1" x="1891"/>
        <item m="1" x="2280"/>
        <item m="1" x="2667"/>
        <item m="1" x="3054"/>
        <item m="1" x="3441"/>
        <item m="1" x="3818"/>
        <item m="1" x="273"/>
        <item m="1" x="605"/>
        <item m="1" x="861"/>
        <item m="1" x="1214"/>
        <item m="1" x="1600"/>
        <item m="1" x="1987"/>
        <item m="1" x="2375"/>
        <item m="1" x="2762"/>
        <item m="1" x="3149"/>
        <item m="1" x="3536"/>
        <item m="1" x="3913"/>
        <item m="1" x="368"/>
        <item m="1" x="1045"/>
        <item m="1" x="1431"/>
        <item m="1" x="1818"/>
        <item m="1" x="2206"/>
        <item m="1" x="2594"/>
        <item m="1" x="2981"/>
        <item m="1" x="3368"/>
        <item m="1" x="3745"/>
        <item m="1" x="200"/>
        <item m="1" x="543"/>
        <item m="1" x="819"/>
        <item m="1" x="1140"/>
        <item m="1" x="1526"/>
        <item m="1" x="1913"/>
        <item m="1" x="2301"/>
        <item m="1" x="2688"/>
        <item m="1" x="3075"/>
        <item m="1" x="3462"/>
        <item m="1" x="3839"/>
        <item m="1" x="294"/>
        <item m="1" x="626"/>
        <item m="1" x="882"/>
        <item m="1" x="1246"/>
        <item m="1" x="1632"/>
        <item m="1" x="2019"/>
        <item m="1" x="2407"/>
        <item m="1" x="2794"/>
        <item m="1" x="3181"/>
        <item m="1" x="1067"/>
        <item m="1" x="1453"/>
        <item m="1" x="1840"/>
        <item m="1" x="2229"/>
        <item m="1" x="2616"/>
        <item m="1" x="3003"/>
        <item m="1" x="3390"/>
        <item m="1" x="3767"/>
        <item m="1" x="222"/>
        <item m="1" x="562"/>
        <item m="1" x="2207"/>
        <item m="1" x="2595"/>
        <item m="1" x="2982"/>
        <item m="1" x="3369"/>
        <item m="1" x="3746"/>
        <item m="1" x="201"/>
        <item m="1" x="544"/>
        <item m="1" x="820"/>
        <item m="1" x="1142"/>
        <item m="1" x="1528"/>
        <item m="1" x="1915"/>
        <item m="1" x="2303"/>
        <item m="1" x="2690"/>
        <item m="1" x="3077"/>
        <item m="1" x="3464"/>
        <item m="1" x="3841"/>
        <item m="1" x="296"/>
        <item m="1" x="628"/>
        <item m="1" x="884"/>
        <item m="1" x="1248"/>
        <item m="1" x="1634"/>
        <item m="1" x="2021"/>
        <item m="1" x="2409"/>
        <item m="1" x="2796"/>
        <item m="1" x="3183"/>
        <item m="1" x="1068"/>
        <item m="1" x="1454"/>
        <item m="1" x="1841"/>
        <item m="1" x="2230"/>
        <item m="1" x="2617"/>
        <item m="1" x="3004"/>
        <item m="1" x="3391"/>
        <item m="1" x="3768"/>
        <item m="1" x="223"/>
        <item m="1" x="563"/>
        <item m="1" x="830"/>
        <item m="1" x="1162"/>
        <item m="1" x="1548"/>
        <item m="1" x="1935"/>
        <item m="1" x="2323"/>
        <item m="1" x="2710"/>
        <item m="1" x="3097"/>
        <item m="1" x="3484"/>
        <item m="1" x="3861"/>
        <item m="1" x="316"/>
        <item m="1" x="648"/>
        <item m="1" x="904"/>
        <item m="1" x="1279"/>
        <item m="1" x="1666"/>
        <item m="1" x="2053"/>
        <item m="1" x="2441"/>
        <item m="1" x="2828"/>
        <item m="1" x="3215"/>
        <item m="1" x="3592"/>
        <item m="1" x="3967"/>
        <item m="1" x="422"/>
        <item m="1" x="1090"/>
        <item m="1" x="1476"/>
        <item m="1" x="1863"/>
        <item m="1" x="2252"/>
        <item m="1" x="2639"/>
        <item m="1" x="3026"/>
        <item m="1" x="3413"/>
        <item m="1" x="3790"/>
        <item m="1" x="245"/>
        <item m="1" x="577"/>
        <item m="1" x="841"/>
        <item m="1" x="1183"/>
        <item m="1" x="1569"/>
        <item m="1" x="1956"/>
        <item m="1" x="2344"/>
        <item m="1" x="2731"/>
        <item m="1" x="3118"/>
        <item m="1" x="3505"/>
        <item m="1" x="3882"/>
        <item m="1" x="337"/>
        <item m="1" x="669"/>
        <item m="1" x="925"/>
        <item m="1" x="1311"/>
        <item m="1" x="1698"/>
        <item m="1" x="2085"/>
        <item m="1" x="2473"/>
        <item m="1" x="2860"/>
        <item m="1" x="3247"/>
        <item m="1" x="3624"/>
        <item m="1" x="3999"/>
        <item m="1" x="1115"/>
        <item m="1" x="1501"/>
        <item m="1" x="1888"/>
        <item m="1" x="2277"/>
        <item m="1" x="2664"/>
        <item m="1" x="3051"/>
        <item m="1" x="3438"/>
        <item m="1" x="3815"/>
        <item m="1" x="270"/>
        <item m="1" x="602"/>
        <item m="1" x="858"/>
        <item m="1" x="1211"/>
        <item m="1" x="1597"/>
        <item m="1" x="1984"/>
        <item m="1" x="2372"/>
        <item m="1" x="2759"/>
        <item m="1" x="3146"/>
        <item m="1" x="3533"/>
        <item m="1" x="3910"/>
        <item m="1" x="365"/>
        <item m="1" x="691"/>
        <item m="1" x="947"/>
        <item m="1" x="1333"/>
        <item m="1" x="1720"/>
        <item m="1" x="2107"/>
        <item m="1" x="2495"/>
        <item m="1" x="2882"/>
        <item m="1" x="3269"/>
        <item m="1" x="3646"/>
        <item m="1" x="101"/>
        <item m="1" x="465"/>
        <item m="1" x="1137"/>
        <item m="1" x="1523"/>
        <item m="1" x="1910"/>
        <item m="1" x="2298"/>
        <item m="1" x="2685"/>
        <item m="1" x="3072"/>
        <item m="1" x="3459"/>
        <item m="1" x="3836"/>
        <item m="1" x="291"/>
        <item m="1" x="623"/>
        <item m="1" x="879"/>
        <item m="1" x="1243"/>
        <item m="1" x="1629"/>
        <item m="1" x="2016"/>
        <item m="1" x="2404"/>
        <item m="1" x="2791"/>
        <item m="1" x="3178"/>
        <item m="1" x="3560"/>
        <item m="1" x="3936"/>
        <item m="1" x="391"/>
        <item m="1" x="712"/>
        <item m="1" x="968"/>
        <item m="1" x="1354"/>
        <item m="1" x="1741"/>
        <item m="1" x="2128"/>
        <item m="1" x="2516"/>
        <item m="1" x="2903"/>
        <item m="1" x="3290"/>
        <item m="1" x="3667"/>
        <item m="1" x="122"/>
        <item m="1" x="1158"/>
        <item m="1" x="1544"/>
        <item m="1" x="1931"/>
        <item m="1" x="2319"/>
        <item m="1" x="2706"/>
        <item m="1" x="3093"/>
        <item m="1" x="3480"/>
        <item m="1" x="3857"/>
        <item m="1" x="312"/>
        <item m="1" x="644"/>
        <item m="1" x="900"/>
        <item m="1" x="1275"/>
        <item m="1" x="1662"/>
        <item m="1" x="2049"/>
        <item m="1" x="2437"/>
        <item m="1" x="2824"/>
        <item m="1" x="3211"/>
        <item m="1" x="3588"/>
        <item m="1" x="3963"/>
        <item m="1" x="418"/>
        <item m="1" x="733"/>
        <item m="1" x="989"/>
        <item m="1" x="1375"/>
        <item m="1" x="1762"/>
        <item m="1" x="2149"/>
        <item m="1" x="2537"/>
        <item m="1" x="2924"/>
        <item m="1" x="3311"/>
        <item m="1" x="3688"/>
        <item m="1" x="143"/>
        <item m="1" x="497"/>
        <item m="1" x="1179"/>
        <item m="1" x="1565"/>
        <item m="1" x="1952"/>
        <item m="1" x="2340"/>
        <item m="1" x="2727"/>
        <item m="1" x="3114"/>
        <item m="1" x="3501"/>
        <item m="1" x="3878"/>
        <item m="1" x="333"/>
        <item m="1" x="665"/>
        <item m="1" x="921"/>
        <item m="1" x="1307"/>
        <item m="1" x="1694"/>
        <item m="1" x="2081"/>
        <item m="1" x="2469"/>
        <item m="1" x="2856"/>
        <item m="1" x="3243"/>
        <item m="1" x="3620"/>
        <item m="1" x="3995"/>
        <item m="1" x="444"/>
        <item m="1" x="754"/>
        <item m="1" x="1010"/>
        <item m="1" x="1396"/>
        <item m="1" x="1783"/>
        <item m="1" x="2171"/>
        <item m="1" x="2559"/>
        <item m="1" x="2946"/>
        <item m="1" x="3333"/>
        <item m="1" x="3710"/>
        <item m="1" x="165"/>
        <item m="1" x="519"/>
        <item m="1" x="1204"/>
        <item m="1" x="1590"/>
        <item m="1" x="1977"/>
        <item m="1" x="2365"/>
        <item m="1" x="2752"/>
        <item m="1" x="3139"/>
        <item m="1" x="3526"/>
        <item m="1" x="3903"/>
        <item m="1" x="358"/>
        <item m="1" x="687"/>
        <item m="1" x="943"/>
        <item m="1" x="1329"/>
        <item m="1" x="1716"/>
        <item m="1" x="2103"/>
        <item m="1" x="2491"/>
        <item m="1" x="2878"/>
        <item m="1" x="3265"/>
        <item m="1" x="3642"/>
        <item m="1" x="97"/>
        <item m="1" x="461"/>
        <item m="1" x="765"/>
        <item m="1" x="1032"/>
        <item m="1" x="1418"/>
        <item m="1" x="1805"/>
        <item m="1" x="2193"/>
        <item m="1" x="2581"/>
        <item m="1" x="2968"/>
        <item m="1" x="3355"/>
        <item m="1" x="3732"/>
        <item m="1" x="187"/>
        <item m="1" x="1236"/>
        <item m="1" x="1622"/>
        <item m="1" x="2009"/>
        <item m="1" x="2397"/>
        <item m="1" x="2784"/>
        <item m="1" x="3171"/>
        <item m="1" x="3555"/>
        <item m="1" x="3932"/>
        <item m="1" x="387"/>
        <item m="1" x="708"/>
        <item m="1" x="964"/>
        <item m="1" x="1350"/>
        <item m="1" x="1737"/>
        <item m="1" x="2124"/>
        <item m="1" x="2512"/>
        <item m="1" x="2899"/>
        <item m="1" x="3286"/>
        <item m="1" x="3663"/>
        <item m="1" x="118"/>
        <item m="1" x="476"/>
        <item m="1" x="776"/>
        <item m="1" x="1054"/>
        <item m="1" x="1440"/>
        <item m="1" x="1827"/>
        <item m="1" x="2216"/>
        <item m="1" x="2604"/>
        <item m="1" x="2991"/>
        <item m="1" x="3378"/>
        <item m="1" x="3755"/>
        <item m="1" x="210"/>
        <item m="1" x="553"/>
        <item m="1" x="1268"/>
        <item m="1" x="1655"/>
        <item m="1" x="2042"/>
        <item m="1" x="2430"/>
        <item m="1" x="2817"/>
        <item m="1" x="3204"/>
        <item m="1" x="3581"/>
        <item m="1" x="3956"/>
        <item m="1" x="411"/>
        <item m="1" x="729"/>
        <item m="1" x="985"/>
        <item m="1" x="1371"/>
        <item m="1" x="1758"/>
        <item m="1" x="2145"/>
        <item m="1" x="2533"/>
        <item m="1" x="2920"/>
        <item m="1" x="3307"/>
        <item m="1" x="3684"/>
        <item m="1" x="139"/>
        <item m="1" x="493"/>
        <item m="1" x="787"/>
        <item m="1" x="1077"/>
        <item m="1" x="1463"/>
        <item m="1" x="1850"/>
        <item m="1" x="2239"/>
        <item m="1" x="2626"/>
        <item m="1" x="3013"/>
        <item m="1" x="3400"/>
        <item m="1" x="3777"/>
        <item m="1" x="232"/>
        <item m="1" x="1300"/>
        <item m="1" x="1687"/>
        <item m="1" x="2074"/>
        <item m="1" x="2462"/>
        <item m="1" x="2849"/>
        <item m="1" x="3236"/>
        <item m="1" x="3613"/>
        <item m="1" x="3988"/>
        <item m="1" x="440"/>
        <item m="1" x="750"/>
        <item m="1" x="1006"/>
        <item m="1" x="1392"/>
        <item m="1" x="1779"/>
        <item m="1" x="2167"/>
        <item m="1" x="2555"/>
        <item m="1" x="2942"/>
        <item m="1" x="3329"/>
        <item m="1" x="3706"/>
        <item m="1" x="161"/>
        <item m="1" x="515"/>
        <item m="1" x="798"/>
        <item m="1" x="1099"/>
        <item m="1" x="1485"/>
        <item m="1" x="1872"/>
        <item m="1" x="2261"/>
        <item m="1" x="2648"/>
        <item m="1" x="3035"/>
        <item m="1" x="3422"/>
        <item m="1" x="3799"/>
        <item m="1" x="254"/>
        <item m="1" x="586"/>
        <item m="1" x="1024"/>
        <item m="1" x="1410"/>
        <item m="1" x="1797"/>
        <item m="1" x="2185"/>
        <item m="1" x="2573"/>
        <item m="1" x="2960"/>
        <item m="1" x="3347"/>
        <item m="1" x="3724"/>
        <item m="1" x="179"/>
        <item m="1" x="530"/>
        <item m="1" x="809"/>
        <item m="1" x="1121"/>
        <item m="1" x="1507"/>
        <item m="1" x="1894"/>
        <item m="1" x="2282"/>
        <item m="1" x="2669"/>
        <item m="1" x="3056"/>
        <item m="1" x="3443"/>
        <item m="1" x="3820"/>
        <item m="1" x="275"/>
        <item m="1" x="607"/>
        <item m="1" x="863"/>
        <item m="1" x="1216"/>
        <item m="1" x="1602"/>
        <item m="1" x="1989"/>
        <item m="1" x="2377"/>
        <item m="1" x="2764"/>
        <item m="1" x="3151"/>
        <item m="1" x="3538"/>
        <item m="1" x="3915"/>
        <item m="1" x="370"/>
        <item m="1" x="1046"/>
        <item m="1" x="1432"/>
        <item m="1" x="1819"/>
        <item m="1" x="2208"/>
        <item m="1" x="2596"/>
        <item m="1" x="2983"/>
        <item m="1" x="3370"/>
        <item m="1" x="3747"/>
        <item m="1" x="202"/>
        <item m="1" x="545"/>
        <item m="1" x="821"/>
        <item m="1" x="1143"/>
        <item m="1" x="1529"/>
        <item m="1" x="1916"/>
        <item m="1" x="2304"/>
        <item m="1" x="2691"/>
        <item m="1" x="3078"/>
        <item m="1" x="3465"/>
        <item m="1" x="3842"/>
        <item m="1" x="297"/>
        <item m="1" x="629"/>
        <item m="1" x="885"/>
        <item m="1" x="1249"/>
        <item m="1" x="1635"/>
        <item m="1" x="2022"/>
        <item m="1" x="2410"/>
        <item m="1" x="2797"/>
        <item m="1" x="3184"/>
        <item m="1" x="1069"/>
        <item m="1" x="1455"/>
        <item m="1" x="1842"/>
        <item m="1" x="2231"/>
        <item m="1" x="2618"/>
        <item m="1" x="3005"/>
        <item m="1" x="3392"/>
        <item m="1" x="3769"/>
        <item m="1" x="224"/>
        <item m="1" x="564"/>
        <item m="1" x="831"/>
        <item m="1" x="1163"/>
        <item m="1" x="1549"/>
        <item m="1" x="1936"/>
        <item m="1" x="2324"/>
        <item m="1" x="2711"/>
        <item m="1" x="3098"/>
        <item m="1" x="3485"/>
        <item m="1" x="3862"/>
        <item m="1" x="317"/>
        <item m="1" x="649"/>
        <item m="1" x="905"/>
        <item m="1" x="1280"/>
        <item m="1" x="1667"/>
        <item m="1" x="2054"/>
        <item m="1" x="2442"/>
        <item m="1" x="2829"/>
        <item m="1" x="3216"/>
        <item m="1" x="3593"/>
        <item m="1" x="3968"/>
        <item m="1" x="423"/>
        <item m="1" x="1091"/>
        <item m="1" x="1477"/>
        <item m="1" x="1864"/>
        <item m="1" x="2253"/>
        <item m="1" x="2640"/>
        <item m="1" x="3027"/>
        <item m="1" x="3414"/>
        <item m="1" x="3791"/>
        <item m="1" x="246"/>
        <item m="1" x="578"/>
        <item m="1" x="842"/>
        <item m="1" x="1184"/>
        <item m="1" x="1570"/>
        <item m="1" x="1957"/>
        <item m="1" x="2345"/>
        <item m="1" x="2732"/>
        <item m="1" x="3119"/>
        <item m="1" x="3506"/>
        <item m="1" x="3883"/>
        <item m="1" x="338"/>
        <item m="1" x="670"/>
        <item m="1" x="926"/>
        <item m="1" x="1312"/>
        <item m="1" x="1699"/>
        <item m="1" x="2086"/>
        <item m="1" x="2474"/>
        <item m="1" x="2861"/>
        <item m="1" x="3248"/>
        <item m="1" x="3625"/>
        <item m="1" x="4000"/>
        <item m="1" x="1117"/>
        <item m="1" x="1503"/>
        <item m="1" x="1890"/>
        <item m="1" x="2279"/>
        <item m="1" x="2666"/>
        <item m="1" x="3053"/>
        <item m="1" x="3440"/>
        <item m="1" x="3817"/>
        <item m="1" x="272"/>
        <item m="1" x="604"/>
        <item m="1" x="860"/>
        <item m="1" x="1213"/>
        <item m="1" x="1599"/>
        <item m="1" x="1986"/>
        <item m="1" x="2374"/>
        <item m="1" x="2761"/>
        <item m="1" x="3148"/>
        <item m="1" x="3535"/>
        <item m="1" x="3912"/>
        <item m="1" x="367"/>
        <item m="1" x="692"/>
        <item m="1" x="948"/>
        <item m="1" x="1334"/>
        <item m="1" x="1721"/>
        <item m="1" x="2108"/>
        <item m="1" x="2496"/>
        <item m="1" x="2883"/>
        <item m="1" x="3270"/>
        <item m="1" x="3647"/>
        <item m="1" x="102"/>
        <item m="1" x="466"/>
        <item m="1" x="1139"/>
        <item m="1" x="1525"/>
        <item m="1" x="1912"/>
        <item m="1" x="2300"/>
        <item m="1" x="2687"/>
        <item m="1" x="3074"/>
        <item m="1" x="3461"/>
        <item m="1" x="3838"/>
        <item m="1" x="293"/>
        <item m="1" x="625"/>
        <item m="1" x="881"/>
        <item m="1" x="1245"/>
        <item m="1" x="1631"/>
        <item m="1" x="2018"/>
        <item m="1" x="2406"/>
        <item m="1" x="2793"/>
        <item m="1" x="3180"/>
        <item m="1" x="3561"/>
        <item m="1" x="3937"/>
        <item m="1" x="392"/>
        <item m="1" x="713"/>
        <item m="1" x="969"/>
        <item m="1" x="1355"/>
        <item m="1" x="1742"/>
        <item m="1" x="2129"/>
        <item m="1" x="2517"/>
        <item m="1" x="2904"/>
        <item m="1" x="3291"/>
        <item m="1" x="3668"/>
        <item m="1" x="123"/>
        <item m="1" x="1160"/>
        <item m="1" x="1546"/>
        <item m="1" x="1933"/>
        <item m="1" x="2321"/>
        <item m="1" x="2708"/>
        <item m="1" x="3095"/>
        <item m="1" x="3482"/>
        <item m="1" x="3859"/>
        <item m="1" x="314"/>
        <item m="1" x="646"/>
        <item m="1" x="902"/>
        <item m="1" x="1277"/>
        <item m="1" x="1664"/>
        <item m="1" x="2051"/>
        <item m="1" x="2439"/>
        <item m="1" x="2826"/>
        <item m="1" x="3213"/>
        <item m="1" x="3590"/>
        <item m="1" x="3965"/>
        <item m="1" x="420"/>
        <item m="1" x="734"/>
        <item m="1" x="990"/>
        <item m="1" x="1376"/>
        <item m="1" x="1763"/>
        <item m="1" x="2150"/>
        <item m="1" x="2538"/>
        <item m="1" x="2925"/>
        <item m="1" x="3312"/>
        <item m="1" x="3689"/>
        <item m="1" x="144"/>
        <item m="1" x="498"/>
        <item m="1" x="1181"/>
        <item m="1" x="1567"/>
        <item m="1" x="1954"/>
        <item m="1" x="2342"/>
        <item m="1" x="2729"/>
        <item m="1" x="3116"/>
        <item m="1" x="3503"/>
        <item m="1" x="3880"/>
        <item m="1" x="335"/>
        <item m="1" x="667"/>
        <item m="1" x="923"/>
        <item m="1" x="1309"/>
        <item m="1" x="1696"/>
        <item m="1" x="2083"/>
        <item m="1" x="2471"/>
        <item m="1" x="2858"/>
        <item m="1" x="3245"/>
        <item m="1" x="3622"/>
        <item m="1" x="3997"/>
        <item m="1" x="445"/>
        <item m="1" x="755"/>
        <item m="1" x="1011"/>
        <item m="1" x="1397"/>
        <item m="1" x="1784"/>
        <item m="1" x="2172"/>
        <item m="1" x="2560"/>
        <item m="1" x="2947"/>
        <item m="1" x="3334"/>
        <item m="1" x="3711"/>
        <item m="1" x="166"/>
        <item m="1" x="520"/>
        <item m="1" x="1206"/>
        <item m="1" x="1592"/>
        <item m="1" x="1979"/>
        <item m="1" x="2367"/>
        <item m="1" x="2754"/>
        <item m="1" x="3141"/>
        <item m="1" x="3528"/>
        <item m="1" x="3905"/>
        <item m="1" x="360"/>
        <item m="1" x="689"/>
        <item m="1" x="945"/>
        <item m="1" x="1331"/>
        <item m="1" x="1718"/>
        <item m="1" x="2105"/>
        <item m="1" x="2493"/>
        <item m="1" x="2880"/>
        <item m="1" x="3267"/>
        <item m="1" x="3644"/>
        <item m="1" x="99"/>
        <item m="1" x="463"/>
        <item m="1" x="766"/>
        <item m="1" x="1033"/>
        <item m="1" x="1419"/>
        <item m="1" x="1806"/>
        <item m="1" x="2194"/>
        <item m="1" x="2582"/>
        <item m="1" x="2969"/>
        <item m="1" x="3356"/>
        <item m="1" x="3733"/>
        <item m="1" x="188"/>
        <item m="1" x="1238"/>
        <item m="1" x="1624"/>
        <item m="1" x="2011"/>
        <item m="1" x="2399"/>
        <item m="1" x="2786"/>
        <item m="1" x="3173"/>
        <item m="1" x="3557"/>
        <item m="1" x="3934"/>
        <item m="1" x="389"/>
        <item m="1" x="710"/>
        <item m="1" x="966"/>
        <item m="1" x="1352"/>
        <item m="1" x="1739"/>
        <item m="1" x="2126"/>
        <item m="1" x="2514"/>
        <item m="1" x="2901"/>
        <item m="1" x="3288"/>
        <item m="1" x="3665"/>
        <item m="1" x="120"/>
        <item m="1" x="477"/>
        <item m="1" x="777"/>
        <item m="1" x="1055"/>
        <item m="1" x="1441"/>
        <item m="1" x="1828"/>
        <item m="1" x="2217"/>
        <item m="1" x="2605"/>
        <item m="1" x="2992"/>
        <item m="1" x="3379"/>
        <item m="1" x="3756"/>
        <item m="1" x="211"/>
        <item m="1" x="554"/>
        <item m="1" x="1270"/>
        <item m="1" x="1657"/>
        <item m="1" x="2044"/>
        <item m="1" x="2432"/>
        <item m="1" x="2819"/>
        <item m="1" x="3206"/>
        <item m="1" x="3583"/>
        <item m="1" x="3958"/>
        <item m="1" x="413"/>
        <item m="1" x="731"/>
        <item m="1" x="987"/>
        <item m="1" x="1373"/>
        <item m="1" x="1760"/>
        <item m="1" x="2147"/>
        <item m="1" x="2535"/>
        <item m="1" x="2922"/>
        <item m="1" x="3309"/>
        <item m="1" x="3686"/>
        <item m="1" x="141"/>
        <item m="1" x="495"/>
        <item m="1" x="788"/>
        <item m="1" x="1078"/>
        <item m="1" x="1464"/>
        <item m="1" x="1851"/>
        <item m="1" x="2240"/>
        <item m="1" x="2627"/>
        <item m="1" x="3014"/>
        <item m="1" x="3401"/>
        <item m="1" x="3778"/>
        <item m="1" x="233"/>
        <item m="1" x="1302"/>
        <item m="1" x="1689"/>
        <item m="1" x="2076"/>
        <item m="1" x="2464"/>
        <item m="1" x="2851"/>
        <item m="1" x="3238"/>
        <item m="1" x="3615"/>
        <item m="1" x="3990"/>
        <item m="1" x="442"/>
        <item m="1" x="752"/>
        <item m="1" x="1008"/>
        <item m="1" x="1394"/>
        <item m="1" x="1781"/>
        <item m="1" x="2169"/>
        <item m="1" x="2557"/>
        <item m="1" x="2944"/>
        <item m="1" x="3331"/>
        <item m="1" x="3708"/>
        <item m="1" x="163"/>
        <item m="1" x="517"/>
        <item m="1" x="799"/>
        <item m="1" x="1100"/>
        <item m="1" x="1486"/>
        <item m="1" x="1873"/>
        <item m="1" x="2262"/>
        <item m="1" x="2649"/>
        <item m="1" x="3036"/>
        <item m="1" x="3423"/>
        <item m="1" x="3800"/>
        <item m="1" x="255"/>
        <item m="1" x="587"/>
        <item m="1" x="1026"/>
        <item m="1" x="1412"/>
        <item m="1" x="1799"/>
        <item m="1" x="2187"/>
        <item m="1" x="2575"/>
        <item m="1" x="2962"/>
        <item m="1" x="3349"/>
        <item m="1" x="3726"/>
        <item m="1" x="181"/>
        <item m="1" x="531"/>
        <item m="1" x="810"/>
        <item m="1" x="1122"/>
        <item m="1" x="1508"/>
        <item m="1" x="1895"/>
        <item m="1" x="2283"/>
        <item m="1" x="2670"/>
        <item m="1" x="3057"/>
        <item m="1" x="3444"/>
        <item m="1" x="3821"/>
        <item m="1" x="276"/>
        <item m="1" x="608"/>
        <item m="1" x="864"/>
        <item m="1" x="1217"/>
        <item m="1" x="1603"/>
        <item m="1" x="1990"/>
        <item m="1" x="2378"/>
        <item m="1" x="2765"/>
        <item m="1" x="3152"/>
        <item m="1" x="3539"/>
        <item m="1" x="3916"/>
        <item m="1" x="371"/>
        <item m="1" x="1048"/>
        <item m="1" x="1434"/>
        <item m="1" x="1821"/>
        <item m="1" x="2210"/>
        <item m="1" x="2598"/>
        <item m="1" x="2985"/>
        <item m="1" x="3372"/>
        <item m="1" x="3749"/>
        <item m="1" x="204"/>
        <item m="1" x="547"/>
        <item m="1" x="822"/>
        <item m="1" x="1144"/>
        <item m="1" x="1530"/>
        <item m="1" x="1917"/>
        <item m="1" x="2305"/>
        <item m="1" x="2692"/>
        <item m="1" x="3079"/>
        <item m="1" x="3466"/>
        <item m="1" x="3843"/>
        <item m="1" x="298"/>
        <item m="1" x="630"/>
        <item m="1" x="886"/>
        <item m="1" x="1250"/>
        <item m="1" x="1636"/>
        <item m="1" x="2023"/>
        <item m="1" x="2411"/>
        <item m="1" x="2798"/>
        <item m="1" x="3185"/>
        <item m="1" x="3563"/>
        <item m="1" x="1071"/>
        <item m="1" x="1457"/>
        <item m="1" x="1844"/>
        <item m="1" x="2233"/>
        <item m="1" x="2620"/>
        <item m="1" x="3007"/>
        <item m="1" x="3394"/>
        <item m="1" x="3771"/>
        <item m="1" x="226"/>
        <item m="1" x="565"/>
        <item m="1" x="832"/>
        <item m="1" x="1164"/>
        <item m="1" x="1550"/>
        <item m="1" x="1937"/>
        <item m="1" x="2325"/>
        <item m="1" x="2712"/>
        <item m="1" x="3099"/>
        <item m="1" x="3486"/>
        <item m="1" x="3863"/>
        <item m="1" x="318"/>
        <item m="1" x="650"/>
        <item m="1" x="906"/>
        <item m="1" x="1281"/>
        <item m="1" x="1668"/>
        <item m="1" x="2055"/>
        <item m="1" x="2443"/>
        <item m="1" x="2830"/>
        <item m="1" x="3217"/>
        <item m="1" x="3594"/>
        <item m="1" x="3969"/>
        <item m="1" x="424"/>
        <item m="1" x="1093"/>
        <item m="1" x="1479"/>
        <item m="1" x="1866"/>
        <item m="1" x="2255"/>
        <item m="1" x="2642"/>
        <item m="1" x="3029"/>
        <item m="1" x="3416"/>
        <item m="1" x="3793"/>
        <item m="1" x="248"/>
        <item m="1" x="580"/>
        <item m="1" x="843"/>
        <item m="1" x="1185"/>
        <item m="1" x="1571"/>
        <item m="1" x="1958"/>
        <item m="1" x="2346"/>
        <item m="1" x="2733"/>
        <item m="1" x="3120"/>
        <item m="1" x="3507"/>
        <item m="1" x="3884"/>
        <item m="1" x="339"/>
        <item m="1" x="671"/>
        <item m="1" x="927"/>
        <item m="1" x="1313"/>
        <item m="1" x="1700"/>
        <item m="1" x="2087"/>
        <item m="1" x="2475"/>
        <item m="1" x="2862"/>
        <item m="1" x="3249"/>
        <item m="1" x="3626"/>
        <item m="1" x="4001"/>
        <item m="1" x="1119"/>
        <item m="1" x="1505"/>
        <item m="1" x="1892"/>
        <item m="1" x="2281"/>
        <item m="1" x="2668"/>
        <item m="1" x="3055"/>
        <item m="1" x="3442"/>
        <item m="1" x="3819"/>
        <item m="1" x="274"/>
        <item m="1" x="606"/>
        <item m="1" x="862"/>
        <item m="1" x="1215"/>
        <item m="1" x="1601"/>
        <item m="1" x="1988"/>
        <item m="1" x="2376"/>
        <item m="1" x="2763"/>
        <item m="1" x="3150"/>
        <item m="1" x="3537"/>
        <item m="1" x="3914"/>
        <item m="1" x="369"/>
        <item m="1" x="693"/>
        <item m="1" x="949"/>
        <item m="1" x="1335"/>
        <item m="1" x="1722"/>
        <item m="1" x="2109"/>
        <item m="1" x="2497"/>
        <item m="1" x="2884"/>
        <item m="1" x="3271"/>
        <item m="1" x="3648"/>
        <item m="1" x="103"/>
        <item m="1" x="467"/>
        <item m="1" x="1141"/>
        <item m="1" x="1527"/>
        <item m="1" x="1914"/>
        <item m="1" x="2302"/>
        <item m="1" x="2689"/>
        <item m="1" x="3076"/>
        <item m="1" x="3463"/>
        <item m="1" x="3840"/>
        <item m="1" x="295"/>
        <item m="1" x="627"/>
        <item m="1" x="883"/>
        <item m="1" x="1247"/>
        <item m="1" x="1633"/>
        <item m="1" x="2020"/>
        <item m="1" x="2408"/>
        <item m="1" x="2795"/>
        <item m="1" x="3182"/>
        <item m="1" x="3562"/>
        <item m="1" x="3938"/>
        <item m="1" x="393"/>
        <item m="1" x="714"/>
        <item m="1" x="970"/>
        <item m="1" x="1356"/>
        <item m="1" x="1743"/>
        <item m="1" x="2130"/>
        <item m="1" x="2518"/>
        <item m="1" x="2905"/>
        <item m="1" x="3292"/>
        <item m="1" x="3669"/>
        <item m="1" x="124"/>
        <item m="1" x="1161"/>
        <item m="1" x="1547"/>
        <item m="1" x="1934"/>
        <item m="1" x="2322"/>
        <item m="1" x="2709"/>
        <item m="1" x="3096"/>
        <item m="1" x="3483"/>
        <item m="1" x="3860"/>
        <item m="1" x="315"/>
        <item m="1" x="647"/>
        <item m="1" x="903"/>
        <item m="1" x="1278"/>
        <item m="1" x="1665"/>
        <item m="1" x="2052"/>
        <item m="1" x="2440"/>
        <item m="1" x="2827"/>
        <item m="1" x="3214"/>
        <item m="1" x="3591"/>
        <item m="1" x="3966"/>
        <item m="1" x="421"/>
        <item m="1" x="735"/>
        <item m="1" x="991"/>
        <item m="1" x="1377"/>
        <item m="1" x="1764"/>
        <item m="1" x="2151"/>
        <item m="1" x="2539"/>
        <item m="1" x="2926"/>
        <item m="1" x="3313"/>
        <item m="1" x="3690"/>
        <item m="1" x="145"/>
        <item m="1" x="499"/>
        <item m="1" x="1182"/>
        <item m="1" x="1568"/>
        <item m="1" x="1955"/>
        <item m="1" x="2343"/>
        <item m="1" x="2730"/>
        <item m="1" x="3117"/>
        <item m="1" x="3504"/>
        <item m="1" x="3881"/>
        <item m="1" x="336"/>
        <item m="1" x="668"/>
        <item m="1" x="924"/>
        <item m="1" x="1310"/>
        <item m="1" x="1697"/>
        <item m="1" x="2084"/>
        <item m="1" x="2472"/>
        <item m="1" x="2859"/>
        <item m="1" x="3246"/>
        <item m="1" x="3623"/>
        <item m="1" x="3998"/>
        <item m="1" x="446"/>
        <item m="1" x="756"/>
        <item m="1" x="1012"/>
        <item m="1" x="1398"/>
        <item m="1" x="1785"/>
        <item m="1" x="2173"/>
        <item m="1" x="2561"/>
        <item m="1" x="2948"/>
        <item m="1" x="3335"/>
        <item m="1" x="3712"/>
        <item m="1" x="167"/>
        <item m="1" x="521"/>
        <item m="1" x="1207"/>
        <item m="1" x="1593"/>
        <item m="1" x="1980"/>
        <item m="1" x="2368"/>
        <item m="1" x="2755"/>
        <item m="1" x="3142"/>
        <item m="1" x="3529"/>
        <item m="1" x="3906"/>
        <item m="1" x="361"/>
        <item m="1" x="690"/>
        <item m="1" x="946"/>
        <item m="1" x="1332"/>
        <item m="1" x="1719"/>
        <item m="1" x="2106"/>
        <item m="1" x="2494"/>
        <item m="1" x="2881"/>
        <item m="1" x="3268"/>
        <item m="1" x="3645"/>
        <item m="1" x="100"/>
        <item m="1" x="464"/>
        <item m="1" x="767"/>
        <item m="1" x="1034"/>
        <item m="1" x="1420"/>
        <item m="1" x="1807"/>
        <item m="1" x="2195"/>
        <item m="1" x="2583"/>
        <item m="1" x="2970"/>
        <item m="1" x="3357"/>
        <item m="1" x="3734"/>
        <item m="1" x="189"/>
        <item m="1" x="1239"/>
        <item m="1" x="1625"/>
        <item m="1" x="2012"/>
        <item m="1" x="2400"/>
        <item m="1" x="2787"/>
        <item m="1" x="3174"/>
        <item m="1" x="3558"/>
        <item m="1" x="3935"/>
        <item m="1" x="390"/>
        <item m="1" x="711"/>
        <item m="1" x="967"/>
        <item m="1" x="1353"/>
        <item m="1" x="1740"/>
        <item m="1" x="2127"/>
        <item m="1" x="2515"/>
        <item m="1" x="2902"/>
        <item m="1" x="3289"/>
        <item m="1" x="3666"/>
        <item m="1" x="121"/>
        <item m="1" x="478"/>
        <item m="1" x="778"/>
        <item m="1" x="1056"/>
        <item m="1" x="1442"/>
        <item m="1" x="1829"/>
        <item m="1" x="2218"/>
        <item m="1" x="2606"/>
        <item m="1" x="2993"/>
        <item m="1" x="3380"/>
        <item m="1" x="3757"/>
        <item m="1" x="212"/>
        <item m="1" x="555"/>
        <item m="1" x="1271"/>
        <item m="1" x="1658"/>
        <item m="1" x="2045"/>
        <item m="1" x="2433"/>
        <item m="1" x="2820"/>
        <item m="1" x="3207"/>
        <item m="1" x="3584"/>
        <item m="1" x="3959"/>
        <item m="1" x="414"/>
        <item m="1" x="732"/>
        <item m="1" x="988"/>
        <item m="1" x="1374"/>
        <item m="1" x="1761"/>
        <item m="1" x="2148"/>
        <item m="1" x="2536"/>
        <item m="1" x="2923"/>
        <item m="1" x="3310"/>
        <item m="1" x="3687"/>
        <item m="1" x="142"/>
        <item m="1" x="496"/>
        <item m="1" x="789"/>
        <item m="1" x="1079"/>
        <item m="1" x="1465"/>
        <item m="1" x="1852"/>
        <item m="1" x="2241"/>
        <item m="1" x="2628"/>
        <item m="1" x="3015"/>
        <item m="1" x="3402"/>
        <item m="1" x="3779"/>
        <item m="1" x="234"/>
        <item m="1" x="1303"/>
        <item m="1" x="1690"/>
        <item m="1" x="2077"/>
        <item m="1" x="2465"/>
        <item m="1" x="2852"/>
        <item m="1" x="3239"/>
        <item m="1" x="3616"/>
        <item m="1" x="3991"/>
        <item m="1" x="443"/>
        <item m="1" x="753"/>
        <item m="1" x="1009"/>
        <item m="1" x="1395"/>
        <item m="1" x="1782"/>
        <item m="1" x="2170"/>
        <item m="1" x="2558"/>
        <item m="1" x="2945"/>
        <item m="1" x="3332"/>
        <item m="1" x="3709"/>
        <item m="1" x="164"/>
        <item m="1" x="518"/>
        <item m="1" x="800"/>
        <item m="1" x="1101"/>
        <item m="1" x="1487"/>
        <item m="1" x="1874"/>
        <item m="1" x="2263"/>
        <item m="1" x="2650"/>
        <item m="1" x="3037"/>
        <item m="1" x="3424"/>
        <item m="1" x="3801"/>
        <item m="1" x="256"/>
        <item m="1" x="588"/>
        <item m="1" x="1028"/>
        <item m="1" x="1414"/>
        <item m="1" x="1801"/>
        <item m="1" x="2189"/>
        <item m="1" x="2577"/>
        <item m="1" x="2964"/>
        <item m="1" x="3351"/>
        <item m="1" x="3728"/>
        <item m="1" x="183"/>
        <item m="1" x="532"/>
        <item m="1" x="811"/>
        <item m="1" x="1123"/>
        <item m="1" x="1509"/>
        <item m="1" x="1896"/>
        <item m="1" x="2284"/>
        <item m="1" x="2671"/>
        <item m="1" x="3058"/>
        <item m="1" x="3445"/>
        <item m="1" x="3822"/>
        <item m="1" x="277"/>
        <item m="1" x="609"/>
        <item m="1" x="865"/>
        <item m="1" x="1218"/>
        <item m="1" x="1604"/>
        <item m="1" x="1991"/>
        <item m="1" x="2379"/>
        <item m="1" x="2766"/>
        <item m="1" x="3153"/>
        <item m="1" x="3540"/>
        <item m="1" x="3917"/>
        <item m="1" x="372"/>
        <item m="1" x="1050"/>
        <item m="1" x="1436"/>
        <item m="1" x="1823"/>
        <item m="1" x="2212"/>
        <item m="1" x="2600"/>
        <item m="1" x="2987"/>
        <item m="1" x="3374"/>
        <item m="1" x="3751"/>
        <item m="1" x="206"/>
        <item m="1" x="549"/>
        <item m="1" x="823"/>
        <item m="1" x="1145"/>
        <item m="1" x="1531"/>
        <item m="1" x="1918"/>
        <item m="1" x="2306"/>
        <item m="1" x="2693"/>
        <item m="1" x="3080"/>
        <item m="1" x="3467"/>
        <item m="1" x="3844"/>
        <item m="1" x="299"/>
        <item m="1" x="631"/>
        <item m="1" x="887"/>
        <item m="1" x="1251"/>
        <item m="1" x="1637"/>
        <item m="1" x="2024"/>
        <item m="1" x="2412"/>
        <item m="1" x="2799"/>
        <item m="1" x="3186"/>
        <item m="1" x="1073"/>
        <item m="1" x="1459"/>
        <item m="1" x="1846"/>
        <item m="1" x="2235"/>
        <item m="1" x="2622"/>
        <item m="1" x="3009"/>
        <item m="1" x="3396"/>
        <item m="1" x="3773"/>
        <item m="1" x="228"/>
        <item m="1" x="566"/>
        <item m="1" x="833"/>
        <item m="1" x="1165"/>
        <item m="1" x="1551"/>
        <item m="1" x="1938"/>
        <item m="1" x="2326"/>
        <item m="1" x="2713"/>
        <item m="1" x="3100"/>
        <item m="1" x="3487"/>
        <item m="1" x="3864"/>
        <item m="1" x="319"/>
        <item m="1" x="651"/>
        <item m="1" x="907"/>
        <item m="1" x="1282"/>
        <item m="1" x="1669"/>
        <item m="1" x="2056"/>
        <item m="1" x="2444"/>
        <item m="1" x="2831"/>
        <item m="1" x="3218"/>
        <item m="1" x="3595"/>
        <item m="1" x="3970"/>
        <item m="1" x="425"/>
        <item m="1" x="1095"/>
        <item m="1" x="1481"/>
        <item m="1" x="1868"/>
        <item m="1" x="2257"/>
        <item m="1" x="2644"/>
        <item m="1" x="3031"/>
        <item m="1" x="3418"/>
        <item m="1" x="3795"/>
        <item m="1" x="250"/>
        <item m="1" x="582"/>
        <item m="1" x="844"/>
        <item m="1" x="1186"/>
        <item m="1" x="1572"/>
        <item m="1" x="1959"/>
        <item m="1" x="2347"/>
        <item m="1" x="2734"/>
        <item m="1" x="3121"/>
        <item m="1" x="3508"/>
        <item m="1" x="3885"/>
        <item m="1" x="340"/>
        <item m="1" x="672"/>
        <item m="1" x="928"/>
        <item m="1" x="1314"/>
        <item m="1" x="1701"/>
        <item m="1" x="2088"/>
        <item m="1" x="2476"/>
        <item m="1" x="2863"/>
        <item m="1" x="3250"/>
        <item m="1" x="3627"/>
        <item m="1" x="4002"/>
        <item m="1" x="1120"/>
        <item m="1" x="1506"/>
        <item m="1" x="1893"/>
        <item t="default"/>
      </items>
    </pivotField>
    <pivotField showAll="0"/>
    <pivotField outline="0" showAll="0" defaultSubtotal="0"/>
    <pivotField axis="axisPage" showAll="0">
      <items count="15">
        <item x="0"/>
        <item m="1" x="13"/>
        <item m="1" x="7"/>
        <item m="1" x="12"/>
        <item m="1" x="5"/>
        <item m="1" x="10"/>
        <item m="1" x="2"/>
        <item m="1" x="6"/>
        <item m="1" x="11"/>
        <item m="1" x="4"/>
        <item m="1" x="9"/>
        <item m="1" x="3"/>
        <item m="1" x="8"/>
        <item m="1" x="1"/>
        <item t="default"/>
      </items>
    </pivotField>
    <pivotField numFmtId="1" showAll="0" defaultSubtotal="0"/>
    <pivotField numFmtId="1" showAll="0" defaultSubtotal="0"/>
    <pivotField numFmtId="43" showAll="0" defaultSubtotal="0"/>
    <pivotField dataField="1" numFmtId="2" outline="0" showAll="0" defaultSubtotal="0"/>
    <pivotField axis="axisRow" numFmtId="14" outline="0" showAll="0" defaultSubtotal="0">
      <items count="74">
        <item sd="0" x="0"/>
        <item sd="0" x="1"/>
        <item sd="0" x="2"/>
        <item sd="0" m="1" x="28"/>
        <item sd="0" m="1" x="20"/>
        <item sd="0" m="1" x="41"/>
        <item sd="0" m="1" x="3"/>
        <item sd="0" m="1" x="31"/>
        <item sd="0" m="1" x="23"/>
        <item sd="0" m="1" x="62"/>
        <item sd="0" m="1" x="56"/>
        <item sd="0" m="1" x="68"/>
        <item sd="0" m="1" x="17"/>
        <item sd="0" m="1" x="11"/>
        <item sd="0" m="1" x="47"/>
        <item sd="0" m="1" x="53"/>
        <item sd="0" m="1" x="42"/>
        <item sd="0" m="1" x="4"/>
        <item sd="0" m="1" x="32"/>
        <item sd="0" m="1" x="25"/>
        <item sd="0" m="1" x="63"/>
        <item sd="0" m="1" x="57"/>
        <item sd="0" m="1" x="69"/>
        <item sd="0" m="1" x="18"/>
        <item sd="0" m="1" x="12"/>
        <item sd="0" m="1" x="48"/>
        <item sd="0" m="1" x="54"/>
        <item sd="0" m="1" x="24"/>
        <item sd="0" m="1" x="5"/>
        <item sd="0" m="1" x="33"/>
        <item sd="0" m="1" x="26"/>
        <item sd="0" m="1" x="64"/>
        <item sd="0" m="1" x="58"/>
        <item sd="0" m="1" x="70"/>
        <item sd="0" m="1" x="19"/>
        <item sd="0" m="1" x="13"/>
        <item sd="0" m="1" x="49"/>
        <item sd="0" m="1" x="55"/>
        <item sd="0" m="1" x="43"/>
        <item sd="0" m="1" x="6"/>
        <item sd="0" m="1" x="34"/>
        <item sd="0" m="1" x="27"/>
        <item sd="0" m="1" x="59"/>
        <item sd="0" m="1" x="50"/>
        <item sd="0" m="1" x="65"/>
        <item sd="0" m="1" x="14"/>
        <item sd="0" m="1" x="8"/>
        <item sd="0" m="1" x="38"/>
        <item sd="0" m="1" x="44"/>
        <item sd="0" m="1" x="35"/>
        <item sd="0" m="1" x="71"/>
        <item sd="0" m="1" x="29"/>
        <item sd="0" m="1" x="21"/>
        <item sd="0" m="1" x="60"/>
        <item sd="0" m="1" x="51"/>
        <item sd="0" m="1" x="66"/>
        <item sd="0" m="1" x="15"/>
        <item sd="0" m="1" x="9"/>
        <item sd="0" m="1" x="39"/>
        <item sd="0" m="1" x="45"/>
        <item sd="0" m="1" x="36"/>
        <item sd="0" m="1" x="72"/>
        <item sd="0" m="1" x="30"/>
        <item sd="0" m="1" x="22"/>
        <item sd="0" m="1" x="61"/>
        <item sd="0" m="1" x="52"/>
        <item sd="0" m="1" x="67"/>
        <item sd="0" m="1" x="16"/>
        <item sd="0" m="1" x="10"/>
        <item sd="0" m="1" x="40"/>
        <item sd="0" m="1" x="46"/>
        <item sd="0" m="1" x="37"/>
        <item sd="0" m="1" x="73"/>
        <item sd="0" m="1" x="7"/>
      </items>
    </pivotField>
    <pivotField axis="axisRow" numFmtId="14" outline="0" showAll="0" defaultSubtotal="0">
      <items count="64">
        <item x="0"/>
        <item x="1"/>
        <item x="2"/>
        <item m="1" x="11"/>
        <item m="1" x="23"/>
        <item m="1" x="53"/>
        <item m="1" x="3"/>
        <item m="1" x="16"/>
        <item m="1" x="27"/>
        <item m="1" x="36"/>
        <item m="1" x="46"/>
        <item m="1" x="57"/>
        <item m="1" x="7"/>
        <item m="1" x="20"/>
        <item m="1" x="31"/>
        <item m="1" x="43"/>
        <item m="1" x="54"/>
        <item m="1" x="4"/>
        <item m="1" x="17"/>
        <item m="1" x="28"/>
        <item m="1" x="37"/>
        <item m="1" x="47"/>
        <item m="1" x="58"/>
        <item m="1" x="8"/>
        <item m="1" x="21"/>
        <item m="1" x="32"/>
        <item m="1" x="44"/>
        <item m="1" x="55"/>
        <item m="1" x="5"/>
        <item m="1" x="18"/>
        <item m="1" x="29"/>
        <item m="1" x="38"/>
        <item m="1" x="48"/>
        <item m="1" x="59"/>
        <item m="1" x="9"/>
        <item m="1" x="22"/>
        <item m="1" x="33"/>
        <item m="1" x="45"/>
        <item m="1" x="56"/>
        <item m="1" x="6"/>
        <item m="1" x="19"/>
        <item m="1" x="30"/>
        <item m="1" x="34"/>
        <item m="1" x="41"/>
        <item m="1" x="51"/>
        <item m="1" x="62"/>
        <item m="1" x="14"/>
        <item m="1" x="25"/>
        <item m="1" x="39"/>
        <item m="1" x="49"/>
        <item m="1" x="60"/>
        <item m="1" x="12"/>
        <item m="1" x="24"/>
        <item m="1" x="35"/>
        <item m="1" x="42"/>
        <item m="1" x="52"/>
        <item m="1" x="63"/>
        <item m="1" x="15"/>
        <item m="1" x="26"/>
        <item m="1" x="40"/>
        <item m="1" x="50"/>
        <item m="1" x="61"/>
        <item m="1" x="13"/>
        <item m="1" x="10"/>
      </items>
    </pivotField>
    <pivotField axis="axisRow" numFmtId="14" showAll="0" defaultSubtotal="0">
      <items count="65">
        <item x="0"/>
        <item n="36535" x="1"/>
        <item x="2"/>
        <item m="1" x="35"/>
        <item m="1" x="48"/>
        <item m="1" x="13"/>
        <item m="1" x="28"/>
        <item m="1" x="40"/>
        <item m="1" x="53"/>
        <item m="1" x="62"/>
        <item m="1" x="6"/>
        <item m="1" x="17"/>
        <item m="1" x="32"/>
        <item m="1" x="44"/>
        <item m="1" x="57"/>
        <item m="1" x="24"/>
        <item m="1" x="14"/>
        <item m="1" x="29"/>
        <item m="1" x="41"/>
        <item m="1" x="54"/>
        <item m="1" x="63"/>
        <item m="1" x="7"/>
        <item m="1" x="18"/>
        <item m="1" x="33"/>
        <item m="1" x="45"/>
        <item m="1" x="58"/>
        <item m="1" x="47"/>
        <item m="1" x="15"/>
        <item m="1" x="30"/>
        <item m="1" x="42"/>
        <item m="1" x="55"/>
        <item m="1" x="64"/>
        <item m="1" x="8"/>
        <item m="1" x="19"/>
        <item m="1" x="34"/>
        <item m="1" x="46"/>
        <item m="1" x="59"/>
        <item m="1" x="25"/>
        <item m="1" x="16"/>
        <item m="1" x="31"/>
        <item m="1" x="43"/>
        <item m="1" x="56"/>
        <item m="1" x="60"/>
        <item m="1" x="4"/>
        <item m="1" x="11"/>
        <item m="1" x="26"/>
        <item m="1" x="38"/>
        <item m="1" x="51"/>
        <item m="1" x="20"/>
        <item m="1" x="9"/>
        <item m="1" x="22"/>
        <item m="1" x="36"/>
        <item m="1" x="49"/>
        <item m="1" x="61"/>
        <item m="1" x="5"/>
        <item m="1" x="12"/>
        <item m="1" x="27"/>
        <item m="1" x="39"/>
        <item m="1" x="52"/>
        <item m="1" x="21"/>
        <item m="1" x="10"/>
        <item m="1" x="23"/>
        <item m="1" x="37"/>
        <item m="1" x="50"/>
        <item m="1" x="3"/>
      </items>
    </pivotField>
    <pivotField dataField="1" numFmtId="43" showAll="0" defaultSubtotal="0"/>
  </pivotFields>
  <rowFields count="4">
    <field x="9"/>
    <field x="10"/>
    <field x="11"/>
    <field x="1"/>
  </rowFields>
  <rowItems count="4">
    <i>
      <x/>
    </i>
    <i>
      <x v="1"/>
    </i>
    <i>
      <x v="2"/>
    </i>
    <i t="grand">
      <x/>
    </i>
  </rowItems>
  <colFields count="1">
    <field x="-2"/>
  </colFields>
  <colItems count="2">
    <i>
      <x/>
    </i>
    <i i="1">
      <x v="1"/>
    </i>
  </colItems>
  <pageFields count="1">
    <pageField fld="4" hier="-1"/>
  </pageFields>
  <dataFields count="2">
    <dataField name="Sum of revenue" fld="8" baseField="4" baseItem="0" numFmtId="4"/>
    <dataField name="Sum of colamot" fld="12" baseField="11" baseItem="0" numFmtId="4"/>
  </dataFields>
  <formats count="4">
    <format dxfId="31">
      <pivotArea dataOnly="0" labelOnly="1" outline="0" axis="axisValues" fieldPosition="0"/>
    </format>
    <format dxfId="30">
      <pivotArea outline="0" fieldPosition="0">
        <references count="1">
          <reference field="4294967294" count="1">
            <x v="1"/>
          </reference>
        </references>
      </pivotArea>
    </format>
    <format dxfId="29">
      <pivotArea outline="0" fieldPosition="0">
        <references count="1">
          <reference field="4294967294" count="1">
            <x v="0"/>
          </reference>
        </references>
      </pivotArea>
    </format>
    <format dxfId="28">
      <pivotArea type="all" dataOnly="0" outline="0" fieldPosition="0"/>
    </format>
  </formats>
  <chartFormats count="2">
    <chartFormat chart="0" format="13" series="1">
      <pivotArea type="data" outline="0" fieldPosition="0">
        <references count="1">
          <reference field="4294967294" count="1" selected="0">
            <x v="1"/>
          </reference>
        </references>
      </pivotArea>
    </chartFormat>
    <chartFormat chart="0"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636"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A85" firstHeaderRow="1" firstDataRow="1" firstDataCol="1"/>
  <pivotFields count="13">
    <pivotField showAll="0"/>
    <pivotField axis="axisRow" numFmtId="14" showAll="0">
      <items count="4004">
        <item m="1" x="2163"/>
        <item m="1" x="2551"/>
        <item m="1" x="2938"/>
        <item m="1" x="3325"/>
        <item m="1" x="3702"/>
        <item m="1" x="157"/>
        <item m="1" x="511"/>
        <item m="1" x="1193"/>
        <item m="1" x="1579"/>
        <item m="1" x="1966"/>
        <item m="1" x="2354"/>
        <item m="1" x="2741"/>
        <item m="1" x="3128"/>
        <item m="1" x="3515"/>
        <item m="1" x="3892"/>
        <item m="1" x="347"/>
        <item m="1" x="679"/>
        <item m="1" x="935"/>
        <item m="1" x="1321"/>
        <item m="1" x="1708"/>
        <item m="1" x="2095"/>
        <item m="1" x="2483"/>
        <item m="1" x="2870"/>
        <item m="1" x="3257"/>
        <item m="1" x="3634"/>
        <item m="1" x="89"/>
        <item m="1" x="453"/>
        <item m="1" x="760"/>
        <item m="1" x="1025"/>
        <item m="1" x="1411"/>
        <item m="1" x="1798"/>
        <item m="1" x="2186"/>
        <item m="1" x="2574"/>
        <item m="1" x="2961"/>
        <item m="1" x="3348"/>
        <item m="1" x="3725"/>
        <item m="1" x="180"/>
        <item m="1" x="1225"/>
        <item m="1" x="1611"/>
        <item m="1" x="1998"/>
        <item m="1" x="2386"/>
        <item m="1" x="2773"/>
        <item m="1" x="3160"/>
        <item m="1" x="3547"/>
        <item m="1" x="3924"/>
        <item m="1" x="379"/>
        <item m="1" x="700"/>
        <item m="1" x="956"/>
        <item m="1" x="1342"/>
        <item m="1" x="1729"/>
        <item m="1" x="2116"/>
        <item m="1" x="2504"/>
        <item m="1" x="2891"/>
        <item m="1" x="3278"/>
        <item m="1" x="3655"/>
        <item m="1" x="110"/>
        <item m="1" x="471"/>
        <item m="1" x="771"/>
        <item m="1" x="1047"/>
        <item m="1" x="1433"/>
        <item m="1" x="1820"/>
        <item m="1" x="2209"/>
        <item m="1" x="2597"/>
        <item m="1" x="2984"/>
        <item m="1" x="3371"/>
        <item m="1" x="3748"/>
        <item m="1" x="203"/>
        <item m="1" x="546"/>
        <item m="1" x="1258"/>
        <item m="1" x="1645"/>
        <item m="1" x="2032"/>
        <item m="1" x="2420"/>
        <item m="1" x="2807"/>
        <item m="1" x="3194"/>
        <item m="1" x="3571"/>
        <item m="1" x="3946"/>
        <item m="1" x="401"/>
        <item m="1" x="721"/>
        <item m="1" x="977"/>
        <item m="1" x="1363"/>
        <item m="1" x="1750"/>
        <item m="1" x="2137"/>
        <item m="1" x="2525"/>
        <item m="1" x="2912"/>
        <item m="1" x="3299"/>
        <item m="1" x="3676"/>
        <item m="1" x="131"/>
        <item m="1" x="485"/>
        <item m="1" x="782"/>
        <item m="1" x="1070"/>
        <item m="1" x="1456"/>
        <item m="1" x="1843"/>
        <item m="1" x="2232"/>
        <item m="1" x="2619"/>
        <item m="1" x="3006"/>
        <item m="1" x="3393"/>
        <item m="1" x="3770"/>
        <item m="1" x="225"/>
        <item m="1" x="1290"/>
        <item m="1" x="1677"/>
        <item m="1" x="2064"/>
        <item m="1" x="2452"/>
        <item m="1" x="2839"/>
        <item m="1" x="3226"/>
        <item m="1" x="3603"/>
        <item m="1" x="3978"/>
        <item m="1" x="432"/>
        <item m="1" x="742"/>
        <item m="1" x="998"/>
        <item m="1" x="1384"/>
        <item m="1" x="1771"/>
        <item m="1" x="2158"/>
        <item m="1" x="2546"/>
        <item m="1" x="2933"/>
        <item m="1" x="3320"/>
        <item m="1" x="3697"/>
        <item m="1" x="152"/>
        <item m="1" x="506"/>
        <item m="1" x="793"/>
        <item m="1" x="1092"/>
        <item m="1" x="1478"/>
        <item m="1" x="1865"/>
        <item m="1" x="2254"/>
        <item m="1" x="2641"/>
        <item m="1" x="3028"/>
        <item m="1" x="3415"/>
        <item m="1" x="3792"/>
        <item m="1" x="247"/>
        <item m="1" x="579"/>
        <item m="1" x="1018"/>
        <item m="1" x="1404"/>
        <item m="1" x="1791"/>
        <item m="1" x="2179"/>
        <item m="1" x="2567"/>
        <item m="1" x="2954"/>
        <item m="1" x="3341"/>
        <item m="1" x="3718"/>
        <item m="1" x="173"/>
        <item m="1" x="525"/>
        <item m="1" x="804"/>
        <item m="1" x="1112"/>
        <item m="1" x="1498"/>
        <item m="1" x="1885"/>
        <item m="1" x="2274"/>
        <item m="1" x="2661"/>
        <item m="1" x="3048"/>
        <item m="1" x="3435"/>
        <item m="1" x="3812"/>
        <item m="1" x="267"/>
        <item m="1" x="599"/>
        <item m="1" x="855"/>
        <item m="1" x="1208"/>
        <item m="1" x="1594"/>
        <item m="1" x="1981"/>
        <item m="1" x="2369"/>
        <item m="1" x="2756"/>
        <item m="1" x="3143"/>
        <item m="1" x="3530"/>
        <item m="1" x="3907"/>
        <item m="1" x="362"/>
        <item m="1" x="1040"/>
        <item m="1" x="1426"/>
        <item m="1" x="1813"/>
        <item m="1" x="2201"/>
        <item m="1" x="2589"/>
        <item m="1" x="2976"/>
        <item m="1" x="3363"/>
        <item m="1" x="3740"/>
        <item m="1" x="195"/>
        <item m="1" x="538"/>
        <item m="1" x="815"/>
        <item m="1" x="1134"/>
        <item m="1" x="1520"/>
        <item m="1" x="1907"/>
        <item m="1" x="2295"/>
        <item m="1" x="2682"/>
        <item m="1" x="3069"/>
        <item m="1" x="3456"/>
        <item m="1" x="3833"/>
        <item m="1" x="288"/>
        <item m="1" x="620"/>
        <item m="1" x="876"/>
        <item m="1" x="1240"/>
        <item m="1" x="1626"/>
        <item m="1" x="2013"/>
        <item m="1" x="2401"/>
        <item m="1" x="2788"/>
        <item m="1" x="3175"/>
        <item m="1" x="1062"/>
        <item m="1" x="1448"/>
        <item m="1" x="1835"/>
        <item m="1" x="2224"/>
        <item m="1" x="2611"/>
        <item m="1" x="2998"/>
        <item m="1" x="3385"/>
        <item m="1" x="3762"/>
        <item m="1" x="217"/>
        <item m="1" x="558"/>
        <item m="1" x="826"/>
        <item m="1" x="1155"/>
        <item m="1" x="1541"/>
        <item m="1" x="1928"/>
        <item m="1" x="2316"/>
        <item m="1" x="2703"/>
        <item m="1" x="3090"/>
        <item m="1" x="3477"/>
        <item m="1" x="3854"/>
        <item m="1" x="309"/>
        <item m="1" x="641"/>
        <item m="1" x="897"/>
        <item m="1" x="1272"/>
        <item m="1" x="1659"/>
        <item m="1" x="2046"/>
        <item m="1" x="2434"/>
        <item m="1" x="2821"/>
        <item m="1" x="3208"/>
        <item m="1" x="3585"/>
        <item m="1" x="3960"/>
        <item m="1" x="415"/>
        <item m="1" x="1085"/>
        <item m="1" x="1471"/>
        <item m="1" x="1858"/>
        <item m="1" x="2247"/>
        <item m="1" x="2634"/>
        <item m="1" x="3021"/>
        <item m="1" x="3408"/>
        <item m="1" x="3785"/>
        <item m="1" x="240"/>
        <item m="1" x="572"/>
        <item m="1" x="837"/>
        <item m="1" x="1176"/>
        <item m="1" x="1562"/>
        <item m="1" x="1949"/>
        <item m="1" x="2337"/>
        <item m="1" x="2724"/>
        <item m="1" x="3111"/>
        <item m="1" x="3498"/>
        <item m="1" x="3875"/>
        <item m="1" x="330"/>
        <item m="1" x="662"/>
        <item m="1" x="918"/>
        <item m="1" x="1304"/>
        <item m="1" x="1691"/>
        <item m="1" x="2078"/>
        <item m="1" x="2466"/>
        <item m="1" x="2853"/>
        <item m="1" x="3240"/>
        <item m="1" x="3617"/>
        <item m="1" x="3992"/>
        <item m="1" x="1108"/>
        <item m="1" x="1494"/>
        <item m="1" x="1881"/>
        <item m="1" x="2270"/>
        <item m="1" x="2657"/>
        <item m="1" x="3044"/>
        <item m="1" x="3431"/>
        <item m="1" x="3808"/>
        <item m="1" x="263"/>
        <item m="1" x="595"/>
        <item m="1" x="851"/>
        <item m="1" x="1201"/>
        <item m="1" x="1587"/>
        <item m="1" x="1974"/>
        <item m="1" x="2362"/>
        <item m="1" x="2749"/>
        <item m="1" x="3136"/>
        <item m="1" x="3523"/>
        <item m="1" x="3900"/>
        <item m="1" x="355"/>
        <item m="1" x="684"/>
        <item m="1" x="940"/>
        <item m="1" x="1326"/>
        <item m="1" x="1713"/>
        <item m="1" x="2100"/>
        <item m="1" x="2488"/>
        <item m="1" x="2875"/>
        <item m="1" x="3262"/>
        <item m="1" x="3639"/>
        <item m="1" x="94"/>
        <item m="1" x="458"/>
        <item m="1" x="1130"/>
        <item m="1" x="1516"/>
        <item m="1" x="1903"/>
        <item m="1" x="2291"/>
        <item m="1" x="2678"/>
        <item m="1" x="3065"/>
        <item m="1" x="3452"/>
        <item m="1" x="3829"/>
        <item m="1" x="284"/>
        <item m="1" x="616"/>
        <item m="1" x="872"/>
        <item m="1" x="1233"/>
        <item m="1" x="1619"/>
        <item m="1" x="2006"/>
        <item m="1" x="2394"/>
        <item m="1" x="2781"/>
        <item m="1" x="3168"/>
        <item m="1" x="3552"/>
        <item m="1" x="3929"/>
        <item m="1" x="384"/>
        <item m="1" x="705"/>
        <item m="1" x="961"/>
        <item m="1" x="1347"/>
        <item m="1" x="1734"/>
        <item m="1" x="2121"/>
        <item m="1" x="2509"/>
        <item m="1" x="2896"/>
        <item m="1" x="3283"/>
        <item m="1" x="3660"/>
        <item m="1" x="115"/>
        <item m="1" x="1151"/>
        <item m="1" x="1537"/>
        <item m="1" x="1924"/>
        <item m="1" x="2312"/>
        <item m="1" x="2699"/>
        <item m="1" x="3086"/>
        <item m="1" x="3473"/>
        <item m="1" x="3850"/>
        <item m="1" x="305"/>
        <item m="1" x="637"/>
        <item m="1" x="893"/>
        <item m="1" x="1265"/>
        <item m="1" x="1652"/>
        <item m="1" x="2039"/>
        <item m="1" x="2427"/>
        <item m="1" x="2814"/>
        <item m="1" x="3201"/>
        <item m="1" x="3578"/>
        <item m="1" x="3953"/>
        <item m="1" x="408"/>
        <item m="1" x="726"/>
        <item m="1" x="982"/>
        <item m="1" x="1368"/>
        <item m="1" x="1755"/>
        <item m="1" x="2142"/>
        <item m="1" x="2530"/>
        <item m="1" x="2917"/>
        <item m="1" x="3304"/>
        <item m="1" x="3681"/>
        <item m="1" x="136"/>
        <item m="1" x="490"/>
        <item m="1" x="1172"/>
        <item m="1" x="1558"/>
        <item m="1" x="1945"/>
        <item m="1" x="2333"/>
        <item m="1" x="2720"/>
        <item m="1" x="3107"/>
        <item m="1" x="3494"/>
        <item m="1" x="3871"/>
        <item m="1" x="326"/>
        <item m="1" x="658"/>
        <item m="1" x="914"/>
        <item m="1" x="1297"/>
        <item m="1" x="1684"/>
        <item m="1" x="2071"/>
        <item m="1" x="2459"/>
        <item m="1" x="2846"/>
        <item m="1" x="3233"/>
        <item m="1" x="3610"/>
        <item m="1" x="3985"/>
        <item m="1" x="437"/>
        <item m="1" x="747"/>
        <item m="1" x="1003"/>
        <item m="1" x="1389"/>
        <item m="1" x="1776"/>
        <item m="1" x="2164"/>
        <item m="1" x="2552"/>
        <item m="1" x="2939"/>
        <item m="1" x="3326"/>
        <item m="1" x="3703"/>
        <item m="1" x="158"/>
        <item m="1" x="512"/>
        <item m="1" x="1195"/>
        <item m="1" x="1581"/>
        <item m="1" x="1968"/>
        <item m="1" x="2356"/>
        <item m="1" x="2743"/>
        <item m="1" x="3130"/>
        <item m="1" x="3517"/>
        <item m="1" x="3894"/>
        <item m="1" x="349"/>
        <item m="1" x="680"/>
        <item m="1" x="936"/>
        <item m="1" x="1322"/>
        <item m="1" x="1709"/>
        <item m="1" x="2096"/>
        <item m="1" x="2484"/>
        <item m="1" x="2871"/>
        <item m="1" x="3258"/>
        <item m="1" x="3635"/>
        <item m="1" x="90"/>
        <item m="1" x="454"/>
        <item m="1" x="761"/>
        <item m="1" x="1027"/>
        <item m="1" x="1413"/>
        <item m="1" x="1800"/>
        <item m="1" x="2188"/>
        <item m="1" x="2576"/>
        <item m="1" x="2963"/>
        <item m="1" x="3350"/>
        <item m="1" x="3727"/>
        <item m="1" x="182"/>
        <item m="1" x="1227"/>
        <item m="1" x="1613"/>
        <item m="1" x="2000"/>
        <item m="1" x="2388"/>
        <item m="1" x="2775"/>
        <item m="1" x="3162"/>
        <item m="1" x="3548"/>
        <item m="1" x="3925"/>
        <item m="1" x="380"/>
        <item m="1" x="701"/>
        <item m="1" x="957"/>
        <item m="1" x="1343"/>
        <item m="1" x="1730"/>
        <item m="1" x="2117"/>
        <item m="1" x="2505"/>
        <item m="1" x="2892"/>
        <item m="1" x="3279"/>
        <item m="1" x="3656"/>
        <item m="1" x="111"/>
        <item m="1" x="472"/>
        <item m="1" x="772"/>
        <item m="1" x="1049"/>
        <item m="1" x="1435"/>
        <item m="1" x="1822"/>
        <item m="1" x="2211"/>
        <item m="1" x="2599"/>
        <item m="1" x="2986"/>
        <item m="1" x="3373"/>
        <item m="1" x="3750"/>
        <item m="1" x="205"/>
        <item m="1" x="548"/>
        <item m="1" x="1260"/>
        <item m="1" x="1647"/>
        <item m="1" x="2034"/>
        <item m="1" x="2422"/>
        <item m="1" x="2809"/>
        <item m="1" x="3196"/>
        <item m="1" x="3573"/>
        <item m="1" x="3948"/>
        <item m="1" x="403"/>
        <item m="1" x="722"/>
        <item m="1" x="978"/>
        <item m="1" x="1364"/>
        <item m="1" x="1751"/>
        <item m="1" x="2138"/>
        <item m="1" x="2526"/>
        <item m="1" x="2913"/>
        <item m="1" x="3300"/>
        <item m="1" x="3677"/>
        <item m="1" x="132"/>
        <item m="1" x="486"/>
        <item m="1" x="783"/>
        <item m="1" x="1072"/>
        <item m="1" x="1458"/>
        <item m="1" x="1845"/>
        <item m="1" x="2234"/>
        <item m="1" x="2621"/>
        <item m="1" x="3008"/>
        <item m="1" x="3395"/>
        <item m="1" x="3772"/>
        <item m="1" x="227"/>
        <item m="1" x="1292"/>
        <item m="1" x="1679"/>
        <item m="1" x="2066"/>
        <item m="1" x="2454"/>
        <item m="1" x="2841"/>
        <item m="1" x="3228"/>
        <item m="1" x="3605"/>
        <item m="1" x="3980"/>
        <item m="1" x="433"/>
        <item m="1" x="743"/>
        <item m="1" x="999"/>
        <item m="1" x="1385"/>
        <item m="1" x="1772"/>
        <item m="1" x="2159"/>
        <item m="1" x="2547"/>
        <item m="1" x="2934"/>
        <item m="1" x="3321"/>
        <item m="1" x="3698"/>
        <item m="1" x="153"/>
        <item m="1" x="507"/>
        <item m="1" x="794"/>
        <item m="1" x="1094"/>
        <item m="1" x="1480"/>
        <item m="1" x="1867"/>
        <item m="1" x="2256"/>
        <item m="1" x="2643"/>
        <item m="1" x="3030"/>
        <item m="1" x="3417"/>
        <item m="1" x="3794"/>
        <item m="1" x="249"/>
        <item m="1" x="581"/>
        <item m="1" x="1020"/>
        <item m="1" x="1406"/>
        <item m="1" x="1793"/>
        <item m="1" x="2181"/>
        <item m="1" x="2569"/>
        <item m="1" x="2956"/>
        <item m="1" x="3343"/>
        <item m="1" x="3720"/>
        <item m="1" x="175"/>
        <item m="1" x="526"/>
        <item m="1" x="805"/>
        <item m="1" x="1113"/>
        <item m="1" x="1499"/>
        <item m="1" x="1886"/>
        <item m="1" x="2275"/>
        <item m="1" x="2662"/>
        <item m="1" x="3049"/>
        <item m="1" x="3436"/>
        <item m="1" x="3813"/>
        <item m="1" x="268"/>
        <item m="1" x="600"/>
        <item m="1" x="856"/>
        <item m="1" x="1209"/>
        <item m="1" x="1595"/>
        <item m="1" x="1982"/>
        <item m="1" x="2370"/>
        <item m="1" x="2757"/>
        <item m="1" x="3144"/>
        <item m="1" x="3531"/>
        <item m="1" x="3908"/>
        <item m="1" x="363"/>
        <item m="1" x="1042"/>
        <item m="1" x="1428"/>
        <item m="1" x="1815"/>
        <item m="1" x="2203"/>
        <item m="1" x="2591"/>
        <item m="1" x="2978"/>
        <item m="1" x="3365"/>
        <item m="1" x="3742"/>
        <item m="1" x="197"/>
        <item m="1" x="540"/>
        <item m="1" x="816"/>
        <item m="1" x="1135"/>
        <item m="1" x="1521"/>
        <item m="1" x="1908"/>
        <item m="1" x="2296"/>
        <item m="1" x="2683"/>
        <item m="1" x="3070"/>
        <item m="1" x="3457"/>
        <item m="1" x="3834"/>
        <item m="1" x="289"/>
        <item m="1" x="621"/>
        <item m="1" x="877"/>
        <item m="1" x="1241"/>
        <item m="1" x="1627"/>
        <item m="1" x="2014"/>
        <item m="1" x="2402"/>
        <item m="1" x="2789"/>
        <item m="1" x="3176"/>
        <item m="1" x="3559"/>
        <item m="1" x="1064"/>
        <item m="1" x="1450"/>
        <item m="1" x="1837"/>
        <item m="1" x="2226"/>
        <item m="1" x="2613"/>
        <item m="1" x="3000"/>
        <item m="1" x="3387"/>
        <item m="1" x="3764"/>
        <item m="1" x="219"/>
        <item m="1" x="559"/>
        <item m="1" x="827"/>
        <item m="1" x="1156"/>
        <item m="1" x="1542"/>
        <item m="1" x="1929"/>
        <item m="1" x="2317"/>
        <item m="1" x="2704"/>
        <item m="1" x="3091"/>
        <item m="1" x="3478"/>
        <item m="1" x="3855"/>
        <item m="1" x="310"/>
        <item m="1" x="642"/>
        <item m="1" x="898"/>
        <item m="1" x="1273"/>
        <item m="1" x="1660"/>
        <item m="1" x="2047"/>
        <item m="1" x="2435"/>
        <item m="1" x="2822"/>
        <item m="1" x="3209"/>
        <item m="1" x="3586"/>
        <item m="1" x="3961"/>
        <item m="1" x="416"/>
        <item m="1" x="1087"/>
        <item m="1" x="1473"/>
        <item m="1" x="1860"/>
        <item m="1" x="2249"/>
        <item m="1" x="2636"/>
        <item m="1" x="3023"/>
        <item m="1" x="3410"/>
        <item m="1" x="3787"/>
        <item m="1" x="242"/>
        <item m="1" x="574"/>
        <item m="1" x="838"/>
        <item m="1" x="1177"/>
        <item m="1" x="1563"/>
        <item m="1" x="1950"/>
        <item m="1" x="2338"/>
        <item m="1" x="2725"/>
        <item m="1" x="3112"/>
        <item m="1" x="3499"/>
        <item m="1" x="3876"/>
        <item m="1" x="331"/>
        <item m="1" x="663"/>
        <item m="1" x="919"/>
        <item m="1" x="1305"/>
        <item m="1" x="1692"/>
        <item m="1" x="2079"/>
        <item m="1" x="2467"/>
        <item m="1" x="2854"/>
        <item m="1" x="3241"/>
        <item m="1" x="3618"/>
        <item m="1" x="3993"/>
        <item m="1" x="1109"/>
        <item m="1" x="1495"/>
        <item m="1" x="1882"/>
        <item m="1" x="2271"/>
        <item m="1" x="2658"/>
        <item m="1" x="3045"/>
        <item m="1" x="3432"/>
        <item m="1" x="3809"/>
        <item m="1" x="264"/>
        <item m="1" x="596"/>
        <item m="1" x="852"/>
        <item m="1" x="1202"/>
        <item m="1" x="1588"/>
        <item m="1" x="1975"/>
        <item m="1" x="2363"/>
        <item m="1" x="2750"/>
        <item m="1" x="3137"/>
        <item m="1" x="3524"/>
        <item m="1" x="3901"/>
        <item m="1" x="356"/>
        <item m="1" x="685"/>
        <item m="1" x="941"/>
        <item m="1" x="1327"/>
        <item m="1" x="1714"/>
        <item m="1" x="2101"/>
        <item m="1" x="2489"/>
        <item m="1" x="2876"/>
        <item m="1" x="3263"/>
        <item m="1" x="3640"/>
        <item m="1" x="95"/>
        <item m="1" x="459"/>
        <item m="1" x="1131"/>
        <item m="1" x="1517"/>
        <item m="1" x="1904"/>
        <item m="1" x="2292"/>
        <item m="1" x="2679"/>
        <item m="1" x="3066"/>
        <item m="1" x="3453"/>
        <item m="1" x="3830"/>
        <item m="1" x="285"/>
        <item m="1" x="617"/>
        <item m="1" x="873"/>
        <item m="1" x="1234"/>
        <item m="1" x="1620"/>
        <item m="1" x="2007"/>
        <item m="1" x="2395"/>
        <item m="1" x="2782"/>
        <item m="1" x="3169"/>
        <item m="1" x="3553"/>
        <item m="1" x="3930"/>
        <item m="1" x="385"/>
        <item m="1" x="706"/>
        <item m="1" x="962"/>
        <item m="1" x="1348"/>
        <item m="1" x="1735"/>
        <item m="1" x="2122"/>
        <item m="1" x="2510"/>
        <item m="1" x="2897"/>
        <item m="1" x="3284"/>
        <item m="1" x="3661"/>
        <item m="1" x="116"/>
        <item m="1" x="1152"/>
        <item m="1" x="1538"/>
        <item m="1" x="1925"/>
        <item m="1" x="2313"/>
        <item m="1" x="2700"/>
        <item m="1" x="3087"/>
        <item m="1" x="3474"/>
        <item m="1" x="3851"/>
        <item m="1" x="306"/>
        <item m="1" x="638"/>
        <item m="1" x="894"/>
        <item m="1" x="1266"/>
        <item m="1" x="1653"/>
        <item m="1" x="2040"/>
        <item m="1" x="2428"/>
        <item m="1" x="2815"/>
        <item m="1" x="3202"/>
        <item m="1" x="3579"/>
        <item m="1" x="3954"/>
        <item m="1" x="409"/>
        <item m="1" x="727"/>
        <item m="1" x="983"/>
        <item m="1" x="1369"/>
        <item m="1" x="1756"/>
        <item m="1" x="2143"/>
        <item m="1" x="2531"/>
        <item m="1" x="2918"/>
        <item m="1" x="3305"/>
        <item m="1" x="3682"/>
        <item m="1" x="137"/>
        <item m="1" x="491"/>
        <item m="1" x="1173"/>
        <item m="1" x="1559"/>
        <item m="1" x="1946"/>
        <item m="1" x="2334"/>
        <item m="1" x="2721"/>
        <item m="1" x="3108"/>
        <item m="1" x="3495"/>
        <item m="1" x="3872"/>
        <item m="1" x="327"/>
        <item m="1" x="659"/>
        <item m="1" x="915"/>
        <item m="1" x="1298"/>
        <item m="1" x="1685"/>
        <item m="1" x="2072"/>
        <item m="1" x="2460"/>
        <item m="1" x="2847"/>
        <item m="1" x="3234"/>
        <item m="1" x="3611"/>
        <item m="1" x="3986"/>
        <item m="1" x="438"/>
        <item m="1" x="748"/>
        <item m="1" x="1004"/>
        <item m="1" x="1390"/>
        <item m="1" x="1777"/>
        <item m="1" x="2165"/>
        <item m="1" x="2553"/>
        <item m="1" x="2940"/>
        <item m="1" x="3327"/>
        <item m="1" x="3704"/>
        <item m="1" x="159"/>
        <item m="1" x="513"/>
        <item m="1" x="1197"/>
        <item m="1" x="1583"/>
        <item m="1" x="1970"/>
        <item m="1" x="2358"/>
        <item m="1" x="2745"/>
        <item m="1" x="3132"/>
        <item m="1" x="3519"/>
        <item m="1" x="3896"/>
        <item m="1" x="351"/>
        <item m="1" x="681"/>
        <item m="1" x="937"/>
        <item m="1" x="1323"/>
        <item m="1" x="1710"/>
        <item m="1" x="2097"/>
        <item m="1" x="2485"/>
        <item m="1" x="2872"/>
        <item m="1" x="3259"/>
        <item m="1" x="3636"/>
        <item m="1" x="91"/>
        <item m="1" x="455"/>
        <item m="1" x="762"/>
        <item m="1" x="1029"/>
        <item m="1" x="1415"/>
        <item m="1" x="1802"/>
        <item m="1" x="2190"/>
        <item m="1" x="2578"/>
        <item m="1" x="2965"/>
        <item m="1" x="3352"/>
        <item m="1" x="3729"/>
        <item m="1" x="184"/>
        <item m="1" x="1229"/>
        <item m="1" x="1615"/>
        <item m="1" x="2002"/>
        <item m="1" x="2390"/>
        <item m="1" x="2777"/>
        <item m="1" x="3164"/>
        <item m="1" x="3549"/>
        <item m="1" x="3926"/>
        <item m="1" x="381"/>
        <item m="1" x="702"/>
        <item m="1" x="958"/>
        <item m="1" x="1344"/>
        <item m="1" x="1731"/>
        <item m="1" x="2118"/>
        <item m="1" x="2506"/>
        <item m="1" x="2893"/>
        <item m="1" x="3280"/>
        <item m="1" x="3657"/>
        <item m="1" x="112"/>
        <item m="1" x="473"/>
        <item m="1" x="773"/>
        <item m="1" x="1051"/>
        <item m="1" x="1437"/>
        <item m="1" x="1824"/>
        <item m="1" x="2213"/>
        <item m="1" x="2601"/>
        <item m="1" x="2988"/>
        <item m="1" x="3375"/>
        <item m="1" x="3752"/>
        <item m="1" x="207"/>
        <item m="1" x="550"/>
        <item m="1" x="1262"/>
        <item m="1" x="1649"/>
        <item m="1" x="2036"/>
        <item m="1" x="2424"/>
        <item m="1" x="2811"/>
        <item m="1" x="3198"/>
        <item m="1" x="3575"/>
        <item m="1" x="3950"/>
        <item m="1" x="405"/>
        <item m="1" x="723"/>
        <item m="1" x="979"/>
        <item m="1" x="1365"/>
        <item m="1" x="1752"/>
        <item m="1" x="2139"/>
        <item m="1" x="2527"/>
        <item m="1" x="2914"/>
        <item m="1" x="3301"/>
        <item m="1" x="3678"/>
        <item m="1" x="133"/>
        <item m="1" x="487"/>
        <item m="1" x="784"/>
        <item m="1" x="1074"/>
        <item m="1" x="1460"/>
        <item m="1" x="1847"/>
        <item m="1" x="2236"/>
        <item m="1" x="2623"/>
        <item m="1" x="3010"/>
        <item m="1" x="3397"/>
        <item m="1" x="3774"/>
        <item m="1" x="229"/>
        <item m="1" x="1294"/>
        <item m="1" x="1681"/>
        <item m="1" x="2068"/>
        <item m="1" x="2456"/>
        <item m="1" x="2843"/>
        <item m="1" x="3230"/>
        <item m="1" x="3607"/>
        <item m="1" x="3982"/>
        <item m="1" x="434"/>
        <item m="1" x="744"/>
        <item m="1" x="1000"/>
        <item m="1" x="1386"/>
        <item m="1" x="1773"/>
        <item m="1" x="2160"/>
        <item m="1" x="2548"/>
        <item m="1" x="2935"/>
        <item m="1" x="3322"/>
        <item m="1" x="3699"/>
        <item m="1" x="154"/>
        <item m="1" x="508"/>
        <item m="1" x="795"/>
        <item m="1" x="1096"/>
        <item m="1" x="1482"/>
        <item m="1" x="1869"/>
        <item m="1" x="2258"/>
        <item m="1" x="2645"/>
        <item m="1" x="3032"/>
        <item m="1" x="3419"/>
        <item m="1" x="3796"/>
        <item m="1" x="251"/>
        <item m="1" x="583"/>
        <item m="1" x="1021"/>
        <item m="1" x="1407"/>
        <item m="1" x="1794"/>
        <item m="1" x="2182"/>
        <item m="1" x="2570"/>
        <item m="1" x="2957"/>
        <item m="1" x="3344"/>
        <item m="1" x="3721"/>
        <item m="1" x="176"/>
        <item m="1" x="527"/>
        <item m="1" x="806"/>
        <item m="1" x="1114"/>
        <item m="1" x="1500"/>
        <item m="1" x="1887"/>
        <item m="1" x="2276"/>
        <item m="1" x="2663"/>
        <item m="1" x="3050"/>
        <item m="1" x="3437"/>
        <item m="1" x="3814"/>
        <item m="1" x="269"/>
        <item m="1" x="601"/>
        <item m="1" x="857"/>
        <item m="1" x="1210"/>
        <item m="1" x="1596"/>
        <item m="1" x="1983"/>
        <item m="1" x="2371"/>
        <item m="1" x="2758"/>
        <item m="1" x="3145"/>
        <item m="1" x="3532"/>
        <item m="1" x="3909"/>
        <item m="1" x="364"/>
        <item m="1" x="1043"/>
        <item m="1" x="1429"/>
        <item m="1" x="1816"/>
        <item m="1" x="2204"/>
        <item m="1" x="2592"/>
        <item m="1" x="2979"/>
        <item m="1" x="3366"/>
        <item m="1" x="3743"/>
        <item m="1" x="198"/>
        <item m="1" x="541"/>
        <item m="1" x="817"/>
        <item m="1" x="1136"/>
        <item m="1" x="1522"/>
        <item m="1" x="1909"/>
        <item m="1" x="2297"/>
        <item m="1" x="2684"/>
        <item m="1" x="3071"/>
        <item m="1" x="3458"/>
        <item m="1" x="3835"/>
        <item m="1" x="290"/>
        <item m="1" x="622"/>
        <item m="1" x="878"/>
        <item m="1" x="1242"/>
        <item m="1" x="1628"/>
        <item m="1" x="2015"/>
        <item m="1" x="2403"/>
        <item m="1" x="2790"/>
        <item m="1" x="3177"/>
        <item m="1" x="1065"/>
        <item m="1" x="1451"/>
        <item m="1" x="1838"/>
        <item m="1" x="2227"/>
        <item m="1" x="2614"/>
        <item m="1" x="3001"/>
        <item m="1" x="3388"/>
        <item m="1" x="3765"/>
        <item m="1" x="220"/>
        <item m="1" x="560"/>
        <item m="1" x="828"/>
        <item m="1" x="1157"/>
        <item m="1" x="1543"/>
        <item m="1" x="1930"/>
        <item m="1" x="2318"/>
        <item m="1" x="2705"/>
        <item m="1" x="3092"/>
        <item m="1" x="3479"/>
        <item m="1" x="3856"/>
        <item m="1" x="311"/>
        <item m="1" x="643"/>
        <item m="1" x="899"/>
        <item m="1" x="1274"/>
        <item m="1" x="1661"/>
        <item m="1" x="2048"/>
        <item m="1" x="2436"/>
        <item m="1" x="2823"/>
        <item m="1" x="3210"/>
        <item m="1" x="3587"/>
        <item m="1" x="3962"/>
        <item m="1" x="417"/>
        <item m="1" x="1088"/>
        <item m="1" x="1474"/>
        <item m="1" x="1861"/>
        <item m="1" x="2250"/>
        <item m="1" x="2637"/>
        <item m="1" x="3024"/>
        <item m="1" x="3411"/>
        <item m="1" x="3788"/>
        <item m="1" x="243"/>
        <item m="1" x="575"/>
        <item m="1" x="839"/>
        <item m="1" x="1178"/>
        <item m="1" x="1564"/>
        <item m="1" x="1951"/>
        <item m="1" x="2339"/>
        <item m="1" x="2726"/>
        <item m="1" x="3113"/>
        <item m="1" x="3500"/>
        <item m="1" x="3877"/>
        <item m="1" x="332"/>
        <item m="1" x="664"/>
        <item m="1" x="920"/>
        <item m="1" x="1306"/>
        <item m="1" x="1693"/>
        <item m="1" x="2080"/>
        <item m="1" x="2468"/>
        <item m="1" x="2855"/>
        <item m="1" x="3242"/>
        <item m="1" x="3619"/>
        <item m="1" x="3994"/>
        <item m="1" x="1110"/>
        <item m="1" x="1496"/>
        <item m="1" x="1883"/>
        <item m="1" x="2272"/>
        <item m="1" x="2659"/>
        <item m="1" x="3046"/>
        <item m="1" x="3433"/>
        <item m="1" x="3810"/>
        <item m="1" x="265"/>
        <item m="1" x="597"/>
        <item m="1" x="853"/>
        <item m="1" x="1203"/>
        <item m="1" x="1589"/>
        <item m="1" x="1976"/>
        <item m="1" x="2364"/>
        <item m="1" x="2751"/>
        <item m="1" x="3138"/>
        <item m="1" x="3525"/>
        <item m="1" x="3902"/>
        <item m="1" x="357"/>
        <item m="1" x="686"/>
        <item m="1" x="942"/>
        <item m="1" x="1328"/>
        <item m="1" x="1715"/>
        <item m="1" x="2102"/>
        <item m="1" x="2490"/>
        <item m="1" x="2877"/>
        <item m="1" x="3264"/>
        <item m="1" x="3641"/>
        <item m="1" x="96"/>
        <item m="1" x="460"/>
        <item m="1" x="1132"/>
        <item m="1" x="1518"/>
        <item m="1" x="1905"/>
        <item m="1" x="2293"/>
        <item m="1" x="2680"/>
        <item m="1" x="3067"/>
        <item m="1" x="3454"/>
        <item m="1" x="3831"/>
        <item m="1" x="286"/>
        <item m="1" x="618"/>
        <item m="1" x="874"/>
        <item m="1" x="1235"/>
        <item m="1" x="1621"/>
        <item m="1" x="2008"/>
        <item m="1" x="2396"/>
        <item m="1" x="2783"/>
        <item m="1" x="3170"/>
        <item m="1" x="3554"/>
        <item m="1" x="3931"/>
        <item m="1" x="386"/>
        <item m="1" x="707"/>
        <item m="1" x="963"/>
        <item m="1" x="1349"/>
        <item m="1" x="1736"/>
        <item m="1" x="2123"/>
        <item m="1" x="2511"/>
        <item m="1" x="2898"/>
        <item m="1" x="3285"/>
        <item m="1" x="3662"/>
        <item m="1" x="117"/>
        <item m="1" x="1153"/>
        <item m="1" x="1539"/>
        <item m="1" x="1926"/>
        <item m="1" x="2314"/>
        <item m="1" x="2701"/>
        <item m="1" x="3088"/>
        <item m="1" x="3475"/>
        <item m="1" x="3852"/>
        <item m="1" x="307"/>
        <item m="1" x="639"/>
        <item m="1" x="895"/>
        <item m="1" x="1267"/>
        <item m="1" x="1654"/>
        <item m="1" x="2041"/>
        <item m="1" x="2429"/>
        <item m="1" x="2816"/>
        <item m="1" x="3203"/>
        <item m="1" x="3580"/>
        <item m="1" x="3955"/>
        <item m="1" x="410"/>
        <item m="1" x="728"/>
        <item m="1" x="984"/>
        <item m="1" x="1370"/>
        <item m="1" x="1757"/>
        <item m="1" x="2144"/>
        <item m="1" x="2532"/>
        <item m="1" x="2919"/>
        <item m="1" x="3306"/>
        <item m="1" x="3683"/>
        <item m="1" x="138"/>
        <item m="1" x="492"/>
        <item m="1" x="1174"/>
        <item m="1" x="1560"/>
        <item m="1" x="1947"/>
        <item m="1" x="2335"/>
        <item m="1" x="2722"/>
        <item m="1" x="3109"/>
        <item m="1" x="3496"/>
        <item m="1" x="3873"/>
        <item m="1" x="328"/>
        <item m="1" x="660"/>
        <item m="1" x="916"/>
        <item m="1" x="1299"/>
        <item m="1" x="1686"/>
        <item m="1" x="2073"/>
        <item m="1" x="2461"/>
        <item m="1" x="2848"/>
        <item m="1" x="3235"/>
        <item m="1" x="3612"/>
        <item m="1" x="3987"/>
        <item m="1" x="439"/>
        <item m="1" x="749"/>
        <item m="1" x="1005"/>
        <item m="1" x="1391"/>
        <item m="1" x="1778"/>
        <item m="1" x="2166"/>
        <item m="1" x="2554"/>
        <item m="1" x="2941"/>
        <item m="1" x="3328"/>
        <item m="1" x="3705"/>
        <item m="1" x="160"/>
        <item m="1" x="514"/>
        <item m="1" x="1199"/>
        <item m="1" x="1585"/>
        <item m="1" x="1972"/>
        <item m="1" x="2360"/>
        <item m="1" x="2747"/>
        <item m="1" x="3134"/>
        <item m="1" x="3521"/>
        <item m="1" x="3898"/>
        <item m="1" x="353"/>
        <item m="1" x="682"/>
        <item m="1" x="938"/>
        <item m="1" x="1324"/>
        <item m="1" x="1711"/>
        <item m="1" x="2098"/>
        <item m="1" x="2486"/>
        <item m="1" x="2873"/>
        <item m="1" x="3260"/>
        <item m="1" x="3637"/>
        <item m="1" x="92"/>
        <item m="1" x="456"/>
        <item m="1" x="763"/>
        <item m="1" x="1030"/>
        <item m="1" x="1416"/>
        <item m="1" x="1803"/>
        <item m="1" x="2191"/>
        <item m="1" x="2579"/>
        <item m="1" x="2966"/>
        <item m="1" x="3353"/>
        <item m="1" x="3730"/>
        <item m="1" x="185"/>
        <item m="1" x="1231"/>
        <item m="1" x="1617"/>
        <item m="1" x="2004"/>
        <item m="1" x="2392"/>
        <item m="1" x="2779"/>
        <item m="1" x="3166"/>
        <item m="1" x="3550"/>
        <item m="1" x="3927"/>
        <item m="1" x="382"/>
        <item m="1" x="703"/>
        <item m="1" x="959"/>
        <item m="1" x="1345"/>
        <item m="1" x="1732"/>
        <item m="1" x="2119"/>
        <item m="1" x="2507"/>
        <item m="1" x="2894"/>
        <item m="1" x="3281"/>
        <item m="1" x="3658"/>
        <item m="1" x="113"/>
        <item m="1" x="474"/>
        <item m="1" x="774"/>
        <item m="1" x="1052"/>
        <item m="1" x="1438"/>
        <item m="1" x="1825"/>
        <item m="1" x="2214"/>
        <item m="1" x="2602"/>
        <item m="1" x="2989"/>
        <item m="1" x="3376"/>
        <item m="1" x="3753"/>
        <item m="1" x="208"/>
        <item m="1" x="551"/>
        <item m="1" x="1263"/>
        <item m="1" x="1650"/>
        <item m="1" x="2037"/>
        <item m="1" x="2425"/>
        <item m="1" x="2812"/>
        <item m="1" x="3199"/>
        <item m="1" x="3576"/>
        <item m="1" x="3951"/>
        <item m="1" x="406"/>
        <item m="1" x="724"/>
        <item m="1" x="980"/>
        <item m="1" x="1366"/>
        <item m="1" x="1753"/>
        <item m="1" x="2140"/>
        <item m="1" x="2528"/>
        <item m="1" x="2915"/>
        <item m="1" x="3302"/>
        <item m="1" x="3679"/>
        <item m="1" x="134"/>
        <item m="1" x="488"/>
        <item m="1" x="785"/>
        <item m="1" x="1075"/>
        <item m="1" x="1461"/>
        <item m="1" x="1848"/>
        <item m="1" x="2237"/>
        <item m="1" x="2624"/>
        <item m="1" x="3011"/>
        <item m="1" x="3398"/>
        <item m="1" x="3775"/>
        <item m="1" x="230"/>
        <item m="1" x="1295"/>
        <item m="1" x="1682"/>
        <item m="1" x="2069"/>
        <item m="1" x="2457"/>
        <item m="1" x="2844"/>
        <item m="1" x="3231"/>
        <item m="1" x="3608"/>
        <item m="1" x="3983"/>
        <item m="1" x="435"/>
        <item m="1" x="745"/>
        <item m="1" x="1001"/>
        <item m="1" x="1387"/>
        <item m="1" x="1774"/>
        <item m="1" x="2161"/>
        <item m="1" x="2549"/>
        <item m="1" x="2936"/>
        <item m="1" x="3323"/>
        <item m="1" x="3700"/>
        <item m="1" x="155"/>
        <item m="1" x="509"/>
        <item m="1" x="796"/>
        <item m="1" x="1097"/>
        <item m="1" x="1483"/>
        <item m="1" x="1870"/>
        <item m="1" x="2259"/>
        <item m="1" x="2646"/>
        <item m="1" x="3033"/>
        <item m="1" x="3420"/>
        <item m="1" x="3797"/>
        <item m="1" x="252"/>
        <item m="1" x="584"/>
        <item m="1" x="1022"/>
        <item m="1" x="1408"/>
        <item m="1" x="1795"/>
        <item m="1" x="2183"/>
        <item m="1" x="2571"/>
        <item m="1" x="2958"/>
        <item m="1" x="3345"/>
        <item m="1" x="3722"/>
        <item m="1" x="177"/>
        <item m="1" x="528"/>
        <item m="1" x="807"/>
        <item m="1" x="1116"/>
        <item m="1" x="1502"/>
        <item m="1" x="1889"/>
        <item m="1" x="2278"/>
        <item m="1" x="2665"/>
        <item m="1" x="3052"/>
        <item m="1" x="3439"/>
        <item m="1" x="3816"/>
        <item m="1" x="271"/>
        <item m="1" x="603"/>
        <item m="1" x="859"/>
        <item m="1" x="1212"/>
        <item m="1" x="1598"/>
        <item m="1" x="1985"/>
        <item m="1" x="2373"/>
        <item m="1" x="2760"/>
        <item m="1" x="3147"/>
        <item m="1" x="3534"/>
        <item m="1" x="3911"/>
        <item m="1" x="366"/>
        <item m="1" x="1044"/>
        <item m="1" x="1430"/>
        <item m="1" x="1817"/>
        <item m="1" x="2205"/>
        <item m="1" x="2593"/>
        <item m="1" x="2980"/>
        <item m="1" x="3367"/>
        <item m="1" x="3744"/>
        <item m="1" x="199"/>
        <item m="1" x="542"/>
        <item m="1" x="818"/>
        <item m="1" x="1138"/>
        <item m="1" x="1524"/>
        <item m="1" x="1911"/>
        <item m="1" x="2299"/>
        <item m="1" x="2686"/>
        <item m="1" x="3073"/>
        <item m="1" x="3460"/>
        <item m="1" x="3837"/>
        <item m="1" x="292"/>
        <item m="1" x="624"/>
        <item m="1" x="880"/>
        <item m="1" x="1244"/>
        <item m="1" x="1630"/>
        <item m="1" x="2017"/>
        <item m="1" x="2405"/>
        <item m="1" x="2792"/>
        <item m="1" x="3179"/>
        <item m="1" x="1066"/>
        <item m="1" x="1452"/>
        <item m="1" x="1839"/>
        <item m="1" x="2228"/>
        <item m="1" x="2615"/>
        <item m="1" x="3002"/>
        <item m="1" x="3389"/>
        <item m="1" x="3766"/>
        <item m="1" x="221"/>
        <item m="1" x="561"/>
        <item m="1" x="829"/>
        <item m="1" x="1159"/>
        <item m="1" x="1545"/>
        <item m="1" x="1932"/>
        <item m="1" x="2320"/>
        <item m="1" x="2707"/>
        <item m="1" x="3094"/>
        <item m="1" x="3481"/>
        <item m="1" x="3858"/>
        <item m="1" x="313"/>
        <item m="1" x="645"/>
        <item m="1" x="901"/>
        <item m="1" x="1276"/>
        <item m="1" x="1663"/>
        <item m="1" x="2050"/>
        <item m="1" x="2438"/>
        <item m="1" x="2825"/>
        <item m="1" x="3212"/>
        <item m="1" x="3589"/>
        <item m="1" x="3964"/>
        <item m="1" x="419"/>
        <item m="1" x="1089"/>
        <item m="1" x="1475"/>
        <item m="1" x="1862"/>
        <item m="1" x="2251"/>
        <item m="1" x="2638"/>
        <item m="1" x="3025"/>
        <item m="1" x="3412"/>
        <item m="1" x="3789"/>
        <item m="1" x="244"/>
        <item m="1" x="576"/>
        <item m="1" x="840"/>
        <item m="1" x="1180"/>
        <item m="1" x="1566"/>
        <item m="1" x="1953"/>
        <item m="1" x="2341"/>
        <item m="1" x="2728"/>
        <item m="1" x="3115"/>
        <item m="1" x="3502"/>
        <item m="1" x="3879"/>
        <item m="1" x="334"/>
        <item m="1" x="666"/>
        <item m="1" x="922"/>
        <item m="1" x="1308"/>
        <item m="1" x="1695"/>
        <item m="1" x="2082"/>
        <item m="1" x="2470"/>
        <item m="1" x="2857"/>
        <item m="1" x="3244"/>
        <item m="1" x="3621"/>
        <item m="1" x="3996"/>
        <item m="1" x="1111"/>
        <item m="1" x="1497"/>
        <item m="1" x="1884"/>
        <item m="1" x="2273"/>
        <item m="1" x="2660"/>
        <item m="1" x="3047"/>
        <item m="1" x="3434"/>
        <item m="1" x="3811"/>
        <item m="1" x="266"/>
        <item m="1" x="598"/>
        <item m="1" x="854"/>
        <item m="1" x="1205"/>
        <item m="1" x="1591"/>
        <item m="1" x="1978"/>
        <item m="1" x="2366"/>
        <item m="1" x="2753"/>
        <item m="1" x="3140"/>
        <item m="1" x="3527"/>
        <item m="1" x="3904"/>
        <item m="1" x="359"/>
        <item m="1" x="688"/>
        <item m="1" x="944"/>
        <item m="1" x="1330"/>
        <item m="1" x="1717"/>
        <item m="1" x="2104"/>
        <item m="1" x="2492"/>
        <item m="1" x="2879"/>
        <item m="1" x="3266"/>
        <item m="1" x="3643"/>
        <item m="1" x="98"/>
        <item m="1" x="462"/>
        <item m="1" x="1133"/>
        <item m="1" x="1519"/>
        <item m="1" x="1906"/>
        <item m="1" x="2294"/>
        <item m="1" x="2681"/>
        <item m="1" x="3068"/>
        <item m="1" x="3455"/>
        <item m="1" x="3832"/>
        <item m="1" x="287"/>
        <item m="1" x="619"/>
        <item m="1" x="875"/>
        <item m="1" x="1237"/>
        <item m="1" x="1623"/>
        <item m="1" x="2010"/>
        <item m="1" x="2398"/>
        <item m="1" x="2785"/>
        <item m="1" x="3172"/>
        <item m="1" x="3556"/>
        <item m="1" x="3933"/>
        <item m="1" x="388"/>
        <item m="1" x="709"/>
        <item m="1" x="965"/>
        <item m="1" x="1351"/>
        <item m="1" x="1738"/>
        <item m="1" x="2125"/>
        <item m="1" x="2513"/>
        <item m="1" x="2900"/>
        <item m="1" x="3287"/>
        <item m="1" x="3664"/>
        <item m="1" x="119"/>
        <item m="1" x="1154"/>
        <item m="1" x="1540"/>
        <item m="1" x="1927"/>
        <item m="1" x="2315"/>
        <item m="1" x="2702"/>
        <item m="1" x="3089"/>
        <item m="1" x="3476"/>
        <item m="1" x="3853"/>
        <item m="1" x="308"/>
        <item m="1" x="640"/>
        <item m="1" x="896"/>
        <item m="1" x="1269"/>
        <item m="1" x="1656"/>
        <item m="1" x="2043"/>
        <item m="1" x="2431"/>
        <item m="1" x="2818"/>
        <item m="1" x="3205"/>
        <item m="1" x="3582"/>
        <item m="1" x="3957"/>
        <item m="1" x="412"/>
        <item m="1" x="730"/>
        <item m="1" x="986"/>
        <item m="1" x="1372"/>
        <item m="1" x="1759"/>
        <item m="1" x="2146"/>
        <item m="1" x="2534"/>
        <item m="1" x="2921"/>
        <item m="1" x="3308"/>
        <item m="1" x="3685"/>
        <item m="1" x="140"/>
        <item m="1" x="494"/>
        <item m="1" x="1175"/>
        <item m="1" x="1561"/>
        <item m="1" x="1948"/>
        <item m="1" x="2336"/>
        <item m="1" x="2723"/>
        <item m="1" x="3110"/>
        <item m="1" x="3497"/>
        <item m="1" x="3874"/>
        <item m="1" x="329"/>
        <item m="1" x="661"/>
        <item m="1" x="917"/>
        <item m="1" x="1301"/>
        <item m="1" x="1688"/>
        <item m="1" x="2075"/>
        <item m="1" x="2463"/>
        <item m="1" x="2850"/>
        <item m="1" x="3237"/>
        <item m="1" x="3614"/>
        <item m="1" x="3989"/>
        <item m="1" x="441"/>
        <item m="1" x="751"/>
        <item m="1" x="1007"/>
        <item m="1" x="1393"/>
        <item m="1" x="1780"/>
        <item m="1" x="2168"/>
        <item m="1" x="2556"/>
        <item m="1" x="2943"/>
        <item m="1" x="3330"/>
        <item m="1" x="3707"/>
        <item m="1" x="162"/>
        <item m="1" x="516"/>
        <item m="1" x="1200"/>
        <item m="1" x="1586"/>
        <item m="1" x="1973"/>
        <item m="1" x="2361"/>
        <item m="1" x="2748"/>
        <item m="1" x="3135"/>
        <item m="1" x="3522"/>
        <item m="1" x="3899"/>
        <item m="1" x="354"/>
        <item m="1" x="683"/>
        <item m="1" x="939"/>
        <item m="1" x="1325"/>
        <item m="1" x="1712"/>
        <item m="1" x="2099"/>
        <item m="1" x="2487"/>
        <item m="1" x="2874"/>
        <item m="1" x="3261"/>
        <item m="1" x="3638"/>
        <item m="1" x="93"/>
        <item m="1" x="457"/>
        <item m="1" x="764"/>
        <item m="1" x="1031"/>
        <item m="1" x="1417"/>
        <item m="1" x="1804"/>
        <item m="1" x="2192"/>
        <item m="1" x="2580"/>
        <item m="1" x="2967"/>
        <item m="1" x="3354"/>
        <item m="1" x="3731"/>
        <item m="1" x="186"/>
        <item m="1" x="1232"/>
        <item m="1" x="1618"/>
        <item m="1" x="2005"/>
        <item m="1" x="2393"/>
        <item m="1" x="2780"/>
        <item m="1" x="3167"/>
        <item m="1" x="3551"/>
        <item m="1" x="3928"/>
        <item m="1" x="383"/>
        <item m="1" x="704"/>
        <item m="1" x="960"/>
        <item m="1" x="1346"/>
        <item m="1" x="1733"/>
        <item m="1" x="2120"/>
        <item m="1" x="2508"/>
        <item m="1" x="2895"/>
        <item m="1" x="3282"/>
        <item m="1" x="3659"/>
        <item m="1" x="114"/>
        <item m="1" x="475"/>
        <item m="1" x="775"/>
        <item m="1" x="1053"/>
        <item m="1" x="1439"/>
        <item m="1" x="1826"/>
        <item m="1" x="2215"/>
        <item m="1" x="2603"/>
        <item m="1" x="2990"/>
        <item m="1" x="3377"/>
        <item m="1" x="3754"/>
        <item m="1" x="209"/>
        <item m="1" x="552"/>
        <item m="1" x="1264"/>
        <item m="1" x="1651"/>
        <item m="1" x="2038"/>
        <item m="1" x="2426"/>
        <item m="1" x="2813"/>
        <item m="1" x="3200"/>
        <item m="1" x="3577"/>
        <item m="1" x="3952"/>
        <item m="1" x="407"/>
        <item m="1" x="725"/>
        <item m="1" x="981"/>
        <item m="1" x="1367"/>
        <item m="1" x="1754"/>
        <item m="1" x="2141"/>
        <item m="1" x="2529"/>
        <item m="1" x="2916"/>
        <item m="1" x="3303"/>
        <item m="1" x="3680"/>
        <item m="1" x="135"/>
        <item m="1" x="489"/>
        <item m="1" x="786"/>
        <item m="1" x="1076"/>
        <item m="1" x="1462"/>
        <item m="1" x="1849"/>
        <item m="1" x="2238"/>
        <item m="1" x="2625"/>
        <item m="1" x="3012"/>
        <item m="1" x="3399"/>
        <item m="1" x="3776"/>
        <item m="1" x="231"/>
        <item m="1" x="1296"/>
        <item m="1" x="1683"/>
        <item m="1" x="2070"/>
        <item m="1" x="2458"/>
        <item m="1" x="2845"/>
        <item m="1" x="3232"/>
        <item m="1" x="3609"/>
        <item m="1" x="3984"/>
        <item m="1" x="436"/>
        <item m="1" x="746"/>
        <item m="1" x="1002"/>
        <item m="1" x="1388"/>
        <item m="1" x="1775"/>
        <item m="1" x="2162"/>
        <item m="1" x="2550"/>
        <item m="1" x="2937"/>
        <item m="1" x="3324"/>
        <item m="1" x="3701"/>
        <item m="1" x="156"/>
        <item m="1" x="510"/>
        <item m="1" x="797"/>
        <item m="1" x="1098"/>
        <item m="1" x="1484"/>
        <item m="1" x="1871"/>
        <item m="1" x="2260"/>
        <item m="1" x="2647"/>
        <item m="1" x="3034"/>
        <item m="1" x="3421"/>
        <item m="1" x="3798"/>
        <item m="1" x="253"/>
        <item m="1" x="585"/>
        <item m="1" x="1023"/>
        <item m="1" x="1409"/>
        <item m="1" x="1796"/>
        <item m="1" x="2184"/>
        <item m="1" x="2572"/>
        <item m="1" x="2959"/>
        <item m="1" x="3346"/>
        <item m="1" x="3723"/>
        <item m="1" x="178"/>
        <item m="1" x="529"/>
        <item m="1" x="808"/>
        <item m="1" x="1118"/>
        <item m="1" x="1504"/>
        <item m="1" x="1891"/>
        <item m="1" x="2280"/>
        <item m="1" x="2667"/>
        <item m="1" x="3054"/>
        <item m="1" x="3441"/>
        <item m="1" x="3818"/>
        <item m="1" x="273"/>
        <item m="1" x="605"/>
        <item m="1" x="861"/>
        <item m="1" x="1214"/>
        <item m="1" x="1600"/>
        <item m="1" x="1987"/>
        <item m="1" x="2375"/>
        <item m="1" x="2762"/>
        <item m="1" x="3149"/>
        <item m="1" x="3536"/>
        <item m="1" x="3913"/>
        <item m="1" x="368"/>
        <item m="1" x="1045"/>
        <item m="1" x="1431"/>
        <item m="1" x="1818"/>
        <item m="1" x="2206"/>
        <item m="1" x="2594"/>
        <item m="1" x="2981"/>
        <item m="1" x="3368"/>
        <item m="1" x="3745"/>
        <item m="1" x="200"/>
        <item m="1" x="543"/>
        <item m="1" x="819"/>
        <item m="1" x="1140"/>
        <item m="1" x="1526"/>
        <item m="1" x="1913"/>
        <item m="1" x="2301"/>
        <item m="1" x="2688"/>
        <item m="1" x="3075"/>
        <item m="1" x="3462"/>
        <item m="1" x="3839"/>
        <item m="1" x="294"/>
        <item m="1" x="626"/>
        <item m="1" x="882"/>
        <item m="1" x="1246"/>
        <item m="1" x="1632"/>
        <item m="1" x="2019"/>
        <item m="1" x="2407"/>
        <item m="1" x="2794"/>
        <item m="1" x="3181"/>
        <item m="1" x="1067"/>
        <item m="1" x="1453"/>
        <item m="1" x="1840"/>
        <item m="1" x="2229"/>
        <item m="1" x="2616"/>
        <item m="1" x="3003"/>
        <item m="1" x="3390"/>
        <item m="1" x="3767"/>
        <item m="1" x="222"/>
        <item m="1" x="5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m="1" x="1644"/>
        <item m="1" x="2031"/>
        <item m="1" x="2419"/>
        <item m="1" x="2806"/>
        <item m="1" x="3193"/>
        <item m="1" x="3570"/>
        <item m="1" x="3945"/>
        <item m="1" x="400"/>
        <item m="1" x="1080"/>
        <item m="1" x="1466"/>
        <item m="1" x="1853"/>
        <item m="1" x="2242"/>
        <item m="1" x="2629"/>
        <item m="1" x="3016"/>
        <item m="1" x="3403"/>
        <item m="1" x="3780"/>
        <item m="1" x="235"/>
        <item m="1" x="567"/>
        <item m="1" x="834"/>
        <item m="1" x="1169"/>
        <item m="1" x="1555"/>
        <item m="1" x="1942"/>
        <item m="1" x="2330"/>
        <item m="1" x="2717"/>
        <item m="1" x="3104"/>
        <item m="1" x="3491"/>
        <item m="1" x="3868"/>
        <item m="1" x="323"/>
        <item m="1" x="655"/>
        <item m="1" x="911"/>
        <item m="1" x="1289"/>
        <item m="1" x="1676"/>
        <item m="1" x="2063"/>
        <item m="1" x="2451"/>
        <item m="1" x="2838"/>
        <item m="1" x="3225"/>
        <item m="1" x="3602"/>
        <item m="1" x="3977"/>
        <item m="1" x="1102"/>
        <item m="1" x="1488"/>
        <item m="1" x="1875"/>
        <item m="1" x="2264"/>
        <item m="1" x="2651"/>
        <item m="1" x="3038"/>
        <item m="1" x="3425"/>
        <item m="1" x="3802"/>
        <item m="1" x="257"/>
        <item m="1" x="589"/>
        <item m="1" x="845"/>
        <item m="1" x="1190"/>
        <item m="1" x="1576"/>
        <item m="1" x="1963"/>
        <item m="1" x="2351"/>
        <item m="1" x="2738"/>
        <item m="1" x="3125"/>
        <item m="1" x="2207"/>
        <item m="1" x="2595"/>
        <item m="1" x="2982"/>
        <item m="1" x="3369"/>
        <item m="1" x="3746"/>
        <item m="1" x="201"/>
        <item m="1" x="544"/>
        <item m="1" x="820"/>
        <item m="1" x="1142"/>
        <item m="1" x="1528"/>
        <item m="1" x="1915"/>
        <item m="1" x="2303"/>
        <item m="1" x="2690"/>
        <item m="1" x="3077"/>
        <item m="1" x="3464"/>
        <item m="1" x="3841"/>
        <item m="1" x="296"/>
        <item m="1" x="628"/>
        <item m="1" x="884"/>
        <item m="1" x="1248"/>
        <item m="1" x="1634"/>
        <item m="1" x="2021"/>
        <item m="1" x="2409"/>
        <item m="1" x="2796"/>
        <item m="1" x="3183"/>
        <item m="1" x="1068"/>
        <item m="1" x="1454"/>
        <item m="1" x="1841"/>
        <item m="1" x="2230"/>
        <item m="1" x="2617"/>
        <item m="1" x="3004"/>
        <item m="1" x="3391"/>
        <item m="1" x="3768"/>
        <item m="1" x="223"/>
        <item m="1" x="563"/>
        <item m="1" x="830"/>
        <item m="1" x="1162"/>
        <item m="1" x="1548"/>
        <item m="1" x="1935"/>
        <item m="1" x="2323"/>
        <item m="1" x="2710"/>
        <item m="1" x="3097"/>
        <item m="1" x="3484"/>
        <item m="1" x="3861"/>
        <item m="1" x="316"/>
        <item m="1" x="648"/>
        <item m="1" x="904"/>
        <item m="1" x="1279"/>
        <item m="1" x="1666"/>
        <item m="1" x="2053"/>
        <item m="1" x="2441"/>
        <item m="1" x="2828"/>
        <item m="1" x="3215"/>
        <item m="1" x="3592"/>
        <item m="1" x="3967"/>
        <item m="1" x="422"/>
        <item m="1" x="1090"/>
        <item m="1" x="1476"/>
        <item m="1" x="1863"/>
        <item m="1" x="2252"/>
        <item m="1" x="2639"/>
        <item m="1" x="3026"/>
        <item m="1" x="3413"/>
        <item m="1" x="3790"/>
        <item m="1" x="245"/>
        <item m="1" x="577"/>
        <item m="1" x="841"/>
        <item m="1" x="1183"/>
        <item m="1" x="1569"/>
        <item m="1" x="1956"/>
        <item m="1" x="2344"/>
        <item m="1" x="2731"/>
        <item m="1" x="3118"/>
        <item m="1" x="3505"/>
        <item m="1" x="3882"/>
        <item m="1" x="337"/>
        <item m="1" x="669"/>
        <item m="1" x="925"/>
        <item m="1" x="1311"/>
        <item m="1" x="1698"/>
        <item m="1" x="2085"/>
        <item m="1" x="2473"/>
        <item m="1" x="2860"/>
        <item m="1" x="3247"/>
        <item m="1" x="3624"/>
        <item m="1" x="3999"/>
        <item m="1" x="1115"/>
        <item m="1" x="1501"/>
        <item m="1" x="1888"/>
        <item m="1" x="2277"/>
        <item m="1" x="2664"/>
        <item m="1" x="3051"/>
        <item m="1" x="3438"/>
        <item m="1" x="3815"/>
        <item m="1" x="270"/>
        <item m="1" x="602"/>
        <item m="1" x="858"/>
        <item m="1" x="1211"/>
        <item m="1" x="1597"/>
        <item m="1" x="1984"/>
        <item m="1" x="2372"/>
        <item m="1" x="2759"/>
        <item m="1" x="3146"/>
        <item m="1" x="3533"/>
        <item m="1" x="3910"/>
        <item m="1" x="365"/>
        <item m="1" x="691"/>
        <item m="1" x="947"/>
        <item m="1" x="1333"/>
        <item m="1" x="1720"/>
        <item m="1" x="2107"/>
        <item m="1" x="2495"/>
        <item m="1" x="2882"/>
        <item m="1" x="3269"/>
        <item m="1" x="3646"/>
        <item m="1" x="101"/>
        <item m="1" x="465"/>
        <item m="1" x="1137"/>
        <item m="1" x="1523"/>
        <item m="1" x="1910"/>
        <item m="1" x="2298"/>
        <item m="1" x="2685"/>
        <item m="1" x="3072"/>
        <item m="1" x="3459"/>
        <item m="1" x="3836"/>
        <item m="1" x="291"/>
        <item m="1" x="623"/>
        <item m="1" x="879"/>
        <item m="1" x="1243"/>
        <item m="1" x="1629"/>
        <item m="1" x="2016"/>
        <item m="1" x="2404"/>
        <item m="1" x="2791"/>
        <item m="1" x="3178"/>
        <item m="1" x="3560"/>
        <item m="1" x="3936"/>
        <item m="1" x="391"/>
        <item m="1" x="712"/>
        <item m="1" x="968"/>
        <item m="1" x="1354"/>
        <item m="1" x="1741"/>
        <item m="1" x="2128"/>
        <item m="1" x="2516"/>
        <item m="1" x="2903"/>
        <item m="1" x="3290"/>
        <item m="1" x="3667"/>
        <item m="1" x="122"/>
        <item m="1" x="1158"/>
        <item m="1" x="1544"/>
        <item m="1" x="1931"/>
        <item m="1" x="2319"/>
        <item m="1" x="2706"/>
        <item m="1" x="3093"/>
        <item m="1" x="3480"/>
        <item m="1" x="3857"/>
        <item m="1" x="312"/>
        <item m="1" x="644"/>
        <item m="1" x="900"/>
        <item m="1" x="1275"/>
        <item m="1" x="1662"/>
        <item m="1" x="2049"/>
        <item m="1" x="2437"/>
        <item m="1" x="2824"/>
        <item m="1" x="3211"/>
        <item m="1" x="3588"/>
        <item m="1" x="3963"/>
        <item m="1" x="418"/>
        <item m="1" x="733"/>
        <item m="1" x="989"/>
        <item m="1" x="1375"/>
        <item m="1" x="1762"/>
        <item m="1" x="2149"/>
        <item m="1" x="2537"/>
        <item m="1" x="2924"/>
        <item m="1" x="3311"/>
        <item m="1" x="3688"/>
        <item m="1" x="143"/>
        <item m="1" x="497"/>
        <item m="1" x="1179"/>
        <item m="1" x="1565"/>
        <item m="1" x="1952"/>
        <item m="1" x="2340"/>
        <item m="1" x="2727"/>
        <item m="1" x="3114"/>
        <item m="1" x="3501"/>
        <item m="1" x="3878"/>
        <item m="1" x="333"/>
        <item m="1" x="665"/>
        <item m="1" x="921"/>
        <item m="1" x="1307"/>
        <item m="1" x="1694"/>
        <item m="1" x="2081"/>
        <item m="1" x="2469"/>
        <item m="1" x="2856"/>
        <item m="1" x="3243"/>
        <item m="1" x="3620"/>
        <item m="1" x="3995"/>
        <item m="1" x="444"/>
        <item m="1" x="754"/>
        <item m="1" x="1010"/>
        <item m="1" x="1396"/>
        <item m="1" x="1783"/>
        <item m="1" x="2171"/>
        <item m="1" x="2559"/>
        <item m="1" x="2946"/>
        <item m="1" x="3333"/>
        <item m="1" x="3710"/>
        <item m="1" x="165"/>
        <item m="1" x="519"/>
        <item m="1" x="1204"/>
        <item m="1" x="1590"/>
        <item m="1" x="1977"/>
        <item m="1" x="2365"/>
        <item m="1" x="2752"/>
        <item m="1" x="3139"/>
        <item m="1" x="3526"/>
        <item m="1" x="3903"/>
        <item m="1" x="358"/>
        <item m="1" x="687"/>
        <item m="1" x="943"/>
        <item m="1" x="1329"/>
        <item m="1" x="1716"/>
        <item m="1" x="2103"/>
        <item m="1" x="2491"/>
        <item m="1" x="2878"/>
        <item m="1" x="3265"/>
        <item m="1" x="3642"/>
        <item m="1" x="97"/>
        <item m="1" x="461"/>
        <item m="1" x="765"/>
        <item m="1" x="1032"/>
        <item m="1" x="1418"/>
        <item m="1" x="1805"/>
        <item m="1" x="2193"/>
        <item m="1" x="2581"/>
        <item m="1" x="2968"/>
        <item m="1" x="3355"/>
        <item m="1" x="3732"/>
        <item m="1" x="187"/>
        <item m="1" x="1236"/>
        <item m="1" x="1622"/>
        <item m="1" x="2009"/>
        <item m="1" x="2397"/>
        <item m="1" x="2784"/>
        <item m="1" x="3171"/>
        <item m="1" x="3555"/>
        <item m="1" x="3932"/>
        <item m="1" x="387"/>
        <item m="1" x="708"/>
        <item m="1" x="964"/>
        <item m="1" x="1350"/>
        <item m="1" x="1737"/>
        <item m="1" x="2124"/>
        <item m="1" x="2512"/>
        <item m="1" x="2899"/>
        <item m="1" x="3286"/>
        <item m="1" x="3663"/>
        <item m="1" x="118"/>
        <item m="1" x="476"/>
        <item m="1" x="776"/>
        <item m="1" x="1054"/>
        <item m="1" x="1440"/>
        <item m="1" x="1827"/>
        <item m="1" x="2216"/>
        <item m="1" x="2604"/>
        <item m="1" x="2991"/>
        <item m="1" x="3378"/>
        <item m="1" x="3755"/>
        <item m="1" x="210"/>
        <item m="1" x="553"/>
        <item m="1" x="1268"/>
        <item m="1" x="1655"/>
        <item m="1" x="2042"/>
        <item m="1" x="2430"/>
        <item m="1" x="2817"/>
        <item m="1" x="3204"/>
        <item m="1" x="3581"/>
        <item m="1" x="3956"/>
        <item m="1" x="411"/>
        <item m="1" x="729"/>
        <item m="1" x="985"/>
        <item m="1" x="1371"/>
        <item m="1" x="1758"/>
        <item m="1" x="2145"/>
        <item m="1" x="2533"/>
        <item m="1" x="2920"/>
        <item m="1" x="3307"/>
        <item m="1" x="3684"/>
        <item m="1" x="139"/>
        <item m="1" x="493"/>
        <item m="1" x="787"/>
        <item m="1" x="1077"/>
        <item m="1" x="1463"/>
        <item m="1" x="1850"/>
        <item m="1" x="2239"/>
        <item m="1" x="2626"/>
        <item m="1" x="3013"/>
        <item m="1" x="3400"/>
        <item m="1" x="3777"/>
        <item m="1" x="232"/>
        <item m="1" x="1300"/>
        <item m="1" x="1687"/>
        <item m="1" x="2074"/>
        <item m="1" x="2462"/>
        <item m="1" x="2849"/>
        <item m="1" x="3236"/>
        <item m="1" x="3613"/>
        <item m="1" x="3988"/>
        <item m="1" x="440"/>
        <item m="1" x="750"/>
        <item m="1" x="1006"/>
        <item m="1" x="1392"/>
        <item m="1" x="1779"/>
        <item m="1" x="2167"/>
        <item m="1" x="2555"/>
        <item m="1" x="2942"/>
        <item m="1" x="3329"/>
        <item m="1" x="3706"/>
        <item m="1" x="161"/>
        <item m="1" x="515"/>
        <item m="1" x="798"/>
        <item m="1" x="1099"/>
        <item m="1" x="1485"/>
        <item m="1" x="1872"/>
        <item m="1" x="2261"/>
        <item m="1" x="2648"/>
        <item m="1" x="3035"/>
        <item m="1" x="3422"/>
        <item m="1" x="3799"/>
        <item m="1" x="254"/>
        <item m="1" x="586"/>
        <item m="1" x="1024"/>
        <item m="1" x="1410"/>
        <item m="1" x="1797"/>
        <item m="1" x="2185"/>
        <item m="1" x="2573"/>
        <item m="1" x="2960"/>
        <item m="1" x="3347"/>
        <item m="1" x="3724"/>
        <item m="1" x="179"/>
        <item m="1" x="530"/>
        <item m="1" x="809"/>
        <item m="1" x="1121"/>
        <item m="1" x="1507"/>
        <item m="1" x="1894"/>
        <item m="1" x="2282"/>
        <item m="1" x="2669"/>
        <item m="1" x="3056"/>
        <item m="1" x="3443"/>
        <item m="1" x="3820"/>
        <item m="1" x="275"/>
        <item m="1" x="607"/>
        <item m="1" x="863"/>
        <item m="1" x="1216"/>
        <item m="1" x="1602"/>
        <item m="1" x="1989"/>
        <item m="1" x="2377"/>
        <item m="1" x="2764"/>
        <item m="1" x="3151"/>
        <item m="1" x="3538"/>
        <item m="1" x="3915"/>
        <item m="1" x="370"/>
        <item m="1" x="1046"/>
        <item m="1" x="1432"/>
        <item m="1" x="1819"/>
        <item m="1" x="2208"/>
        <item m="1" x="2596"/>
        <item m="1" x="2983"/>
        <item m="1" x="3370"/>
        <item m="1" x="3747"/>
        <item m="1" x="202"/>
        <item m="1" x="545"/>
        <item m="1" x="821"/>
        <item m="1" x="1143"/>
        <item m="1" x="1529"/>
        <item m="1" x="1916"/>
        <item m="1" x="2304"/>
        <item m="1" x="2691"/>
        <item m="1" x="3078"/>
        <item m="1" x="3465"/>
        <item m="1" x="3842"/>
        <item m="1" x="297"/>
        <item m="1" x="629"/>
        <item m="1" x="885"/>
        <item m="1" x="1249"/>
        <item m="1" x="1635"/>
        <item m="1" x="2022"/>
        <item m="1" x="2410"/>
        <item m="1" x="2797"/>
        <item m="1" x="3184"/>
        <item m="1" x="1069"/>
        <item m="1" x="1455"/>
        <item m="1" x="1842"/>
        <item m="1" x="2231"/>
        <item m="1" x="2618"/>
        <item m="1" x="3005"/>
        <item m="1" x="3392"/>
        <item m="1" x="3769"/>
        <item m="1" x="224"/>
        <item m="1" x="564"/>
        <item m="1" x="831"/>
        <item m="1" x="1163"/>
        <item m="1" x="1549"/>
        <item m="1" x="1936"/>
        <item m="1" x="2324"/>
        <item m="1" x="2711"/>
        <item m="1" x="3098"/>
        <item m="1" x="3485"/>
        <item m="1" x="3862"/>
        <item m="1" x="317"/>
        <item m="1" x="649"/>
        <item m="1" x="905"/>
        <item m="1" x="1280"/>
        <item m="1" x="1667"/>
        <item m="1" x="2054"/>
        <item m="1" x="2442"/>
        <item m="1" x="2829"/>
        <item m="1" x="3216"/>
        <item m="1" x="3593"/>
        <item m="1" x="3968"/>
        <item m="1" x="423"/>
        <item m="1" x="1091"/>
        <item m="1" x="1477"/>
        <item m="1" x="1864"/>
        <item m="1" x="2253"/>
        <item m="1" x="2640"/>
        <item m="1" x="3027"/>
        <item m="1" x="3414"/>
        <item m="1" x="3791"/>
        <item m="1" x="246"/>
        <item m="1" x="578"/>
        <item m="1" x="842"/>
        <item m="1" x="1184"/>
        <item m="1" x="1570"/>
        <item m="1" x="1957"/>
        <item m="1" x="2345"/>
        <item m="1" x="2732"/>
        <item m="1" x="3119"/>
        <item m="1" x="3506"/>
        <item m="1" x="3883"/>
        <item m="1" x="338"/>
        <item m="1" x="670"/>
        <item m="1" x="926"/>
        <item m="1" x="1312"/>
        <item m="1" x="1699"/>
        <item m="1" x="2086"/>
        <item m="1" x="2474"/>
        <item m="1" x="2861"/>
        <item m="1" x="3248"/>
        <item m="1" x="3625"/>
        <item m="1" x="4000"/>
        <item m="1" x="1117"/>
        <item m="1" x="1503"/>
        <item m="1" x="1890"/>
        <item m="1" x="2279"/>
        <item m="1" x="2666"/>
        <item m="1" x="3053"/>
        <item m="1" x="3440"/>
        <item m="1" x="3817"/>
        <item m="1" x="272"/>
        <item m="1" x="604"/>
        <item m="1" x="860"/>
        <item m="1" x="1213"/>
        <item m="1" x="1599"/>
        <item m="1" x="1986"/>
        <item m="1" x="2374"/>
        <item m="1" x="2761"/>
        <item m="1" x="3148"/>
        <item m="1" x="3535"/>
        <item m="1" x="3912"/>
        <item m="1" x="367"/>
        <item m="1" x="692"/>
        <item m="1" x="948"/>
        <item m="1" x="1334"/>
        <item m="1" x="1721"/>
        <item m="1" x="2108"/>
        <item m="1" x="2496"/>
        <item m="1" x="2883"/>
        <item m="1" x="3270"/>
        <item m="1" x="3647"/>
        <item m="1" x="102"/>
        <item m="1" x="466"/>
        <item m="1" x="1139"/>
        <item m="1" x="1525"/>
        <item m="1" x="1912"/>
        <item m="1" x="2300"/>
        <item m="1" x="2687"/>
        <item m="1" x="3074"/>
        <item m="1" x="3461"/>
        <item m="1" x="3838"/>
        <item m="1" x="293"/>
        <item m="1" x="625"/>
        <item m="1" x="881"/>
        <item m="1" x="1245"/>
        <item m="1" x="1631"/>
        <item m="1" x="2018"/>
        <item m="1" x="2406"/>
        <item m="1" x="2793"/>
        <item m="1" x="3180"/>
        <item m="1" x="3561"/>
        <item m="1" x="3937"/>
        <item m="1" x="392"/>
        <item m="1" x="713"/>
        <item m="1" x="969"/>
        <item m="1" x="1355"/>
        <item m="1" x="1742"/>
        <item m="1" x="2129"/>
        <item m="1" x="2517"/>
        <item m="1" x="2904"/>
        <item m="1" x="3291"/>
        <item m="1" x="3668"/>
        <item m="1" x="123"/>
        <item m="1" x="1160"/>
        <item m="1" x="1546"/>
        <item m="1" x="1933"/>
        <item m="1" x="2321"/>
        <item m="1" x="2708"/>
        <item m="1" x="3095"/>
        <item m="1" x="3482"/>
        <item m="1" x="3859"/>
        <item m="1" x="314"/>
        <item m="1" x="646"/>
        <item m="1" x="902"/>
        <item m="1" x="1277"/>
        <item m="1" x="1664"/>
        <item m="1" x="2051"/>
        <item m="1" x="2439"/>
        <item m="1" x="2826"/>
        <item m="1" x="3213"/>
        <item m="1" x="3590"/>
        <item m="1" x="3965"/>
        <item m="1" x="420"/>
        <item m="1" x="734"/>
        <item m="1" x="990"/>
        <item m="1" x="1376"/>
        <item m="1" x="1763"/>
        <item m="1" x="2150"/>
        <item m="1" x="2538"/>
        <item m="1" x="2925"/>
        <item m="1" x="3312"/>
        <item m="1" x="3689"/>
        <item m="1" x="144"/>
        <item m="1" x="498"/>
        <item m="1" x="1181"/>
        <item m="1" x="1567"/>
        <item m="1" x="1954"/>
        <item m="1" x="2342"/>
        <item m="1" x="2729"/>
        <item m="1" x="3116"/>
        <item m="1" x="3503"/>
        <item m="1" x="3880"/>
        <item m="1" x="335"/>
        <item m="1" x="667"/>
        <item m="1" x="923"/>
        <item m="1" x="1309"/>
        <item m="1" x="1696"/>
        <item m="1" x="2083"/>
        <item m="1" x="2471"/>
        <item m="1" x="2858"/>
        <item m="1" x="3245"/>
        <item m="1" x="3622"/>
        <item m="1" x="3997"/>
        <item m="1" x="445"/>
        <item m="1" x="755"/>
        <item m="1" x="1011"/>
        <item m="1" x="1397"/>
        <item m="1" x="1784"/>
        <item m="1" x="2172"/>
        <item m="1" x="2560"/>
        <item m="1" x="2947"/>
        <item m="1" x="3334"/>
        <item m="1" x="3711"/>
        <item m="1" x="166"/>
        <item m="1" x="520"/>
        <item m="1" x="1206"/>
        <item m="1" x="1592"/>
        <item m="1" x="1979"/>
        <item m="1" x="2367"/>
        <item m="1" x="2754"/>
        <item m="1" x="3141"/>
        <item m="1" x="3528"/>
        <item m="1" x="3905"/>
        <item m="1" x="360"/>
        <item m="1" x="689"/>
        <item m="1" x="945"/>
        <item m="1" x="1331"/>
        <item m="1" x="1718"/>
        <item m="1" x="2105"/>
        <item m="1" x="2493"/>
        <item m="1" x="2880"/>
        <item m="1" x="3267"/>
        <item m="1" x="3644"/>
        <item m="1" x="99"/>
        <item m="1" x="463"/>
        <item m="1" x="766"/>
        <item m="1" x="1033"/>
        <item m="1" x="1419"/>
        <item m="1" x="1806"/>
        <item m="1" x="2194"/>
        <item m="1" x="2582"/>
        <item m="1" x="2969"/>
        <item m="1" x="3356"/>
        <item m="1" x="3733"/>
        <item m="1" x="188"/>
        <item m="1" x="1238"/>
        <item m="1" x="1624"/>
        <item m="1" x="2011"/>
        <item m="1" x="2399"/>
        <item m="1" x="2786"/>
        <item m="1" x="3173"/>
        <item m="1" x="3557"/>
        <item m="1" x="3934"/>
        <item m="1" x="389"/>
        <item m="1" x="710"/>
        <item m="1" x="966"/>
        <item m="1" x="1352"/>
        <item m="1" x="1739"/>
        <item m="1" x="2126"/>
        <item m="1" x="2514"/>
        <item m="1" x="2901"/>
        <item m="1" x="3288"/>
        <item m="1" x="3665"/>
        <item m="1" x="120"/>
        <item m="1" x="477"/>
        <item m="1" x="777"/>
        <item m="1" x="1055"/>
        <item m="1" x="1441"/>
        <item m="1" x="1828"/>
        <item m="1" x="2217"/>
        <item m="1" x="2605"/>
        <item m="1" x="2992"/>
        <item m="1" x="3379"/>
        <item m="1" x="3756"/>
        <item m="1" x="211"/>
        <item m="1" x="554"/>
        <item m="1" x="1270"/>
        <item m="1" x="1657"/>
        <item m="1" x="2044"/>
        <item m="1" x="2432"/>
        <item m="1" x="2819"/>
        <item m="1" x="3206"/>
        <item m="1" x="3583"/>
        <item m="1" x="3958"/>
        <item m="1" x="413"/>
        <item m="1" x="731"/>
        <item m="1" x="987"/>
        <item m="1" x="1373"/>
        <item m="1" x="1760"/>
        <item m="1" x="2147"/>
        <item m="1" x="2535"/>
        <item m="1" x="2922"/>
        <item m="1" x="3309"/>
        <item m="1" x="3686"/>
        <item m="1" x="141"/>
        <item m="1" x="495"/>
        <item m="1" x="788"/>
        <item m="1" x="1078"/>
        <item m="1" x="1464"/>
        <item m="1" x="1851"/>
        <item m="1" x="2240"/>
        <item m="1" x="2627"/>
        <item m="1" x="3014"/>
        <item m="1" x="3401"/>
        <item m="1" x="3778"/>
        <item m="1" x="233"/>
        <item m="1" x="1302"/>
        <item m="1" x="1689"/>
        <item m="1" x="2076"/>
        <item m="1" x="2464"/>
        <item m="1" x="2851"/>
        <item m="1" x="3238"/>
        <item m="1" x="3615"/>
        <item m="1" x="3990"/>
        <item m="1" x="442"/>
        <item m="1" x="752"/>
        <item m="1" x="1008"/>
        <item m="1" x="1394"/>
        <item m="1" x="1781"/>
        <item m="1" x="2169"/>
        <item m="1" x="2557"/>
        <item m="1" x="2944"/>
        <item m="1" x="3331"/>
        <item m="1" x="3708"/>
        <item m="1" x="163"/>
        <item m="1" x="517"/>
        <item m="1" x="799"/>
        <item m="1" x="1100"/>
        <item m="1" x="1486"/>
        <item m="1" x="1873"/>
        <item m="1" x="2262"/>
        <item m="1" x="2649"/>
        <item m="1" x="3036"/>
        <item m="1" x="3423"/>
        <item m="1" x="3800"/>
        <item m="1" x="255"/>
        <item m="1" x="587"/>
        <item m="1" x="1026"/>
        <item m="1" x="1412"/>
        <item m="1" x="1799"/>
        <item m="1" x="2187"/>
        <item m="1" x="2575"/>
        <item m="1" x="2962"/>
        <item m="1" x="3349"/>
        <item m="1" x="3726"/>
        <item m="1" x="181"/>
        <item m="1" x="531"/>
        <item m="1" x="810"/>
        <item m="1" x="1122"/>
        <item m="1" x="1508"/>
        <item m="1" x="1895"/>
        <item m="1" x="2283"/>
        <item m="1" x="2670"/>
        <item m="1" x="3057"/>
        <item m="1" x="3444"/>
        <item m="1" x="3821"/>
        <item m="1" x="276"/>
        <item m="1" x="608"/>
        <item m="1" x="864"/>
        <item m="1" x="1217"/>
        <item m="1" x="1603"/>
        <item m="1" x="1990"/>
        <item m="1" x="2378"/>
        <item m="1" x="2765"/>
        <item m="1" x="3152"/>
        <item m="1" x="3539"/>
        <item m="1" x="3916"/>
        <item m="1" x="371"/>
        <item m="1" x="1048"/>
        <item m="1" x="1434"/>
        <item m="1" x="1821"/>
        <item m="1" x="2210"/>
        <item m="1" x="2598"/>
        <item m="1" x="2985"/>
        <item m="1" x="3372"/>
        <item m="1" x="3749"/>
        <item m="1" x="204"/>
        <item m="1" x="547"/>
        <item m="1" x="822"/>
        <item m="1" x="1144"/>
        <item m="1" x="1530"/>
        <item m="1" x="1917"/>
        <item m="1" x="2305"/>
        <item m="1" x="2692"/>
        <item m="1" x="3079"/>
        <item m="1" x="3466"/>
        <item m="1" x="3843"/>
        <item m="1" x="298"/>
        <item m="1" x="630"/>
        <item m="1" x="886"/>
        <item m="1" x="1250"/>
        <item m="1" x="1636"/>
        <item m="1" x="2023"/>
        <item m="1" x="2411"/>
        <item m="1" x="2798"/>
        <item m="1" x="3185"/>
        <item m="1" x="3563"/>
        <item m="1" x="1071"/>
        <item m="1" x="1457"/>
        <item m="1" x="1844"/>
        <item m="1" x="2233"/>
        <item m="1" x="2620"/>
        <item m="1" x="3007"/>
        <item m="1" x="3394"/>
        <item m="1" x="3771"/>
        <item m="1" x="226"/>
        <item m="1" x="565"/>
        <item m="1" x="832"/>
        <item m="1" x="1164"/>
        <item m="1" x="1550"/>
        <item m="1" x="1937"/>
        <item m="1" x="2325"/>
        <item m="1" x="2712"/>
        <item m="1" x="3099"/>
        <item m="1" x="3486"/>
        <item m="1" x="3863"/>
        <item m="1" x="318"/>
        <item m="1" x="650"/>
        <item m="1" x="906"/>
        <item m="1" x="1281"/>
        <item m="1" x="1668"/>
        <item m="1" x="2055"/>
        <item m="1" x="2443"/>
        <item m="1" x="2830"/>
        <item m="1" x="3217"/>
        <item m="1" x="3594"/>
        <item m="1" x="3969"/>
        <item m="1" x="424"/>
        <item m="1" x="1093"/>
        <item m="1" x="1479"/>
        <item m="1" x="1866"/>
        <item m="1" x="2255"/>
        <item m="1" x="2642"/>
        <item m="1" x="3029"/>
        <item m="1" x="3416"/>
        <item m="1" x="3793"/>
        <item m="1" x="248"/>
        <item m="1" x="580"/>
        <item m="1" x="843"/>
        <item m="1" x="1185"/>
        <item m="1" x="1571"/>
        <item m="1" x="1958"/>
        <item m="1" x="2346"/>
        <item m="1" x="2733"/>
        <item m="1" x="3120"/>
        <item m="1" x="3507"/>
        <item m="1" x="3884"/>
        <item m="1" x="339"/>
        <item m="1" x="671"/>
        <item m="1" x="927"/>
        <item m="1" x="1313"/>
        <item m="1" x="1700"/>
        <item m="1" x="2087"/>
        <item m="1" x="2475"/>
        <item m="1" x="2862"/>
        <item m="1" x="3249"/>
        <item m="1" x="3626"/>
        <item m="1" x="4001"/>
        <item m="1" x="1119"/>
        <item m="1" x="1505"/>
        <item m="1" x="1892"/>
        <item m="1" x="2281"/>
        <item m="1" x="2668"/>
        <item m="1" x="3055"/>
        <item m="1" x="3442"/>
        <item m="1" x="3819"/>
        <item m="1" x="274"/>
        <item m="1" x="606"/>
        <item m="1" x="862"/>
        <item m="1" x="1215"/>
        <item m="1" x="1601"/>
        <item m="1" x="1988"/>
        <item m="1" x="2376"/>
        <item m="1" x="2763"/>
        <item m="1" x="3150"/>
        <item m="1" x="3537"/>
        <item m="1" x="3914"/>
        <item m="1" x="369"/>
        <item m="1" x="693"/>
        <item m="1" x="949"/>
        <item m="1" x="1335"/>
        <item m="1" x="1722"/>
        <item m="1" x="2109"/>
        <item m="1" x="2497"/>
        <item m="1" x="2884"/>
        <item m="1" x="3271"/>
        <item m="1" x="3648"/>
        <item m="1" x="103"/>
        <item m="1" x="467"/>
        <item m="1" x="1141"/>
        <item m="1" x="1527"/>
        <item m="1" x="1914"/>
        <item m="1" x="2302"/>
        <item m="1" x="2689"/>
        <item m="1" x="3076"/>
        <item m="1" x="3463"/>
        <item m="1" x="3840"/>
        <item m="1" x="295"/>
        <item m="1" x="627"/>
        <item m="1" x="883"/>
        <item m="1" x="1247"/>
        <item m="1" x="1633"/>
        <item m="1" x="2020"/>
        <item m="1" x="2408"/>
        <item m="1" x="2795"/>
        <item m="1" x="3182"/>
        <item m="1" x="3562"/>
        <item m="1" x="3938"/>
        <item m="1" x="393"/>
        <item m="1" x="714"/>
        <item m="1" x="970"/>
        <item m="1" x="1356"/>
        <item m="1" x="1743"/>
        <item m="1" x="2130"/>
        <item m="1" x="2518"/>
        <item m="1" x="2905"/>
        <item m="1" x="3292"/>
        <item m="1" x="3669"/>
        <item m="1" x="124"/>
        <item m="1" x="1161"/>
        <item m="1" x="1547"/>
        <item m="1" x="1934"/>
        <item m="1" x="2322"/>
        <item m="1" x="2709"/>
        <item m="1" x="3096"/>
        <item m="1" x="3483"/>
        <item m="1" x="3860"/>
        <item m="1" x="315"/>
        <item m="1" x="647"/>
        <item m="1" x="903"/>
        <item m="1" x="1278"/>
        <item m="1" x="1665"/>
        <item m="1" x="2052"/>
        <item m="1" x="2440"/>
        <item m="1" x="2827"/>
        <item m="1" x="3214"/>
        <item m="1" x="3591"/>
        <item m="1" x="3966"/>
        <item m="1" x="421"/>
        <item m="1" x="735"/>
        <item m="1" x="991"/>
        <item m="1" x="1377"/>
        <item m="1" x="1764"/>
        <item m="1" x="2151"/>
        <item m="1" x="2539"/>
        <item m="1" x="2926"/>
        <item m="1" x="3313"/>
        <item m="1" x="3690"/>
        <item m="1" x="145"/>
        <item m="1" x="499"/>
        <item m="1" x="1182"/>
        <item m="1" x="1568"/>
        <item m="1" x="1955"/>
        <item m="1" x="2343"/>
        <item m="1" x="2730"/>
        <item m="1" x="3117"/>
        <item m="1" x="3504"/>
        <item m="1" x="3881"/>
        <item m="1" x="336"/>
        <item m="1" x="668"/>
        <item m="1" x="924"/>
        <item m="1" x="1310"/>
        <item m="1" x="1697"/>
        <item m="1" x="2084"/>
        <item m="1" x="2472"/>
        <item m="1" x="2859"/>
        <item m="1" x="3246"/>
        <item m="1" x="3623"/>
        <item m="1" x="3998"/>
        <item m="1" x="446"/>
        <item m="1" x="756"/>
        <item m="1" x="1012"/>
        <item m="1" x="1398"/>
        <item m="1" x="1785"/>
        <item m="1" x="2173"/>
        <item m="1" x="2561"/>
        <item m="1" x="2948"/>
        <item m="1" x="3335"/>
        <item m="1" x="3712"/>
        <item m="1" x="167"/>
        <item m="1" x="521"/>
        <item m="1" x="1207"/>
        <item m="1" x="1593"/>
        <item m="1" x="1980"/>
        <item m="1" x="2368"/>
        <item m="1" x="2755"/>
        <item m="1" x="3142"/>
        <item m="1" x="3529"/>
        <item m="1" x="3906"/>
        <item m="1" x="361"/>
        <item m="1" x="690"/>
        <item m="1" x="946"/>
        <item m="1" x="1332"/>
        <item m="1" x="1719"/>
        <item m="1" x="2106"/>
        <item m="1" x="2494"/>
        <item m="1" x="2881"/>
        <item m="1" x="3268"/>
        <item m="1" x="3645"/>
        <item m="1" x="100"/>
        <item m="1" x="464"/>
        <item m="1" x="767"/>
        <item m="1" x="1034"/>
        <item m="1" x="1420"/>
        <item m="1" x="1807"/>
        <item m="1" x="2195"/>
        <item m="1" x="2583"/>
        <item m="1" x="2970"/>
        <item m="1" x="3357"/>
        <item m="1" x="3734"/>
        <item m="1" x="189"/>
        <item m="1" x="1239"/>
        <item m="1" x="1625"/>
        <item m="1" x="2012"/>
        <item m="1" x="2400"/>
        <item m="1" x="2787"/>
        <item m="1" x="3174"/>
        <item m="1" x="3558"/>
        <item m="1" x="3935"/>
        <item m="1" x="390"/>
        <item m="1" x="711"/>
        <item m="1" x="967"/>
        <item m="1" x="1353"/>
        <item m="1" x="1740"/>
        <item m="1" x="2127"/>
        <item m="1" x="2515"/>
        <item m="1" x="2902"/>
        <item m="1" x="3289"/>
        <item m="1" x="3666"/>
        <item m="1" x="121"/>
        <item m="1" x="478"/>
        <item m="1" x="778"/>
        <item m="1" x="1056"/>
        <item m="1" x="1442"/>
        <item m="1" x="1829"/>
        <item m="1" x="2218"/>
        <item m="1" x="2606"/>
        <item m="1" x="2993"/>
        <item m="1" x="3380"/>
        <item m="1" x="3757"/>
        <item m="1" x="212"/>
        <item m="1" x="555"/>
        <item m="1" x="1271"/>
        <item m="1" x="1658"/>
        <item m="1" x="2045"/>
        <item m="1" x="2433"/>
        <item m="1" x="2820"/>
        <item m="1" x="3207"/>
        <item m="1" x="3584"/>
        <item m="1" x="3959"/>
        <item m="1" x="414"/>
        <item m="1" x="732"/>
        <item m="1" x="988"/>
        <item m="1" x="1374"/>
        <item m="1" x="1761"/>
        <item m="1" x="2148"/>
        <item m="1" x="2536"/>
        <item m="1" x="2923"/>
        <item m="1" x="3310"/>
        <item m="1" x="3687"/>
        <item m="1" x="142"/>
        <item m="1" x="496"/>
        <item m="1" x="789"/>
        <item m="1" x="1079"/>
        <item m="1" x="1465"/>
        <item m="1" x="1852"/>
        <item m="1" x="2241"/>
        <item m="1" x="2628"/>
        <item m="1" x="3015"/>
        <item m="1" x="3402"/>
        <item m="1" x="3779"/>
        <item m="1" x="234"/>
        <item m="1" x="1303"/>
        <item m="1" x="1690"/>
        <item m="1" x="2077"/>
        <item m="1" x="2465"/>
        <item m="1" x="2852"/>
        <item m="1" x="3239"/>
        <item m="1" x="3616"/>
        <item m="1" x="3991"/>
        <item m="1" x="443"/>
        <item m="1" x="753"/>
        <item m="1" x="1009"/>
        <item m="1" x="1395"/>
        <item m="1" x="1782"/>
        <item m="1" x="2170"/>
        <item m="1" x="2558"/>
        <item m="1" x="2945"/>
        <item m="1" x="3332"/>
        <item m="1" x="3709"/>
        <item m="1" x="164"/>
        <item m="1" x="518"/>
        <item m="1" x="800"/>
        <item m="1" x="1101"/>
        <item m="1" x="1487"/>
        <item m="1" x="1874"/>
        <item m="1" x="2263"/>
        <item m="1" x="2650"/>
        <item m="1" x="3037"/>
        <item m="1" x="3424"/>
        <item m="1" x="3801"/>
        <item m="1" x="256"/>
        <item m="1" x="588"/>
        <item m="1" x="1028"/>
        <item m="1" x="1414"/>
        <item m="1" x="1801"/>
        <item m="1" x="2189"/>
        <item m="1" x="2577"/>
        <item m="1" x="2964"/>
        <item m="1" x="3351"/>
        <item m="1" x="3728"/>
        <item m="1" x="183"/>
        <item m="1" x="532"/>
        <item m="1" x="811"/>
        <item m="1" x="1123"/>
        <item m="1" x="1509"/>
        <item m="1" x="1896"/>
        <item m="1" x="2284"/>
        <item m="1" x="2671"/>
        <item m="1" x="3058"/>
        <item m="1" x="3445"/>
        <item m="1" x="3822"/>
        <item m="1" x="277"/>
        <item m="1" x="609"/>
        <item m="1" x="865"/>
        <item m="1" x="1218"/>
        <item m="1" x="1604"/>
        <item m="1" x="1991"/>
        <item m="1" x="2379"/>
        <item m="1" x="2766"/>
        <item m="1" x="3153"/>
        <item m="1" x="3540"/>
        <item m="1" x="3917"/>
        <item m="1" x="372"/>
        <item m="1" x="1050"/>
        <item m="1" x="1436"/>
        <item m="1" x="1823"/>
        <item m="1" x="2212"/>
        <item m="1" x="2600"/>
        <item m="1" x="2987"/>
        <item m="1" x="3374"/>
        <item m="1" x="3751"/>
        <item m="1" x="206"/>
        <item m="1" x="549"/>
        <item m="1" x="823"/>
        <item m="1" x="1145"/>
        <item m="1" x="1531"/>
        <item m="1" x="1918"/>
        <item m="1" x="2306"/>
        <item m="1" x="2693"/>
        <item m="1" x="3080"/>
        <item m="1" x="3467"/>
        <item m="1" x="3844"/>
        <item m="1" x="299"/>
        <item m="1" x="631"/>
        <item m="1" x="887"/>
        <item m="1" x="1251"/>
        <item m="1" x="1637"/>
        <item m="1" x="2024"/>
        <item m="1" x="2412"/>
        <item m="1" x="2799"/>
        <item m="1" x="3186"/>
        <item m="1" x="1073"/>
        <item m="1" x="1459"/>
        <item m="1" x="1846"/>
        <item m="1" x="2235"/>
        <item m="1" x="2622"/>
        <item m="1" x="3009"/>
        <item m="1" x="3396"/>
        <item m="1" x="3773"/>
        <item m="1" x="228"/>
        <item m="1" x="566"/>
        <item m="1" x="833"/>
        <item m="1" x="1165"/>
        <item m="1" x="1551"/>
        <item m="1" x="1938"/>
        <item m="1" x="2326"/>
        <item m="1" x="2713"/>
        <item m="1" x="3100"/>
        <item m="1" x="3487"/>
        <item m="1" x="3864"/>
        <item m="1" x="319"/>
        <item m="1" x="651"/>
        <item m="1" x="907"/>
        <item m="1" x="1282"/>
        <item m="1" x="1669"/>
        <item m="1" x="2056"/>
        <item m="1" x="2444"/>
        <item m="1" x="2831"/>
        <item m="1" x="3218"/>
        <item m="1" x="3595"/>
        <item m="1" x="3970"/>
        <item m="1" x="425"/>
        <item m="1" x="1095"/>
        <item m="1" x="1481"/>
        <item m="1" x="1868"/>
        <item m="1" x="2257"/>
        <item m="1" x="2644"/>
        <item m="1" x="3031"/>
        <item m="1" x="3418"/>
        <item m="1" x="3795"/>
        <item m="1" x="250"/>
        <item m="1" x="582"/>
        <item m="1" x="844"/>
        <item m="1" x="1186"/>
        <item m="1" x="1572"/>
        <item m="1" x="1959"/>
        <item m="1" x="2347"/>
        <item m="1" x="2734"/>
        <item m="1" x="3121"/>
        <item m="1" x="3508"/>
        <item m="1" x="3885"/>
        <item m="1" x="340"/>
        <item m="1" x="672"/>
        <item m="1" x="928"/>
        <item m="1" x="1314"/>
        <item m="1" x="1701"/>
        <item m="1" x="2088"/>
        <item m="1" x="2476"/>
        <item m="1" x="2863"/>
        <item m="1" x="3250"/>
        <item m="1" x="3627"/>
        <item m="1" x="4002"/>
        <item m="1" x="1120"/>
        <item m="1" x="1506"/>
        <item m="1" x="1893"/>
        <item m="1" x="3512"/>
        <item m="1" x="3889"/>
        <item m="1" x="344"/>
        <item m="1" x="676"/>
        <item m="1" x="932"/>
        <item m="1" x="1318"/>
        <item m="1" x="1705"/>
        <item m="1" x="2092"/>
        <item m="1" x="2480"/>
        <item m="1" x="2867"/>
        <item m="1" x="3254"/>
        <item m="1" x="3631"/>
        <item m="1" x="86"/>
        <item m="1" x="450"/>
        <item m="1" x="1124"/>
        <item m="1" x="1510"/>
        <item m="1" x="1897"/>
        <item m="1" x="2285"/>
        <item m="1" x="2672"/>
        <item m="1" x="3059"/>
        <item m="1" x="3446"/>
        <item m="1" x="3823"/>
        <item m="1" x="278"/>
        <item m="1" x="610"/>
        <item m="1" x="866"/>
        <item m="1" x="1222"/>
        <item m="1" x="1608"/>
        <item m="1" x="1995"/>
        <item m="1" x="2383"/>
        <item m="1" x="2770"/>
        <item m="1" x="3157"/>
        <item m="1" x="3544"/>
        <item m="1" x="3921"/>
        <item m="1" x="376"/>
        <item m="1" x="697"/>
        <item m="1" x="953"/>
        <item m="1" x="1339"/>
        <item m="1" x="1726"/>
        <item m="1" x="2113"/>
        <item m="1" x="2501"/>
        <item m="1" x="2888"/>
        <item m="1" x="3275"/>
        <item m="1" x="3652"/>
        <item m="1" x="107"/>
        <item m="1" x="1146"/>
        <item m="1" x="1532"/>
        <item m="1" x="1919"/>
        <item m="1" x="2307"/>
        <item m="1" x="2694"/>
        <item m="1" x="3081"/>
        <item m="1" x="3468"/>
        <item m="1" x="3845"/>
        <item m="1" x="300"/>
        <item m="1" x="632"/>
        <item m="1" x="888"/>
        <item m="1" x="1255"/>
        <item m="1" x="1641"/>
        <item m="1" x="2028"/>
        <item m="1" x="2416"/>
        <item m="1" x="2803"/>
        <item m="1" x="3190"/>
        <item m="1" x="3567"/>
        <item m="1" x="3942"/>
        <item m="1" x="397"/>
        <item m="1" x="718"/>
        <item m="1" x="974"/>
        <item m="1" x="1360"/>
        <item m="1" x="1747"/>
        <item m="1" x="2134"/>
        <item m="1" x="2522"/>
        <item m="1" x="2909"/>
        <item m="1" x="3296"/>
        <item m="1" x="3673"/>
        <item m="1" x="128"/>
        <item m="1" x="482"/>
        <item m="1" x="1166"/>
        <item m="1" x="1552"/>
        <item m="1" x="1939"/>
        <item m="1" x="2327"/>
        <item m="1" x="2714"/>
        <item m="1" x="3101"/>
        <item m="1" x="3488"/>
        <item m="1" x="3865"/>
        <item m="1" x="320"/>
        <item m="1" x="652"/>
        <item m="1" x="908"/>
        <item m="1" x="1286"/>
        <item m="1" x="1673"/>
        <item m="1" x="2060"/>
        <item m="1" x="2448"/>
        <item m="1" x="2835"/>
        <item m="1" x="3222"/>
        <item m="1" x="3599"/>
        <item m="1" x="3974"/>
        <item m="1" x="429"/>
        <item m="1" x="739"/>
        <item m="1" x="995"/>
        <item m="1" x="1381"/>
        <item m="1" x="1768"/>
        <item m="1" x="2155"/>
        <item m="1" x="2543"/>
        <item m="1" x="2930"/>
        <item m="1" x="3317"/>
        <item m="1" x="3694"/>
        <item m="1" x="149"/>
        <item m="1" x="503"/>
        <item m="1" x="1187"/>
        <item m="1" x="1573"/>
        <item m="1" x="1960"/>
        <item m="1" x="2348"/>
        <item m="1" x="2735"/>
        <item m="1" x="3122"/>
        <item m="1" x="3509"/>
        <item m="1" x="3886"/>
        <item m="1" x="341"/>
        <item m="1" x="673"/>
        <item m="1" x="929"/>
        <item m="1" x="1315"/>
        <item m="1" x="1702"/>
        <item m="1" x="2089"/>
        <item m="1" x="2477"/>
        <item m="1" x="2864"/>
        <item m="1" x="3251"/>
        <item m="1" x="3628"/>
        <item m="1" x="83"/>
        <item m="1" x="447"/>
        <item m="1" x="757"/>
        <item m="1" x="1016"/>
        <item m="1" x="1402"/>
        <item m="1" x="1789"/>
        <item m="1" x="2177"/>
        <item m="1" x="2565"/>
        <item m="1" x="2952"/>
        <item m="1" x="3339"/>
        <item m="1" x="3716"/>
        <item m="1" x="171"/>
        <item m="1" x="1219"/>
        <item m="1" x="1605"/>
        <item m="1" x="1992"/>
        <item m="1" x="2380"/>
        <item m="1" x="2767"/>
        <item m="1" x="3154"/>
        <item m="1" x="3541"/>
        <item m="1" x="3918"/>
        <item m="1" x="373"/>
        <item m="1" x="694"/>
        <item m="1" x="950"/>
        <item m="1" x="1336"/>
        <item m="1" x="1723"/>
        <item m="1" x="2110"/>
        <item m="1" x="2498"/>
        <item m="1" x="2885"/>
        <item m="1" x="3272"/>
        <item m="1" x="3649"/>
        <item m="1" x="104"/>
        <item m="1" x="468"/>
        <item m="1" x="768"/>
        <item m="1" x="1038"/>
        <item m="1" x="1424"/>
        <item m="1" x="1811"/>
        <item m="1" x="2199"/>
        <item m="1" x="2587"/>
        <item m="1" x="2974"/>
        <item m="1" x="3361"/>
        <item m="1" x="3738"/>
        <item m="1" x="193"/>
        <item m="1" x="536"/>
        <item m="1" x="1252"/>
        <item m="1" x="1638"/>
        <item m="1" x="2025"/>
        <item m="1" x="2413"/>
        <item m="1" x="2800"/>
        <item m="1" x="3187"/>
        <item m="1" x="3564"/>
        <item m="1" x="3939"/>
        <item m="1" x="394"/>
        <item m="1" x="715"/>
        <item m="1" x="971"/>
        <item m="1" x="1357"/>
        <item m="1" x="1744"/>
        <item m="1" x="2131"/>
        <item m="1" x="2519"/>
        <item m="1" x="2906"/>
        <item m="1" x="3293"/>
        <item m="1" x="3670"/>
        <item m="1" x="125"/>
        <item m="1" x="479"/>
        <item m="1" x="779"/>
        <item m="1" x="1060"/>
        <item m="1" x="1446"/>
        <item m="1" x="1833"/>
        <item m="1" x="2222"/>
        <item m="1" x="2609"/>
        <item m="1" x="2996"/>
        <item m="1" x="3383"/>
        <item m="1" x="3760"/>
        <item m="1" x="215"/>
        <item m="1" x="1283"/>
        <item m="1" x="1670"/>
        <item m="1" x="2057"/>
        <item m="1" x="2445"/>
        <item m="1" x="2832"/>
        <item m="1" x="3219"/>
        <item m="1" x="3596"/>
        <item m="1" x="3971"/>
        <item m="1" x="426"/>
        <item m="1" x="736"/>
        <item m="1" x="992"/>
        <item m="1" x="1378"/>
        <item m="1" x="1765"/>
        <item m="1" x="2152"/>
        <item m="1" x="2540"/>
        <item m="1" x="2927"/>
        <item m="1" x="3314"/>
        <item m="1" x="3691"/>
        <item m="1" x="146"/>
        <item m="1" x="500"/>
        <item m="1" x="790"/>
        <item m="1" x="1083"/>
        <item m="1" x="1469"/>
        <item m="1" x="1856"/>
        <item m="1" x="2245"/>
        <item m="1" x="2632"/>
        <item m="1" x="3019"/>
        <item m="1" x="3406"/>
        <item m="1" x="3783"/>
        <item m="1" x="238"/>
        <item m="1" x="570"/>
        <item m="1" x="1013"/>
        <item m="1" x="1399"/>
        <item m="1" x="1786"/>
        <item m="1" x="2174"/>
        <item m="1" x="2562"/>
        <item m="1" x="2949"/>
        <item m="1" x="3336"/>
        <item m="1" x="3713"/>
        <item m="1" x="168"/>
        <item m="1" x="522"/>
        <item m="1" x="801"/>
        <item m="1" x="1105"/>
        <item m="1" x="1491"/>
        <item m="1" x="1878"/>
        <item m="1" x="2267"/>
        <item m="1" x="2654"/>
        <item m="1" x="3041"/>
        <item m="1" x="3428"/>
        <item m="1" x="3805"/>
        <item m="1" x="260"/>
        <item m="1" x="592"/>
        <item m="1" x="848"/>
        <item m="1" x="1194"/>
        <item m="1" x="1580"/>
        <item m="1" x="1967"/>
        <item m="1" x="2355"/>
        <item m="1" x="2742"/>
        <item m="1" x="3129"/>
        <item m="1" x="3516"/>
        <item m="1" x="3893"/>
        <item m="1" x="348"/>
        <item m="1" x="1035"/>
        <item m="1" x="1421"/>
        <item m="1" x="1808"/>
        <item m="1" x="2196"/>
        <item m="1" x="2584"/>
        <item m="1" x="2971"/>
        <item m="1" x="3358"/>
        <item m="1" x="3735"/>
        <item m="1" x="190"/>
        <item m="1" x="533"/>
        <item m="1" x="812"/>
        <item m="1" x="1127"/>
        <item m="1" x="1513"/>
        <item m="1" x="1900"/>
        <item m="1" x="2288"/>
        <item m="1" x="2675"/>
        <item m="1" x="3062"/>
        <item m="1" x="3449"/>
        <item m="1" x="3826"/>
        <item m="1" x="281"/>
        <item m="1" x="613"/>
        <item m="1" x="869"/>
        <item m="1" x="1226"/>
        <item m="1" x="1612"/>
        <item m="1" x="1999"/>
        <item m="1" x="2387"/>
        <item m="1" x="2774"/>
        <item m="1" x="3161"/>
        <item m="1" x="1057"/>
        <item m="1" x="1443"/>
        <item m="1" x="1830"/>
        <item m="1" x="2219"/>
        <item m="1" x="2607"/>
        <item m="1" x="2994"/>
        <item m="1" x="3381"/>
        <item m="1" x="3758"/>
        <item m="1" x="213"/>
        <item m="1" x="556"/>
        <item m="1" x="824"/>
        <item m="1" x="1149"/>
        <item m="1" x="1535"/>
        <item m="1" x="1922"/>
        <item m="1" x="2310"/>
        <item m="1" x="2697"/>
        <item m="1" x="3084"/>
        <item m="1" x="3471"/>
        <item m="1" x="3848"/>
        <item m="1" x="303"/>
        <item m="1" x="635"/>
        <item m="1" x="891"/>
        <item m="1" x="1259"/>
        <item m="1" x="1646"/>
        <item m="1" x="2033"/>
        <item m="1" x="2421"/>
        <item m="1" x="2808"/>
        <item m="1" x="3195"/>
        <item m="1" x="3572"/>
        <item m="1" x="3947"/>
        <item m="1" x="402"/>
        <item m="1" x="1081"/>
        <item m="1" x="1467"/>
        <item m="1" x="1854"/>
        <item m="1" x="2243"/>
        <item m="1" x="2630"/>
        <item m="1" x="3017"/>
        <item m="1" x="3404"/>
        <item m="1" x="3781"/>
        <item m="1" x="236"/>
        <item m="1" x="568"/>
        <item m="1" x="835"/>
        <item m="1" x="1170"/>
        <item m="1" x="1556"/>
        <item m="1" x="1943"/>
        <item m="1" x="2331"/>
        <item m="1" x="2718"/>
        <item m="1" x="3105"/>
        <item m="1" x="3492"/>
        <item m="1" x="3869"/>
        <item m="1" x="324"/>
        <item m="1" x="656"/>
        <item m="1" x="912"/>
        <item m="1" x="1291"/>
        <item m="1" x="1678"/>
        <item m="1" x="2065"/>
        <item m="1" x="2453"/>
        <item m="1" x="2840"/>
        <item m="1" x="3227"/>
        <item m="1" x="3604"/>
        <item m="1" x="3979"/>
        <item m="1" x="1103"/>
        <item m="1" x="1489"/>
        <item m="1" x="1876"/>
        <item m="1" x="2265"/>
        <item m="1" x="2652"/>
        <item m="1" x="3039"/>
        <item m="1" x="3426"/>
        <item m="1" x="3803"/>
        <item m="1" x="258"/>
        <item m="1" x="590"/>
        <item m="1" x="846"/>
        <item m="1" x="1191"/>
        <item m="1" x="1577"/>
        <item m="1" x="1964"/>
        <item m="1" x="2352"/>
        <item m="1" x="2739"/>
        <item m="1" x="3126"/>
        <item m="1" x="3513"/>
        <item m="1" x="3890"/>
        <item m="1" x="345"/>
        <item m="1" x="677"/>
        <item m="1" x="933"/>
        <item m="1" x="1319"/>
        <item m="1" x="1706"/>
        <item m="1" x="2093"/>
        <item m="1" x="2481"/>
        <item m="1" x="2868"/>
        <item m="1" x="3255"/>
        <item m="1" x="3632"/>
        <item m="1" x="87"/>
        <item m="1" x="451"/>
        <item m="1" x="1125"/>
        <item m="1" x="1511"/>
        <item m="1" x="1898"/>
        <item m="1" x="2286"/>
        <item m="1" x="2673"/>
        <item m="1" x="3060"/>
        <item m="1" x="3447"/>
        <item m="1" x="3824"/>
        <item m="1" x="279"/>
        <item m="1" x="611"/>
        <item m="1" x="867"/>
        <item m="1" x="1223"/>
        <item m="1" x="1609"/>
        <item m="1" x="1996"/>
        <item m="1" x="2384"/>
        <item m="1" x="2771"/>
        <item m="1" x="3158"/>
        <item m="1" x="3545"/>
        <item m="1" x="3922"/>
        <item m="1" x="377"/>
        <item m="1" x="698"/>
        <item m="1" x="954"/>
        <item m="1" x="1340"/>
        <item m="1" x="1727"/>
        <item m="1" x="2114"/>
        <item m="1" x="2502"/>
        <item m="1" x="2889"/>
        <item m="1" x="3276"/>
        <item m="1" x="3653"/>
        <item m="1" x="108"/>
        <item m="1" x="1147"/>
        <item m="1" x="1533"/>
        <item m="1" x="1920"/>
        <item m="1" x="2308"/>
        <item m="1" x="2695"/>
        <item m="1" x="3082"/>
        <item m="1" x="3469"/>
        <item m="1" x="3846"/>
        <item m="1" x="301"/>
        <item m="1" x="633"/>
        <item m="1" x="889"/>
        <item m="1" x="1256"/>
        <item m="1" x="1642"/>
        <item m="1" x="2029"/>
        <item m="1" x="2417"/>
        <item m="1" x="2804"/>
        <item m="1" x="3191"/>
        <item m="1" x="3568"/>
        <item m="1" x="3943"/>
        <item m="1" x="398"/>
        <item m="1" x="719"/>
        <item m="1" x="975"/>
        <item m="1" x="1361"/>
        <item m="1" x="1748"/>
        <item m="1" x="2135"/>
        <item m="1" x="2523"/>
        <item m="1" x="2910"/>
        <item m="1" x="3297"/>
        <item m="1" x="3674"/>
        <item m="1" x="129"/>
        <item m="1" x="483"/>
        <item m="1" x="1167"/>
        <item m="1" x="1553"/>
        <item m="1" x="1940"/>
        <item m="1" x="2328"/>
        <item m="1" x="2715"/>
        <item m="1" x="3102"/>
        <item m="1" x="3489"/>
        <item m="1" x="3866"/>
        <item m="1" x="321"/>
        <item m="1" x="653"/>
        <item m="1" x="909"/>
        <item m="1" x="1287"/>
        <item m="1" x="1674"/>
        <item m="1" x="2061"/>
        <item m="1" x="2449"/>
        <item m="1" x="2836"/>
        <item m="1" x="3223"/>
        <item m="1" x="3600"/>
        <item m="1" x="3975"/>
        <item m="1" x="430"/>
        <item m="1" x="740"/>
        <item m="1" x="996"/>
        <item m="1" x="1382"/>
        <item m="1" x="1769"/>
        <item m="1" x="2156"/>
        <item m="1" x="2544"/>
        <item m="1" x="2931"/>
        <item m="1" x="3318"/>
        <item m="1" x="3695"/>
        <item m="1" x="150"/>
        <item m="1" x="504"/>
        <item m="1" x="1188"/>
        <item m="1" x="1574"/>
        <item m="1" x="1961"/>
        <item m="1" x="2349"/>
        <item m="1" x="2736"/>
        <item m="1" x="3123"/>
        <item m="1" x="3510"/>
        <item m="1" x="3887"/>
        <item m="1" x="342"/>
        <item m="1" x="674"/>
        <item m="1" x="930"/>
        <item m="1" x="1316"/>
        <item m="1" x="1703"/>
        <item m="1" x="2090"/>
        <item m="1" x="2478"/>
        <item m="1" x="2865"/>
        <item m="1" x="3252"/>
        <item m="1" x="3629"/>
        <item m="1" x="84"/>
        <item m="1" x="448"/>
        <item m="1" x="758"/>
        <item m="1" x="1017"/>
        <item m="1" x="1403"/>
        <item m="1" x="1790"/>
        <item m="1" x="2178"/>
        <item m="1" x="2566"/>
        <item m="1" x="2953"/>
        <item m="1" x="3340"/>
        <item m="1" x="3717"/>
        <item m="1" x="172"/>
        <item m="1" x="1220"/>
        <item m="1" x="1606"/>
        <item m="1" x="1993"/>
        <item m="1" x="2381"/>
        <item m="1" x="2768"/>
        <item m="1" x="3155"/>
        <item m="1" x="3542"/>
        <item m="1" x="3919"/>
        <item m="1" x="374"/>
        <item m="1" x="695"/>
        <item m="1" x="951"/>
        <item m="1" x="1337"/>
        <item m="1" x="1724"/>
        <item m="1" x="2111"/>
        <item m="1" x="2499"/>
        <item m="1" x="2886"/>
        <item m="1" x="3273"/>
        <item m="1" x="3650"/>
        <item m="1" x="105"/>
        <item m="1" x="469"/>
        <item m="1" x="769"/>
        <item m="1" x="1039"/>
        <item m="1" x="1425"/>
        <item m="1" x="1812"/>
        <item m="1" x="2200"/>
        <item m="1" x="2588"/>
        <item m="1" x="2975"/>
        <item m="1" x="3362"/>
        <item m="1" x="3739"/>
        <item m="1" x="194"/>
        <item m="1" x="537"/>
        <item m="1" x="1253"/>
        <item m="1" x="1639"/>
        <item m="1" x="2026"/>
        <item m="1" x="2414"/>
        <item m="1" x="2801"/>
        <item m="1" x="3188"/>
        <item m="1" x="3565"/>
        <item m="1" x="3940"/>
        <item m="1" x="395"/>
        <item m="1" x="716"/>
        <item m="1" x="972"/>
        <item m="1" x="1358"/>
        <item m="1" x="1745"/>
        <item m="1" x="2132"/>
        <item m="1" x="2520"/>
        <item m="1" x="2907"/>
        <item m="1" x="3294"/>
        <item m="1" x="3671"/>
        <item m="1" x="126"/>
        <item m="1" x="480"/>
        <item m="1" x="780"/>
        <item m="1" x="1061"/>
        <item m="1" x="1447"/>
        <item m="1" x="1834"/>
        <item m="1" x="2223"/>
        <item m="1" x="2610"/>
        <item m="1" x="2997"/>
        <item m="1" x="3384"/>
        <item m="1" x="3761"/>
        <item m="1" x="216"/>
        <item m="1" x="1284"/>
        <item m="1" x="1671"/>
        <item m="1" x="2058"/>
        <item m="1" x="2446"/>
        <item m="1" x="2833"/>
        <item m="1" x="3220"/>
        <item m="1" x="3597"/>
        <item m="1" x="3972"/>
        <item m="1" x="427"/>
        <item m="1" x="737"/>
        <item m="1" x="993"/>
        <item m="1" x="1379"/>
        <item m="1" x="1766"/>
        <item m="1" x="2153"/>
        <item m="1" x="2541"/>
        <item m="1" x="2928"/>
        <item m="1" x="3315"/>
        <item m="1" x="3692"/>
        <item m="1" x="147"/>
        <item m="1" x="501"/>
        <item m="1" x="791"/>
        <item m="1" x="1084"/>
        <item m="1" x="1470"/>
        <item m="1" x="1857"/>
        <item m="1" x="2246"/>
        <item m="1" x="2633"/>
        <item m="1" x="3020"/>
        <item m="1" x="3407"/>
        <item m="1" x="3784"/>
        <item m="1" x="239"/>
        <item m="1" x="571"/>
        <item m="1" x="1014"/>
        <item m="1" x="1400"/>
        <item m="1" x="1787"/>
        <item m="1" x="2175"/>
        <item m="1" x="2563"/>
        <item m="1" x="2950"/>
        <item m="1" x="3337"/>
        <item m="1" x="3714"/>
        <item m="1" x="169"/>
        <item m="1" x="523"/>
        <item m="1" x="802"/>
        <item m="1" x="1106"/>
        <item m="1" x="1492"/>
        <item m="1" x="1879"/>
        <item m="1" x="2268"/>
        <item m="1" x="2655"/>
        <item m="1" x="3042"/>
        <item m="1" x="3429"/>
        <item m="1" x="3806"/>
        <item m="1" x="261"/>
        <item m="1" x="593"/>
        <item m="1" x="849"/>
        <item m="1" x="1196"/>
        <item m="1" x="1582"/>
        <item m="1" x="1969"/>
        <item m="1" x="2357"/>
        <item m="1" x="2744"/>
        <item m="1" x="3131"/>
        <item m="1" x="3518"/>
        <item m="1" x="3895"/>
        <item m="1" x="350"/>
        <item m="1" x="1036"/>
        <item m="1" x="1422"/>
        <item m="1" x="1809"/>
        <item m="1" x="2197"/>
        <item m="1" x="2585"/>
        <item m="1" x="2972"/>
        <item m="1" x="3359"/>
        <item m="1" x="3736"/>
        <item m="1" x="191"/>
        <item m="1" x="534"/>
        <item m="1" x="813"/>
        <item m="1" x="1128"/>
        <item m="1" x="1514"/>
        <item m="1" x="1901"/>
        <item m="1" x="2289"/>
        <item m="1" x="2676"/>
        <item m="1" x="3063"/>
        <item m="1" x="3450"/>
        <item m="1" x="3827"/>
        <item m="1" x="282"/>
        <item m="1" x="614"/>
        <item m="1" x="870"/>
        <item m="1" x="1228"/>
        <item m="1" x="1614"/>
        <item m="1" x="2001"/>
        <item m="1" x="2389"/>
        <item m="1" x="2776"/>
        <item m="1" x="3163"/>
        <item m="1" x="1058"/>
        <item m="1" x="1444"/>
        <item m="1" x="1831"/>
        <item m="1" x="2220"/>
        <item m="1" x="2608"/>
        <item m="1" x="2995"/>
        <item m="1" x="3382"/>
        <item m="1" x="3759"/>
        <item m="1" x="214"/>
        <item m="1" x="557"/>
        <item m="1" x="825"/>
        <item m="1" x="1150"/>
        <item m="1" x="1536"/>
        <item m="1" x="1923"/>
        <item m="1" x="2311"/>
        <item m="1" x="2698"/>
        <item m="1" x="3085"/>
        <item m="1" x="3472"/>
        <item m="1" x="3849"/>
        <item m="1" x="304"/>
        <item m="1" x="636"/>
        <item m="1" x="892"/>
        <item m="1" x="1261"/>
        <item m="1" x="1648"/>
        <item m="1" x="2035"/>
        <item m="1" x="2423"/>
        <item m="1" x="2810"/>
        <item m="1" x="3197"/>
        <item m="1" x="3574"/>
        <item m="1" x="3949"/>
        <item m="1" x="404"/>
        <item m="1" x="1082"/>
        <item m="1" x="1468"/>
        <item m="1" x="1855"/>
        <item m="1" x="2244"/>
        <item m="1" x="2631"/>
        <item m="1" x="3018"/>
        <item m="1" x="3405"/>
        <item m="1" x="3782"/>
        <item m="1" x="237"/>
        <item m="1" x="569"/>
        <item m="1" x="836"/>
        <item m="1" x="1171"/>
        <item m="1" x="1557"/>
        <item m="1" x="1944"/>
        <item m="1" x="2332"/>
        <item m="1" x="2719"/>
        <item m="1" x="3106"/>
        <item m="1" x="3493"/>
        <item m="1" x="3870"/>
        <item m="1" x="325"/>
        <item m="1" x="657"/>
        <item m="1" x="913"/>
        <item m="1" x="1293"/>
        <item m="1" x="1680"/>
        <item m="1" x="2067"/>
        <item m="1" x="2455"/>
        <item m="1" x="2842"/>
        <item m="1" x="3229"/>
        <item m="1" x="3606"/>
        <item m="1" x="3981"/>
        <item m="1" x="1104"/>
        <item m="1" x="1490"/>
        <item m="1" x="1877"/>
        <item m="1" x="2266"/>
        <item m="1" x="2653"/>
        <item m="1" x="3040"/>
        <item m="1" x="3427"/>
        <item m="1" x="3804"/>
        <item m="1" x="259"/>
        <item m="1" x="591"/>
        <item m="1" x="847"/>
        <item m="1" x="1192"/>
        <item m="1" x="1578"/>
        <item m="1" x="1965"/>
        <item m="1" x="2353"/>
        <item m="1" x="2740"/>
        <item m="1" x="3127"/>
        <item m="1" x="3514"/>
        <item m="1" x="3891"/>
        <item m="1" x="346"/>
        <item m="1" x="678"/>
        <item m="1" x="934"/>
        <item m="1" x="1320"/>
        <item m="1" x="1707"/>
        <item m="1" x="2094"/>
        <item m="1" x="2482"/>
        <item m="1" x="2869"/>
        <item m="1" x="3256"/>
        <item m="1" x="3633"/>
        <item m="1" x="88"/>
        <item m="1" x="452"/>
        <item m="1" x="1126"/>
        <item m="1" x="1512"/>
        <item m="1" x="1899"/>
        <item m="1" x="2287"/>
        <item m="1" x="2674"/>
        <item m="1" x="3061"/>
        <item m="1" x="3448"/>
        <item m="1" x="3825"/>
        <item m="1" x="280"/>
        <item m="1" x="612"/>
        <item m="1" x="868"/>
        <item m="1" x="1224"/>
        <item m="1" x="1610"/>
        <item m="1" x="1997"/>
        <item m="1" x="2385"/>
        <item m="1" x="2772"/>
        <item m="1" x="3159"/>
        <item m="1" x="3546"/>
        <item m="1" x="3923"/>
        <item m="1" x="378"/>
        <item m="1" x="699"/>
        <item m="1" x="955"/>
        <item m="1" x="1341"/>
        <item m="1" x="1728"/>
        <item m="1" x="2115"/>
        <item m="1" x="2503"/>
        <item m="1" x="2890"/>
        <item m="1" x="3277"/>
        <item m="1" x="3654"/>
        <item m="1" x="109"/>
        <item m="1" x="1148"/>
        <item m="1" x="1534"/>
        <item m="1" x="1921"/>
        <item m="1" x="2309"/>
        <item m="1" x="2696"/>
        <item m="1" x="3083"/>
        <item m="1" x="3470"/>
        <item m="1" x="3847"/>
        <item m="1" x="302"/>
        <item m="1" x="634"/>
        <item m="1" x="890"/>
        <item m="1" x="1257"/>
        <item m="1" x="1643"/>
        <item m="1" x="2030"/>
        <item m="1" x="2418"/>
        <item m="1" x="2805"/>
        <item m="1" x="3192"/>
        <item m="1" x="3569"/>
        <item m="1" x="3944"/>
        <item m="1" x="399"/>
        <item m="1" x="720"/>
        <item m="1" x="976"/>
        <item m="1" x="1362"/>
        <item m="1" x="1749"/>
        <item m="1" x="2136"/>
        <item m="1" x="2524"/>
        <item m="1" x="2911"/>
        <item m="1" x="3298"/>
        <item m="1" x="3675"/>
        <item m="1" x="130"/>
        <item m="1" x="484"/>
        <item m="1" x="1168"/>
        <item m="1" x="1554"/>
        <item m="1" x="1941"/>
        <item m="1" x="2329"/>
        <item m="1" x="2716"/>
        <item m="1" x="3103"/>
        <item m="1" x="3490"/>
        <item m="1" x="3867"/>
        <item m="1" x="322"/>
        <item m="1" x="654"/>
        <item m="1" x="910"/>
        <item m="1" x="1288"/>
        <item m="1" x="1675"/>
        <item m="1" x="2062"/>
        <item m="1" x="2450"/>
        <item m="1" x="2837"/>
        <item m="1" x="3224"/>
        <item m="1" x="3601"/>
        <item m="1" x="3976"/>
        <item m="1" x="431"/>
        <item m="1" x="741"/>
        <item m="1" x="997"/>
        <item m="1" x="1383"/>
        <item m="1" x="1770"/>
        <item m="1" x="2157"/>
        <item m="1" x="2545"/>
        <item m="1" x="2932"/>
        <item m="1" x="3319"/>
        <item m="1" x="3696"/>
        <item m="1" x="151"/>
        <item m="1" x="505"/>
        <item m="1" x="1189"/>
        <item m="1" x="1575"/>
        <item m="1" x="1962"/>
        <item m="1" x="2350"/>
        <item m="1" x="2737"/>
        <item m="1" x="3124"/>
        <item m="1" x="3511"/>
        <item m="1" x="3888"/>
        <item m="1" x="343"/>
        <item m="1" x="675"/>
        <item m="1" x="931"/>
        <item m="1" x="1317"/>
        <item m="1" x="1704"/>
        <item m="1" x="2091"/>
        <item m="1" x="2479"/>
        <item m="1" x="2866"/>
        <item m="1" x="3253"/>
        <item m="1" x="3630"/>
        <item m="1" x="85"/>
        <item m="1" x="449"/>
        <item m="1" x="759"/>
        <item m="1" x="1019"/>
        <item m="1" x="1405"/>
        <item m="1" x="1792"/>
        <item m="1" x="2180"/>
        <item m="1" x="2568"/>
        <item m="1" x="2955"/>
        <item m="1" x="3342"/>
        <item m="1" x="3719"/>
        <item m="1" x="174"/>
        <item m="1" x="1221"/>
        <item m="1" x="1607"/>
        <item m="1" x="1994"/>
        <item m="1" x="2382"/>
        <item m="1" x="2769"/>
        <item m="1" x="3156"/>
        <item m="1" x="3543"/>
        <item m="1" x="3920"/>
        <item m="1" x="375"/>
        <item m="1" x="696"/>
        <item m="1" x="952"/>
        <item m="1" x="1338"/>
        <item m="1" x="1725"/>
        <item m="1" x="2112"/>
        <item m="1" x="2500"/>
        <item m="1" x="2887"/>
        <item m="1" x="3274"/>
        <item m="1" x="3651"/>
        <item m="1" x="106"/>
        <item m="1" x="470"/>
        <item m="1" x="770"/>
        <item m="1" x="1041"/>
        <item m="1" x="1427"/>
        <item m="1" x="1814"/>
        <item m="1" x="2202"/>
        <item m="1" x="2590"/>
        <item m="1" x="2977"/>
        <item m="1" x="3364"/>
        <item m="1" x="3741"/>
        <item m="1" x="196"/>
        <item m="1" x="539"/>
        <item m="1" x="1254"/>
        <item m="1" x="1640"/>
        <item m="1" x="2027"/>
        <item m="1" x="2415"/>
        <item m="1" x="2802"/>
        <item m="1" x="3189"/>
        <item m="1" x="3566"/>
        <item m="1" x="3941"/>
        <item m="1" x="396"/>
        <item m="1" x="717"/>
        <item m="1" x="973"/>
        <item m="1" x="1359"/>
        <item m="1" x="1746"/>
        <item m="1" x="2133"/>
        <item m="1" x="2521"/>
        <item m="1" x="2908"/>
        <item m="1" x="3295"/>
        <item m="1" x="3672"/>
        <item m="1" x="127"/>
        <item m="1" x="481"/>
        <item m="1" x="781"/>
        <item m="1" x="1063"/>
        <item m="1" x="1449"/>
        <item m="1" x="1836"/>
        <item m="1" x="2225"/>
        <item m="1" x="2612"/>
        <item m="1" x="2999"/>
        <item m="1" x="3386"/>
        <item m="1" x="3763"/>
        <item m="1" x="218"/>
        <item m="1" x="1285"/>
        <item m="1" x="1672"/>
        <item m="1" x="2059"/>
        <item m="1" x="2447"/>
        <item m="1" x="2834"/>
        <item m="1" x="3221"/>
        <item m="1" x="3598"/>
        <item m="1" x="3973"/>
        <item m="1" x="428"/>
        <item m="1" x="738"/>
        <item m="1" x="994"/>
        <item m="1" x="1380"/>
        <item m="1" x="1767"/>
        <item m="1" x="2154"/>
        <item m="1" x="2542"/>
        <item m="1" x="2929"/>
        <item m="1" x="3316"/>
        <item m="1" x="3693"/>
        <item m="1" x="148"/>
        <item m="1" x="502"/>
        <item m="1" x="792"/>
        <item m="1" x="1086"/>
        <item m="1" x="1472"/>
        <item m="1" x="1859"/>
        <item m="1" x="2248"/>
        <item m="1" x="2635"/>
        <item m="1" x="3022"/>
        <item m="1" x="3409"/>
        <item m="1" x="3786"/>
        <item m="1" x="241"/>
        <item m="1" x="573"/>
        <item m="1" x="1015"/>
        <item m="1" x="1401"/>
        <item m="1" x="1788"/>
        <item m="1" x="2176"/>
        <item m="1" x="2564"/>
        <item m="1" x="2951"/>
        <item m="1" x="3338"/>
        <item m="1" x="3715"/>
        <item m="1" x="170"/>
        <item m="1" x="524"/>
        <item m="1" x="803"/>
        <item m="1" x="1107"/>
        <item m="1" x="1493"/>
        <item m="1" x="1880"/>
        <item m="1" x="2269"/>
        <item m="1" x="2656"/>
        <item m="1" x="3043"/>
        <item m="1" x="3430"/>
        <item m="1" x="3807"/>
        <item m="1" x="262"/>
        <item m="1" x="594"/>
        <item m="1" x="850"/>
        <item m="1" x="1198"/>
        <item m="1" x="1584"/>
        <item m="1" x="1971"/>
        <item m="1" x="2359"/>
        <item m="1" x="2746"/>
        <item m="1" x="3133"/>
        <item m="1" x="3520"/>
        <item m="1" x="3897"/>
        <item m="1" x="352"/>
        <item m="1" x="1037"/>
        <item m="1" x="1423"/>
        <item m="1" x="1810"/>
        <item m="1" x="2198"/>
        <item m="1" x="2586"/>
        <item m="1" x="2973"/>
        <item m="1" x="3360"/>
        <item m="1" x="3737"/>
        <item m="1" x="192"/>
        <item m="1" x="535"/>
        <item m="1" x="814"/>
        <item m="1" x="1129"/>
        <item m="1" x="1515"/>
        <item m="1" x="1902"/>
        <item m="1" x="2290"/>
        <item m="1" x="2677"/>
        <item m="1" x="3064"/>
        <item m="1" x="3451"/>
        <item m="1" x="3828"/>
        <item m="1" x="283"/>
        <item m="1" x="615"/>
        <item m="1" x="871"/>
        <item m="1" x="1230"/>
        <item m="1" x="1616"/>
        <item m="1" x="2003"/>
        <item m="1" x="2391"/>
        <item m="1" x="2778"/>
        <item m="1" x="3165"/>
        <item m="1" x="1059"/>
        <item m="1" x="1445"/>
        <item m="1" x="1832"/>
        <item m="1" x="2221"/>
        <item t="default"/>
      </items>
    </pivotField>
    <pivotField showAll="0"/>
    <pivotField showAll="0"/>
    <pivotField showAll="0"/>
    <pivotField numFmtId="1" showAll="0" defaultSubtotal="0"/>
    <pivotField numFmtId="1" showAll="0" defaultSubtotal="0"/>
    <pivotField numFmtId="43" showAll="0" defaultSubtotal="0"/>
    <pivotField numFmtId="2" showAll="0" defaultSubtotal="0"/>
    <pivotField numFmtId="14" showAll="0" defaultSubtotal="0"/>
    <pivotField numFmtId="14" showAll="0" defaultSubtotal="0"/>
    <pivotField numFmtId="14" showAll="0" defaultSubtotal="0"/>
    <pivotField numFmtId="43" showAll="0" defaultSubtotal="0"/>
  </pivotFields>
  <rowFields count="1">
    <field x="1"/>
  </rowFields>
  <rowItems count="84">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636"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B8" firstHeaderRow="1" firstDataRow="5" firstDataCol="1"/>
  <pivotFields count="13">
    <pivotField showAll="0"/>
    <pivotField numFmtId="14" showAll="0"/>
    <pivotField axis="axisCol"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axis="axisCol" showAll="0">
      <items count="13">
        <item x="0"/>
        <item x="1"/>
        <item x="2"/>
        <item m="1" x="8"/>
        <item m="1" x="11"/>
        <item m="1" x="5"/>
        <item m="1" x="6"/>
        <item m="1" x="7"/>
        <item m="1" x="9"/>
        <item m="1" x="10"/>
        <item m="1" x="3"/>
        <item m="1" x="4"/>
        <item t="default"/>
      </items>
    </pivotField>
    <pivotField axis="axisCol" showAll="0">
      <items count="15">
        <item h="1" sd="0" x="0"/>
        <item h="1" sd="0" m="1" x="13"/>
        <item h="1" sd="0" m="1" x="7"/>
        <item h="1" sd="0" m="1" x="12"/>
        <item h="1" sd="0" m="1" x="5"/>
        <item h="1" sd="0" m="1" x="10"/>
        <item h="1" sd="0" m="1" x="2"/>
        <item m="1" x="6"/>
        <item sd="0" m="1" x="11"/>
        <item sd="0" m="1" x="4"/>
        <item sd="0" m="1" x="9"/>
        <item h="1" m="1" x="3"/>
        <item h="1" m="1" x="8"/>
        <item h="1" m="1" x="1"/>
        <item t="default" sd="0"/>
      </items>
    </pivotField>
    <pivotField axis="axisCol" numFmtId="1" showAll="0">
      <items count="55">
        <item sd="0" x="0"/>
        <item sd="0" x="1"/>
        <item sd="0" x="2"/>
        <item sd="0" x="3"/>
        <item sd="0" x="4"/>
        <item x="5"/>
        <item sd="0" x="6"/>
        <item sd="0" x="7"/>
        <item sd="0" x="8"/>
        <item sd="0" x="9"/>
        <item sd="0" x="10"/>
        <item sd="0" x="11"/>
        <item sd="0" x="12"/>
        <item sd="0" m="1" x="22"/>
        <item sd="0" m="1" x="37"/>
        <item sd="0" m="1" x="53"/>
        <item sd="0" m="1" x="41"/>
        <item sd="0" m="1" x="29"/>
        <item sd="0" m="1" x="17"/>
        <item sd="0" m="1" x="45"/>
        <item sd="0" m="1" x="33"/>
        <item sd="0" m="1" x="21"/>
        <item sd="0" m="1" x="49"/>
        <item sd="0" m="1" x="36"/>
        <item sd="0" m="1" x="25"/>
        <item sd="0" m="1" x="52"/>
        <item sd="0" m="1" x="40"/>
        <item sd="0" m="1" x="28"/>
        <item sd="0" m="1" x="16"/>
        <item sd="0" m="1" x="44"/>
        <item sd="0" m="1" x="32"/>
        <item sd="0" m="1" x="20"/>
        <item sd="0" m="1" x="14"/>
        <item sd="0" m="1" x="48"/>
        <item sd="0" m="1" x="42"/>
        <item sd="0" m="1" x="35"/>
        <item sd="0" m="1" x="30"/>
        <item sd="0" m="1" x="24"/>
        <item sd="0" m="1" x="18"/>
        <item sd="0" m="1" x="51"/>
        <item sd="0" m="1" x="46"/>
        <item sd="0" m="1" x="39"/>
        <item sd="0" m="1" x="34"/>
        <item sd="0" m="1" x="27"/>
        <item sd="0" m="1" x="23"/>
        <item sd="0" m="1" x="15"/>
        <item sd="0" m="1" x="50"/>
        <item sd="0" m="1" x="43"/>
        <item sd="0" m="1" x="38"/>
        <item sd="0" m="1" x="31"/>
        <item sd="0" m="1" x="26"/>
        <item sd="0" m="1" x="19"/>
        <item sd="0" m="1" x="13"/>
        <item m="1" x="47"/>
        <item t="default" sd="0"/>
      </items>
    </pivotField>
    <pivotField numFmtId="1" showAll="0"/>
    <pivotField numFmtId="43" showAll="0"/>
    <pivotField numFmtId="2" showAll="0"/>
    <pivotField numFmtId="14" showAll="0"/>
    <pivotField numFmtId="14" showAll="0"/>
    <pivotField numFmtId="14" showAll="0"/>
    <pivotField dataField="1" numFmtId="43" showAll="0"/>
  </pivotFields>
  <rowItems count="1">
    <i/>
  </rowItems>
  <colFields count="4">
    <field x="4"/>
    <field x="3"/>
    <field x="5"/>
    <field x="2"/>
  </colFields>
  <colItems count="1">
    <i t="grand">
      <x/>
    </i>
  </colItems>
  <dataFields count="1">
    <dataField name="Sum of colamo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3" name="PivotTable2"/>
  </pivotTables>
  <data>
    <tabular pivotCacheId="2">
      <items count="83">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cache="Slicer_date" caption="date" rowHeight="234950"/>
</slicers>
</file>

<file path=xl/tables/table1.xml><?xml version="1.0" encoding="utf-8"?>
<table xmlns="http://schemas.openxmlformats.org/spreadsheetml/2006/main" id="5" name="Table5" displayName="Table5" ref="B3:N34" totalsRowShown="0" dataDxfId="11" dataCellStyle="Comma">
  <autoFilter ref="B3:N34"/>
  <tableColumns count="13">
    <tableColumn id="1" name="index"/>
    <tableColumn id="2" name="date" dataDxfId="6"/>
    <tableColumn id="3" name="day" dataDxfId="4"/>
    <tableColumn id="4" name="month" dataDxfId="5"/>
    <tableColumn id="5" name="year" dataDxfId="17"/>
    <tableColumn id="6" name="week" dataDxfId="16"/>
    <tableColumn id="7" name="weekday" dataDxfId="15" dataCellStyle="Comma"/>
    <tableColumn id="8" name="ratio" dataDxfId="14" dataCellStyle="Comma"/>
    <tableColumn id="9" name="revenue" dataDxfId="9" dataCellStyle="Comma"/>
    <tableColumn id="10" name="monthend" dataDxfId="7"/>
    <tableColumn id="11" name="payment" dataDxfId="8"/>
    <tableColumn id="12" name="collection" dataDxfId="13" dataCellStyle="Comma"/>
    <tableColumn id="13" name="colamot" dataDxfId="12" dataCellStyle="Comma"/>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P3:AB86" totalsRowShown="0">
  <autoFilter ref="P3:AB86"/>
  <tableColumns count="13">
    <tableColumn id="1" name="index"/>
    <tableColumn id="2" name="date" dataDxfId="3"/>
    <tableColumn id="3" name="day"/>
    <tableColumn id="4" name="month"/>
    <tableColumn id="5" name="year"/>
    <tableColumn id="6" name="week"/>
    <tableColumn id="7" name="weekday"/>
    <tableColumn id="8" name="ratio"/>
    <tableColumn id="9" name="revenue"/>
    <tableColumn id="10" name="monthend" dataDxfId="2"/>
    <tableColumn id="11" name="payment" dataDxfId="1"/>
    <tableColumn id="12" name="collection" dataDxfId="0"/>
    <tableColumn id="13" name="colamot"/>
  </tableColumns>
  <tableStyleInfo name="TableStyleMedium2" showFirstColumn="0" showLastColumn="0" showRowStripes="1" showColumnStripes="0"/>
</table>
</file>

<file path=xl/tables/table3.xml><?xml version="1.0" encoding="utf-8"?>
<table xmlns="http://schemas.openxmlformats.org/spreadsheetml/2006/main" id="3" name="Table2" displayName="Table2" ref="F8:R91" totalsRowShown="0">
  <autoFilter ref="F8:R91"/>
  <tableColumns count="13">
    <tableColumn id="1" name="index"/>
    <tableColumn id="2" name="date"/>
    <tableColumn id="3" name="day" dataDxfId="27">
      <calculatedColumnFormula>DAY(Table2[[#This Row],[date]])</calculatedColumnFormula>
    </tableColumn>
    <tableColumn id="4" name="month" dataDxfId="26">
      <calculatedColumnFormula>MONTH(Table2[[#This Row],[date]])</calculatedColumnFormula>
    </tableColumn>
    <tableColumn id="5" name="year" dataDxfId="25">
      <calculatedColumnFormula>YEAR(G9)</calculatedColumnFormula>
    </tableColumn>
    <tableColumn id="6" name="week" dataDxfId="24" dataCellStyle="Comma">
      <calculatedColumnFormula>WEEKNUM(Table2[[#This Row],[date]])</calculatedColumnFormula>
    </tableColumn>
    <tableColumn id="7" name="weekday" dataDxfId="23" dataCellStyle="Comma">
      <calculatedColumnFormula>WEEKDAY(Table2[[#This Row],[date]])</calculatedColumnFormula>
    </tableColumn>
    <tableColumn id="14" name="ratio" dataDxfId="10" dataCellStyle="Comma">
      <calculatedColumnFormula>_xlfn.NORM.DIST(Table2[[#This Row],[index]],41.5,$B$3,FALSE)</calculatedColumnFormula>
    </tableColumn>
    <tableColumn id="9" name="revenue" dataDxfId="22">
      <calculatedColumnFormula>+Table2[[#This Row],[ratio]]*$B$1</calculatedColumnFormula>
    </tableColumn>
    <tableColumn id="10" name="monthend" dataDxfId="21">
      <calculatedColumnFormula>IF(D3=1,C2,(CONCATENATE(Table2[[#This Row],[month]]+1,$B$2,1,$B$2,Table2[[#This Row],[year]]))-1)</calculatedColumnFormula>
    </tableColumn>
    <tableColumn id="11" name="payment" dataDxfId="20" dataCellStyle="Comma">
      <calculatedColumnFormula>Table2[[#This Row],[monthend]]+20</calculatedColumnFormula>
    </tableColumn>
    <tableColumn id="12" name="collection" dataDxfId="19" dataCellStyle="Comma">
      <calculatedColumnFormula>Table2[[#This Row],[payment]] + 10</calculatedColumnFormula>
    </tableColumn>
    <tableColumn id="13" name="colamot" dataDxfId="18" dataCellStyle="Comma">
      <calculatedColumnFormula>Table2[[#This Row],[revenue]]*0.9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image" Target="../media/image11.emf"/><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image" Target="../media/image15.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2.xml"/><Relationship Id="rId33" Type="http://schemas.openxmlformats.org/officeDocument/2006/relationships/control" Target="../activeX/activeX1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ontrol" Target="../activeX/activeX14.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image" Target="../media/image10.emf"/><Relationship Id="rId32" Type="http://schemas.openxmlformats.org/officeDocument/2006/relationships/image" Target="../media/image1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ontrol" Target="../activeX/activeX11.xml"/><Relationship Id="rId28" Type="http://schemas.openxmlformats.org/officeDocument/2006/relationships/image" Target="../media/image12.emf"/><Relationship Id="rId36" Type="http://schemas.openxmlformats.org/officeDocument/2006/relationships/image" Target="../media/image16.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ontrol" Target="../activeX/activeX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3.xml"/><Relationship Id="rId30" Type="http://schemas.openxmlformats.org/officeDocument/2006/relationships/image" Target="../media/image13.emf"/><Relationship Id="rId35" Type="http://schemas.openxmlformats.org/officeDocument/2006/relationships/control" Target="../activeX/activeX17.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1.emf"/><Relationship Id="rId3" Type="http://schemas.openxmlformats.org/officeDocument/2006/relationships/vmlDrawing" Target="../drawings/vmlDrawing3.vml"/><Relationship Id="rId7" Type="http://schemas.openxmlformats.org/officeDocument/2006/relationships/image" Target="../media/image19.emf"/><Relationship Id="rId12" Type="http://schemas.openxmlformats.org/officeDocument/2006/relationships/control" Target="../activeX/activeX22.xml"/><Relationship Id="rId2" Type="http://schemas.openxmlformats.org/officeDocument/2006/relationships/drawing" Target="../drawings/drawing5.xml"/><Relationship Id="rId16" Type="http://schemas.openxmlformats.org/officeDocument/2006/relationships/image" Target="../media/image22.emf"/><Relationship Id="rId1" Type="http://schemas.openxmlformats.org/officeDocument/2006/relationships/printerSettings" Target="../printerSettings/printerSettings4.bin"/><Relationship Id="rId6" Type="http://schemas.openxmlformats.org/officeDocument/2006/relationships/control" Target="../activeX/activeX19.xml"/><Relationship Id="rId11" Type="http://schemas.openxmlformats.org/officeDocument/2006/relationships/image" Target="../media/image12.emf"/><Relationship Id="rId5" Type="http://schemas.openxmlformats.org/officeDocument/2006/relationships/image" Target="../media/image18.emf"/><Relationship Id="rId15" Type="http://schemas.openxmlformats.org/officeDocument/2006/relationships/control" Target="../activeX/activeX24.xml"/><Relationship Id="rId10" Type="http://schemas.openxmlformats.org/officeDocument/2006/relationships/control" Target="../activeX/activeX21.xml"/><Relationship Id="rId4" Type="http://schemas.openxmlformats.org/officeDocument/2006/relationships/control" Target="../activeX/activeX18.xml"/><Relationship Id="rId9" Type="http://schemas.openxmlformats.org/officeDocument/2006/relationships/image" Target="../media/image20.emf"/><Relationship Id="rId14" Type="http://schemas.openxmlformats.org/officeDocument/2006/relationships/control" Target="../activeX/activeX2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24.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26.xml"/><Relationship Id="rId5" Type="http://schemas.openxmlformats.org/officeDocument/2006/relationships/image" Target="../media/image23.emf"/><Relationship Id="rId4" Type="http://schemas.openxmlformats.org/officeDocument/2006/relationships/control" Target="../activeX/activeX2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I13"/>
  <sheetViews>
    <sheetView workbookViewId="0"/>
  </sheetViews>
  <sheetFormatPr defaultRowHeight="14.4" x14ac:dyDescent="0.3"/>
  <cols>
    <col min="1" max="1" width="2.21875" customWidth="1"/>
    <col min="2" max="2" width="6.33203125" customWidth="1"/>
    <col min="3" max="4" width="2.21875" customWidth="1"/>
    <col min="5" max="5" width="6.33203125" customWidth="1"/>
    <col min="6" max="7" width="2.21875" customWidth="1"/>
    <col min="8" max="8" width="6.33203125" customWidth="1"/>
    <col min="9" max="10" width="2.21875" customWidth="1"/>
    <col min="11" max="11" width="6.33203125" customWidth="1"/>
    <col min="12" max="13" width="2.21875" customWidth="1"/>
    <col min="14" max="14" width="6.33203125" customWidth="1"/>
    <col min="15" max="16" width="2.21875" customWidth="1"/>
    <col min="17" max="17" width="6.33203125" customWidth="1"/>
    <col min="18" max="19" width="2.21875" customWidth="1"/>
    <col min="20" max="20" width="6.33203125" customWidth="1"/>
    <col min="21" max="21" width="2.21875" customWidth="1"/>
    <col min="22" max="23" width="8.88671875" style="5"/>
    <col min="31" max="31" width="11.77734375" customWidth="1"/>
    <col min="32" max="32" width="2.21875" customWidth="1"/>
  </cols>
  <sheetData>
    <row r="1" spans="1:35" x14ac:dyDescent="0.3">
      <c r="A1" s="1"/>
      <c r="B1" s="1"/>
      <c r="C1" s="1"/>
      <c r="D1" s="1"/>
      <c r="E1" s="1"/>
      <c r="F1" s="1"/>
      <c r="G1" s="1"/>
      <c r="H1" s="1"/>
      <c r="I1" s="1"/>
      <c r="J1" s="1"/>
      <c r="K1" s="1"/>
      <c r="L1" s="1"/>
      <c r="M1" s="1"/>
      <c r="N1" s="1"/>
      <c r="O1" s="1"/>
      <c r="P1" s="1"/>
      <c r="Q1" s="1"/>
      <c r="R1" s="1"/>
      <c r="S1" s="1"/>
      <c r="T1" s="1"/>
      <c r="U1" s="1"/>
      <c r="V1" s="4"/>
      <c r="W1" s="4"/>
      <c r="X1" s="1"/>
      <c r="Y1" s="47" t="s">
        <v>2</v>
      </c>
      <c r="Z1" s="53"/>
      <c r="AA1" s="54"/>
      <c r="AB1" s="5"/>
      <c r="AC1" s="50" t="s">
        <v>3</v>
      </c>
      <c r="AD1" s="54"/>
      <c r="AE1" s="54"/>
      <c r="AF1" s="5"/>
      <c r="AG1" s="6" t="s">
        <v>1</v>
      </c>
      <c r="AI1" s="31"/>
    </row>
    <row r="2" spans="1:35" ht="31.8" customHeight="1" x14ac:dyDescent="0.3">
      <c r="A2" s="1"/>
      <c r="B2" s="2"/>
      <c r="C2" s="1"/>
      <c r="D2" s="1"/>
      <c r="E2" s="2"/>
      <c r="F2" s="1"/>
      <c r="G2" s="1"/>
      <c r="H2" s="3" t="s">
        <v>0</v>
      </c>
      <c r="I2" s="1"/>
      <c r="J2" s="1"/>
      <c r="K2" s="2"/>
      <c r="L2" s="1"/>
      <c r="M2" s="1"/>
      <c r="N2" s="2"/>
      <c r="O2" s="1"/>
      <c r="P2" s="1"/>
      <c r="Q2" s="32" t="s">
        <v>34</v>
      </c>
      <c r="R2" s="1"/>
      <c r="S2" s="1"/>
      <c r="T2" s="2"/>
      <c r="U2" s="1"/>
      <c r="V2" s="4"/>
      <c r="W2" s="4"/>
      <c r="X2" s="1"/>
      <c r="Y2" s="48"/>
      <c r="Z2" s="53"/>
      <c r="AA2" s="54"/>
      <c r="AB2" s="5"/>
      <c r="AC2" s="51"/>
      <c r="AD2" s="54"/>
      <c r="AE2" s="54"/>
      <c r="AF2" s="5"/>
      <c r="AG2" s="5"/>
      <c r="AH2" s="5"/>
    </row>
    <row r="3" spans="1:35" x14ac:dyDescent="0.3">
      <c r="A3" s="1"/>
      <c r="B3" s="1"/>
      <c r="C3" s="1"/>
      <c r="D3" s="1"/>
      <c r="E3" s="1"/>
      <c r="F3" s="1"/>
      <c r="G3" s="1"/>
      <c r="H3" s="1"/>
      <c r="I3" s="1"/>
      <c r="J3" s="1"/>
      <c r="K3" s="1"/>
      <c r="L3" s="1"/>
      <c r="M3" s="1"/>
      <c r="N3" s="1"/>
      <c r="O3" s="1"/>
      <c r="P3" s="1"/>
      <c r="Q3" s="1"/>
      <c r="R3" s="1"/>
      <c r="S3" s="1"/>
      <c r="T3" s="1"/>
      <c r="U3" s="1"/>
      <c r="V3" s="4"/>
      <c r="W3" s="4"/>
      <c r="X3" s="1"/>
      <c r="Y3" s="48"/>
      <c r="Z3" s="53"/>
      <c r="AA3" s="54"/>
      <c r="AB3" s="4"/>
      <c r="AC3" s="51"/>
      <c r="AD3" s="54"/>
      <c r="AE3" s="54"/>
      <c r="AF3" s="4"/>
    </row>
    <row r="4" spans="1:35" ht="11.4" customHeight="1" thickBot="1" x14ac:dyDescent="0.35">
      <c r="A4" s="1"/>
      <c r="B4" s="1"/>
      <c r="C4" s="1"/>
      <c r="D4" s="1"/>
      <c r="E4" s="1"/>
      <c r="F4" s="1"/>
      <c r="G4" s="1"/>
      <c r="H4" s="1"/>
      <c r="I4" s="1"/>
      <c r="J4" s="1"/>
      <c r="K4" s="1"/>
      <c r="L4" s="1"/>
      <c r="M4" s="1"/>
      <c r="N4" s="1"/>
      <c r="O4" s="1"/>
      <c r="P4" s="1"/>
      <c r="Q4" s="1"/>
      <c r="R4" s="1"/>
      <c r="S4" s="1"/>
      <c r="T4" s="1"/>
      <c r="U4" s="1"/>
      <c r="V4" s="4"/>
      <c r="W4" s="4"/>
      <c r="X4" s="1"/>
      <c r="Y4" s="49"/>
      <c r="Z4" s="53"/>
      <c r="AA4" s="54"/>
      <c r="AB4" s="4"/>
      <c r="AC4" s="52"/>
      <c r="AD4" s="54"/>
      <c r="AE4" s="54"/>
      <c r="AF4" s="4"/>
      <c r="AG4" s="5"/>
    </row>
    <row r="5" spans="1:35" x14ac:dyDescent="0.3">
      <c r="A5" s="1"/>
      <c r="B5" s="1"/>
      <c r="C5" s="1"/>
      <c r="D5" s="1"/>
      <c r="E5" s="1"/>
      <c r="F5" s="1"/>
      <c r="G5" s="1"/>
      <c r="H5" s="1"/>
      <c r="I5" s="1"/>
      <c r="J5" s="1"/>
      <c r="K5" s="1"/>
      <c r="L5" s="1"/>
      <c r="M5" s="1"/>
      <c r="N5" s="1"/>
      <c r="O5" s="1"/>
      <c r="P5" s="1"/>
      <c r="Q5" s="1"/>
      <c r="R5" s="1"/>
      <c r="S5" s="1"/>
      <c r="T5" s="1"/>
      <c r="U5" s="1"/>
      <c r="V5" s="4"/>
      <c r="W5" s="4"/>
      <c r="X5" s="1"/>
      <c r="Y5" s="4"/>
      <c r="Z5" s="4"/>
      <c r="AA5" s="4"/>
      <c r="AB5" s="4"/>
      <c r="AC5" s="4"/>
      <c r="AD5" s="4"/>
      <c r="AE5" s="4"/>
      <c r="AF5" s="4"/>
      <c r="AG5" s="5"/>
    </row>
    <row r="6" spans="1:35" x14ac:dyDescent="0.3">
      <c r="A6" s="1"/>
      <c r="B6" s="1"/>
      <c r="C6" s="1"/>
      <c r="D6" s="1"/>
      <c r="E6" s="1"/>
      <c r="F6" s="1"/>
      <c r="G6" s="1"/>
      <c r="H6" s="1"/>
      <c r="I6" s="1"/>
      <c r="J6" s="1"/>
      <c r="K6" s="1"/>
      <c r="L6" s="1"/>
      <c r="M6" s="1"/>
      <c r="N6" s="1"/>
      <c r="O6" s="1"/>
      <c r="P6" s="1"/>
      <c r="Q6" s="1"/>
      <c r="R6" s="1"/>
      <c r="S6" s="1"/>
      <c r="T6" s="1"/>
      <c r="U6" s="1"/>
      <c r="V6" s="4"/>
      <c r="W6" s="4"/>
      <c r="X6" s="1"/>
      <c r="Y6" s="1"/>
      <c r="Z6" s="1"/>
      <c r="AA6" s="1"/>
      <c r="AB6" s="1"/>
      <c r="AC6" s="1"/>
      <c r="AD6" s="1"/>
      <c r="AE6" s="1"/>
      <c r="AF6" s="1"/>
    </row>
    <row r="7" spans="1:35" x14ac:dyDescent="0.3">
      <c r="A7" s="1"/>
      <c r="B7" s="1"/>
      <c r="C7" s="1"/>
      <c r="D7" s="1"/>
      <c r="E7" s="1"/>
      <c r="F7" s="1"/>
      <c r="G7" s="1"/>
      <c r="H7" s="1"/>
      <c r="I7" s="1"/>
      <c r="J7" s="1"/>
      <c r="K7" s="1"/>
      <c r="L7" s="1"/>
      <c r="M7" s="1"/>
      <c r="N7" s="1"/>
      <c r="O7" s="1"/>
      <c r="P7" s="1"/>
      <c r="Q7" s="1"/>
      <c r="R7" s="1"/>
      <c r="S7" s="1"/>
      <c r="T7" s="1"/>
      <c r="U7" s="1"/>
      <c r="V7" s="4"/>
      <c r="W7" s="4"/>
      <c r="X7" s="1"/>
      <c r="Y7" s="1"/>
      <c r="Z7" s="1"/>
      <c r="AA7" s="1"/>
      <c r="AB7" s="1"/>
      <c r="AC7" s="1"/>
      <c r="AD7" s="1"/>
      <c r="AE7" s="1"/>
      <c r="AF7" s="1"/>
    </row>
    <row r="8" spans="1:35" x14ac:dyDescent="0.3">
      <c r="A8" s="1"/>
      <c r="B8" s="1"/>
      <c r="C8" s="1"/>
      <c r="D8" s="1"/>
      <c r="E8" s="1" t="s">
        <v>37</v>
      </c>
      <c r="F8" s="1"/>
      <c r="G8" s="1"/>
      <c r="H8" s="1"/>
      <c r="I8" s="1"/>
      <c r="J8" s="1"/>
      <c r="K8" s="1"/>
      <c r="L8" s="1"/>
      <c r="M8" s="1"/>
      <c r="N8" s="1"/>
      <c r="O8" s="1"/>
      <c r="P8" s="1"/>
      <c r="Q8" s="1"/>
      <c r="R8" s="1"/>
      <c r="S8" s="1"/>
      <c r="T8" s="1"/>
      <c r="U8" s="1"/>
      <c r="V8" s="4"/>
      <c r="W8" s="4"/>
      <c r="X8" s="1"/>
      <c r="Y8" s="1"/>
      <c r="Z8" s="1"/>
      <c r="AA8" s="1"/>
      <c r="AB8" s="1"/>
      <c r="AC8" s="1"/>
      <c r="AD8" s="1"/>
      <c r="AE8" s="1"/>
      <c r="AF8" s="1"/>
    </row>
    <row r="9" spans="1:35" x14ac:dyDescent="0.3">
      <c r="A9" s="1"/>
      <c r="B9" s="1"/>
      <c r="C9" s="1"/>
      <c r="D9" s="1"/>
      <c r="E9" s="1" t="s">
        <v>38</v>
      </c>
      <c r="F9" s="1"/>
      <c r="G9" s="1"/>
      <c r="H9" s="1"/>
      <c r="I9" s="1"/>
      <c r="J9" s="1"/>
      <c r="K9" s="1"/>
      <c r="L9" s="1"/>
      <c r="M9" s="1"/>
      <c r="N9" s="1"/>
      <c r="O9" s="1"/>
      <c r="P9" s="1"/>
      <c r="Q9" s="1"/>
      <c r="R9" s="1"/>
      <c r="S9" s="1"/>
      <c r="T9" s="1"/>
      <c r="U9" s="1"/>
      <c r="V9" s="4"/>
      <c r="W9" s="4"/>
      <c r="X9" s="1"/>
      <c r="Y9" s="1"/>
      <c r="Z9" s="1"/>
      <c r="AA9" s="1"/>
      <c r="AB9" s="1"/>
      <c r="AC9" s="1"/>
      <c r="AD9" s="1"/>
      <c r="AE9" s="1"/>
      <c r="AF9" s="1"/>
    </row>
    <row r="10" spans="1:35" x14ac:dyDescent="0.3">
      <c r="A10" s="1"/>
      <c r="B10" s="1"/>
      <c r="C10" s="1"/>
      <c r="D10" s="1"/>
      <c r="E10" s="1" t="s">
        <v>39</v>
      </c>
      <c r="F10" s="1"/>
      <c r="G10" s="1"/>
      <c r="H10" s="1"/>
      <c r="I10" s="1"/>
      <c r="J10" s="1"/>
      <c r="K10" s="1"/>
      <c r="L10" s="1"/>
      <c r="M10" s="1"/>
      <c r="N10" s="1"/>
      <c r="O10" s="1"/>
      <c r="P10" s="1"/>
      <c r="Q10" s="1"/>
      <c r="R10" s="1"/>
      <c r="S10" s="1"/>
      <c r="T10" s="1"/>
      <c r="U10" s="1"/>
      <c r="V10" s="4"/>
      <c r="W10" s="4"/>
      <c r="X10" s="1"/>
      <c r="Y10" s="1"/>
      <c r="Z10" s="1"/>
      <c r="AA10" s="1"/>
      <c r="AB10" s="1"/>
      <c r="AC10" s="1"/>
      <c r="AD10" s="1"/>
      <c r="AE10" s="1"/>
      <c r="AF10" s="1"/>
    </row>
    <row r="11" spans="1:35" x14ac:dyDescent="0.3">
      <c r="A11" s="1"/>
      <c r="B11" s="1"/>
      <c r="C11" s="1"/>
      <c r="D11" s="1"/>
      <c r="E11" s="1"/>
      <c r="F11" s="1"/>
      <c r="G11" s="1"/>
      <c r="H11" s="1"/>
      <c r="I11" s="1"/>
      <c r="J11" s="1"/>
      <c r="K11" s="1"/>
      <c r="L11" s="1"/>
      <c r="M11" s="1"/>
      <c r="N11" s="1"/>
      <c r="O11" s="1"/>
      <c r="P11" s="1"/>
      <c r="Q11" s="1"/>
      <c r="R11" s="1"/>
      <c r="S11" s="1"/>
      <c r="T11" s="1"/>
      <c r="U11" s="1"/>
      <c r="V11" s="4"/>
      <c r="W11" s="4"/>
      <c r="X11" s="1"/>
      <c r="Y11" s="1"/>
      <c r="Z11" s="1"/>
      <c r="AA11" s="1"/>
      <c r="AB11" s="1"/>
      <c r="AC11" s="1"/>
      <c r="AD11" s="1"/>
      <c r="AE11" s="1"/>
      <c r="AF11" s="1"/>
    </row>
    <row r="12" spans="1:35" x14ac:dyDescent="0.3">
      <c r="A12" s="1"/>
      <c r="B12" s="1"/>
      <c r="C12" s="1"/>
      <c r="D12" s="1"/>
      <c r="E12" s="1"/>
      <c r="F12" s="1"/>
      <c r="G12" s="1"/>
      <c r="H12" s="1"/>
      <c r="I12" s="1"/>
      <c r="J12" s="1"/>
      <c r="K12" s="1"/>
      <c r="L12" s="1"/>
      <c r="M12" s="1"/>
      <c r="N12" s="1"/>
      <c r="O12" s="1"/>
      <c r="P12" s="1"/>
      <c r="Q12" s="1"/>
      <c r="R12" s="1"/>
      <c r="S12" s="1"/>
      <c r="T12" s="1"/>
      <c r="U12" s="1"/>
      <c r="V12" s="4"/>
      <c r="W12" s="4"/>
      <c r="X12" s="1"/>
      <c r="Y12" s="1"/>
      <c r="Z12" s="1"/>
      <c r="AA12" s="1"/>
      <c r="AB12" s="1"/>
      <c r="AC12" s="1"/>
      <c r="AD12" s="1"/>
      <c r="AE12" s="1"/>
      <c r="AF12" s="1"/>
    </row>
    <row r="13" spans="1:35" x14ac:dyDescent="0.3">
      <c r="A13" s="1"/>
      <c r="B13" s="1"/>
      <c r="C13" s="1"/>
      <c r="D13" s="1"/>
      <c r="E13" s="1"/>
      <c r="F13" s="1"/>
      <c r="G13" s="1"/>
      <c r="H13" s="1"/>
      <c r="I13" s="1"/>
      <c r="J13" s="1"/>
      <c r="K13" s="1"/>
      <c r="L13" s="1"/>
      <c r="M13" s="1"/>
      <c r="N13" s="1"/>
      <c r="O13" s="1"/>
      <c r="P13" s="1"/>
      <c r="Q13" s="1"/>
      <c r="R13" s="1"/>
      <c r="S13" s="1"/>
      <c r="T13" s="1"/>
      <c r="U13" s="1"/>
      <c r="V13" s="4"/>
      <c r="W13" s="4"/>
      <c r="X13" s="1"/>
      <c r="Y13" s="1"/>
      <c r="Z13" s="1"/>
      <c r="AA13" s="1"/>
      <c r="AB13" s="1"/>
      <c r="AC13" s="1"/>
      <c r="AD13" s="1"/>
      <c r="AE13" s="1"/>
      <c r="AF13" s="1"/>
    </row>
  </sheetData>
  <sheetProtection selectLockedCells="1"/>
  <mergeCells count="4">
    <mergeCell ref="Y1:Y4"/>
    <mergeCell ref="AC1:AC4"/>
    <mergeCell ref="Z1:AA4"/>
    <mergeCell ref="AD1:AE4"/>
  </mergeCells>
  <pageMargins left="0.7" right="0.7" top="0.75" bottom="0.75" header="0.3" footer="0.3"/>
  <pageSetup orientation="portrait" r:id="rId1"/>
  <drawing r:id="rId2"/>
  <legacyDrawing r:id="rId3"/>
  <controls>
    <mc:AlternateContent xmlns:mc="http://schemas.openxmlformats.org/markup-compatibility/2006">
      <mc:Choice Requires="x14">
        <control shapeId="1042" r:id="rId4" name="CommandButton9">
          <controlPr autoLine="0" r:id="rId5">
            <anchor moveWithCells="1">
              <from>
                <xdr:col>17</xdr:col>
                <xdr:colOff>68580</xdr:colOff>
                <xdr:row>3</xdr:row>
                <xdr:rowOff>114300</xdr:rowOff>
              </from>
              <to>
                <xdr:col>21</xdr:col>
                <xdr:colOff>91440</xdr:colOff>
                <xdr:row>5</xdr:row>
                <xdr:rowOff>91440</xdr:rowOff>
              </to>
            </anchor>
          </controlPr>
        </control>
      </mc:Choice>
      <mc:Fallback>
        <control shapeId="1042" r:id="rId4" name="CommandButton9"/>
      </mc:Fallback>
    </mc:AlternateContent>
    <mc:AlternateContent xmlns:mc="http://schemas.openxmlformats.org/markup-compatibility/2006">
      <mc:Choice Requires="x14">
        <control shapeId="1041" r:id="rId6" name="ImageList31">
          <controlPr autoLine="0" autoPict="0" r:id="rId7">
            <anchor moveWithCells="1">
              <from>
                <xdr:col>35</xdr:col>
                <xdr:colOff>83820</xdr:colOff>
                <xdr:row>0</xdr:row>
                <xdr:rowOff>144780</xdr:rowOff>
              </from>
              <to>
                <xdr:col>35</xdr:col>
                <xdr:colOff>434340</xdr:colOff>
                <xdr:row>1</xdr:row>
                <xdr:rowOff>312420</xdr:rowOff>
              </to>
            </anchor>
          </controlPr>
        </control>
      </mc:Choice>
      <mc:Fallback>
        <control shapeId="1041" r:id="rId6" name="ImageList31"/>
      </mc:Fallback>
    </mc:AlternateContent>
    <mc:AlternateContent xmlns:mc="http://schemas.openxmlformats.org/markup-compatibility/2006">
      <mc:Choice Requires="x14">
        <control shapeId="1040" r:id="rId8" name="Toolbar31">
          <controlPr autoFill="0" autoLine="0" autoPict="0" r:id="rId9">
            <anchor moveWithCells="1">
              <from>
                <xdr:col>21</xdr:col>
                <xdr:colOff>60960</xdr:colOff>
                <xdr:row>1</xdr:row>
                <xdr:rowOff>38100</xdr:rowOff>
              </from>
              <to>
                <xdr:col>21</xdr:col>
                <xdr:colOff>121920</xdr:colOff>
                <xdr:row>5</xdr:row>
                <xdr:rowOff>106680</xdr:rowOff>
              </to>
            </anchor>
          </controlPr>
        </control>
      </mc:Choice>
      <mc:Fallback>
        <control shapeId="1040" r:id="rId8" name="Toolbar31"/>
      </mc:Fallback>
    </mc:AlternateContent>
    <mc:AlternateContent xmlns:mc="http://schemas.openxmlformats.org/markup-compatibility/2006">
      <mc:Choice Requires="x14">
        <control shapeId="1039" r:id="rId10" name="TreeView41">
          <controlPr autoLine="0" autoPict="0" r:id="rId11">
            <anchor moveWithCells="1">
              <from>
                <xdr:col>32</xdr:col>
                <xdr:colOff>137160</xdr:colOff>
                <xdr:row>1</xdr:row>
                <xdr:rowOff>198120</xdr:rowOff>
              </from>
              <to>
                <xdr:col>35</xdr:col>
                <xdr:colOff>167640</xdr:colOff>
                <xdr:row>4</xdr:row>
                <xdr:rowOff>175260</xdr:rowOff>
              </to>
            </anchor>
          </controlPr>
        </control>
      </mc:Choice>
      <mc:Fallback>
        <control shapeId="1039" r:id="rId10" name="TreeView41"/>
      </mc:Fallback>
    </mc:AlternateContent>
    <mc:AlternateContent xmlns:mc="http://schemas.openxmlformats.org/markup-compatibility/2006">
      <mc:Choice Requires="x14">
        <control shapeId="1038" r:id="rId12" name="ListView1">
          <controlPr autoLine="0" autoPict="0" r:id="rId13">
            <anchor moveWithCells="1">
              <from>
                <xdr:col>4</xdr:col>
                <xdr:colOff>381000</xdr:colOff>
                <xdr:row>7</xdr:row>
                <xdr:rowOff>175260</xdr:rowOff>
              </from>
              <to>
                <xdr:col>23</xdr:col>
                <xdr:colOff>480060</xdr:colOff>
                <xdr:row>17</xdr:row>
                <xdr:rowOff>83820</xdr:rowOff>
              </to>
            </anchor>
          </controlPr>
        </control>
      </mc:Choice>
      <mc:Fallback>
        <control shapeId="1038" r:id="rId12" name="ListView1"/>
      </mc:Fallback>
    </mc:AlternateContent>
    <mc:AlternateContent xmlns:mc="http://schemas.openxmlformats.org/markup-compatibility/2006">
      <mc:Choice Requires="x14">
        <control shapeId="1037" r:id="rId14" name="CommandButton8">
          <controlPr autoLine="0" r:id="rId15">
            <anchor moveWithCells="1">
              <from>
                <xdr:col>16</xdr:col>
                <xdr:colOff>0</xdr:colOff>
                <xdr:row>1</xdr:row>
                <xdr:rowOff>0</xdr:rowOff>
              </from>
              <to>
                <xdr:col>17</xdr:col>
                <xdr:colOff>0</xdr:colOff>
                <xdr:row>2</xdr:row>
                <xdr:rowOff>0</xdr:rowOff>
              </to>
            </anchor>
          </controlPr>
        </control>
      </mc:Choice>
      <mc:Fallback>
        <control shapeId="1037" r:id="rId14" name="CommandButton8"/>
      </mc:Fallback>
    </mc:AlternateContent>
    <mc:AlternateContent xmlns:mc="http://schemas.openxmlformats.org/markup-compatibility/2006">
      <mc:Choice Requires="x14">
        <control shapeId="1025" r:id="rId16" name="CommandButton1">
          <controlPr autoLine="0" r:id="rId17">
            <anchor moveWithCells="1">
              <from>
                <xdr:col>22</xdr:col>
                <xdr:colOff>312420</xdr:colOff>
                <xdr:row>1</xdr:row>
                <xdr:rowOff>60960</xdr:rowOff>
              </from>
              <to>
                <xdr:col>23</xdr:col>
                <xdr:colOff>121920</xdr:colOff>
                <xdr:row>1</xdr:row>
                <xdr:rowOff>365760</xdr:rowOff>
              </to>
            </anchor>
          </controlPr>
        </control>
      </mc:Choice>
      <mc:Fallback>
        <control shapeId="1025" r:id="rId16" name="CommandButton1"/>
      </mc:Fallback>
    </mc:AlternateContent>
    <mc:AlternateContent xmlns:mc="http://schemas.openxmlformats.org/markup-compatibility/2006">
      <mc:Choice Requires="x14">
        <control shapeId="1027" r:id="rId18" name="ToggleButton1">
          <controlPr defaultSize="0" autoLine="0" r:id="rId19">
            <anchor moveWithCells="1">
              <from>
                <xdr:col>1</xdr:col>
                <xdr:colOff>0</xdr:colOff>
                <xdr:row>1</xdr:row>
                <xdr:rowOff>0</xdr:rowOff>
              </from>
              <to>
                <xdr:col>2</xdr:col>
                <xdr:colOff>0</xdr:colOff>
                <xdr:row>2</xdr:row>
                <xdr:rowOff>0</xdr:rowOff>
              </to>
            </anchor>
          </controlPr>
        </control>
      </mc:Choice>
      <mc:Fallback>
        <control shapeId="1027" r:id="rId18" name="ToggleButton1"/>
      </mc:Fallback>
    </mc:AlternateContent>
    <mc:AlternateContent xmlns:mc="http://schemas.openxmlformats.org/markup-compatibility/2006">
      <mc:Choice Requires="x14">
        <control shapeId="1028" r:id="rId20" name="CommandButton3">
          <controlPr defaultSize="0" autoLine="0" r:id="rId21">
            <anchor moveWithCells="1">
              <from>
                <xdr:col>4</xdr:col>
                <xdr:colOff>0</xdr:colOff>
                <xdr:row>1</xdr:row>
                <xdr:rowOff>0</xdr:rowOff>
              </from>
              <to>
                <xdr:col>5</xdr:col>
                <xdr:colOff>0</xdr:colOff>
                <xdr:row>2</xdr:row>
                <xdr:rowOff>0</xdr:rowOff>
              </to>
            </anchor>
          </controlPr>
        </control>
      </mc:Choice>
      <mc:Fallback>
        <control shapeId="1028" r:id="rId20" name="CommandButton3"/>
      </mc:Fallback>
    </mc:AlternateContent>
    <mc:AlternateContent xmlns:mc="http://schemas.openxmlformats.org/markup-compatibility/2006">
      <mc:Choice Requires="x14">
        <control shapeId="1029" r:id="rId22" name="CommandButton4">
          <controlPr defaultSize="0" autoFill="0" autoLine="0" r:id="rId15">
            <anchor moveWithCells="1">
              <from>
                <xdr:col>7</xdr:col>
                <xdr:colOff>0</xdr:colOff>
                <xdr:row>1</xdr:row>
                <xdr:rowOff>0</xdr:rowOff>
              </from>
              <to>
                <xdr:col>8</xdr:col>
                <xdr:colOff>0</xdr:colOff>
                <xdr:row>2</xdr:row>
                <xdr:rowOff>0</xdr:rowOff>
              </to>
            </anchor>
          </controlPr>
        </control>
      </mc:Choice>
      <mc:Fallback>
        <control shapeId="1029" r:id="rId22" name="CommandButton4"/>
      </mc:Fallback>
    </mc:AlternateContent>
    <mc:AlternateContent xmlns:mc="http://schemas.openxmlformats.org/markup-compatibility/2006">
      <mc:Choice Requires="x14">
        <control shapeId="1030" r:id="rId23" name="ListBox1">
          <controlPr autoLine="0" autoPict="0" r:id="rId24">
            <anchor moveWithCells="1" sizeWithCells="1">
              <from>
                <xdr:col>25</xdr:col>
                <xdr:colOff>0</xdr:colOff>
                <xdr:row>0</xdr:row>
                <xdr:rowOff>0</xdr:rowOff>
              </from>
              <to>
                <xdr:col>27</xdr:col>
                <xdr:colOff>0</xdr:colOff>
                <xdr:row>4</xdr:row>
                <xdr:rowOff>0</xdr:rowOff>
              </to>
            </anchor>
          </controlPr>
        </control>
      </mc:Choice>
      <mc:Fallback>
        <control shapeId="1030" r:id="rId23" name="ListBox1"/>
      </mc:Fallback>
    </mc:AlternateContent>
    <mc:AlternateContent xmlns:mc="http://schemas.openxmlformats.org/markup-compatibility/2006">
      <mc:Choice Requires="x14">
        <control shapeId="1031" r:id="rId25" name="CommandButton5">
          <controlPr defaultSize="0" autoLine="0" r:id="rId26">
            <anchor moveWithCells="1">
              <from>
                <xdr:col>10</xdr:col>
                <xdr:colOff>0</xdr:colOff>
                <xdr:row>1</xdr:row>
                <xdr:rowOff>0</xdr:rowOff>
              </from>
              <to>
                <xdr:col>11</xdr:col>
                <xdr:colOff>0</xdr:colOff>
                <xdr:row>2</xdr:row>
                <xdr:rowOff>0</xdr:rowOff>
              </to>
            </anchor>
          </controlPr>
        </control>
      </mc:Choice>
      <mc:Fallback>
        <control shapeId="1031" r:id="rId25" name="CommandButton5"/>
      </mc:Fallback>
    </mc:AlternateContent>
    <mc:AlternateContent xmlns:mc="http://schemas.openxmlformats.org/markup-compatibility/2006">
      <mc:Choice Requires="x14">
        <control shapeId="1032" r:id="rId27" name="ProgressBar21">
          <controlPr autoLine="0" autoPict="0" r:id="rId28">
            <anchor moveWithCells="1">
              <from>
                <xdr:col>0</xdr:col>
                <xdr:colOff>0</xdr:colOff>
                <xdr:row>5</xdr:row>
                <xdr:rowOff>30480</xdr:rowOff>
              </from>
              <to>
                <xdr:col>35</xdr:col>
                <xdr:colOff>259080</xdr:colOff>
                <xdr:row>6</xdr:row>
                <xdr:rowOff>30480</xdr:rowOff>
              </to>
            </anchor>
          </controlPr>
        </control>
      </mc:Choice>
      <mc:Fallback>
        <control shapeId="1032" r:id="rId27" name="ProgressBar21"/>
      </mc:Fallback>
    </mc:AlternateContent>
    <mc:AlternateContent xmlns:mc="http://schemas.openxmlformats.org/markup-compatibility/2006">
      <mc:Choice Requires="x14">
        <control shapeId="1033" r:id="rId29" name="CommandButton6">
          <controlPr autoLine="0" r:id="rId30">
            <anchor moveWithCells="1">
              <from>
                <xdr:col>13</xdr:col>
                <xdr:colOff>0</xdr:colOff>
                <xdr:row>1</xdr:row>
                <xdr:rowOff>0</xdr:rowOff>
              </from>
              <to>
                <xdr:col>14</xdr:col>
                <xdr:colOff>0</xdr:colOff>
                <xdr:row>2</xdr:row>
                <xdr:rowOff>0</xdr:rowOff>
              </to>
            </anchor>
          </controlPr>
        </control>
      </mc:Choice>
      <mc:Fallback>
        <control shapeId="1033" r:id="rId29" name="CommandButton6"/>
      </mc:Fallback>
    </mc:AlternateContent>
    <mc:AlternateContent xmlns:mc="http://schemas.openxmlformats.org/markup-compatibility/2006">
      <mc:Choice Requires="x14">
        <control shapeId="1034" r:id="rId31" name="ListBox2">
          <controlPr autoLine="0" r:id="rId32">
            <anchor moveWithCells="1" sizeWithCells="1">
              <from>
                <xdr:col>29</xdr:col>
                <xdr:colOff>0</xdr:colOff>
                <xdr:row>0</xdr:row>
                <xdr:rowOff>0</xdr:rowOff>
              </from>
              <to>
                <xdr:col>30</xdr:col>
                <xdr:colOff>739140</xdr:colOff>
                <xdr:row>4</xdr:row>
                <xdr:rowOff>0</xdr:rowOff>
              </to>
            </anchor>
          </controlPr>
        </control>
      </mc:Choice>
      <mc:Fallback>
        <control shapeId="1034" r:id="rId31" name="ListBox2"/>
      </mc:Fallback>
    </mc:AlternateContent>
    <mc:AlternateContent xmlns:mc="http://schemas.openxmlformats.org/markup-compatibility/2006">
      <mc:Choice Requires="x14">
        <control shapeId="1035" r:id="rId33" name="CommandButton2">
          <controlPr defaultSize="0" autoLine="0" r:id="rId34">
            <anchor moveWithCells="1">
              <from>
                <xdr:col>32</xdr:col>
                <xdr:colOff>0</xdr:colOff>
                <xdr:row>0</xdr:row>
                <xdr:rowOff>0</xdr:rowOff>
              </from>
              <to>
                <xdr:col>33</xdr:col>
                <xdr:colOff>0</xdr:colOff>
                <xdr:row>1</xdr:row>
                <xdr:rowOff>0</xdr:rowOff>
              </to>
            </anchor>
          </controlPr>
        </control>
      </mc:Choice>
      <mc:Fallback>
        <control shapeId="1035" r:id="rId33" name="CommandButton2"/>
      </mc:Fallback>
    </mc:AlternateContent>
    <mc:AlternateContent xmlns:mc="http://schemas.openxmlformats.org/markup-compatibility/2006">
      <mc:Choice Requires="x14">
        <control shapeId="1036" r:id="rId35" name="CommandButton7">
          <controlPr autoLine="0" r:id="rId36">
            <anchor moveWithCells="1">
              <from>
                <xdr:col>33</xdr:col>
                <xdr:colOff>190500</xdr:colOff>
                <xdr:row>0</xdr:row>
                <xdr:rowOff>45720</xdr:rowOff>
              </from>
              <to>
                <xdr:col>34</xdr:col>
                <xdr:colOff>60960</xdr:colOff>
                <xdr:row>1</xdr:row>
                <xdr:rowOff>167640</xdr:rowOff>
              </to>
            </anchor>
          </controlPr>
        </control>
      </mc:Choice>
      <mc:Fallback>
        <control shapeId="1036" r:id="rId35"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AB86"/>
  <sheetViews>
    <sheetView workbookViewId="0"/>
  </sheetViews>
  <sheetFormatPr defaultRowHeight="14.4" x14ac:dyDescent="0.3"/>
  <cols>
    <col min="3" max="3" width="9.5546875" bestFit="1" customWidth="1"/>
    <col min="8" max="8" width="10.44140625" customWidth="1"/>
    <col min="10" max="10" width="9.77734375" customWidth="1"/>
    <col min="11" max="11" width="11.77734375" customWidth="1"/>
    <col min="12" max="12" width="10.44140625" customWidth="1"/>
    <col min="13" max="13" width="11" customWidth="1"/>
    <col min="14" max="14" width="9.77734375" customWidth="1"/>
    <col min="17" max="17" width="9.5546875" bestFit="1" customWidth="1"/>
    <col min="22" max="22" width="10.44140625" customWidth="1"/>
    <col min="24" max="24" width="9.77734375" customWidth="1"/>
    <col min="25" max="25" width="11.77734375" customWidth="1"/>
    <col min="26" max="26" width="10.44140625" customWidth="1"/>
    <col min="27" max="27" width="11" customWidth="1"/>
    <col min="28" max="28" width="9.77734375" customWidth="1"/>
  </cols>
  <sheetData>
    <row r="2" spans="2:28" x14ac:dyDescent="0.3">
      <c r="H2" s="19"/>
      <c r="I2" s="19"/>
      <c r="J2" s="30"/>
      <c r="K2" s="27"/>
      <c r="L2" s="7"/>
      <c r="M2" s="26"/>
      <c r="N2" s="7"/>
      <c r="O2" s="25"/>
    </row>
    <row r="3" spans="2:28" x14ac:dyDescent="0.3">
      <c r="B3" t="s">
        <v>8</v>
      </c>
      <c r="C3" t="s">
        <v>13</v>
      </c>
      <c r="D3" s="7" t="s">
        <v>9</v>
      </c>
      <c r="E3" s="9" t="s">
        <v>10</v>
      </c>
      <c r="F3" s="9" t="s">
        <v>11</v>
      </c>
      <c r="G3" s="9" t="s">
        <v>12</v>
      </c>
      <c r="H3" s="33" t="s">
        <v>14</v>
      </c>
      <c r="I3" s="33" t="s">
        <v>20</v>
      </c>
      <c r="J3" s="34" t="s">
        <v>21</v>
      </c>
      <c r="K3" s="27" t="s">
        <v>22</v>
      </c>
      <c r="L3" s="7" t="s">
        <v>27</v>
      </c>
      <c r="M3" s="35" t="s">
        <v>28</v>
      </c>
      <c r="N3" s="35" t="s">
        <v>29</v>
      </c>
      <c r="O3" s="36"/>
      <c r="P3" t="s">
        <v>8</v>
      </c>
      <c r="Q3" t="s">
        <v>13</v>
      </c>
      <c r="R3" t="s">
        <v>9</v>
      </c>
      <c r="S3" t="s">
        <v>10</v>
      </c>
      <c r="T3" t="s">
        <v>11</v>
      </c>
      <c r="U3" t="s">
        <v>12</v>
      </c>
      <c r="V3" t="s">
        <v>14</v>
      </c>
      <c r="W3" t="s">
        <v>20</v>
      </c>
      <c r="X3" t="s">
        <v>21</v>
      </c>
      <c r="Y3" t="s">
        <v>22</v>
      </c>
      <c r="Z3" t="s">
        <v>27</v>
      </c>
      <c r="AA3" t="s">
        <v>28</v>
      </c>
      <c r="AB3" t="s">
        <v>29</v>
      </c>
    </row>
    <row r="4" spans="2:28" x14ac:dyDescent="0.3">
      <c r="B4">
        <v>1</v>
      </c>
      <c r="C4" s="7">
        <v>36526</v>
      </c>
      <c r="D4" s="9">
        <v>1</v>
      </c>
      <c r="E4" s="9">
        <v>1</v>
      </c>
      <c r="F4" s="9">
        <v>2000</v>
      </c>
      <c r="G4" s="9">
        <v>1</v>
      </c>
      <c r="H4" s="28">
        <v>7</v>
      </c>
      <c r="I4" s="28">
        <v>1.6666610976523753E-2</v>
      </c>
      <c r="J4" s="29">
        <v>3333322.1953047505</v>
      </c>
      <c r="K4" s="7">
        <v>36556</v>
      </c>
      <c r="L4" s="7">
        <v>36576</v>
      </c>
      <c r="M4" s="26">
        <v>36586</v>
      </c>
      <c r="N4" s="26">
        <v>2999989.9757742756</v>
      </c>
      <c r="O4" s="40"/>
      <c r="P4">
        <v>1</v>
      </c>
      <c r="Q4" s="7">
        <v>36526</v>
      </c>
      <c r="R4">
        <v>1</v>
      </c>
      <c r="S4">
        <v>1</v>
      </c>
      <c r="T4">
        <v>2000</v>
      </c>
      <c r="U4">
        <v>1</v>
      </c>
      <c r="V4">
        <v>7</v>
      </c>
      <c r="W4">
        <v>4.3406898394638782E-4</v>
      </c>
      <c r="X4">
        <v>86813.796789277563</v>
      </c>
      <c r="Y4" s="7">
        <v>36556</v>
      </c>
      <c r="Z4" s="7">
        <v>36576</v>
      </c>
      <c r="AA4" s="7">
        <v>36586</v>
      </c>
      <c r="AB4">
        <v>78132.417110349808</v>
      </c>
    </row>
    <row r="5" spans="2:28" x14ac:dyDescent="0.3">
      <c r="B5">
        <v>2</v>
      </c>
      <c r="C5" s="7">
        <v>36527</v>
      </c>
      <c r="D5" s="9">
        <v>2</v>
      </c>
      <c r="E5" s="9">
        <v>1</v>
      </c>
      <c r="F5" s="9">
        <v>2000</v>
      </c>
      <c r="G5" s="9">
        <v>2</v>
      </c>
      <c r="H5" s="28">
        <v>1</v>
      </c>
      <c r="I5" s="28">
        <v>1.7900630698417495E-2</v>
      </c>
      <c r="J5" s="29">
        <v>3580126.139683499</v>
      </c>
      <c r="K5" s="7">
        <v>36556</v>
      </c>
      <c r="L5" s="7">
        <v>36576</v>
      </c>
      <c r="M5" s="26">
        <v>36586</v>
      </c>
      <c r="N5" s="26">
        <v>3222113.525715149</v>
      </c>
      <c r="O5" s="40"/>
      <c r="P5">
        <v>2</v>
      </c>
      <c r="Q5" s="7">
        <v>36527</v>
      </c>
      <c r="R5">
        <v>2</v>
      </c>
      <c r="S5">
        <v>1</v>
      </c>
      <c r="T5">
        <v>2000</v>
      </c>
      <c r="U5">
        <v>2</v>
      </c>
      <c r="V5">
        <v>1</v>
      </c>
      <c r="W5">
        <v>5.3234144815713193E-4</v>
      </c>
      <c r="X5">
        <v>106468.28963142639</v>
      </c>
      <c r="Y5" s="7">
        <v>36556</v>
      </c>
      <c r="Z5" s="7">
        <v>36576</v>
      </c>
      <c r="AA5" s="7">
        <v>36586</v>
      </c>
      <c r="AB5">
        <v>95821.460668283762</v>
      </c>
    </row>
    <row r="6" spans="2:28" x14ac:dyDescent="0.3">
      <c r="B6">
        <v>3</v>
      </c>
      <c r="C6" s="7">
        <v>36528</v>
      </c>
      <c r="D6" s="9">
        <v>3</v>
      </c>
      <c r="E6" s="9">
        <v>1</v>
      </c>
      <c r="F6" s="9">
        <v>2000</v>
      </c>
      <c r="G6" s="9">
        <v>2</v>
      </c>
      <c r="H6" s="28">
        <v>2</v>
      </c>
      <c r="I6" s="28">
        <v>1.9128176881846124E-2</v>
      </c>
      <c r="J6" s="29">
        <v>3825635.3763692249</v>
      </c>
      <c r="K6" s="7">
        <v>36556</v>
      </c>
      <c r="L6" s="7">
        <v>36576</v>
      </c>
      <c r="M6" s="26">
        <v>36586</v>
      </c>
      <c r="N6" s="26">
        <v>3443071.8387323027</v>
      </c>
      <c r="O6" s="40"/>
      <c r="P6">
        <v>3</v>
      </c>
      <c r="Q6" s="7">
        <v>36528</v>
      </c>
      <c r="R6">
        <v>3</v>
      </c>
      <c r="S6">
        <v>1</v>
      </c>
      <c r="T6">
        <v>2000</v>
      </c>
      <c r="U6">
        <v>2</v>
      </c>
      <c r="V6">
        <v>2</v>
      </c>
      <c r="W6">
        <v>6.4954017868507519E-4</v>
      </c>
      <c r="X6">
        <v>129908.03573701505</v>
      </c>
      <c r="Y6" s="7">
        <v>36556</v>
      </c>
      <c r="Z6" s="7">
        <v>36576</v>
      </c>
      <c r="AA6" s="7">
        <v>36586</v>
      </c>
      <c r="AB6">
        <v>116917.23216331354</v>
      </c>
    </row>
    <row r="7" spans="2:28" x14ac:dyDescent="0.3">
      <c r="B7">
        <v>4</v>
      </c>
      <c r="C7" s="7">
        <v>36529</v>
      </c>
      <c r="D7" s="9">
        <v>4</v>
      </c>
      <c r="E7" s="9">
        <v>1</v>
      </c>
      <c r="F7" s="9">
        <v>2000</v>
      </c>
      <c r="G7" s="9">
        <v>2</v>
      </c>
      <c r="H7" s="28">
        <v>3</v>
      </c>
      <c r="I7" s="28">
        <v>2.0335883123965309E-2</v>
      </c>
      <c r="J7" s="29">
        <v>4067176.624793062</v>
      </c>
      <c r="K7" s="7">
        <v>36556</v>
      </c>
      <c r="L7" s="7">
        <v>36576</v>
      </c>
      <c r="M7" s="26">
        <v>36586</v>
      </c>
      <c r="N7" s="26">
        <v>3660458.9623137559</v>
      </c>
      <c r="O7" s="40"/>
      <c r="P7">
        <v>4</v>
      </c>
      <c r="Q7" s="7">
        <v>36529</v>
      </c>
      <c r="R7">
        <v>4</v>
      </c>
      <c r="S7">
        <v>1</v>
      </c>
      <c r="T7">
        <v>2000</v>
      </c>
      <c r="U7">
        <v>2</v>
      </c>
      <c r="V7">
        <v>3</v>
      </c>
      <c r="W7">
        <v>7.8850775869023925E-4</v>
      </c>
      <c r="X7">
        <v>157701.55173804786</v>
      </c>
      <c r="Y7" s="7">
        <v>36556</v>
      </c>
      <c r="Z7" s="7">
        <v>36576</v>
      </c>
      <c r="AA7" s="7">
        <v>36586</v>
      </c>
      <c r="AB7">
        <v>141931.39656424307</v>
      </c>
    </row>
    <row r="8" spans="2:28" x14ac:dyDescent="0.3">
      <c r="B8">
        <v>5</v>
      </c>
      <c r="C8" s="7">
        <v>36530</v>
      </c>
      <c r="D8" s="9">
        <v>5</v>
      </c>
      <c r="E8" s="9">
        <v>1</v>
      </c>
      <c r="F8" s="9">
        <v>2000</v>
      </c>
      <c r="G8" s="9">
        <v>2</v>
      </c>
      <c r="H8" s="28">
        <v>4</v>
      </c>
      <c r="I8" s="28">
        <v>2.1509816582486029E-2</v>
      </c>
      <c r="J8" s="29">
        <v>4301963.3164972058</v>
      </c>
      <c r="K8" s="7">
        <v>36556</v>
      </c>
      <c r="L8" s="7">
        <v>36576</v>
      </c>
      <c r="M8" s="26">
        <v>36586</v>
      </c>
      <c r="N8" s="26">
        <v>3871766.9848474851</v>
      </c>
      <c r="O8" s="40"/>
      <c r="P8">
        <v>5</v>
      </c>
      <c r="Q8" s="7">
        <v>36530</v>
      </c>
      <c r="R8">
        <v>5</v>
      </c>
      <c r="S8">
        <v>1</v>
      </c>
      <c r="T8">
        <v>2000</v>
      </c>
      <c r="U8">
        <v>2</v>
      </c>
      <c r="V8">
        <v>4</v>
      </c>
      <c r="W8">
        <v>9.5233585016906764E-4</v>
      </c>
      <c r="X8">
        <v>190467.17003381354</v>
      </c>
      <c r="Y8" s="7">
        <v>36556</v>
      </c>
      <c r="Z8" s="7">
        <v>36576</v>
      </c>
      <c r="AA8" s="7">
        <v>36586</v>
      </c>
      <c r="AB8">
        <v>171420.4530304322</v>
      </c>
    </row>
    <row r="9" spans="2:28" x14ac:dyDescent="0.3">
      <c r="B9">
        <v>6</v>
      </c>
      <c r="C9" s="7">
        <v>36531</v>
      </c>
      <c r="D9" s="9">
        <v>6</v>
      </c>
      <c r="E9" s="9">
        <v>1</v>
      </c>
      <c r="F9" s="9">
        <v>2000</v>
      </c>
      <c r="G9" s="9">
        <v>2</v>
      </c>
      <c r="H9" s="28">
        <v>5</v>
      </c>
      <c r="I9" s="28">
        <v>2.2635734369121589E-2</v>
      </c>
      <c r="J9" s="29">
        <v>4527146.8738243179</v>
      </c>
      <c r="K9" s="7">
        <v>36556</v>
      </c>
      <c r="L9" s="7">
        <v>36576</v>
      </c>
      <c r="M9" s="26">
        <v>36586</v>
      </c>
      <c r="N9" s="26">
        <v>4074432.1864418862</v>
      </c>
      <c r="O9" s="40"/>
      <c r="P9">
        <v>6</v>
      </c>
      <c r="Q9" s="7">
        <v>36531</v>
      </c>
      <c r="R9">
        <v>6</v>
      </c>
      <c r="S9">
        <v>1</v>
      </c>
      <c r="T9">
        <v>2000</v>
      </c>
      <c r="U9">
        <v>2</v>
      </c>
      <c r="V9">
        <v>5</v>
      </c>
      <c r="W9">
        <v>1.1443490348009631E-3</v>
      </c>
      <c r="X9">
        <v>228869.80696019263</v>
      </c>
      <c r="Y9" s="7">
        <v>36556</v>
      </c>
      <c r="Z9" s="7">
        <v>36576</v>
      </c>
      <c r="AA9" s="7">
        <v>36586</v>
      </c>
      <c r="AB9">
        <v>205982.82626417337</v>
      </c>
    </row>
    <row r="10" spans="2:28" x14ac:dyDescent="0.3">
      <c r="B10">
        <v>7</v>
      </c>
      <c r="C10" s="7">
        <v>36532</v>
      </c>
      <c r="D10" s="9">
        <v>7</v>
      </c>
      <c r="E10" s="9">
        <v>1</v>
      </c>
      <c r="F10" s="9">
        <v>2000</v>
      </c>
      <c r="G10" s="9">
        <v>2</v>
      </c>
      <c r="H10" s="28">
        <v>6</v>
      </c>
      <c r="I10" s="28">
        <v>2.3699363510239359E-2</v>
      </c>
      <c r="J10" s="29">
        <v>4739872.7020478714</v>
      </c>
      <c r="K10" s="7">
        <v>36556</v>
      </c>
      <c r="L10" s="7">
        <v>36576</v>
      </c>
      <c r="M10" s="26">
        <v>36586</v>
      </c>
      <c r="N10" s="26">
        <v>4265885.4318430843</v>
      </c>
      <c r="O10" s="40"/>
      <c r="P10">
        <v>7</v>
      </c>
      <c r="Q10" s="7">
        <v>36532</v>
      </c>
      <c r="R10">
        <v>7</v>
      </c>
      <c r="S10">
        <v>1</v>
      </c>
      <c r="T10">
        <v>2000</v>
      </c>
      <c r="U10">
        <v>2</v>
      </c>
      <c r="V10">
        <v>6</v>
      </c>
      <c r="W10">
        <v>1.368078739073009E-3</v>
      </c>
      <c r="X10">
        <v>273615.74781460181</v>
      </c>
      <c r="Y10" s="7">
        <v>36556</v>
      </c>
      <c r="Z10" s="7">
        <v>36576</v>
      </c>
      <c r="AA10" s="7">
        <v>36586</v>
      </c>
      <c r="AB10">
        <v>246254.17303314165</v>
      </c>
    </row>
    <row r="11" spans="2:28" x14ac:dyDescent="0.3">
      <c r="B11">
        <v>8</v>
      </c>
      <c r="C11" s="7">
        <v>36533</v>
      </c>
      <c r="D11" s="9">
        <v>8</v>
      </c>
      <c r="E11" s="9">
        <v>1</v>
      </c>
      <c r="F11" s="9">
        <v>2000</v>
      </c>
      <c r="G11" s="9">
        <v>2</v>
      </c>
      <c r="H11" s="28">
        <v>7</v>
      </c>
      <c r="I11" s="28">
        <v>2.4686697065492834E-2</v>
      </c>
      <c r="J11" s="29">
        <v>4937339.4130985672</v>
      </c>
      <c r="K11" s="7">
        <v>36556</v>
      </c>
      <c r="L11" s="7">
        <v>36576</v>
      </c>
      <c r="M11" s="26">
        <v>36586</v>
      </c>
      <c r="N11" s="26">
        <v>4443605.4717887109</v>
      </c>
      <c r="O11" s="40"/>
      <c r="P11">
        <v>8</v>
      </c>
      <c r="Q11" s="7">
        <v>36533</v>
      </c>
      <c r="R11">
        <v>8</v>
      </c>
      <c r="S11">
        <v>1</v>
      </c>
      <c r="T11">
        <v>2000</v>
      </c>
      <c r="U11">
        <v>2</v>
      </c>
      <c r="V11">
        <v>7</v>
      </c>
      <c r="W11">
        <v>1.627226062727493E-3</v>
      </c>
      <c r="X11">
        <v>325445.21254549857</v>
      </c>
      <c r="Y11" s="7">
        <v>36556</v>
      </c>
      <c r="Z11" s="7">
        <v>36576</v>
      </c>
      <c r="AA11" s="7">
        <v>36586</v>
      </c>
      <c r="AB11">
        <v>292900.69129094871</v>
      </c>
    </row>
    <row r="12" spans="2:28" x14ac:dyDescent="0.3">
      <c r="B12">
        <v>9</v>
      </c>
      <c r="C12" s="7">
        <v>36534</v>
      </c>
      <c r="D12" s="9">
        <v>9</v>
      </c>
      <c r="E12" s="9">
        <v>1</v>
      </c>
      <c r="F12" s="9">
        <v>2000</v>
      </c>
      <c r="G12" s="9">
        <v>3</v>
      </c>
      <c r="H12" s="28">
        <v>1</v>
      </c>
      <c r="I12" s="28">
        <v>2.5584297999708468E-2</v>
      </c>
      <c r="J12" s="29">
        <v>5116859.5999416932</v>
      </c>
      <c r="K12" s="7">
        <v>36556</v>
      </c>
      <c r="L12" s="7">
        <v>36576</v>
      </c>
      <c r="M12" s="26">
        <v>36586</v>
      </c>
      <c r="N12" s="26">
        <v>4605173.6399475243</v>
      </c>
      <c r="O12" s="40"/>
      <c r="P12">
        <v>9</v>
      </c>
      <c r="Q12" s="7">
        <v>36534</v>
      </c>
      <c r="R12">
        <v>9</v>
      </c>
      <c r="S12">
        <v>1</v>
      </c>
      <c r="T12">
        <v>2000</v>
      </c>
      <c r="U12">
        <v>3</v>
      </c>
      <c r="V12">
        <v>1</v>
      </c>
      <c r="W12">
        <v>1.9256125213568268E-3</v>
      </c>
      <c r="X12">
        <v>385122.50427136535</v>
      </c>
      <c r="Y12" s="7">
        <v>36556</v>
      </c>
      <c r="Z12" s="7">
        <v>36576</v>
      </c>
      <c r="AA12" s="7">
        <v>36586</v>
      </c>
      <c r="AB12">
        <v>346610.25384422881</v>
      </c>
    </row>
    <row r="13" spans="2:28" x14ac:dyDescent="0.3">
      <c r="B13">
        <v>10</v>
      </c>
      <c r="C13" s="7">
        <v>36535</v>
      </c>
      <c r="D13" s="9">
        <v>10</v>
      </c>
      <c r="E13" s="9">
        <v>1</v>
      </c>
      <c r="F13" s="9">
        <v>2000</v>
      </c>
      <c r="G13" s="9">
        <v>3</v>
      </c>
      <c r="H13" s="28">
        <v>2</v>
      </c>
      <c r="I13" s="28">
        <v>2.6379601705265307E-2</v>
      </c>
      <c r="J13" s="29">
        <v>5275920.3410530612</v>
      </c>
      <c r="K13" s="7">
        <v>36556</v>
      </c>
      <c r="L13" s="7">
        <v>36576</v>
      </c>
      <c r="M13" s="26">
        <v>36586</v>
      </c>
      <c r="N13" s="26">
        <v>4748328.3069477556</v>
      </c>
      <c r="O13" s="40"/>
      <c r="P13">
        <v>10</v>
      </c>
      <c r="Q13" s="7">
        <v>36535</v>
      </c>
      <c r="R13">
        <v>10</v>
      </c>
      <c r="S13">
        <v>1</v>
      </c>
      <c r="T13">
        <v>2000</v>
      </c>
      <c r="U13">
        <v>3</v>
      </c>
      <c r="V13">
        <v>2</v>
      </c>
      <c r="W13">
        <v>2.2671179882619587E-3</v>
      </c>
      <c r="X13">
        <v>453423.59765239176</v>
      </c>
      <c r="Y13" s="7">
        <v>36556</v>
      </c>
      <c r="Z13" s="7">
        <v>36576</v>
      </c>
      <c r="AA13" s="7">
        <v>36586</v>
      </c>
      <c r="AB13">
        <v>408081.23788715259</v>
      </c>
    </row>
    <row r="14" spans="2:28" x14ac:dyDescent="0.3">
      <c r="B14">
        <v>11</v>
      </c>
      <c r="C14" s="7">
        <v>36536</v>
      </c>
      <c r="D14" s="9">
        <v>11</v>
      </c>
      <c r="E14" s="9">
        <v>1</v>
      </c>
      <c r="F14" s="9">
        <v>2000</v>
      </c>
      <c r="G14" s="9">
        <v>3</v>
      </c>
      <c r="H14" s="28">
        <v>3</v>
      </c>
      <c r="I14" s="28">
        <v>2.7061207718924354E-2</v>
      </c>
      <c r="J14" s="29">
        <v>5412241.5437848708</v>
      </c>
      <c r="K14" s="7">
        <v>36556</v>
      </c>
      <c r="L14" s="7">
        <v>36576</v>
      </c>
      <c r="M14" s="26">
        <v>36586</v>
      </c>
      <c r="N14" s="26">
        <v>4871017.389406384</v>
      </c>
      <c r="O14" s="40"/>
      <c r="P14">
        <v>11</v>
      </c>
      <c r="Q14" s="7">
        <v>36536</v>
      </c>
      <c r="R14">
        <v>11</v>
      </c>
      <c r="S14">
        <v>1</v>
      </c>
      <c r="T14">
        <v>2000</v>
      </c>
      <c r="U14">
        <v>3</v>
      </c>
      <c r="V14">
        <v>3</v>
      </c>
      <c r="W14">
        <v>2.6556054801163179E-3</v>
      </c>
      <c r="X14">
        <v>531121.09602326353</v>
      </c>
      <c r="Y14" s="7">
        <v>36556</v>
      </c>
      <c r="Z14" s="7">
        <v>36576</v>
      </c>
      <c r="AA14" s="7">
        <v>36586</v>
      </c>
      <c r="AB14">
        <v>478008.98642093717</v>
      </c>
    </row>
    <row r="15" spans="2:28" x14ac:dyDescent="0.3">
      <c r="B15">
        <v>12</v>
      </c>
      <c r="C15" s="7">
        <v>36537</v>
      </c>
      <c r="D15" s="9">
        <v>12</v>
      </c>
      <c r="E15" s="9">
        <v>1</v>
      </c>
      <c r="F15" s="9">
        <v>2000</v>
      </c>
      <c r="G15" s="9">
        <v>3</v>
      </c>
      <c r="H15" s="28">
        <v>4</v>
      </c>
      <c r="I15" s="28">
        <v>2.7619151200203515E-2</v>
      </c>
      <c r="J15" s="29">
        <v>5523830.2400407027</v>
      </c>
      <c r="K15" s="7">
        <v>36556</v>
      </c>
      <c r="L15" s="7">
        <v>36576</v>
      </c>
      <c r="M15" s="26">
        <v>36586</v>
      </c>
      <c r="N15" s="26">
        <v>4971447.2160366327</v>
      </c>
      <c r="O15" s="40"/>
      <c r="P15">
        <v>12</v>
      </c>
      <c r="Q15" s="7">
        <v>36537</v>
      </c>
      <c r="R15">
        <v>12</v>
      </c>
      <c r="S15">
        <v>1</v>
      </c>
      <c r="T15">
        <v>2000</v>
      </c>
      <c r="U15">
        <v>3</v>
      </c>
      <c r="V15">
        <v>4</v>
      </c>
      <c r="W15">
        <v>3.0948328739602007E-3</v>
      </c>
      <c r="X15">
        <v>618966.57479204016</v>
      </c>
      <c r="Y15" s="7">
        <v>36556</v>
      </c>
      <c r="Z15" s="7">
        <v>36576</v>
      </c>
      <c r="AA15" s="7">
        <v>36586</v>
      </c>
      <c r="AB15">
        <v>557069.91731283616</v>
      </c>
    </row>
    <row r="16" spans="2:28" x14ac:dyDescent="0.3">
      <c r="B16">
        <v>13</v>
      </c>
      <c r="C16" s="7">
        <v>36538</v>
      </c>
      <c r="D16" s="9">
        <v>13</v>
      </c>
      <c r="E16" s="9">
        <v>1</v>
      </c>
      <c r="F16" s="9">
        <v>2000</v>
      </c>
      <c r="G16" s="9">
        <v>3</v>
      </c>
      <c r="H16" s="28">
        <v>5</v>
      </c>
      <c r="I16" s="28">
        <v>2.8045145151504698E-2</v>
      </c>
      <c r="J16" s="29">
        <v>5609029.0303009395</v>
      </c>
      <c r="K16" s="7">
        <v>36556</v>
      </c>
      <c r="L16" s="7">
        <v>36576</v>
      </c>
      <c r="M16" s="26">
        <v>36586</v>
      </c>
      <c r="N16" s="26">
        <v>5048126.1272708457</v>
      </c>
      <c r="O16" s="40"/>
      <c r="P16">
        <v>13</v>
      </c>
      <c r="Q16" s="7">
        <v>36538</v>
      </c>
      <c r="R16">
        <v>13</v>
      </c>
      <c r="S16">
        <v>1</v>
      </c>
      <c r="T16">
        <v>2000</v>
      </c>
      <c r="U16">
        <v>3</v>
      </c>
      <c r="V16">
        <v>5</v>
      </c>
      <c r="W16">
        <v>3.5883521631022569E-3</v>
      </c>
      <c r="X16">
        <v>717670.43262045144</v>
      </c>
      <c r="Y16" s="7">
        <v>36556</v>
      </c>
      <c r="Z16" s="7">
        <v>36576</v>
      </c>
      <c r="AA16" s="7">
        <v>36586</v>
      </c>
      <c r="AB16">
        <v>645903.3893584063</v>
      </c>
    </row>
    <row r="17" spans="2:28" x14ac:dyDescent="0.3">
      <c r="B17">
        <v>14</v>
      </c>
      <c r="C17" s="7">
        <v>36539</v>
      </c>
      <c r="D17" s="9">
        <v>14</v>
      </c>
      <c r="E17" s="9">
        <v>1</v>
      </c>
      <c r="F17" s="9">
        <v>2000</v>
      </c>
      <c r="G17" s="9">
        <v>3</v>
      </c>
      <c r="H17" s="28">
        <v>6</v>
      </c>
      <c r="I17" s="28">
        <v>2.8332785157249189E-2</v>
      </c>
      <c r="J17" s="29">
        <v>5666557.0314498376</v>
      </c>
      <c r="K17" s="7">
        <v>36556</v>
      </c>
      <c r="L17" s="7">
        <v>36576</v>
      </c>
      <c r="M17" s="26">
        <v>36586</v>
      </c>
      <c r="N17" s="26">
        <v>5099901.3283048542</v>
      </c>
      <c r="O17" s="40"/>
      <c r="P17">
        <v>14</v>
      </c>
      <c r="Q17" s="7">
        <v>36539</v>
      </c>
      <c r="R17">
        <v>14</v>
      </c>
      <c r="S17">
        <v>1</v>
      </c>
      <c r="T17">
        <v>2000</v>
      </c>
      <c r="U17">
        <v>3</v>
      </c>
      <c r="V17">
        <v>6</v>
      </c>
      <c r="W17">
        <v>4.1393974447109013E-3</v>
      </c>
      <c r="X17">
        <v>827879.48894218029</v>
      </c>
      <c r="Y17" s="7">
        <v>36556</v>
      </c>
      <c r="Z17" s="7">
        <v>36576</v>
      </c>
      <c r="AA17" s="7">
        <v>36586</v>
      </c>
      <c r="AB17">
        <v>745091.54004796233</v>
      </c>
    </row>
    <row r="18" spans="2:28" x14ac:dyDescent="0.3">
      <c r="B18">
        <v>15</v>
      </c>
      <c r="C18" s="7">
        <v>36540</v>
      </c>
      <c r="D18" s="9">
        <v>15</v>
      </c>
      <c r="E18" s="9">
        <v>1</v>
      </c>
      <c r="F18" s="9">
        <v>2000</v>
      </c>
      <c r="G18" s="9">
        <v>3</v>
      </c>
      <c r="H18" s="28">
        <v>7</v>
      </c>
      <c r="I18" s="28">
        <v>2.8477709574332315E-2</v>
      </c>
      <c r="J18" s="29">
        <v>5695541.9148664633</v>
      </c>
      <c r="K18" s="7">
        <v>36556</v>
      </c>
      <c r="L18" s="7">
        <v>36576</v>
      </c>
      <c r="M18" s="26">
        <v>36586</v>
      </c>
      <c r="N18" s="26">
        <v>5125987.7233798169</v>
      </c>
      <c r="O18" s="40"/>
      <c r="P18">
        <v>15</v>
      </c>
      <c r="Q18" s="7">
        <v>36540</v>
      </c>
      <c r="R18">
        <v>15</v>
      </c>
      <c r="S18">
        <v>1</v>
      </c>
      <c r="T18">
        <v>2000</v>
      </c>
      <c r="U18">
        <v>3</v>
      </c>
      <c r="V18">
        <v>7</v>
      </c>
      <c r="W18">
        <v>4.7507634646432977E-3</v>
      </c>
      <c r="X18">
        <v>950152.6929286595</v>
      </c>
      <c r="Y18" s="7">
        <v>36556</v>
      </c>
      <c r="Z18" s="7">
        <v>36576</v>
      </c>
      <c r="AA18" s="7">
        <v>36586</v>
      </c>
      <c r="AB18">
        <v>855137.42363579362</v>
      </c>
    </row>
    <row r="19" spans="2:28" x14ac:dyDescent="0.3">
      <c r="B19">
        <v>16</v>
      </c>
      <c r="C19" s="7">
        <v>36541</v>
      </c>
      <c r="D19" s="9">
        <v>16</v>
      </c>
      <c r="E19" s="9">
        <v>1</v>
      </c>
      <c r="F19" s="9">
        <v>2000</v>
      </c>
      <c r="G19" s="9">
        <v>4</v>
      </c>
      <c r="H19" s="28">
        <v>1</v>
      </c>
      <c r="I19" s="28">
        <v>2.8477709574332315E-2</v>
      </c>
      <c r="J19" s="29">
        <v>5695541.9148664633</v>
      </c>
      <c r="K19" s="7">
        <v>36556</v>
      </c>
      <c r="L19" s="7">
        <v>36576</v>
      </c>
      <c r="M19" s="26">
        <v>36586</v>
      </c>
      <c r="N19" s="26">
        <v>5125987.7233798169</v>
      </c>
      <c r="O19" s="40"/>
      <c r="P19">
        <v>16</v>
      </c>
      <c r="Q19" s="7">
        <v>36541</v>
      </c>
      <c r="R19">
        <v>16</v>
      </c>
      <c r="S19">
        <v>1</v>
      </c>
      <c r="T19">
        <v>2000</v>
      </c>
      <c r="U19">
        <v>4</v>
      </c>
      <c r="V19">
        <v>1</v>
      </c>
      <c r="W19">
        <v>5.4246772021807159E-3</v>
      </c>
      <c r="X19">
        <v>1084935.4404361432</v>
      </c>
      <c r="Y19" s="7">
        <v>36556</v>
      </c>
      <c r="Z19" s="7">
        <v>36576</v>
      </c>
      <c r="AA19" s="7">
        <v>36586</v>
      </c>
      <c r="AB19">
        <v>976441.8963925289</v>
      </c>
    </row>
    <row r="20" spans="2:28" x14ac:dyDescent="0.3">
      <c r="B20">
        <v>17</v>
      </c>
      <c r="C20" s="7">
        <v>36542</v>
      </c>
      <c r="D20" s="9">
        <v>17</v>
      </c>
      <c r="E20" s="9">
        <v>1</v>
      </c>
      <c r="F20" s="9">
        <v>2000</v>
      </c>
      <c r="G20" s="9">
        <v>4</v>
      </c>
      <c r="H20" s="28">
        <v>2</v>
      </c>
      <c r="I20" s="28">
        <v>2.8332785157249189E-2</v>
      </c>
      <c r="J20" s="29">
        <v>5666557.0314498376</v>
      </c>
      <c r="K20" s="7">
        <v>36556</v>
      </c>
      <c r="L20" s="7">
        <v>36576</v>
      </c>
      <c r="M20" s="26">
        <v>36586</v>
      </c>
      <c r="N20" s="26">
        <v>5099901.3283048542</v>
      </c>
      <c r="O20" s="40"/>
      <c r="P20">
        <v>17</v>
      </c>
      <c r="Q20" s="7">
        <v>36542</v>
      </c>
      <c r="R20">
        <v>17</v>
      </c>
      <c r="S20">
        <v>1</v>
      </c>
      <c r="T20">
        <v>2000</v>
      </c>
      <c r="U20">
        <v>4</v>
      </c>
      <c r="V20">
        <v>2</v>
      </c>
      <c r="W20">
        <v>6.1626656304651084E-3</v>
      </c>
      <c r="X20">
        <v>1232533.1260930216</v>
      </c>
      <c r="Y20" s="7">
        <v>36556</v>
      </c>
      <c r="Z20" s="7">
        <v>36576</v>
      </c>
      <c r="AA20" s="7">
        <v>36586</v>
      </c>
      <c r="AB20">
        <v>1109279.8134837195</v>
      </c>
    </row>
    <row r="21" spans="2:28" x14ac:dyDescent="0.3">
      <c r="B21">
        <v>18</v>
      </c>
      <c r="C21" s="7">
        <v>36543</v>
      </c>
      <c r="D21" s="9">
        <v>18</v>
      </c>
      <c r="E21" s="9">
        <v>1</v>
      </c>
      <c r="F21" s="9">
        <v>2000</v>
      </c>
      <c r="G21" s="9">
        <v>4</v>
      </c>
      <c r="H21" s="28">
        <v>3</v>
      </c>
      <c r="I21" s="28">
        <v>2.8045145151504698E-2</v>
      </c>
      <c r="J21" s="29">
        <v>5609029.0303009395</v>
      </c>
      <c r="K21" s="7">
        <v>36556</v>
      </c>
      <c r="L21" s="7">
        <v>36576</v>
      </c>
      <c r="M21" s="26">
        <v>36586</v>
      </c>
      <c r="N21" s="26">
        <v>5048126.1272708457</v>
      </c>
      <c r="O21" s="40"/>
      <c r="P21">
        <v>18</v>
      </c>
      <c r="Q21" s="7">
        <v>36543</v>
      </c>
      <c r="R21">
        <v>18</v>
      </c>
      <c r="S21">
        <v>1</v>
      </c>
      <c r="T21">
        <v>2000</v>
      </c>
      <c r="U21">
        <v>4</v>
      </c>
      <c r="V21">
        <v>3</v>
      </c>
      <c r="W21">
        <v>6.9654234049265837E-3</v>
      </c>
      <c r="X21">
        <v>1393084.6809853166</v>
      </c>
      <c r="Y21" s="7">
        <v>36556</v>
      </c>
      <c r="Z21" s="7">
        <v>36576</v>
      </c>
      <c r="AA21" s="7">
        <v>36586</v>
      </c>
      <c r="AB21">
        <v>1253776.2128867849</v>
      </c>
    </row>
    <row r="22" spans="2:28" x14ac:dyDescent="0.3">
      <c r="B22">
        <v>19</v>
      </c>
      <c r="C22" s="7">
        <v>36544</v>
      </c>
      <c r="D22" s="9">
        <v>19</v>
      </c>
      <c r="E22" s="9">
        <v>1</v>
      </c>
      <c r="F22" s="9">
        <v>2000</v>
      </c>
      <c r="G22" s="9">
        <v>4</v>
      </c>
      <c r="H22" s="28">
        <v>4</v>
      </c>
      <c r="I22" s="28">
        <v>2.7619151200203515E-2</v>
      </c>
      <c r="J22" s="29">
        <v>5523830.2400407027</v>
      </c>
      <c r="K22" s="7">
        <v>36556</v>
      </c>
      <c r="L22" s="7">
        <v>36576</v>
      </c>
      <c r="M22" s="26">
        <v>36586</v>
      </c>
      <c r="N22" s="26">
        <v>4971447.2160366327</v>
      </c>
      <c r="O22" s="40"/>
      <c r="P22">
        <v>19</v>
      </c>
      <c r="Q22" s="7">
        <v>36544</v>
      </c>
      <c r="R22">
        <v>19</v>
      </c>
      <c r="S22">
        <v>1</v>
      </c>
      <c r="T22">
        <v>2000</v>
      </c>
      <c r="U22">
        <v>4</v>
      </c>
      <c r="V22">
        <v>4</v>
      </c>
      <c r="W22">
        <v>7.8326847762224365E-3</v>
      </c>
      <c r="X22">
        <v>1566536.9552444874</v>
      </c>
      <c r="Y22" s="7">
        <v>36556</v>
      </c>
      <c r="Z22" s="7">
        <v>36576</v>
      </c>
      <c r="AA22" s="7">
        <v>36586</v>
      </c>
      <c r="AB22">
        <v>1409883.2597200386</v>
      </c>
    </row>
    <row r="23" spans="2:28" x14ac:dyDescent="0.3">
      <c r="B23">
        <v>20</v>
      </c>
      <c r="C23" s="7">
        <v>36545</v>
      </c>
      <c r="D23" s="9">
        <v>20</v>
      </c>
      <c r="E23" s="9">
        <v>1</v>
      </c>
      <c r="F23" s="9">
        <v>2000</v>
      </c>
      <c r="G23" s="9">
        <v>4</v>
      </c>
      <c r="H23" s="28">
        <v>5</v>
      </c>
      <c r="I23" s="28">
        <v>2.7061207718924354E-2</v>
      </c>
      <c r="J23" s="29">
        <v>5412241.5437848708</v>
      </c>
      <c r="K23" s="7">
        <v>36556</v>
      </c>
      <c r="L23" s="7">
        <v>36576</v>
      </c>
      <c r="M23" s="26">
        <v>36586</v>
      </c>
      <c r="N23" s="26">
        <v>4871017.389406384</v>
      </c>
      <c r="O23" s="40"/>
      <c r="P23">
        <v>20</v>
      </c>
      <c r="Q23" s="7">
        <v>36545</v>
      </c>
      <c r="R23">
        <v>20</v>
      </c>
      <c r="S23">
        <v>1</v>
      </c>
      <c r="T23">
        <v>2000</v>
      </c>
      <c r="U23">
        <v>4</v>
      </c>
      <c r="V23">
        <v>5</v>
      </c>
      <c r="W23">
        <v>8.763104459219441E-3</v>
      </c>
      <c r="X23">
        <v>1752620.8918438882</v>
      </c>
      <c r="Y23" s="7">
        <v>36556</v>
      </c>
      <c r="Z23" s="7">
        <v>36576</v>
      </c>
      <c r="AA23" s="7">
        <v>36586</v>
      </c>
      <c r="AB23">
        <v>1577358.8026594995</v>
      </c>
    </row>
    <row r="24" spans="2:28" x14ac:dyDescent="0.3">
      <c r="B24">
        <v>21</v>
      </c>
      <c r="C24" s="7">
        <v>36546</v>
      </c>
      <c r="D24" s="9">
        <v>21</v>
      </c>
      <c r="E24" s="9">
        <v>1</v>
      </c>
      <c r="F24" s="9">
        <v>2000</v>
      </c>
      <c r="G24" s="9">
        <v>4</v>
      </c>
      <c r="H24" s="28">
        <v>6</v>
      </c>
      <c r="I24" s="28">
        <v>2.6379601705265307E-2</v>
      </c>
      <c r="J24" s="29">
        <v>5275920.3410530612</v>
      </c>
      <c r="K24" s="7">
        <v>36556</v>
      </c>
      <c r="L24" s="7">
        <v>36576</v>
      </c>
      <c r="M24" s="26">
        <v>36586</v>
      </c>
      <c r="N24" s="26">
        <v>4748328.3069477556</v>
      </c>
      <c r="O24" s="40"/>
      <c r="P24">
        <v>21</v>
      </c>
      <c r="Q24" s="7">
        <v>36546</v>
      </c>
      <c r="R24">
        <v>21</v>
      </c>
      <c r="S24">
        <v>1</v>
      </c>
      <c r="T24">
        <v>2000</v>
      </c>
      <c r="U24">
        <v>4</v>
      </c>
      <c r="V24">
        <v>6</v>
      </c>
      <c r="W24">
        <v>9.7541524790725701E-3</v>
      </c>
      <c r="X24">
        <v>1950830.4958145141</v>
      </c>
      <c r="Y24" s="7">
        <v>36556</v>
      </c>
      <c r="Z24" s="7">
        <v>36576</v>
      </c>
      <c r="AA24" s="7">
        <v>36586</v>
      </c>
      <c r="AB24">
        <v>1755747.4462330628</v>
      </c>
    </row>
    <row r="25" spans="2:28" x14ac:dyDescent="0.3">
      <c r="B25">
        <v>22</v>
      </c>
      <c r="C25" s="7">
        <v>36547</v>
      </c>
      <c r="D25" s="9">
        <v>22</v>
      </c>
      <c r="E25" s="9">
        <v>1</v>
      </c>
      <c r="F25" s="9">
        <v>2000</v>
      </c>
      <c r="G25" s="9">
        <v>4</v>
      </c>
      <c r="H25" s="28">
        <v>7</v>
      </c>
      <c r="I25" s="28">
        <v>2.5584297999708468E-2</v>
      </c>
      <c r="J25" s="29">
        <v>5116859.5999416932</v>
      </c>
      <c r="K25" s="7">
        <v>36556</v>
      </c>
      <c r="L25" s="7">
        <v>36576</v>
      </c>
      <c r="M25" s="26">
        <v>36586</v>
      </c>
      <c r="N25" s="26">
        <v>4605173.6399475243</v>
      </c>
      <c r="O25" s="40"/>
      <c r="P25">
        <v>22</v>
      </c>
      <c r="Q25" s="7">
        <v>36547</v>
      </c>
      <c r="R25">
        <v>22</v>
      </c>
      <c r="S25">
        <v>1</v>
      </c>
      <c r="T25">
        <v>2000</v>
      </c>
      <c r="U25">
        <v>4</v>
      </c>
      <c r="V25">
        <v>7</v>
      </c>
      <c r="W25">
        <v>1.080202812614838E-2</v>
      </c>
      <c r="X25">
        <v>2160405.6252296758</v>
      </c>
      <c r="Y25" s="7">
        <v>36556</v>
      </c>
      <c r="Z25" s="7">
        <v>36576</v>
      </c>
      <c r="AA25" s="7">
        <v>36586</v>
      </c>
      <c r="AB25">
        <v>1944365.0627067082</v>
      </c>
    </row>
    <row r="26" spans="2:28" x14ac:dyDescent="0.3">
      <c r="B26">
        <v>23</v>
      </c>
      <c r="C26" s="7">
        <v>36548</v>
      </c>
      <c r="D26" s="9">
        <v>23</v>
      </c>
      <c r="E26" s="9">
        <v>1</v>
      </c>
      <c r="F26" s="9">
        <v>2000</v>
      </c>
      <c r="G26" s="9">
        <v>5</v>
      </c>
      <c r="H26" s="28">
        <v>1</v>
      </c>
      <c r="I26" s="28">
        <v>2.4686697065492834E-2</v>
      </c>
      <c r="J26" s="29">
        <v>4937339.4130985672</v>
      </c>
      <c r="K26" s="7">
        <v>36556</v>
      </c>
      <c r="L26" s="7">
        <v>36576</v>
      </c>
      <c r="M26" s="26">
        <v>36586</v>
      </c>
      <c r="N26" s="26">
        <v>4443605.4717887109</v>
      </c>
      <c r="O26" s="40"/>
      <c r="P26">
        <v>23</v>
      </c>
      <c r="Q26" s="7">
        <v>36548</v>
      </c>
      <c r="R26">
        <v>23</v>
      </c>
      <c r="S26">
        <v>1</v>
      </c>
      <c r="T26">
        <v>2000</v>
      </c>
      <c r="U26">
        <v>5</v>
      </c>
      <c r="V26">
        <v>1</v>
      </c>
      <c r="W26">
        <v>1.1901598055367165E-2</v>
      </c>
      <c r="X26">
        <v>2380319.611073433</v>
      </c>
      <c r="Y26" s="7">
        <v>36556</v>
      </c>
      <c r="Z26" s="7">
        <v>36576</v>
      </c>
      <c r="AA26" s="7">
        <v>36586</v>
      </c>
      <c r="AB26">
        <v>2142287.6499660895</v>
      </c>
    </row>
    <row r="27" spans="2:28" x14ac:dyDescent="0.3">
      <c r="B27">
        <v>24</v>
      </c>
      <c r="C27" s="7">
        <v>36549</v>
      </c>
      <c r="D27" s="9">
        <v>24</v>
      </c>
      <c r="E27" s="9">
        <v>1</v>
      </c>
      <c r="F27" s="9">
        <v>2000</v>
      </c>
      <c r="G27" s="9">
        <v>5</v>
      </c>
      <c r="H27" s="28">
        <v>2</v>
      </c>
      <c r="I27" s="28">
        <v>2.3699363510239359E-2</v>
      </c>
      <c r="J27" s="29">
        <v>4739872.7020478714</v>
      </c>
      <c r="K27" s="7">
        <v>36556</v>
      </c>
      <c r="L27" s="7">
        <v>36576</v>
      </c>
      <c r="M27" s="26">
        <v>36586</v>
      </c>
      <c r="N27" s="26">
        <v>4265885.4318430843</v>
      </c>
      <c r="O27" s="40"/>
      <c r="P27">
        <v>24</v>
      </c>
      <c r="Q27" s="7">
        <v>36549</v>
      </c>
      <c r="R27">
        <v>24</v>
      </c>
      <c r="S27">
        <v>1</v>
      </c>
      <c r="T27">
        <v>2000</v>
      </c>
      <c r="U27">
        <v>5</v>
      </c>
      <c r="V27">
        <v>2</v>
      </c>
      <c r="W27">
        <v>1.3046363242072994E-2</v>
      </c>
      <c r="X27">
        <v>2609272.6484145988</v>
      </c>
      <c r="Y27" s="7">
        <v>36556</v>
      </c>
      <c r="Z27" s="7">
        <v>36576</v>
      </c>
      <c r="AA27" s="7">
        <v>36586</v>
      </c>
      <c r="AB27">
        <v>2348345.3835731391</v>
      </c>
    </row>
    <row r="28" spans="2:28" x14ac:dyDescent="0.3">
      <c r="B28">
        <v>25</v>
      </c>
      <c r="C28" s="7">
        <v>36550</v>
      </c>
      <c r="D28" s="9">
        <v>25</v>
      </c>
      <c r="E28" s="9">
        <v>1</v>
      </c>
      <c r="F28" s="9">
        <v>2000</v>
      </c>
      <c r="G28" s="9">
        <v>5</v>
      </c>
      <c r="H28" s="28">
        <v>3</v>
      </c>
      <c r="I28" s="28">
        <v>2.2635734369121589E-2</v>
      </c>
      <c r="J28" s="29">
        <v>4527146.8738243179</v>
      </c>
      <c r="K28" s="7">
        <v>36556</v>
      </c>
      <c r="L28" s="7">
        <v>36576</v>
      </c>
      <c r="M28" s="26">
        <v>36586</v>
      </c>
      <c r="N28" s="26">
        <v>4074432.1864418862</v>
      </c>
      <c r="O28" s="40"/>
      <c r="P28">
        <v>25</v>
      </c>
      <c r="Q28" s="7">
        <v>36550</v>
      </c>
      <c r="R28">
        <v>25</v>
      </c>
      <c r="S28">
        <v>1</v>
      </c>
      <c r="T28">
        <v>2000</v>
      </c>
      <c r="U28">
        <v>5</v>
      </c>
      <c r="V28">
        <v>3</v>
      </c>
      <c r="W28">
        <v>1.4228458945108895E-2</v>
      </c>
      <c r="X28">
        <v>2845691.7890217789</v>
      </c>
      <c r="Y28" s="7">
        <v>36556</v>
      </c>
      <c r="Z28" s="7">
        <v>36576</v>
      </c>
      <c r="AA28" s="7">
        <v>36586</v>
      </c>
      <c r="AB28">
        <v>2561122.6101196012</v>
      </c>
    </row>
    <row r="29" spans="2:28" x14ac:dyDescent="0.3">
      <c r="B29">
        <v>26</v>
      </c>
      <c r="C29" s="7">
        <v>36551</v>
      </c>
      <c r="D29" s="9">
        <v>26</v>
      </c>
      <c r="E29" s="9">
        <v>1</v>
      </c>
      <c r="F29" s="9">
        <v>2000</v>
      </c>
      <c r="G29" s="9">
        <v>5</v>
      </c>
      <c r="H29" s="28">
        <v>4</v>
      </c>
      <c r="I29" s="28">
        <v>2.1509816582486029E-2</v>
      </c>
      <c r="J29" s="29">
        <v>4301963.3164972058</v>
      </c>
      <c r="K29" s="7">
        <v>36556</v>
      </c>
      <c r="L29" s="7">
        <v>36576</v>
      </c>
      <c r="M29" s="26">
        <v>36586</v>
      </c>
      <c r="N29" s="26">
        <v>3871766.9848474851</v>
      </c>
      <c r="O29" s="40"/>
      <c r="P29">
        <v>26</v>
      </c>
      <c r="Q29" s="7">
        <v>36551</v>
      </c>
      <c r="R29">
        <v>26</v>
      </c>
      <c r="S29">
        <v>1</v>
      </c>
      <c r="T29">
        <v>2000</v>
      </c>
      <c r="U29">
        <v>5</v>
      </c>
      <c r="V29">
        <v>4</v>
      </c>
      <c r="W29">
        <v>1.5438691029196216E-2</v>
      </c>
      <c r="X29">
        <v>3087738.2058392433</v>
      </c>
      <c r="Y29" s="7">
        <v>36556</v>
      </c>
      <c r="Z29" s="7">
        <v>36576</v>
      </c>
      <c r="AA29" s="7">
        <v>36586</v>
      </c>
      <c r="AB29">
        <v>2778964.3852553191</v>
      </c>
    </row>
    <row r="30" spans="2:28" x14ac:dyDescent="0.3">
      <c r="B30">
        <v>27</v>
      </c>
      <c r="C30" s="7">
        <v>36552</v>
      </c>
      <c r="D30" s="9">
        <v>27</v>
      </c>
      <c r="E30" s="9">
        <v>1</v>
      </c>
      <c r="F30" s="9">
        <v>2000</v>
      </c>
      <c r="G30" s="9">
        <v>5</v>
      </c>
      <c r="H30" s="28">
        <v>5</v>
      </c>
      <c r="I30" s="28">
        <v>2.0335883123965309E-2</v>
      </c>
      <c r="J30" s="29">
        <v>4067176.624793062</v>
      </c>
      <c r="K30" s="7">
        <v>36556</v>
      </c>
      <c r="L30" s="7">
        <v>36576</v>
      </c>
      <c r="M30" s="26">
        <v>36586</v>
      </c>
      <c r="N30" s="26">
        <v>3660458.9623137559</v>
      </c>
      <c r="O30" s="40"/>
      <c r="P30">
        <v>27</v>
      </c>
      <c r="Q30" s="7">
        <v>36552</v>
      </c>
      <c r="R30">
        <v>27</v>
      </c>
      <c r="S30">
        <v>1</v>
      </c>
      <c r="T30">
        <v>2000</v>
      </c>
      <c r="U30">
        <v>5</v>
      </c>
      <c r="V30">
        <v>5</v>
      </c>
      <c r="W30">
        <v>1.6666610976523753E-2</v>
      </c>
      <c r="X30">
        <v>3333322.1953047505</v>
      </c>
      <c r="Y30" s="7">
        <v>36556</v>
      </c>
      <c r="Z30" s="7">
        <v>36576</v>
      </c>
      <c r="AA30" s="7">
        <v>36586</v>
      </c>
      <c r="AB30">
        <v>2999989.9757742756</v>
      </c>
    </row>
    <row r="31" spans="2:28" x14ac:dyDescent="0.3">
      <c r="B31">
        <v>28</v>
      </c>
      <c r="C31" s="7">
        <v>36553</v>
      </c>
      <c r="D31" s="9">
        <v>28</v>
      </c>
      <c r="E31" s="9">
        <v>1</v>
      </c>
      <c r="F31" s="9">
        <v>2000</v>
      </c>
      <c r="G31" s="9">
        <v>5</v>
      </c>
      <c r="H31" s="28">
        <v>6</v>
      </c>
      <c r="I31" s="28">
        <v>1.9128176881846124E-2</v>
      </c>
      <c r="J31" s="29">
        <v>3825635.3763692249</v>
      </c>
      <c r="K31" s="7">
        <v>36556</v>
      </c>
      <c r="L31" s="7">
        <v>36576</v>
      </c>
      <c r="M31" s="26">
        <v>36586</v>
      </c>
      <c r="N31" s="26">
        <v>3443071.8387323027</v>
      </c>
      <c r="O31" s="40"/>
      <c r="P31">
        <v>28</v>
      </c>
      <c r="Q31" s="7">
        <v>36553</v>
      </c>
      <c r="R31">
        <v>28</v>
      </c>
      <c r="S31">
        <v>1</v>
      </c>
      <c r="T31">
        <v>2000</v>
      </c>
      <c r="U31">
        <v>5</v>
      </c>
      <c r="V31">
        <v>6</v>
      </c>
      <c r="W31">
        <v>1.7900630698417495E-2</v>
      </c>
      <c r="X31">
        <v>3580126.139683499</v>
      </c>
      <c r="Y31" s="7">
        <v>36556</v>
      </c>
      <c r="Z31" s="7">
        <v>36576</v>
      </c>
      <c r="AA31" s="7">
        <v>36586</v>
      </c>
      <c r="AB31">
        <v>3222113.525715149</v>
      </c>
    </row>
    <row r="32" spans="2:28" x14ac:dyDescent="0.3">
      <c r="B32">
        <v>29</v>
      </c>
      <c r="C32" s="7">
        <v>36554</v>
      </c>
      <c r="D32" s="9">
        <v>29</v>
      </c>
      <c r="E32" s="9">
        <v>1</v>
      </c>
      <c r="F32" s="9">
        <v>2000</v>
      </c>
      <c r="G32" s="9">
        <v>5</v>
      </c>
      <c r="H32" s="28">
        <v>7</v>
      </c>
      <c r="I32" s="28">
        <v>1.7900630698417495E-2</v>
      </c>
      <c r="J32" s="29">
        <v>3580126.139683499</v>
      </c>
      <c r="K32" s="7">
        <v>36556</v>
      </c>
      <c r="L32" s="7">
        <v>36576</v>
      </c>
      <c r="M32" s="26">
        <v>36586</v>
      </c>
      <c r="N32" s="26">
        <v>3222113.525715149</v>
      </c>
      <c r="O32" s="40"/>
      <c r="P32">
        <v>29</v>
      </c>
      <c r="Q32" s="7">
        <v>36554</v>
      </c>
      <c r="R32">
        <v>29</v>
      </c>
      <c r="S32">
        <v>1</v>
      </c>
      <c r="T32">
        <v>2000</v>
      </c>
      <c r="U32">
        <v>5</v>
      </c>
      <c r="V32">
        <v>7</v>
      </c>
      <c r="W32">
        <v>1.9128176881846124E-2</v>
      </c>
      <c r="X32">
        <v>3825635.3763692249</v>
      </c>
      <c r="Y32" s="7">
        <v>36556</v>
      </c>
      <c r="Z32" s="7">
        <v>36576</v>
      </c>
      <c r="AA32" s="7">
        <v>36586</v>
      </c>
      <c r="AB32">
        <v>3443071.8387323027</v>
      </c>
    </row>
    <row r="33" spans="2:28" x14ac:dyDescent="0.3">
      <c r="B33">
        <v>30</v>
      </c>
      <c r="C33" s="7">
        <v>36555</v>
      </c>
      <c r="D33" s="9">
        <v>30</v>
      </c>
      <c r="E33" s="9">
        <v>1</v>
      </c>
      <c r="F33" s="9">
        <v>2000</v>
      </c>
      <c r="G33" s="9">
        <v>6</v>
      </c>
      <c r="H33" s="28">
        <v>1</v>
      </c>
      <c r="I33" s="28">
        <v>1.6666610976523753E-2</v>
      </c>
      <c r="J33" s="29">
        <v>3333322.1953047505</v>
      </c>
      <c r="K33" s="7">
        <v>36556</v>
      </c>
      <c r="L33" s="7">
        <v>36576</v>
      </c>
      <c r="M33" s="26">
        <v>36586</v>
      </c>
      <c r="N33" s="26">
        <v>2999989.9757742756</v>
      </c>
      <c r="O33" s="40"/>
      <c r="P33">
        <v>30</v>
      </c>
      <c r="Q33" s="7">
        <v>36555</v>
      </c>
      <c r="R33">
        <v>30</v>
      </c>
      <c r="S33">
        <v>1</v>
      </c>
      <c r="T33">
        <v>2000</v>
      </c>
      <c r="U33">
        <v>6</v>
      </c>
      <c r="V33">
        <v>1</v>
      </c>
      <c r="W33">
        <v>2.0335883123965309E-2</v>
      </c>
      <c r="X33">
        <v>4067176.624793062</v>
      </c>
      <c r="Y33" s="7">
        <v>36556</v>
      </c>
      <c r="Z33" s="7">
        <v>36576</v>
      </c>
      <c r="AA33" s="7">
        <v>36586</v>
      </c>
      <c r="AB33">
        <v>3660458.9623137559</v>
      </c>
    </row>
    <row r="34" spans="2:28" x14ac:dyDescent="0.3">
      <c r="B34">
        <v>31</v>
      </c>
      <c r="C34" s="7">
        <v>36556</v>
      </c>
      <c r="D34" s="9">
        <v>31</v>
      </c>
      <c r="E34">
        <v>1</v>
      </c>
      <c r="F34">
        <v>2000</v>
      </c>
      <c r="G34">
        <v>6</v>
      </c>
      <c r="H34">
        <v>2</v>
      </c>
      <c r="I34">
        <v>1.5438691029196216E-2</v>
      </c>
      <c r="J34">
        <v>3087738.2058392433</v>
      </c>
      <c r="K34" s="7">
        <v>36556</v>
      </c>
      <c r="L34">
        <v>36576</v>
      </c>
      <c r="M34">
        <v>36586</v>
      </c>
      <c r="N34">
        <v>2778964.3852553191</v>
      </c>
      <c r="P34">
        <v>31</v>
      </c>
      <c r="Q34" s="7">
        <v>36556</v>
      </c>
      <c r="R34">
        <v>31</v>
      </c>
      <c r="S34">
        <v>1</v>
      </c>
      <c r="T34">
        <v>2000</v>
      </c>
      <c r="U34">
        <v>6</v>
      </c>
      <c r="V34">
        <v>2</v>
      </c>
      <c r="W34">
        <v>2.1509816582486029E-2</v>
      </c>
      <c r="X34">
        <v>4301963.3164972058</v>
      </c>
      <c r="Y34" s="7">
        <v>36556</v>
      </c>
      <c r="Z34" s="7">
        <v>36576</v>
      </c>
      <c r="AA34" s="7">
        <v>36586</v>
      </c>
      <c r="AB34">
        <v>3871766.9848474851</v>
      </c>
    </row>
    <row r="35" spans="2:28" x14ac:dyDescent="0.3">
      <c r="P35">
        <v>32</v>
      </c>
      <c r="Q35" s="7">
        <v>36557</v>
      </c>
      <c r="R35">
        <v>1</v>
      </c>
      <c r="S35">
        <v>2</v>
      </c>
      <c r="T35">
        <v>2000</v>
      </c>
      <c r="U35">
        <v>6</v>
      </c>
      <c r="V35">
        <v>3</v>
      </c>
      <c r="W35">
        <v>2.2635734369121589E-2</v>
      </c>
      <c r="X35">
        <v>4527146.8738243179</v>
      </c>
      <c r="Y35" s="7">
        <v>36585</v>
      </c>
      <c r="Z35" s="7">
        <v>36605</v>
      </c>
      <c r="AA35" s="7">
        <v>36615</v>
      </c>
      <c r="AB35">
        <v>4074432.1864418862</v>
      </c>
    </row>
    <row r="36" spans="2:28" x14ac:dyDescent="0.3">
      <c r="P36">
        <v>33</v>
      </c>
      <c r="Q36" s="7">
        <v>36558</v>
      </c>
      <c r="R36">
        <v>2</v>
      </c>
      <c r="S36">
        <v>2</v>
      </c>
      <c r="T36">
        <v>2000</v>
      </c>
      <c r="U36">
        <v>6</v>
      </c>
      <c r="V36">
        <v>4</v>
      </c>
      <c r="W36">
        <v>2.3699363510239359E-2</v>
      </c>
      <c r="X36">
        <v>4739872.7020478714</v>
      </c>
      <c r="Y36" s="7">
        <v>36585</v>
      </c>
      <c r="Z36" s="7">
        <v>36605</v>
      </c>
      <c r="AA36" s="7">
        <v>36615</v>
      </c>
      <c r="AB36">
        <v>4265885.4318430843</v>
      </c>
    </row>
    <row r="37" spans="2:28" x14ac:dyDescent="0.3">
      <c r="P37">
        <v>34</v>
      </c>
      <c r="Q37" s="7">
        <v>36559</v>
      </c>
      <c r="R37">
        <v>3</v>
      </c>
      <c r="S37">
        <v>2</v>
      </c>
      <c r="T37">
        <v>2000</v>
      </c>
      <c r="U37">
        <v>6</v>
      </c>
      <c r="V37">
        <v>5</v>
      </c>
      <c r="W37">
        <v>2.4686697065492834E-2</v>
      </c>
      <c r="X37">
        <v>4937339.4130985672</v>
      </c>
      <c r="Y37" s="7">
        <v>36585</v>
      </c>
      <c r="Z37" s="7">
        <v>36605</v>
      </c>
      <c r="AA37" s="7">
        <v>36615</v>
      </c>
      <c r="AB37">
        <v>4443605.4717887109</v>
      </c>
    </row>
    <row r="38" spans="2:28" x14ac:dyDescent="0.3">
      <c r="P38">
        <v>35</v>
      </c>
      <c r="Q38" s="7">
        <v>36560</v>
      </c>
      <c r="R38">
        <v>4</v>
      </c>
      <c r="S38">
        <v>2</v>
      </c>
      <c r="T38">
        <v>2000</v>
      </c>
      <c r="U38">
        <v>6</v>
      </c>
      <c r="V38">
        <v>6</v>
      </c>
      <c r="W38">
        <v>2.5584297999708468E-2</v>
      </c>
      <c r="X38">
        <v>5116859.5999416932</v>
      </c>
      <c r="Y38" s="7">
        <v>36585</v>
      </c>
      <c r="Z38" s="7">
        <v>36605</v>
      </c>
      <c r="AA38" s="7">
        <v>36615</v>
      </c>
      <c r="AB38">
        <v>4605173.6399475243</v>
      </c>
    </row>
    <row r="39" spans="2:28" x14ac:dyDescent="0.3">
      <c r="P39">
        <v>36</v>
      </c>
      <c r="Q39" s="7">
        <v>36561</v>
      </c>
      <c r="R39">
        <v>5</v>
      </c>
      <c r="S39">
        <v>2</v>
      </c>
      <c r="T39">
        <v>2000</v>
      </c>
      <c r="U39">
        <v>6</v>
      </c>
      <c r="V39">
        <v>7</v>
      </c>
      <c r="W39">
        <v>2.6379601705265307E-2</v>
      </c>
      <c r="X39">
        <v>5275920.3410530612</v>
      </c>
      <c r="Y39" s="7">
        <v>36585</v>
      </c>
      <c r="Z39" s="7">
        <v>36605</v>
      </c>
      <c r="AA39" s="7">
        <v>36615</v>
      </c>
      <c r="AB39">
        <v>4748328.3069477556</v>
      </c>
    </row>
    <row r="40" spans="2:28" x14ac:dyDescent="0.3">
      <c r="P40">
        <v>37</v>
      </c>
      <c r="Q40" s="7">
        <v>36562</v>
      </c>
      <c r="R40">
        <v>6</v>
      </c>
      <c r="S40">
        <v>2</v>
      </c>
      <c r="T40">
        <v>2000</v>
      </c>
      <c r="U40">
        <v>7</v>
      </c>
      <c r="V40">
        <v>1</v>
      </c>
      <c r="W40">
        <v>2.7061207718924354E-2</v>
      </c>
      <c r="X40">
        <v>5412241.5437848708</v>
      </c>
      <c r="Y40" s="7">
        <v>36585</v>
      </c>
      <c r="Z40" s="7">
        <v>36605</v>
      </c>
      <c r="AA40" s="7">
        <v>36615</v>
      </c>
      <c r="AB40">
        <v>4871017.389406384</v>
      </c>
    </row>
    <row r="41" spans="2:28" x14ac:dyDescent="0.3">
      <c r="P41">
        <v>38</v>
      </c>
      <c r="Q41" s="7">
        <v>36563</v>
      </c>
      <c r="R41">
        <v>7</v>
      </c>
      <c r="S41">
        <v>2</v>
      </c>
      <c r="T41">
        <v>2000</v>
      </c>
      <c r="U41">
        <v>7</v>
      </c>
      <c r="V41">
        <v>2</v>
      </c>
      <c r="W41">
        <v>2.7619151200203515E-2</v>
      </c>
      <c r="X41">
        <v>5523830.2400407027</v>
      </c>
      <c r="Y41" s="7">
        <v>36585</v>
      </c>
      <c r="Z41" s="7">
        <v>36605</v>
      </c>
      <c r="AA41" s="7">
        <v>36615</v>
      </c>
      <c r="AB41">
        <v>4971447.2160366327</v>
      </c>
    </row>
    <row r="42" spans="2:28" x14ac:dyDescent="0.3">
      <c r="P42">
        <v>39</v>
      </c>
      <c r="Q42" s="7">
        <v>36564</v>
      </c>
      <c r="R42">
        <v>8</v>
      </c>
      <c r="S42">
        <v>2</v>
      </c>
      <c r="T42">
        <v>2000</v>
      </c>
      <c r="U42">
        <v>7</v>
      </c>
      <c r="V42">
        <v>3</v>
      </c>
      <c r="W42">
        <v>2.8045145151504698E-2</v>
      </c>
      <c r="X42">
        <v>5609029.0303009395</v>
      </c>
      <c r="Y42" s="7">
        <v>36585</v>
      </c>
      <c r="Z42" s="7">
        <v>36605</v>
      </c>
      <c r="AA42" s="7">
        <v>36615</v>
      </c>
      <c r="AB42">
        <v>5048126.1272708457</v>
      </c>
    </row>
    <row r="43" spans="2:28" x14ac:dyDescent="0.3">
      <c r="P43">
        <v>40</v>
      </c>
      <c r="Q43" s="7">
        <v>36565</v>
      </c>
      <c r="R43">
        <v>9</v>
      </c>
      <c r="S43">
        <v>2</v>
      </c>
      <c r="T43">
        <v>2000</v>
      </c>
      <c r="U43">
        <v>7</v>
      </c>
      <c r="V43">
        <v>4</v>
      </c>
      <c r="W43">
        <v>2.8332785157249189E-2</v>
      </c>
      <c r="X43">
        <v>5666557.0314498376</v>
      </c>
      <c r="Y43" s="7">
        <v>36585</v>
      </c>
      <c r="Z43" s="7">
        <v>36605</v>
      </c>
      <c r="AA43" s="7">
        <v>36615</v>
      </c>
      <c r="AB43">
        <v>5099901.3283048542</v>
      </c>
    </row>
    <row r="44" spans="2:28" x14ac:dyDescent="0.3">
      <c r="P44">
        <v>41</v>
      </c>
      <c r="Q44" s="7">
        <v>36566</v>
      </c>
      <c r="R44">
        <v>10</v>
      </c>
      <c r="S44">
        <v>2</v>
      </c>
      <c r="T44">
        <v>2000</v>
      </c>
      <c r="U44">
        <v>7</v>
      </c>
      <c r="V44">
        <v>5</v>
      </c>
      <c r="W44">
        <v>2.8477709574332315E-2</v>
      </c>
      <c r="X44">
        <v>5695541.9148664633</v>
      </c>
      <c r="Y44" s="7">
        <v>36585</v>
      </c>
      <c r="Z44" s="7">
        <v>36605</v>
      </c>
      <c r="AA44" s="7">
        <v>36615</v>
      </c>
      <c r="AB44">
        <v>5125987.7233798169</v>
      </c>
    </row>
    <row r="45" spans="2:28" x14ac:dyDescent="0.3">
      <c r="P45">
        <v>42</v>
      </c>
      <c r="Q45" s="7">
        <v>36567</v>
      </c>
      <c r="R45">
        <v>11</v>
      </c>
      <c r="S45">
        <v>2</v>
      </c>
      <c r="T45">
        <v>2000</v>
      </c>
      <c r="U45">
        <v>7</v>
      </c>
      <c r="V45">
        <v>6</v>
      </c>
      <c r="W45">
        <v>2.8477709574332315E-2</v>
      </c>
      <c r="X45">
        <v>5695541.9148664633</v>
      </c>
      <c r="Y45" s="7">
        <v>36585</v>
      </c>
      <c r="Z45" s="7">
        <v>36605</v>
      </c>
      <c r="AA45" s="7">
        <v>36615</v>
      </c>
      <c r="AB45">
        <v>5125987.7233798169</v>
      </c>
    </row>
    <row r="46" spans="2:28" x14ac:dyDescent="0.3">
      <c r="P46">
        <v>43</v>
      </c>
      <c r="Q46" s="7">
        <v>36568</v>
      </c>
      <c r="R46">
        <v>12</v>
      </c>
      <c r="S46">
        <v>2</v>
      </c>
      <c r="T46">
        <v>2000</v>
      </c>
      <c r="U46">
        <v>7</v>
      </c>
      <c r="V46">
        <v>7</v>
      </c>
      <c r="W46">
        <v>2.8332785157249189E-2</v>
      </c>
      <c r="X46">
        <v>5666557.0314498376</v>
      </c>
      <c r="Y46" s="7">
        <v>36585</v>
      </c>
      <c r="Z46" s="7">
        <v>36605</v>
      </c>
      <c r="AA46" s="7">
        <v>36615</v>
      </c>
      <c r="AB46">
        <v>5099901.3283048542</v>
      </c>
    </row>
    <row r="47" spans="2:28" x14ac:dyDescent="0.3">
      <c r="P47">
        <v>44</v>
      </c>
      <c r="Q47" s="7">
        <v>36569</v>
      </c>
      <c r="R47">
        <v>13</v>
      </c>
      <c r="S47">
        <v>2</v>
      </c>
      <c r="T47">
        <v>2000</v>
      </c>
      <c r="U47">
        <v>8</v>
      </c>
      <c r="V47">
        <v>1</v>
      </c>
      <c r="W47">
        <v>2.8045145151504698E-2</v>
      </c>
      <c r="X47">
        <v>5609029.0303009395</v>
      </c>
      <c r="Y47" s="7">
        <v>36585</v>
      </c>
      <c r="Z47" s="7">
        <v>36605</v>
      </c>
      <c r="AA47" s="7">
        <v>36615</v>
      </c>
      <c r="AB47">
        <v>5048126.1272708457</v>
      </c>
    </row>
    <row r="48" spans="2:28" x14ac:dyDescent="0.3">
      <c r="P48">
        <v>45</v>
      </c>
      <c r="Q48" s="7">
        <v>36570</v>
      </c>
      <c r="R48">
        <v>14</v>
      </c>
      <c r="S48">
        <v>2</v>
      </c>
      <c r="T48">
        <v>2000</v>
      </c>
      <c r="U48">
        <v>8</v>
      </c>
      <c r="V48">
        <v>2</v>
      </c>
      <c r="W48">
        <v>2.7619151200203515E-2</v>
      </c>
      <c r="X48">
        <v>5523830.2400407027</v>
      </c>
      <c r="Y48" s="7">
        <v>36585</v>
      </c>
      <c r="Z48" s="7">
        <v>36605</v>
      </c>
      <c r="AA48" s="7">
        <v>36615</v>
      </c>
      <c r="AB48">
        <v>4971447.2160366327</v>
      </c>
    </row>
    <row r="49" spans="16:28" x14ac:dyDescent="0.3">
      <c r="P49">
        <v>46</v>
      </c>
      <c r="Q49" s="7">
        <v>36571</v>
      </c>
      <c r="R49">
        <v>15</v>
      </c>
      <c r="S49">
        <v>2</v>
      </c>
      <c r="T49">
        <v>2000</v>
      </c>
      <c r="U49">
        <v>8</v>
      </c>
      <c r="V49">
        <v>3</v>
      </c>
      <c r="W49">
        <v>2.7061207718924354E-2</v>
      </c>
      <c r="X49">
        <v>5412241.5437848708</v>
      </c>
      <c r="Y49" s="7">
        <v>36585</v>
      </c>
      <c r="Z49" s="7">
        <v>36605</v>
      </c>
      <c r="AA49" s="7">
        <v>36615</v>
      </c>
      <c r="AB49">
        <v>4871017.389406384</v>
      </c>
    </row>
    <row r="50" spans="16:28" x14ac:dyDescent="0.3">
      <c r="P50">
        <v>47</v>
      </c>
      <c r="Q50" s="7">
        <v>36572</v>
      </c>
      <c r="R50">
        <v>16</v>
      </c>
      <c r="S50">
        <v>2</v>
      </c>
      <c r="T50">
        <v>2000</v>
      </c>
      <c r="U50">
        <v>8</v>
      </c>
      <c r="V50">
        <v>4</v>
      </c>
      <c r="W50">
        <v>2.6379601705265307E-2</v>
      </c>
      <c r="X50">
        <v>5275920.3410530612</v>
      </c>
      <c r="Y50" s="7">
        <v>36585</v>
      </c>
      <c r="Z50" s="7">
        <v>36605</v>
      </c>
      <c r="AA50" s="7">
        <v>36615</v>
      </c>
      <c r="AB50">
        <v>4748328.3069477556</v>
      </c>
    </row>
    <row r="51" spans="16:28" x14ac:dyDescent="0.3">
      <c r="P51">
        <v>48</v>
      </c>
      <c r="Q51" s="7">
        <v>36573</v>
      </c>
      <c r="R51">
        <v>17</v>
      </c>
      <c r="S51">
        <v>2</v>
      </c>
      <c r="T51">
        <v>2000</v>
      </c>
      <c r="U51">
        <v>8</v>
      </c>
      <c r="V51">
        <v>5</v>
      </c>
      <c r="W51">
        <v>2.5584297999708468E-2</v>
      </c>
      <c r="X51">
        <v>5116859.5999416932</v>
      </c>
      <c r="Y51" s="7">
        <v>36585</v>
      </c>
      <c r="Z51" s="7">
        <v>36605</v>
      </c>
      <c r="AA51" s="7">
        <v>36615</v>
      </c>
      <c r="AB51">
        <v>4605173.6399475243</v>
      </c>
    </row>
    <row r="52" spans="16:28" x14ac:dyDescent="0.3">
      <c r="P52">
        <v>49</v>
      </c>
      <c r="Q52" s="7">
        <v>36574</v>
      </c>
      <c r="R52">
        <v>18</v>
      </c>
      <c r="S52">
        <v>2</v>
      </c>
      <c r="T52">
        <v>2000</v>
      </c>
      <c r="U52">
        <v>8</v>
      </c>
      <c r="V52">
        <v>6</v>
      </c>
      <c r="W52">
        <v>2.4686697065492834E-2</v>
      </c>
      <c r="X52">
        <v>4937339.4130985672</v>
      </c>
      <c r="Y52" s="7">
        <v>36585</v>
      </c>
      <c r="Z52" s="7">
        <v>36605</v>
      </c>
      <c r="AA52" s="7">
        <v>36615</v>
      </c>
      <c r="AB52">
        <v>4443605.4717887109</v>
      </c>
    </row>
    <row r="53" spans="16:28" x14ac:dyDescent="0.3">
      <c r="P53">
        <v>50</v>
      </c>
      <c r="Q53" s="7">
        <v>36575</v>
      </c>
      <c r="R53">
        <v>19</v>
      </c>
      <c r="S53">
        <v>2</v>
      </c>
      <c r="T53">
        <v>2000</v>
      </c>
      <c r="U53">
        <v>8</v>
      </c>
      <c r="V53">
        <v>7</v>
      </c>
      <c r="W53">
        <v>2.3699363510239359E-2</v>
      </c>
      <c r="X53">
        <v>4739872.7020478714</v>
      </c>
      <c r="Y53" s="7">
        <v>36585</v>
      </c>
      <c r="Z53" s="7">
        <v>36605</v>
      </c>
      <c r="AA53" s="7">
        <v>36615</v>
      </c>
      <c r="AB53">
        <v>4265885.4318430843</v>
      </c>
    </row>
    <row r="54" spans="16:28" x14ac:dyDescent="0.3">
      <c r="P54">
        <v>51</v>
      </c>
      <c r="Q54" s="7">
        <v>36576</v>
      </c>
      <c r="R54">
        <v>20</v>
      </c>
      <c r="S54">
        <v>2</v>
      </c>
      <c r="T54">
        <v>2000</v>
      </c>
      <c r="U54">
        <v>9</v>
      </c>
      <c r="V54">
        <v>1</v>
      </c>
      <c r="W54">
        <v>2.2635734369121589E-2</v>
      </c>
      <c r="X54">
        <v>4527146.8738243179</v>
      </c>
      <c r="Y54" s="7">
        <v>36585</v>
      </c>
      <c r="Z54" s="7">
        <v>36605</v>
      </c>
      <c r="AA54" s="7">
        <v>36615</v>
      </c>
      <c r="AB54">
        <v>4074432.1864418862</v>
      </c>
    </row>
    <row r="55" spans="16:28" x14ac:dyDescent="0.3">
      <c r="P55">
        <v>52</v>
      </c>
      <c r="Q55" s="7">
        <v>36577</v>
      </c>
      <c r="R55">
        <v>21</v>
      </c>
      <c r="S55">
        <v>2</v>
      </c>
      <c r="T55">
        <v>2000</v>
      </c>
      <c r="U55">
        <v>9</v>
      </c>
      <c r="V55">
        <v>2</v>
      </c>
      <c r="W55">
        <v>2.1509816582486029E-2</v>
      </c>
      <c r="X55">
        <v>4301963.3164972058</v>
      </c>
      <c r="Y55" s="7">
        <v>36585</v>
      </c>
      <c r="Z55" s="7">
        <v>36605</v>
      </c>
      <c r="AA55" s="7">
        <v>36615</v>
      </c>
      <c r="AB55">
        <v>3871766.9848474851</v>
      </c>
    </row>
    <row r="56" spans="16:28" x14ac:dyDescent="0.3">
      <c r="P56">
        <v>53</v>
      </c>
      <c r="Q56" s="7">
        <v>36578</v>
      </c>
      <c r="R56">
        <v>22</v>
      </c>
      <c r="S56">
        <v>2</v>
      </c>
      <c r="T56">
        <v>2000</v>
      </c>
      <c r="U56">
        <v>9</v>
      </c>
      <c r="V56">
        <v>3</v>
      </c>
      <c r="W56">
        <v>2.0335883123965309E-2</v>
      </c>
      <c r="X56">
        <v>4067176.624793062</v>
      </c>
      <c r="Y56" s="7">
        <v>36585</v>
      </c>
      <c r="Z56" s="7">
        <v>36605</v>
      </c>
      <c r="AA56" s="7">
        <v>36615</v>
      </c>
      <c r="AB56">
        <v>3660458.9623137559</v>
      </c>
    </row>
    <row r="57" spans="16:28" x14ac:dyDescent="0.3">
      <c r="P57">
        <v>54</v>
      </c>
      <c r="Q57" s="7">
        <v>36579</v>
      </c>
      <c r="R57">
        <v>23</v>
      </c>
      <c r="S57">
        <v>2</v>
      </c>
      <c r="T57">
        <v>2000</v>
      </c>
      <c r="U57">
        <v>9</v>
      </c>
      <c r="V57">
        <v>4</v>
      </c>
      <c r="W57">
        <v>1.9128176881846124E-2</v>
      </c>
      <c r="X57">
        <v>3825635.3763692249</v>
      </c>
      <c r="Y57" s="7">
        <v>36585</v>
      </c>
      <c r="Z57" s="7">
        <v>36605</v>
      </c>
      <c r="AA57" s="7">
        <v>36615</v>
      </c>
      <c r="AB57">
        <v>3443071.8387323027</v>
      </c>
    </row>
    <row r="58" spans="16:28" x14ac:dyDescent="0.3">
      <c r="P58">
        <v>55</v>
      </c>
      <c r="Q58" s="7">
        <v>36580</v>
      </c>
      <c r="R58">
        <v>24</v>
      </c>
      <c r="S58">
        <v>2</v>
      </c>
      <c r="T58">
        <v>2000</v>
      </c>
      <c r="U58">
        <v>9</v>
      </c>
      <c r="V58">
        <v>5</v>
      </c>
      <c r="W58">
        <v>1.7900630698417495E-2</v>
      </c>
      <c r="X58">
        <v>3580126.139683499</v>
      </c>
      <c r="Y58" s="7">
        <v>36585</v>
      </c>
      <c r="Z58" s="7">
        <v>36605</v>
      </c>
      <c r="AA58" s="7">
        <v>36615</v>
      </c>
      <c r="AB58">
        <v>3222113.525715149</v>
      </c>
    </row>
    <row r="59" spans="16:28" x14ac:dyDescent="0.3">
      <c r="P59">
        <v>56</v>
      </c>
      <c r="Q59" s="7">
        <v>36581</v>
      </c>
      <c r="R59">
        <v>25</v>
      </c>
      <c r="S59">
        <v>2</v>
      </c>
      <c r="T59">
        <v>2000</v>
      </c>
      <c r="U59">
        <v>9</v>
      </c>
      <c r="V59">
        <v>6</v>
      </c>
      <c r="W59">
        <v>1.6666610976523753E-2</v>
      </c>
      <c r="X59">
        <v>3333322.1953047505</v>
      </c>
      <c r="Y59" s="7">
        <v>36585</v>
      </c>
      <c r="Z59" s="7">
        <v>36605</v>
      </c>
      <c r="AA59" s="7">
        <v>36615</v>
      </c>
      <c r="AB59">
        <v>2999989.9757742756</v>
      </c>
    </row>
    <row r="60" spans="16:28" x14ac:dyDescent="0.3">
      <c r="P60">
        <v>57</v>
      </c>
      <c r="Q60" s="7">
        <v>36582</v>
      </c>
      <c r="R60">
        <v>26</v>
      </c>
      <c r="S60">
        <v>2</v>
      </c>
      <c r="T60">
        <v>2000</v>
      </c>
      <c r="U60">
        <v>9</v>
      </c>
      <c r="V60">
        <v>7</v>
      </c>
      <c r="W60">
        <v>1.5438691029196216E-2</v>
      </c>
      <c r="X60">
        <v>3087738.2058392433</v>
      </c>
      <c r="Y60" s="7">
        <v>36585</v>
      </c>
      <c r="Z60" s="7">
        <v>36605</v>
      </c>
      <c r="AA60" s="7">
        <v>36615</v>
      </c>
      <c r="AB60">
        <v>2778964.3852553191</v>
      </c>
    </row>
    <row r="61" spans="16:28" x14ac:dyDescent="0.3">
      <c r="P61">
        <v>58</v>
      </c>
      <c r="Q61" s="7">
        <v>36583</v>
      </c>
      <c r="R61">
        <v>27</v>
      </c>
      <c r="S61">
        <v>2</v>
      </c>
      <c r="T61">
        <v>2000</v>
      </c>
      <c r="U61">
        <v>10</v>
      </c>
      <c r="V61">
        <v>1</v>
      </c>
      <c r="W61">
        <v>1.4228458945108895E-2</v>
      </c>
      <c r="X61">
        <v>2845691.7890217789</v>
      </c>
      <c r="Y61" s="7">
        <v>36585</v>
      </c>
      <c r="Z61" s="7">
        <v>36605</v>
      </c>
      <c r="AA61" s="7">
        <v>36615</v>
      </c>
      <c r="AB61">
        <v>2561122.6101196012</v>
      </c>
    </row>
    <row r="62" spans="16:28" x14ac:dyDescent="0.3">
      <c r="P62">
        <v>59</v>
      </c>
      <c r="Q62" s="7">
        <v>36584</v>
      </c>
      <c r="R62">
        <v>28</v>
      </c>
      <c r="S62">
        <v>2</v>
      </c>
      <c r="T62">
        <v>2000</v>
      </c>
      <c r="U62">
        <v>10</v>
      </c>
      <c r="V62">
        <v>2</v>
      </c>
      <c r="W62">
        <v>1.3046363242072994E-2</v>
      </c>
      <c r="X62">
        <v>2609272.6484145988</v>
      </c>
      <c r="Y62" s="7">
        <v>36585</v>
      </c>
      <c r="Z62" s="7">
        <v>36605</v>
      </c>
      <c r="AA62" s="7">
        <v>36615</v>
      </c>
      <c r="AB62">
        <v>2348345.3835731391</v>
      </c>
    </row>
    <row r="63" spans="16:28" x14ac:dyDescent="0.3">
      <c r="P63">
        <v>60</v>
      </c>
      <c r="Q63" s="7">
        <v>36585</v>
      </c>
      <c r="R63">
        <v>29</v>
      </c>
      <c r="S63">
        <v>2</v>
      </c>
      <c r="T63">
        <v>2000</v>
      </c>
      <c r="U63">
        <v>10</v>
      </c>
      <c r="V63">
        <v>3</v>
      </c>
      <c r="W63">
        <v>1.1901598055367165E-2</v>
      </c>
      <c r="X63">
        <v>2380319.611073433</v>
      </c>
      <c r="Y63" s="7">
        <v>36585</v>
      </c>
      <c r="Z63" s="7">
        <v>36605</v>
      </c>
      <c r="AA63" s="7">
        <v>36615</v>
      </c>
      <c r="AB63">
        <v>2142287.6499660895</v>
      </c>
    </row>
    <row r="64" spans="16:28" x14ac:dyDescent="0.3">
      <c r="P64">
        <v>61</v>
      </c>
      <c r="Q64" s="7">
        <v>36586</v>
      </c>
      <c r="R64">
        <v>1</v>
      </c>
      <c r="S64">
        <v>3</v>
      </c>
      <c r="T64">
        <v>2000</v>
      </c>
      <c r="U64">
        <v>10</v>
      </c>
      <c r="V64">
        <v>4</v>
      </c>
      <c r="W64">
        <v>1.080202812614838E-2</v>
      </c>
      <c r="X64">
        <v>2160405.6252296758</v>
      </c>
      <c r="Y64" s="7">
        <v>36616</v>
      </c>
      <c r="Z64" s="7">
        <v>36636</v>
      </c>
      <c r="AA64" s="7">
        <v>36646</v>
      </c>
      <c r="AB64">
        <v>1944365.0627067082</v>
      </c>
    </row>
    <row r="65" spans="16:28" x14ac:dyDescent="0.3">
      <c r="P65">
        <v>62</v>
      </c>
      <c r="Q65" s="7">
        <v>36587</v>
      </c>
      <c r="R65">
        <v>2</v>
      </c>
      <c r="S65">
        <v>3</v>
      </c>
      <c r="T65">
        <v>2000</v>
      </c>
      <c r="U65">
        <v>10</v>
      </c>
      <c r="V65">
        <v>5</v>
      </c>
      <c r="W65">
        <v>9.7541524790725701E-3</v>
      </c>
      <c r="X65">
        <v>1950830.4958145141</v>
      </c>
      <c r="Y65" s="7">
        <v>36616</v>
      </c>
      <c r="Z65" s="7">
        <v>36636</v>
      </c>
      <c r="AA65" s="7">
        <v>36646</v>
      </c>
      <c r="AB65">
        <v>1755747.4462330628</v>
      </c>
    </row>
    <row r="66" spans="16:28" x14ac:dyDescent="0.3">
      <c r="P66">
        <v>63</v>
      </c>
      <c r="Q66" s="7">
        <v>36588</v>
      </c>
      <c r="R66">
        <v>3</v>
      </c>
      <c r="S66">
        <v>3</v>
      </c>
      <c r="T66">
        <v>2000</v>
      </c>
      <c r="U66">
        <v>10</v>
      </c>
      <c r="V66">
        <v>6</v>
      </c>
      <c r="W66">
        <v>8.763104459219441E-3</v>
      </c>
      <c r="X66">
        <v>1752620.8918438882</v>
      </c>
      <c r="Y66" s="7">
        <v>36616</v>
      </c>
      <c r="Z66" s="7">
        <v>36636</v>
      </c>
      <c r="AA66" s="7">
        <v>36646</v>
      </c>
      <c r="AB66">
        <v>1577358.8026594995</v>
      </c>
    </row>
    <row r="67" spans="16:28" x14ac:dyDescent="0.3">
      <c r="P67">
        <v>64</v>
      </c>
      <c r="Q67" s="7">
        <v>36589</v>
      </c>
      <c r="R67">
        <v>4</v>
      </c>
      <c r="S67">
        <v>3</v>
      </c>
      <c r="T67">
        <v>2000</v>
      </c>
      <c r="U67">
        <v>10</v>
      </c>
      <c r="V67">
        <v>7</v>
      </c>
      <c r="W67">
        <v>7.8326847762224365E-3</v>
      </c>
      <c r="X67">
        <v>1566536.9552444874</v>
      </c>
      <c r="Y67" s="7">
        <v>36616</v>
      </c>
      <c r="Z67" s="7">
        <v>36636</v>
      </c>
      <c r="AA67" s="7">
        <v>36646</v>
      </c>
      <c r="AB67">
        <v>1409883.2597200386</v>
      </c>
    </row>
    <row r="68" spans="16:28" x14ac:dyDescent="0.3">
      <c r="P68">
        <v>65</v>
      </c>
      <c r="Q68" s="7">
        <v>36590</v>
      </c>
      <c r="R68">
        <v>5</v>
      </c>
      <c r="S68">
        <v>3</v>
      </c>
      <c r="T68">
        <v>2000</v>
      </c>
      <c r="U68">
        <v>11</v>
      </c>
      <c r="V68">
        <v>1</v>
      </c>
      <c r="W68">
        <v>6.9654234049265837E-3</v>
      </c>
      <c r="X68">
        <v>1393084.6809853166</v>
      </c>
      <c r="Y68" s="7">
        <v>36616</v>
      </c>
      <c r="Z68" s="7">
        <v>36636</v>
      </c>
      <c r="AA68" s="7">
        <v>36646</v>
      </c>
      <c r="AB68">
        <v>1253776.2128867849</v>
      </c>
    </row>
    <row r="69" spans="16:28" x14ac:dyDescent="0.3">
      <c r="P69">
        <v>66</v>
      </c>
      <c r="Q69" s="7">
        <v>36591</v>
      </c>
      <c r="R69">
        <v>6</v>
      </c>
      <c r="S69">
        <v>3</v>
      </c>
      <c r="T69">
        <v>2000</v>
      </c>
      <c r="U69">
        <v>11</v>
      </c>
      <c r="V69">
        <v>2</v>
      </c>
      <c r="W69">
        <v>6.1626656304651084E-3</v>
      </c>
      <c r="X69">
        <v>1232533.1260930216</v>
      </c>
      <c r="Y69" s="7">
        <v>36616</v>
      </c>
      <c r="Z69" s="7">
        <v>36636</v>
      </c>
      <c r="AA69" s="7">
        <v>36646</v>
      </c>
      <c r="AB69">
        <v>1109279.8134837195</v>
      </c>
    </row>
    <row r="70" spans="16:28" x14ac:dyDescent="0.3">
      <c r="P70">
        <v>67</v>
      </c>
      <c r="Q70" s="7">
        <v>36592</v>
      </c>
      <c r="R70">
        <v>7</v>
      </c>
      <c r="S70">
        <v>3</v>
      </c>
      <c r="T70">
        <v>2000</v>
      </c>
      <c r="U70">
        <v>11</v>
      </c>
      <c r="V70">
        <v>3</v>
      </c>
      <c r="W70">
        <v>5.4246772021807159E-3</v>
      </c>
      <c r="X70">
        <v>1084935.4404361432</v>
      </c>
      <c r="Y70" s="7">
        <v>36616</v>
      </c>
      <c r="Z70" s="7">
        <v>36636</v>
      </c>
      <c r="AA70" s="7">
        <v>36646</v>
      </c>
      <c r="AB70">
        <v>976441.8963925289</v>
      </c>
    </row>
    <row r="71" spans="16:28" x14ac:dyDescent="0.3">
      <c r="P71">
        <v>68</v>
      </c>
      <c r="Q71" s="7">
        <v>36593</v>
      </c>
      <c r="R71">
        <v>8</v>
      </c>
      <c r="S71">
        <v>3</v>
      </c>
      <c r="T71">
        <v>2000</v>
      </c>
      <c r="U71">
        <v>11</v>
      </c>
      <c r="V71">
        <v>4</v>
      </c>
      <c r="W71">
        <v>4.7507634646432977E-3</v>
      </c>
      <c r="X71">
        <v>950152.6929286595</v>
      </c>
      <c r="Y71" s="7">
        <v>36616</v>
      </c>
      <c r="Z71" s="7">
        <v>36636</v>
      </c>
      <c r="AA71" s="7">
        <v>36646</v>
      </c>
      <c r="AB71">
        <v>855137.42363579362</v>
      </c>
    </row>
    <row r="72" spans="16:28" x14ac:dyDescent="0.3">
      <c r="P72">
        <v>69</v>
      </c>
      <c r="Q72" s="7">
        <v>36594</v>
      </c>
      <c r="R72">
        <v>9</v>
      </c>
      <c r="S72">
        <v>3</v>
      </c>
      <c r="T72">
        <v>2000</v>
      </c>
      <c r="U72">
        <v>11</v>
      </c>
      <c r="V72">
        <v>5</v>
      </c>
      <c r="W72">
        <v>4.1393974447109013E-3</v>
      </c>
      <c r="X72">
        <v>827879.48894218029</v>
      </c>
      <c r="Y72" s="7">
        <v>36616</v>
      </c>
      <c r="Z72" s="7">
        <v>36636</v>
      </c>
      <c r="AA72" s="7">
        <v>36646</v>
      </c>
      <c r="AB72">
        <v>745091.54004796233</v>
      </c>
    </row>
    <row r="73" spans="16:28" x14ac:dyDescent="0.3">
      <c r="P73">
        <v>70</v>
      </c>
      <c r="Q73" s="7">
        <v>36595</v>
      </c>
      <c r="R73">
        <v>10</v>
      </c>
      <c r="S73">
        <v>3</v>
      </c>
      <c r="T73">
        <v>2000</v>
      </c>
      <c r="U73">
        <v>11</v>
      </c>
      <c r="V73">
        <v>6</v>
      </c>
      <c r="W73">
        <v>3.5883521631022569E-3</v>
      </c>
      <c r="X73">
        <v>717670.43262045144</v>
      </c>
      <c r="Y73" s="7">
        <v>36616</v>
      </c>
      <c r="Z73" s="7">
        <v>36636</v>
      </c>
      <c r="AA73" s="7">
        <v>36646</v>
      </c>
      <c r="AB73">
        <v>645903.3893584063</v>
      </c>
    </row>
    <row r="74" spans="16:28" x14ac:dyDescent="0.3">
      <c r="P74">
        <v>71</v>
      </c>
      <c r="Q74" s="7">
        <v>36596</v>
      </c>
      <c r="R74">
        <v>11</v>
      </c>
      <c r="S74">
        <v>3</v>
      </c>
      <c r="T74">
        <v>2000</v>
      </c>
      <c r="U74">
        <v>11</v>
      </c>
      <c r="V74">
        <v>7</v>
      </c>
      <c r="W74">
        <v>3.0948328739602007E-3</v>
      </c>
      <c r="X74">
        <v>618966.57479204016</v>
      </c>
      <c r="Y74" s="7">
        <v>36616</v>
      </c>
      <c r="Z74" s="7">
        <v>36636</v>
      </c>
      <c r="AA74" s="7">
        <v>36646</v>
      </c>
      <c r="AB74">
        <v>557069.91731283616</v>
      </c>
    </row>
    <row r="75" spans="16:28" x14ac:dyDescent="0.3">
      <c r="P75">
        <v>72</v>
      </c>
      <c r="Q75" s="7">
        <v>36597</v>
      </c>
      <c r="R75">
        <v>12</v>
      </c>
      <c r="S75">
        <v>3</v>
      </c>
      <c r="T75">
        <v>2000</v>
      </c>
      <c r="U75">
        <v>12</v>
      </c>
      <c r="V75">
        <v>1</v>
      </c>
      <c r="W75">
        <v>2.6556054801163179E-3</v>
      </c>
      <c r="X75">
        <v>531121.09602326353</v>
      </c>
      <c r="Y75" s="7">
        <v>36616</v>
      </c>
      <c r="Z75" s="7">
        <v>36636</v>
      </c>
      <c r="AA75" s="7">
        <v>36646</v>
      </c>
      <c r="AB75">
        <v>478008.98642093717</v>
      </c>
    </row>
    <row r="76" spans="16:28" x14ac:dyDescent="0.3">
      <c r="P76">
        <v>73</v>
      </c>
      <c r="Q76" s="7">
        <v>36598</v>
      </c>
      <c r="R76">
        <v>13</v>
      </c>
      <c r="S76">
        <v>3</v>
      </c>
      <c r="T76">
        <v>2000</v>
      </c>
      <c r="U76">
        <v>12</v>
      </c>
      <c r="V76">
        <v>2</v>
      </c>
      <c r="W76">
        <v>2.2671179882619587E-3</v>
      </c>
      <c r="X76">
        <v>453423.59765239176</v>
      </c>
      <c r="Y76" s="7">
        <v>36616</v>
      </c>
      <c r="Z76" s="7">
        <v>36636</v>
      </c>
      <c r="AA76" s="7">
        <v>36646</v>
      </c>
      <c r="AB76">
        <v>408081.23788715259</v>
      </c>
    </row>
    <row r="77" spans="16:28" x14ac:dyDescent="0.3">
      <c r="P77">
        <v>74</v>
      </c>
      <c r="Q77" s="7">
        <v>36599</v>
      </c>
      <c r="R77">
        <v>14</v>
      </c>
      <c r="S77">
        <v>3</v>
      </c>
      <c r="T77">
        <v>2000</v>
      </c>
      <c r="U77">
        <v>12</v>
      </c>
      <c r="V77">
        <v>3</v>
      </c>
      <c r="W77">
        <v>1.9256125213568268E-3</v>
      </c>
      <c r="X77">
        <v>385122.50427136535</v>
      </c>
      <c r="Y77" s="7">
        <v>36616</v>
      </c>
      <c r="Z77" s="7">
        <v>36636</v>
      </c>
      <c r="AA77" s="7">
        <v>36646</v>
      </c>
      <c r="AB77">
        <v>346610.25384422881</v>
      </c>
    </row>
    <row r="78" spans="16:28" x14ac:dyDescent="0.3">
      <c r="P78">
        <v>75</v>
      </c>
      <c r="Q78" s="7">
        <v>36600</v>
      </c>
      <c r="R78">
        <v>15</v>
      </c>
      <c r="S78">
        <v>3</v>
      </c>
      <c r="T78">
        <v>2000</v>
      </c>
      <c r="U78">
        <v>12</v>
      </c>
      <c r="V78">
        <v>4</v>
      </c>
      <c r="W78">
        <v>1.627226062727493E-3</v>
      </c>
      <c r="X78">
        <v>325445.21254549857</v>
      </c>
      <c r="Y78" s="7">
        <v>36616</v>
      </c>
      <c r="Z78" s="7">
        <v>36636</v>
      </c>
      <c r="AA78" s="7">
        <v>36646</v>
      </c>
      <c r="AB78">
        <v>292900.69129094871</v>
      </c>
    </row>
    <row r="79" spans="16:28" x14ac:dyDescent="0.3">
      <c r="P79">
        <v>76</v>
      </c>
      <c r="Q79" s="7">
        <v>36601</v>
      </c>
      <c r="R79">
        <v>16</v>
      </c>
      <c r="S79">
        <v>3</v>
      </c>
      <c r="T79">
        <v>2000</v>
      </c>
      <c r="U79">
        <v>12</v>
      </c>
      <c r="V79">
        <v>5</v>
      </c>
      <c r="W79">
        <v>1.368078739073009E-3</v>
      </c>
      <c r="X79">
        <v>273615.74781460181</v>
      </c>
      <c r="Y79" s="7">
        <v>36616</v>
      </c>
      <c r="Z79" s="7">
        <v>36636</v>
      </c>
      <c r="AA79" s="7">
        <v>36646</v>
      </c>
      <c r="AB79">
        <v>246254.17303314165</v>
      </c>
    </row>
    <row r="80" spans="16:28" x14ac:dyDescent="0.3">
      <c r="P80">
        <v>77</v>
      </c>
      <c r="Q80" s="7">
        <v>36602</v>
      </c>
      <c r="R80">
        <v>17</v>
      </c>
      <c r="S80">
        <v>3</v>
      </c>
      <c r="T80">
        <v>2000</v>
      </c>
      <c r="U80">
        <v>12</v>
      </c>
      <c r="V80">
        <v>6</v>
      </c>
      <c r="W80">
        <v>1.1443490348009631E-3</v>
      </c>
      <c r="X80">
        <v>228869.80696019263</v>
      </c>
      <c r="Y80" s="7">
        <v>36616</v>
      </c>
      <c r="Z80" s="7">
        <v>36636</v>
      </c>
      <c r="AA80" s="7">
        <v>36646</v>
      </c>
      <c r="AB80">
        <v>205982.82626417337</v>
      </c>
    </row>
    <row r="81" spans="16:28" x14ac:dyDescent="0.3">
      <c r="P81">
        <v>78</v>
      </c>
      <c r="Q81" s="7">
        <v>36603</v>
      </c>
      <c r="R81">
        <v>18</v>
      </c>
      <c r="S81">
        <v>3</v>
      </c>
      <c r="T81">
        <v>2000</v>
      </c>
      <c r="U81">
        <v>12</v>
      </c>
      <c r="V81">
        <v>7</v>
      </c>
      <c r="W81">
        <v>9.5233585016906764E-4</v>
      </c>
      <c r="X81">
        <v>190467.17003381354</v>
      </c>
      <c r="Y81" s="7">
        <v>36616</v>
      </c>
      <c r="Z81" s="7">
        <v>36636</v>
      </c>
      <c r="AA81" s="7">
        <v>36646</v>
      </c>
      <c r="AB81">
        <v>171420.4530304322</v>
      </c>
    </row>
    <row r="82" spans="16:28" x14ac:dyDescent="0.3">
      <c r="P82">
        <v>79</v>
      </c>
      <c r="Q82" s="7">
        <v>36604</v>
      </c>
      <c r="R82">
        <v>19</v>
      </c>
      <c r="S82">
        <v>3</v>
      </c>
      <c r="T82">
        <v>2000</v>
      </c>
      <c r="U82">
        <v>13</v>
      </c>
      <c r="V82">
        <v>1</v>
      </c>
      <c r="W82">
        <v>7.8850775869023925E-4</v>
      </c>
      <c r="X82">
        <v>157701.55173804786</v>
      </c>
      <c r="Y82" s="7">
        <v>36616</v>
      </c>
      <c r="Z82" s="7">
        <v>36636</v>
      </c>
      <c r="AA82" s="7">
        <v>36646</v>
      </c>
      <c r="AB82">
        <v>141931.39656424307</v>
      </c>
    </row>
    <row r="83" spans="16:28" x14ac:dyDescent="0.3">
      <c r="P83">
        <v>80</v>
      </c>
      <c r="Q83" s="7">
        <v>36605</v>
      </c>
      <c r="R83">
        <v>20</v>
      </c>
      <c r="S83">
        <v>3</v>
      </c>
      <c r="T83">
        <v>2000</v>
      </c>
      <c r="U83">
        <v>13</v>
      </c>
      <c r="V83">
        <v>2</v>
      </c>
      <c r="W83">
        <v>6.4954017868507519E-4</v>
      </c>
      <c r="X83">
        <v>129908.03573701505</v>
      </c>
      <c r="Y83" s="7">
        <v>36616</v>
      </c>
      <c r="Z83" s="7">
        <v>36636</v>
      </c>
      <c r="AA83" s="7">
        <v>36646</v>
      </c>
      <c r="AB83">
        <v>116917.23216331354</v>
      </c>
    </row>
    <row r="84" spans="16:28" x14ac:dyDescent="0.3">
      <c r="P84">
        <v>81</v>
      </c>
      <c r="Q84" s="7">
        <v>36606</v>
      </c>
      <c r="R84">
        <v>21</v>
      </c>
      <c r="S84">
        <v>3</v>
      </c>
      <c r="T84">
        <v>2000</v>
      </c>
      <c r="U84">
        <v>13</v>
      </c>
      <c r="V84">
        <v>3</v>
      </c>
      <c r="W84">
        <v>5.3234144815713193E-4</v>
      </c>
      <c r="X84">
        <v>106468.28963142639</v>
      </c>
      <c r="Y84" s="7">
        <v>36616</v>
      </c>
      <c r="Z84" s="7">
        <v>36636</v>
      </c>
      <c r="AA84" s="7">
        <v>36646</v>
      </c>
      <c r="AB84">
        <v>95821.460668283762</v>
      </c>
    </row>
    <row r="85" spans="16:28" x14ac:dyDescent="0.3">
      <c r="P85">
        <v>82</v>
      </c>
      <c r="Q85" s="7">
        <v>36607</v>
      </c>
      <c r="R85">
        <v>22</v>
      </c>
      <c r="S85">
        <v>3</v>
      </c>
      <c r="T85">
        <v>2000</v>
      </c>
      <c r="U85">
        <v>13</v>
      </c>
      <c r="V85">
        <v>4</v>
      </c>
      <c r="W85">
        <v>4.3406898394638782E-4</v>
      </c>
      <c r="X85">
        <v>86813.796789277563</v>
      </c>
      <c r="Y85" s="7">
        <v>36616</v>
      </c>
      <c r="Z85" s="7">
        <v>36636</v>
      </c>
      <c r="AA85" s="7">
        <v>36646</v>
      </c>
      <c r="AB85">
        <v>78132.417110349808</v>
      </c>
    </row>
    <row r="86" spans="16:28" x14ac:dyDescent="0.3">
      <c r="P86">
        <v>83</v>
      </c>
      <c r="Q86" s="7">
        <v>36608</v>
      </c>
      <c r="R86">
        <v>23</v>
      </c>
      <c r="S86">
        <v>3</v>
      </c>
      <c r="T86">
        <v>2000</v>
      </c>
      <c r="U86">
        <v>13</v>
      </c>
      <c r="V86">
        <v>5</v>
      </c>
      <c r="W86">
        <v>3.5213682138279524E-4</v>
      </c>
      <c r="X86">
        <v>70427.364276559048</v>
      </c>
      <c r="Y86" s="7">
        <v>36616</v>
      </c>
      <c r="Z86" s="7">
        <v>36636</v>
      </c>
      <c r="AA86" s="7">
        <v>36646</v>
      </c>
      <c r="AB86">
        <v>63384.627848903147</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J6"/>
  <sheetViews>
    <sheetView workbookViewId="0"/>
  </sheetViews>
  <sheetFormatPr defaultRowHeight="14.4" x14ac:dyDescent="0.3"/>
  <cols>
    <col min="2" max="2" width="12.5546875" customWidth="1"/>
    <col min="3" max="3" width="14.44140625" bestFit="1" customWidth="1"/>
    <col min="9" max="9" width="12.5546875" customWidth="1"/>
    <col min="10" max="10" width="14.44140625" bestFit="1" customWidth="1"/>
  </cols>
  <sheetData>
    <row r="2" spans="2:10" x14ac:dyDescent="0.3">
      <c r="B2" s="23" t="s">
        <v>16</v>
      </c>
      <c r="C2" t="s">
        <v>23</v>
      </c>
      <c r="I2" s="23" t="s">
        <v>16</v>
      </c>
      <c r="J2" t="s">
        <v>23</v>
      </c>
    </row>
    <row r="3" spans="2:10" x14ac:dyDescent="0.3">
      <c r="B3" s="24">
        <v>36556</v>
      </c>
      <c r="C3" s="56">
        <v>146312862.89195138</v>
      </c>
      <c r="I3" s="24">
        <v>36556</v>
      </c>
      <c r="J3" s="9">
        <v>47155819.121124066</v>
      </c>
    </row>
    <row r="4" spans="2:10" x14ac:dyDescent="0.3">
      <c r="B4" s="57" t="s">
        <v>17</v>
      </c>
      <c r="C4" s="56">
        <v>146312862.89195138</v>
      </c>
      <c r="I4" s="24">
        <v>36585</v>
      </c>
      <c r="J4" s="9">
        <v>135039923.28781345</v>
      </c>
    </row>
    <row r="5" spans="2:10" x14ac:dyDescent="0.3">
      <c r="I5" s="24">
        <v>36616</v>
      </c>
      <c r="J5" s="9">
        <v>17195000.578403831</v>
      </c>
    </row>
    <row r="6" spans="2:10" x14ac:dyDescent="0.3">
      <c r="I6" s="57" t="s">
        <v>17</v>
      </c>
      <c r="J6" s="9">
        <v>199390742.98734134</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3:K35"/>
  <sheetViews>
    <sheetView workbookViewId="0"/>
  </sheetViews>
  <sheetFormatPr defaultRowHeight="14.4" x14ac:dyDescent="0.3"/>
  <sheetData>
    <row r="3" spans="2:11" x14ac:dyDescent="0.3">
      <c r="B3">
        <v>1</v>
      </c>
      <c r="F3">
        <f>YEAR(C3)</f>
        <v>1900</v>
      </c>
      <c r="K3" t="e">
        <f>IF(D3=1,C2,(CONCATENATE(Table2[[#This Row],[month]]+1,$B$2,1,$B$2,Table2[[#This Row],[year]]))-1)</f>
        <v>#VALUE!</v>
      </c>
    </row>
    <row r="4" spans="2:11" x14ac:dyDescent="0.3">
      <c r="B4">
        <f t="shared" ref="B4:B33" si="0">B3 +1</f>
        <v>2</v>
      </c>
    </row>
    <row r="5" spans="2:11" x14ac:dyDescent="0.3">
      <c r="B5">
        <f t="shared" si="0"/>
        <v>3</v>
      </c>
      <c r="D5" s="7">
        <v>36526</v>
      </c>
    </row>
    <row r="6" spans="2:11" x14ac:dyDescent="0.3">
      <c r="B6">
        <f t="shared" si="0"/>
        <v>4</v>
      </c>
      <c r="D6" s="7">
        <f t="shared" ref="D6:D35" si="1">D5 +1</f>
        <v>36527</v>
      </c>
    </row>
    <row r="7" spans="2:11" x14ac:dyDescent="0.3">
      <c r="B7">
        <f t="shared" si="0"/>
        <v>5</v>
      </c>
      <c r="D7" s="7">
        <f t="shared" si="1"/>
        <v>36528</v>
      </c>
    </row>
    <row r="8" spans="2:11" x14ac:dyDescent="0.3">
      <c r="B8">
        <f t="shared" si="0"/>
        <v>6</v>
      </c>
      <c r="D8" s="7">
        <f t="shared" si="1"/>
        <v>36529</v>
      </c>
    </row>
    <row r="9" spans="2:11" x14ac:dyDescent="0.3">
      <c r="B9">
        <f t="shared" si="0"/>
        <v>7</v>
      </c>
      <c r="D9" s="7">
        <f t="shared" si="1"/>
        <v>36530</v>
      </c>
    </row>
    <row r="10" spans="2:11" x14ac:dyDescent="0.3">
      <c r="B10">
        <f t="shared" si="0"/>
        <v>8</v>
      </c>
      <c r="D10" s="7">
        <f t="shared" si="1"/>
        <v>36531</v>
      </c>
    </row>
    <row r="11" spans="2:11" x14ac:dyDescent="0.3">
      <c r="B11">
        <f t="shared" si="0"/>
        <v>9</v>
      </c>
      <c r="D11" s="7">
        <f t="shared" si="1"/>
        <v>36532</v>
      </c>
    </row>
    <row r="12" spans="2:11" x14ac:dyDescent="0.3">
      <c r="B12">
        <f t="shared" si="0"/>
        <v>10</v>
      </c>
      <c r="D12" s="7">
        <f t="shared" si="1"/>
        <v>36533</v>
      </c>
    </row>
    <row r="13" spans="2:11" x14ac:dyDescent="0.3">
      <c r="B13">
        <f t="shared" si="0"/>
        <v>11</v>
      </c>
      <c r="D13" s="7">
        <f t="shared" si="1"/>
        <v>36534</v>
      </c>
    </row>
    <row r="14" spans="2:11" x14ac:dyDescent="0.3">
      <c r="B14">
        <f t="shared" si="0"/>
        <v>12</v>
      </c>
      <c r="D14" s="7">
        <f t="shared" si="1"/>
        <v>36535</v>
      </c>
    </row>
    <row r="15" spans="2:11" x14ac:dyDescent="0.3">
      <c r="B15">
        <f t="shared" si="0"/>
        <v>13</v>
      </c>
      <c r="D15" s="7">
        <f t="shared" si="1"/>
        <v>36536</v>
      </c>
    </row>
    <row r="16" spans="2:11" x14ac:dyDescent="0.3">
      <c r="B16">
        <f t="shared" si="0"/>
        <v>14</v>
      </c>
      <c r="D16" s="7">
        <f t="shared" si="1"/>
        <v>36537</v>
      </c>
    </row>
    <row r="17" spans="2:4" x14ac:dyDescent="0.3">
      <c r="B17">
        <f t="shared" si="0"/>
        <v>15</v>
      </c>
      <c r="D17" s="7">
        <f t="shared" si="1"/>
        <v>36538</v>
      </c>
    </row>
    <row r="18" spans="2:4" x14ac:dyDescent="0.3">
      <c r="B18">
        <f t="shared" si="0"/>
        <v>16</v>
      </c>
      <c r="D18" s="7">
        <f t="shared" si="1"/>
        <v>36539</v>
      </c>
    </row>
    <row r="19" spans="2:4" x14ac:dyDescent="0.3">
      <c r="B19">
        <f t="shared" si="0"/>
        <v>17</v>
      </c>
      <c r="D19" s="7">
        <f t="shared" si="1"/>
        <v>36540</v>
      </c>
    </row>
    <row r="20" spans="2:4" x14ac:dyDescent="0.3">
      <c r="B20">
        <f t="shared" si="0"/>
        <v>18</v>
      </c>
      <c r="D20" s="7">
        <f t="shared" si="1"/>
        <v>36541</v>
      </c>
    </row>
    <row r="21" spans="2:4" x14ac:dyDescent="0.3">
      <c r="B21">
        <f t="shared" si="0"/>
        <v>19</v>
      </c>
      <c r="D21" s="7">
        <f t="shared" si="1"/>
        <v>36542</v>
      </c>
    </row>
    <row r="22" spans="2:4" x14ac:dyDescent="0.3">
      <c r="B22">
        <f t="shared" si="0"/>
        <v>20</v>
      </c>
      <c r="D22" s="7">
        <f t="shared" si="1"/>
        <v>36543</v>
      </c>
    </row>
    <row r="23" spans="2:4" x14ac:dyDescent="0.3">
      <c r="B23">
        <f t="shared" si="0"/>
        <v>21</v>
      </c>
      <c r="D23" s="7">
        <f t="shared" si="1"/>
        <v>36544</v>
      </c>
    </row>
    <row r="24" spans="2:4" x14ac:dyDescent="0.3">
      <c r="B24">
        <f t="shared" si="0"/>
        <v>22</v>
      </c>
      <c r="D24" s="7">
        <f t="shared" si="1"/>
        <v>36545</v>
      </c>
    </row>
    <row r="25" spans="2:4" x14ac:dyDescent="0.3">
      <c r="B25">
        <f t="shared" si="0"/>
        <v>23</v>
      </c>
      <c r="D25" s="7">
        <f t="shared" si="1"/>
        <v>36546</v>
      </c>
    </row>
    <row r="26" spans="2:4" x14ac:dyDescent="0.3">
      <c r="B26">
        <f t="shared" si="0"/>
        <v>24</v>
      </c>
      <c r="D26" s="7">
        <f t="shared" si="1"/>
        <v>36547</v>
      </c>
    </row>
    <row r="27" spans="2:4" x14ac:dyDescent="0.3">
      <c r="B27">
        <f t="shared" si="0"/>
        <v>25</v>
      </c>
      <c r="D27" s="7">
        <f t="shared" si="1"/>
        <v>36548</v>
      </c>
    </row>
    <row r="28" spans="2:4" x14ac:dyDescent="0.3">
      <c r="B28">
        <f t="shared" si="0"/>
        <v>26</v>
      </c>
      <c r="D28" s="7">
        <f t="shared" si="1"/>
        <v>36549</v>
      </c>
    </row>
    <row r="29" spans="2:4" x14ac:dyDescent="0.3">
      <c r="B29">
        <f t="shared" si="0"/>
        <v>27</v>
      </c>
      <c r="D29" s="7">
        <f t="shared" si="1"/>
        <v>36550</v>
      </c>
    </row>
    <row r="30" spans="2:4" x14ac:dyDescent="0.3">
      <c r="B30">
        <f t="shared" si="0"/>
        <v>28</v>
      </c>
      <c r="D30" s="7">
        <f t="shared" si="1"/>
        <v>36551</v>
      </c>
    </row>
    <row r="31" spans="2:4" x14ac:dyDescent="0.3">
      <c r="B31">
        <f t="shared" si="0"/>
        <v>29</v>
      </c>
      <c r="D31" s="7">
        <f t="shared" si="1"/>
        <v>36552</v>
      </c>
    </row>
    <row r="32" spans="2:4" x14ac:dyDescent="0.3">
      <c r="B32">
        <f t="shared" si="0"/>
        <v>30</v>
      </c>
      <c r="D32" s="7">
        <f t="shared" si="1"/>
        <v>36553</v>
      </c>
    </row>
    <row r="33" spans="2:4" x14ac:dyDescent="0.3">
      <c r="B33">
        <f t="shared" si="0"/>
        <v>31</v>
      </c>
      <c r="D33" s="7">
        <f t="shared" si="1"/>
        <v>36554</v>
      </c>
    </row>
    <row r="34" spans="2:4" x14ac:dyDescent="0.3">
      <c r="D34" s="7">
        <f t="shared" si="1"/>
        <v>36555</v>
      </c>
    </row>
    <row r="35" spans="2:4" x14ac:dyDescent="0.3">
      <c r="D35" s="7">
        <f t="shared" si="1"/>
        <v>36556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List Box 1">
              <controlPr defaultSize="0" autoLine="0" autoPict="0">
                <anchor moveWithCells="1">
                  <from>
                    <xdr:col>3</xdr:col>
                    <xdr:colOff>0</xdr:colOff>
                    <xdr:row>1</xdr:row>
                    <xdr:rowOff>0</xdr:rowOff>
                  </from>
                  <to>
                    <xdr:col>6</xdr:col>
                    <xdr:colOff>0</xdr:colOff>
                    <xdr:row>5</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473"/>
  <sheetViews>
    <sheetView workbookViewId="0"/>
  </sheetViews>
  <sheetFormatPr defaultRowHeight="14.4" x14ac:dyDescent="0.3"/>
  <cols>
    <col min="1" max="1" width="3.88671875" style="43" customWidth="1"/>
    <col min="2" max="2" width="11.77734375" style="43" customWidth="1"/>
    <col min="3" max="3" width="10.77734375" style="43" customWidth="1"/>
    <col min="4" max="4" width="11.33203125" style="44" customWidth="1"/>
    <col min="5" max="6" width="14.44140625" style="44" customWidth="1"/>
    <col min="7" max="7" width="5.77734375" customWidth="1"/>
    <col min="8" max="8" width="11" bestFit="1" customWidth="1"/>
    <col min="9" max="10" width="12" bestFit="1" customWidth="1"/>
    <col min="11" max="11" width="10.77734375" bestFit="1" customWidth="1"/>
    <col min="25" max="25" width="9.44140625" customWidth="1"/>
  </cols>
  <sheetData>
    <row r="1" spans="1:11" x14ac:dyDescent="0.3">
      <c r="A1" s="41" t="s">
        <v>36</v>
      </c>
      <c r="B1" s="42" t="s">
        <v>11</v>
      </c>
      <c r="C1" s="43" t="s">
        <v>31</v>
      </c>
      <c r="G1" t="s">
        <v>33</v>
      </c>
    </row>
    <row r="3" spans="1:11" x14ac:dyDescent="0.3">
      <c r="B3" s="42" t="s">
        <v>35</v>
      </c>
      <c r="C3" s="42" t="s">
        <v>27</v>
      </c>
      <c r="D3" s="42" t="s">
        <v>28</v>
      </c>
      <c r="E3" s="43" t="s">
        <v>23</v>
      </c>
      <c r="F3" s="43" t="s">
        <v>30</v>
      </c>
      <c r="K3" t="e">
        <f>IF(D3=1,C2,(CONCATENATE(Table2[[#This Row],[month]]+1,$B$2,1,$B$2,Table2[[#This Row],[year]]))-1)</f>
        <v>#VALUE!</v>
      </c>
    </row>
    <row r="4" spans="1:11" x14ac:dyDescent="0.3">
      <c r="B4" s="45">
        <v>36556</v>
      </c>
      <c r="D4" s="43"/>
      <c r="E4" s="46">
        <v>47155819.121124066</v>
      </c>
      <c r="F4" s="46">
        <v>42440237.209011666</v>
      </c>
    </row>
    <row r="5" spans="1:11" x14ac:dyDescent="0.3">
      <c r="B5" s="45">
        <v>36585</v>
      </c>
      <c r="D5" s="43"/>
      <c r="E5" s="46">
        <v>135039923.28781345</v>
      </c>
      <c r="F5" s="46">
        <v>121535930.9590321</v>
      </c>
    </row>
    <row r="6" spans="1:11" x14ac:dyDescent="0.3">
      <c r="B6" s="45">
        <v>36616</v>
      </c>
      <c r="D6" s="43"/>
      <c r="E6" s="46">
        <v>17195000.578403831</v>
      </c>
      <c r="F6" s="46">
        <v>15475500.520563452</v>
      </c>
    </row>
    <row r="7" spans="1:11" x14ac:dyDescent="0.3">
      <c r="B7" s="45" t="s">
        <v>17</v>
      </c>
      <c r="D7" s="43"/>
      <c r="E7" s="46">
        <v>199390742.98734134</v>
      </c>
      <c r="F7" s="46">
        <v>179451668.68860722</v>
      </c>
    </row>
    <row r="8" spans="1:11" x14ac:dyDescent="0.3">
      <c r="B8"/>
      <c r="C8"/>
      <c r="D8"/>
      <c r="E8"/>
      <c r="F8"/>
    </row>
    <row r="9" spans="1:11" x14ac:dyDescent="0.3">
      <c r="B9"/>
      <c r="C9"/>
      <c r="D9"/>
      <c r="E9"/>
      <c r="F9"/>
    </row>
    <row r="10" spans="1:11" x14ac:dyDescent="0.3">
      <c r="B10"/>
      <c r="C10"/>
      <c r="D10"/>
      <c r="E10"/>
      <c r="F10"/>
    </row>
    <row r="11" spans="1:11" x14ac:dyDescent="0.3">
      <c r="B11"/>
      <c r="C11"/>
      <c r="D11"/>
      <c r="E11"/>
      <c r="F11"/>
    </row>
    <row r="12" spans="1:11" x14ac:dyDescent="0.3">
      <c r="B12"/>
      <c r="C12"/>
      <c r="D12"/>
      <c r="E12"/>
      <c r="F12"/>
    </row>
    <row r="13" spans="1:11" x14ac:dyDescent="0.3">
      <c r="B13"/>
      <c r="C13"/>
      <c r="D13"/>
      <c r="E13"/>
      <c r="F13"/>
    </row>
    <row r="14" spans="1:11" x14ac:dyDescent="0.3">
      <c r="B14"/>
      <c r="C14"/>
      <c r="D14"/>
      <c r="E14"/>
      <c r="F14"/>
    </row>
    <row r="15" spans="1:11" x14ac:dyDescent="0.3">
      <c r="B15"/>
      <c r="C15"/>
      <c r="D15"/>
      <c r="E15"/>
      <c r="F15"/>
    </row>
    <row r="16" spans="1:11" x14ac:dyDescent="0.3">
      <c r="B16"/>
      <c r="C16"/>
      <c r="D16"/>
      <c r="E16"/>
      <c r="F16"/>
    </row>
    <row r="17" spans="2:6" x14ac:dyDescent="0.3">
      <c r="B17"/>
      <c r="C17"/>
      <c r="D17"/>
      <c r="E17"/>
      <c r="F17"/>
    </row>
    <row r="18" spans="2:6" x14ac:dyDescent="0.3">
      <c r="B18"/>
      <c r="C18"/>
      <c r="D18"/>
      <c r="E18"/>
      <c r="F18"/>
    </row>
    <row r="19" spans="2:6" x14ac:dyDescent="0.3">
      <c r="B19"/>
      <c r="C19"/>
      <c r="D19"/>
      <c r="E19"/>
      <c r="F19"/>
    </row>
    <row r="20" spans="2:6" x14ac:dyDescent="0.3">
      <c r="B20"/>
      <c r="C20"/>
      <c r="D20"/>
      <c r="E20"/>
      <c r="F20"/>
    </row>
    <row r="21" spans="2:6" x14ac:dyDescent="0.3">
      <c r="B21"/>
      <c r="C21"/>
      <c r="D21"/>
      <c r="E21"/>
      <c r="F21"/>
    </row>
    <row r="22" spans="2:6" x14ac:dyDescent="0.3">
      <c r="B22"/>
      <c r="C22"/>
      <c r="D22"/>
      <c r="E22"/>
      <c r="F22"/>
    </row>
    <row r="23" spans="2:6" x14ac:dyDescent="0.3">
      <c r="B23"/>
      <c r="C23"/>
      <c r="D23"/>
      <c r="E23"/>
      <c r="F23"/>
    </row>
    <row r="24" spans="2:6" x14ac:dyDescent="0.3">
      <c r="D24" s="43"/>
      <c r="E24" s="43"/>
      <c r="F24" s="43"/>
    </row>
    <row r="25" spans="2:6" x14ac:dyDescent="0.3">
      <c r="D25" s="43"/>
      <c r="E25" s="43"/>
      <c r="F25" s="43"/>
    </row>
    <row r="26" spans="2:6" x14ac:dyDescent="0.3">
      <c r="D26" s="43"/>
      <c r="E26" s="43"/>
      <c r="F26" s="43"/>
    </row>
    <row r="27" spans="2:6" x14ac:dyDescent="0.3">
      <c r="D27" s="43"/>
      <c r="E27" s="43"/>
      <c r="F27" s="43"/>
    </row>
    <row r="28" spans="2:6" x14ac:dyDescent="0.3">
      <c r="D28" s="43"/>
      <c r="E28" s="43"/>
      <c r="F28" s="43"/>
    </row>
    <row r="29" spans="2:6" x14ac:dyDescent="0.3">
      <c r="D29" s="43"/>
      <c r="E29" s="43"/>
      <c r="F29" s="43"/>
    </row>
    <row r="30" spans="2:6" x14ac:dyDescent="0.3">
      <c r="D30" s="43"/>
      <c r="E30" s="43"/>
      <c r="F30" s="43"/>
    </row>
    <row r="31" spans="2:6" x14ac:dyDescent="0.3">
      <c r="D31" s="43"/>
      <c r="E31" s="43"/>
      <c r="F31" s="43"/>
    </row>
    <row r="32" spans="2:6" x14ac:dyDescent="0.3">
      <c r="D32" s="43"/>
      <c r="E32" s="43"/>
      <c r="F32" s="43"/>
    </row>
    <row r="33" spans="4:6" x14ac:dyDescent="0.3">
      <c r="D33" s="43"/>
      <c r="E33" s="43"/>
      <c r="F33" s="43"/>
    </row>
    <row r="34" spans="4:6" x14ac:dyDescent="0.3">
      <c r="D34" s="43"/>
      <c r="E34" s="43"/>
      <c r="F34" s="43"/>
    </row>
    <row r="35" spans="4:6" x14ac:dyDescent="0.3">
      <c r="D35" s="43"/>
      <c r="E35" s="43"/>
      <c r="F35" s="43"/>
    </row>
    <row r="36" spans="4:6" x14ac:dyDescent="0.3">
      <c r="D36" s="43"/>
      <c r="E36" s="43"/>
      <c r="F36" s="43"/>
    </row>
    <row r="37" spans="4:6" x14ac:dyDescent="0.3">
      <c r="D37" s="43"/>
      <c r="E37" s="43"/>
      <c r="F37" s="43"/>
    </row>
    <row r="38" spans="4:6" x14ac:dyDescent="0.3">
      <c r="D38" s="43"/>
      <c r="E38" s="43"/>
      <c r="F38" s="43"/>
    </row>
    <row r="39" spans="4:6" x14ac:dyDescent="0.3">
      <c r="D39" s="43"/>
      <c r="E39" s="43"/>
      <c r="F39" s="43"/>
    </row>
    <row r="40" spans="4:6" x14ac:dyDescent="0.3">
      <c r="D40" s="43"/>
      <c r="E40" s="43"/>
      <c r="F40" s="43"/>
    </row>
    <row r="41" spans="4:6" x14ac:dyDescent="0.3">
      <c r="D41" s="43"/>
      <c r="E41" s="43"/>
      <c r="F41" s="43"/>
    </row>
    <row r="42" spans="4:6" x14ac:dyDescent="0.3">
      <c r="D42" s="43"/>
      <c r="E42" s="43"/>
      <c r="F42" s="43"/>
    </row>
    <row r="43" spans="4:6" x14ac:dyDescent="0.3">
      <c r="D43" s="43"/>
      <c r="E43" s="43"/>
      <c r="F43" s="43"/>
    </row>
    <row r="44" spans="4:6" x14ac:dyDescent="0.3">
      <c r="D44" s="43"/>
      <c r="E44" s="43"/>
      <c r="F44" s="43"/>
    </row>
    <row r="45" spans="4:6" x14ac:dyDescent="0.3">
      <c r="D45" s="43"/>
      <c r="E45" s="43"/>
      <c r="F45" s="43"/>
    </row>
    <row r="46" spans="4:6" x14ac:dyDescent="0.3">
      <c r="D46" s="43"/>
      <c r="E46" s="43"/>
      <c r="F46" s="43"/>
    </row>
    <row r="47" spans="4:6" x14ac:dyDescent="0.3">
      <c r="D47" s="43"/>
      <c r="E47" s="43"/>
      <c r="F47" s="43"/>
    </row>
    <row r="48" spans="4:6" x14ac:dyDescent="0.3">
      <c r="D48" s="43"/>
      <c r="E48" s="43"/>
      <c r="F48" s="43"/>
    </row>
    <row r="49" spans="4:6" x14ac:dyDescent="0.3">
      <c r="D49" s="43"/>
      <c r="E49" s="43"/>
      <c r="F49" s="43"/>
    </row>
    <row r="50" spans="4:6" x14ac:dyDescent="0.3">
      <c r="D50" s="43"/>
      <c r="E50" s="43"/>
      <c r="F50" s="43"/>
    </row>
    <row r="51" spans="4:6" x14ac:dyDescent="0.3">
      <c r="D51" s="43"/>
      <c r="E51" s="43"/>
      <c r="F51" s="43"/>
    </row>
    <row r="52" spans="4:6" x14ac:dyDescent="0.3">
      <c r="D52" s="43"/>
      <c r="E52" s="43"/>
      <c r="F52" s="43"/>
    </row>
    <row r="53" spans="4:6" x14ac:dyDescent="0.3">
      <c r="D53" s="43"/>
      <c r="E53" s="43"/>
      <c r="F53" s="43"/>
    </row>
    <row r="54" spans="4:6" x14ac:dyDescent="0.3">
      <c r="D54" s="43"/>
      <c r="E54" s="43"/>
      <c r="F54" s="43"/>
    </row>
    <row r="55" spans="4:6" x14ac:dyDescent="0.3">
      <c r="D55" s="43"/>
      <c r="E55" s="43"/>
      <c r="F55" s="43"/>
    </row>
    <row r="56" spans="4:6" x14ac:dyDescent="0.3">
      <c r="D56" s="43"/>
      <c r="E56" s="43"/>
      <c r="F56" s="43"/>
    </row>
    <row r="57" spans="4:6" x14ac:dyDescent="0.3">
      <c r="D57" s="43"/>
      <c r="E57" s="43"/>
      <c r="F57" s="43"/>
    </row>
    <row r="58" spans="4:6" x14ac:dyDescent="0.3">
      <c r="D58" s="43"/>
      <c r="E58" s="43"/>
      <c r="F58" s="43"/>
    </row>
    <row r="59" spans="4:6" x14ac:dyDescent="0.3">
      <c r="D59" s="43"/>
      <c r="E59" s="43"/>
      <c r="F59" s="43"/>
    </row>
    <row r="60" spans="4:6" x14ac:dyDescent="0.3">
      <c r="D60" s="43"/>
      <c r="E60" s="43"/>
      <c r="F60" s="43"/>
    </row>
    <row r="61" spans="4:6" x14ac:dyDescent="0.3">
      <c r="D61" s="43"/>
      <c r="E61" s="43"/>
      <c r="F61" s="43"/>
    </row>
    <row r="62" spans="4:6" x14ac:dyDescent="0.3">
      <c r="D62" s="43"/>
      <c r="E62" s="43"/>
      <c r="F62" s="43"/>
    </row>
    <row r="63" spans="4:6" x14ac:dyDescent="0.3">
      <c r="D63" s="43"/>
      <c r="E63" s="43"/>
      <c r="F63" s="43"/>
    </row>
    <row r="64" spans="4:6" x14ac:dyDescent="0.3">
      <c r="D64" s="43"/>
      <c r="E64" s="43"/>
      <c r="F64" s="43"/>
    </row>
    <row r="65" spans="4:6" x14ac:dyDescent="0.3">
      <c r="D65" s="43"/>
      <c r="E65" s="43"/>
      <c r="F65" s="43"/>
    </row>
    <row r="66" spans="4:6" x14ac:dyDescent="0.3">
      <c r="D66" s="43"/>
      <c r="E66" s="43"/>
      <c r="F66" s="43"/>
    </row>
    <row r="67" spans="4:6" x14ac:dyDescent="0.3">
      <c r="D67" s="43"/>
      <c r="E67" s="43"/>
      <c r="F67" s="43"/>
    </row>
    <row r="68" spans="4:6" x14ac:dyDescent="0.3">
      <c r="D68" s="43"/>
      <c r="E68" s="43"/>
      <c r="F68" s="43"/>
    </row>
    <row r="69" spans="4:6" x14ac:dyDescent="0.3">
      <c r="D69" s="43"/>
      <c r="E69" s="43"/>
      <c r="F69" s="43"/>
    </row>
    <row r="70" spans="4:6" x14ac:dyDescent="0.3">
      <c r="D70" s="43"/>
      <c r="E70" s="43"/>
      <c r="F70" s="43"/>
    </row>
    <row r="71" spans="4:6" x14ac:dyDescent="0.3">
      <c r="D71" s="43"/>
      <c r="E71" s="43"/>
      <c r="F71" s="43"/>
    </row>
    <row r="72" spans="4:6" x14ac:dyDescent="0.3">
      <c r="D72" s="43"/>
      <c r="E72" s="43"/>
      <c r="F72" s="43"/>
    </row>
    <row r="73" spans="4:6" x14ac:dyDescent="0.3">
      <c r="D73" s="43"/>
      <c r="E73" s="43"/>
      <c r="F73" s="43"/>
    </row>
    <row r="74" spans="4:6" x14ac:dyDescent="0.3">
      <c r="D74" s="43"/>
      <c r="E74" s="43"/>
      <c r="F74" s="43"/>
    </row>
    <row r="75" spans="4:6" x14ac:dyDescent="0.3">
      <c r="D75" s="43"/>
      <c r="E75" s="43"/>
      <c r="F75" s="43"/>
    </row>
    <row r="76" spans="4:6" x14ac:dyDescent="0.3">
      <c r="D76" s="43"/>
      <c r="E76" s="43"/>
      <c r="F76" s="43"/>
    </row>
    <row r="77" spans="4:6" x14ac:dyDescent="0.3">
      <c r="D77" s="43"/>
      <c r="E77" s="43"/>
      <c r="F77" s="43"/>
    </row>
    <row r="78" spans="4:6" x14ac:dyDescent="0.3">
      <c r="D78" s="43"/>
      <c r="E78" s="43"/>
      <c r="F78" s="43"/>
    </row>
    <row r="79" spans="4:6" x14ac:dyDescent="0.3">
      <c r="D79" s="43"/>
      <c r="E79" s="43"/>
      <c r="F79" s="43"/>
    </row>
    <row r="80" spans="4:6" x14ac:dyDescent="0.3">
      <c r="D80" s="43"/>
      <c r="E80" s="43"/>
      <c r="F80" s="43"/>
    </row>
    <row r="81" spans="4:6" x14ac:dyDescent="0.3">
      <c r="D81" s="43"/>
      <c r="E81" s="43"/>
      <c r="F81" s="43"/>
    </row>
    <row r="82" spans="4:6" x14ac:dyDescent="0.3">
      <c r="D82" s="43"/>
      <c r="E82" s="43"/>
      <c r="F82" s="43"/>
    </row>
    <row r="83" spans="4:6" x14ac:dyDescent="0.3">
      <c r="D83" s="43"/>
      <c r="E83" s="43"/>
      <c r="F83" s="43"/>
    </row>
    <row r="84" spans="4:6" x14ac:dyDescent="0.3">
      <c r="D84" s="43"/>
      <c r="E84" s="43"/>
      <c r="F84" s="43"/>
    </row>
    <row r="85" spans="4:6" x14ac:dyDescent="0.3">
      <c r="D85" s="43"/>
      <c r="E85" s="43"/>
      <c r="F85" s="43"/>
    </row>
    <row r="86" spans="4:6" x14ac:dyDescent="0.3">
      <c r="D86" s="43"/>
      <c r="E86" s="43"/>
      <c r="F86" s="43"/>
    </row>
    <row r="87" spans="4:6" x14ac:dyDescent="0.3">
      <c r="D87" s="43"/>
      <c r="E87" s="43"/>
      <c r="F87" s="43"/>
    </row>
    <row r="88" spans="4:6" x14ac:dyDescent="0.3">
      <c r="D88" s="43"/>
      <c r="E88" s="43"/>
      <c r="F88" s="43"/>
    </row>
    <row r="89" spans="4:6" x14ac:dyDescent="0.3">
      <c r="D89" s="43"/>
      <c r="E89" s="43"/>
      <c r="F89" s="43"/>
    </row>
    <row r="90" spans="4:6" x14ac:dyDescent="0.3">
      <c r="D90" s="43"/>
      <c r="E90" s="43"/>
      <c r="F90" s="43"/>
    </row>
    <row r="91" spans="4:6" x14ac:dyDescent="0.3">
      <c r="D91" s="43"/>
      <c r="E91" s="43"/>
      <c r="F91" s="43"/>
    </row>
    <row r="92" spans="4:6" x14ac:dyDescent="0.3">
      <c r="D92" s="43"/>
      <c r="E92" s="43"/>
      <c r="F92" s="43"/>
    </row>
    <row r="93" spans="4:6" x14ac:dyDescent="0.3">
      <c r="D93" s="43"/>
      <c r="E93" s="43"/>
      <c r="F93" s="43"/>
    </row>
    <row r="94" spans="4:6" x14ac:dyDescent="0.3">
      <c r="D94" s="43"/>
      <c r="E94" s="43"/>
      <c r="F94" s="43"/>
    </row>
    <row r="95" spans="4:6" x14ac:dyDescent="0.3">
      <c r="D95" s="43"/>
      <c r="E95" s="43"/>
      <c r="F95" s="43"/>
    </row>
    <row r="96" spans="4:6" x14ac:dyDescent="0.3">
      <c r="D96" s="43"/>
      <c r="E96" s="43"/>
      <c r="F96" s="43"/>
    </row>
    <row r="97" spans="4:6" x14ac:dyDescent="0.3">
      <c r="D97" s="43"/>
      <c r="E97" s="43"/>
      <c r="F97" s="43"/>
    </row>
    <row r="98" spans="4:6" x14ac:dyDescent="0.3">
      <c r="D98" s="43"/>
      <c r="E98" s="43"/>
      <c r="F98" s="43"/>
    </row>
    <row r="99" spans="4:6" x14ac:dyDescent="0.3">
      <c r="D99" s="43"/>
      <c r="E99" s="43"/>
      <c r="F99" s="43"/>
    </row>
    <row r="100" spans="4:6" x14ac:dyDescent="0.3">
      <c r="D100" s="43"/>
      <c r="E100" s="43"/>
      <c r="F100" s="43"/>
    </row>
    <row r="101" spans="4:6" x14ac:dyDescent="0.3">
      <c r="D101" s="43"/>
      <c r="E101" s="43"/>
      <c r="F101" s="43"/>
    </row>
    <row r="102" spans="4:6" x14ac:dyDescent="0.3">
      <c r="D102" s="43"/>
      <c r="E102" s="43"/>
      <c r="F102" s="43"/>
    </row>
    <row r="103" spans="4:6" x14ac:dyDescent="0.3">
      <c r="D103" s="43"/>
      <c r="E103" s="43"/>
      <c r="F103" s="43"/>
    </row>
    <row r="104" spans="4:6" x14ac:dyDescent="0.3">
      <c r="D104" s="43"/>
      <c r="E104" s="43"/>
      <c r="F104" s="43"/>
    </row>
    <row r="105" spans="4:6" x14ac:dyDescent="0.3">
      <c r="D105" s="43"/>
      <c r="E105" s="43"/>
      <c r="F105" s="43"/>
    </row>
    <row r="106" spans="4:6" x14ac:dyDescent="0.3">
      <c r="D106" s="43"/>
      <c r="E106" s="43"/>
      <c r="F106" s="43"/>
    </row>
    <row r="107" spans="4:6" x14ac:dyDescent="0.3">
      <c r="D107" s="43"/>
      <c r="E107" s="43"/>
      <c r="F107" s="43"/>
    </row>
    <row r="108" spans="4:6" x14ac:dyDescent="0.3">
      <c r="D108" s="43"/>
      <c r="E108" s="43"/>
      <c r="F108" s="43"/>
    </row>
    <row r="109" spans="4:6" x14ac:dyDescent="0.3">
      <c r="D109" s="43"/>
      <c r="E109" s="43"/>
      <c r="F109" s="43"/>
    </row>
    <row r="110" spans="4:6" x14ac:dyDescent="0.3">
      <c r="D110" s="43"/>
      <c r="E110" s="43"/>
      <c r="F110" s="43"/>
    </row>
    <row r="111" spans="4:6" x14ac:dyDescent="0.3">
      <c r="D111" s="43"/>
      <c r="E111" s="43"/>
      <c r="F111" s="43"/>
    </row>
    <row r="112" spans="4:6" x14ac:dyDescent="0.3">
      <c r="D112" s="43"/>
      <c r="E112" s="43"/>
      <c r="F112" s="43"/>
    </row>
    <row r="113" spans="4:6" x14ac:dyDescent="0.3">
      <c r="D113" s="43"/>
      <c r="E113" s="43"/>
      <c r="F113" s="43"/>
    </row>
    <row r="114" spans="4:6" x14ac:dyDescent="0.3">
      <c r="D114" s="43"/>
      <c r="E114" s="43"/>
      <c r="F114" s="43"/>
    </row>
    <row r="115" spans="4:6" x14ac:dyDescent="0.3">
      <c r="D115" s="43"/>
      <c r="E115" s="43"/>
      <c r="F115" s="43"/>
    </row>
    <row r="116" spans="4:6" x14ac:dyDescent="0.3">
      <c r="D116" s="43"/>
      <c r="E116" s="43"/>
      <c r="F116" s="43"/>
    </row>
    <row r="117" spans="4:6" x14ac:dyDescent="0.3">
      <c r="D117" s="43"/>
      <c r="E117" s="43"/>
      <c r="F117" s="43"/>
    </row>
    <row r="118" spans="4:6" x14ac:dyDescent="0.3">
      <c r="D118" s="43"/>
      <c r="E118" s="43"/>
      <c r="F118" s="43"/>
    </row>
    <row r="119" spans="4:6" x14ac:dyDescent="0.3">
      <c r="D119" s="43"/>
      <c r="E119" s="43"/>
      <c r="F119" s="43"/>
    </row>
    <row r="120" spans="4:6" x14ac:dyDescent="0.3">
      <c r="D120" s="43"/>
      <c r="E120" s="43"/>
      <c r="F120" s="43"/>
    </row>
    <row r="121" spans="4:6" x14ac:dyDescent="0.3">
      <c r="D121" s="43"/>
      <c r="E121" s="43"/>
      <c r="F121" s="43"/>
    </row>
    <row r="122" spans="4:6" x14ac:dyDescent="0.3">
      <c r="D122" s="43"/>
      <c r="E122" s="43"/>
      <c r="F122" s="43"/>
    </row>
    <row r="123" spans="4:6" x14ac:dyDescent="0.3">
      <c r="D123" s="43"/>
      <c r="E123" s="43"/>
      <c r="F123" s="43"/>
    </row>
    <row r="124" spans="4:6" x14ac:dyDescent="0.3">
      <c r="D124" s="43"/>
      <c r="E124" s="43"/>
      <c r="F124" s="43"/>
    </row>
    <row r="125" spans="4:6" x14ac:dyDescent="0.3">
      <c r="D125" s="43"/>
      <c r="E125" s="43"/>
      <c r="F125" s="43"/>
    </row>
    <row r="126" spans="4:6" x14ac:dyDescent="0.3">
      <c r="D126" s="43"/>
      <c r="E126" s="43"/>
      <c r="F126" s="43"/>
    </row>
    <row r="127" spans="4:6" x14ac:dyDescent="0.3">
      <c r="D127" s="43"/>
      <c r="E127" s="43"/>
      <c r="F127" s="43"/>
    </row>
    <row r="128" spans="4:6" x14ac:dyDescent="0.3">
      <c r="D128" s="43"/>
      <c r="E128" s="43"/>
      <c r="F128" s="43"/>
    </row>
    <row r="129" spans="4:6" x14ac:dyDescent="0.3">
      <c r="D129" s="43"/>
      <c r="E129" s="43"/>
      <c r="F129" s="43"/>
    </row>
    <row r="130" spans="4:6" x14ac:dyDescent="0.3">
      <c r="D130" s="43"/>
      <c r="E130" s="43"/>
      <c r="F130" s="43"/>
    </row>
    <row r="131" spans="4:6" x14ac:dyDescent="0.3">
      <c r="D131" s="43"/>
      <c r="E131" s="43"/>
      <c r="F131" s="43"/>
    </row>
    <row r="132" spans="4:6" x14ac:dyDescent="0.3">
      <c r="D132" s="43"/>
      <c r="E132" s="43"/>
      <c r="F132" s="43"/>
    </row>
    <row r="133" spans="4:6" x14ac:dyDescent="0.3">
      <c r="D133" s="43"/>
      <c r="E133" s="43"/>
      <c r="F133" s="43"/>
    </row>
    <row r="134" spans="4:6" x14ac:dyDescent="0.3">
      <c r="D134" s="43"/>
      <c r="E134" s="43"/>
      <c r="F134" s="43"/>
    </row>
    <row r="135" spans="4:6" x14ac:dyDescent="0.3">
      <c r="D135" s="43"/>
      <c r="E135" s="43"/>
      <c r="F135" s="43"/>
    </row>
    <row r="136" spans="4:6" x14ac:dyDescent="0.3">
      <c r="D136" s="43"/>
      <c r="E136" s="43"/>
      <c r="F136" s="43"/>
    </row>
    <row r="137" spans="4:6" x14ac:dyDescent="0.3">
      <c r="D137" s="43"/>
      <c r="E137" s="43"/>
      <c r="F137" s="43"/>
    </row>
    <row r="138" spans="4:6" x14ac:dyDescent="0.3">
      <c r="D138" s="43"/>
      <c r="E138" s="43"/>
      <c r="F138" s="43"/>
    </row>
    <row r="139" spans="4:6" x14ac:dyDescent="0.3">
      <c r="D139" s="43"/>
      <c r="E139" s="43"/>
      <c r="F139" s="43"/>
    </row>
    <row r="140" spans="4:6" x14ac:dyDescent="0.3">
      <c r="D140" s="43"/>
      <c r="E140" s="43"/>
      <c r="F140" s="43"/>
    </row>
    <row r="141" spans="4:6" x14ac:dyDescent="0.3">
      <c r="D141" s="43"/>
      <c r="E141" s="43"/>
      <c r="F141" s="43"/>
    </row>
    <row r="142" spans="4:6" x14ac:dyDescent="0.3">
      <c r="D142" s="43"/>
      <c r="E142" s="43"/>
      <c r="F142" s="43"/>
    </row>
    <row r="143" spans="4:6" x14ac:dyDescent="0.3">
      <c r="D143" s="43"/>
      <c r="E143" s="43"/>
      <c r="F143" s="43"/>
    </row>
    <row r="144" spans="4:6" x14ac:dyDescent="0.3">
      <c r="D144" s="43"/>
      <c r="E144" s="43"/>
      <c r="F144" s="43"/>
    </row>
    <row r="145" spans="4:6" x14ac:dyDescent="0.3">
      <c r="D145" s="43"/>
      <c r="E145" s="43"/>
      <c r="F145" s="43"/>
    </row>
    <row r="146" spans="4:6" x14ac:dyDescent="0.3">
      <c r="D146" s="43"/>
      <c r="E146" s="43"/>
      <c r="F146" s="43"/>
    </row>
    <row r="147" spans="4:6" x14ac:dyDescent="0.3">
      <c r="D147" s="43"/>
      <c r="E147" s="43"/>
      <c r="F147" s="43"/>
    </row>
    <row r="148" spans="4:6" x14ac:dyDescent="0.3">
      <c r="D148" s="43"/>
      <c r="E148" s="43"/>
      <c r="F148" s="43"/>
    </row>
    <row r="149" spans="4:6" x14ac:dyDescent="0.3">
      <c r="D149" s="43"/>
      <c r="E149" s="43"/>
      <c r="F149" s="43"/>
    </row>
    <row r="150" spans="4:6" x14ac:dyDescent="0.3">
      <c r="D150" s="43"/>
      <c r="E150" s="43"/>
      <c r="F150" s="43"/>
    </row>
    <row r="151" spans="4:6" x14ac:dyDescent="0.3">
      <c r="D151" s="43"/>
      <c r="E151" s="43"/>
      <c r="F151" s="43"/>
    </row>
    <row r="152" spans="4:6" x14ac:dyDescent="0.3">
      <c r="D152" s="43"/>
      <c r="E152" s="43"/>
      <c r="F152" s="43"/>
    </row>
    <row r="153" spans="4:6" x14ac:dyDescent="0.3">
      <c r="D153" s="43"/>
      <c r="E153" s="43"/>
      <c r="F153" s="43"/>
    </row>
    <row r="154" spans="4:6" x14ac:dyDescent="0.3">
      <c r="D154" s="43"/>
      <c r="E154" s="43"/>
      <c r="F154" s="43"/>
    </row>
    <row r="155" spans="4:6" x14ac:dyDescent="0.3">
      <c r="D155" s="43"/>
      <c r="E155" s="43"/>
      <c r="F155" s="43"/>
    </row>
    <row r="156" spans="4:6" x14ac:dyDescent="0.3">
      <c r="D156" s="43"/>
      <c r="E156" s="43"/>
      <c r="F156" s="43"/>
    </row>
    <row r="157" spans="4:6" x14ac:dyDescent="0.3">
      <c r="D157" s="43"/>
      <c r="E157" s="43"/>
      <c r="F157" s="43"/>
    </row>
    <row r="158" spans="4:6" x14ac:dyDescent="0.3">
      <c r="D158" s="43"/>
      <c r="E158" s="43"/>
      <c r="F158" s="43"/>
    </row>
    <row r="159" spans="4:6" x14ac:dyDescent="0.3">
      <c r="D159" s="43"/>
      <c r="E159" s="43"/>
      <c r="F159" s="43"/>
    </row>
    <row r="160" spans="4:6" x14ac:dyDescent="0.3">
      <c r="D160" s="43"/>
      <c r="E160" s="43"/>
      <c r="F160" s="43"/>
    </row>
    <row r="161" spans="4:6" x14ac:dyDescent="0.3">
      <c r="D161" s="43"/>
      <c r="E161" s="43"/>
      <c r="F161" s="43"/>
    </row>
    <row r="162" spans="4:6" x14ac:dyDescent="0.3">
      <c r="D162" s="43"/>
      <c r="E162" s="43"/>
      <c r="F162" s="43"/>
    </row>
    <row r="163" spans="4:6" x14ac:dyDescent="0.3">
      <c r="D163" s="43"/>
      <c r="E163" s="43"/>
      <c r="F163" s="43"/>
    </row>
    <row r="164" spans="4:6" x14ac:dyDescent="0.3">
      <c r="D164" s="43"/>
      <c r="E164" s="43"/>
      <c r="F164" s="43"/>
    </row>
    <row r="165" spans="4:6" x14ac:dyDescent="0.3">
      <c r="D165" s="43"/>
      <c r="E165" s="43"/>
      <c r="F165" s="43"/>
    </row>
    <row r="166" spans="4:6" x14ac:dyDescent="0.3">
      <c r="D166" s="43"/>
      <c r="E166" s="43"/>
      <c r="F166" s="43"/>
    </row>
    <row r="167" spans="4:6" x14ac:dyDescent="0.3">
      <c r="D167" s="43"/>
      <c r="E167" s="43"/>
      <c r="F167" s="43"/>
    </row>
    <row r="168" spans="4:6" x14ac:dyDescent="0.3">
      <c r="D168" s="43"/>
      <c r="E168" s="43"/>
      <c r="F168" s="43"/>
    </row>
    <row r="169" spans="4:6" x14ac:dyDescent="0.3">
      <c r="D169" s="43"/>
      <c r="E169" s="43"/>
      <c r="F169" s="43"/>
    </row>
    <row r="170" spans="4:6" x14ac:dyDescent="0.3">
      <c r="D170" s="43"/>
      <c r="E170" s="43"/>
      <c r="F170" s="43"/>
    </row>
    <row r="171" spans="4:6" x14ac:dyDescent="0.3">
      <c r="D171" s="43"/>
      <c r="E171" s="43"/>
      <c r="F171" s="43"/>
    </row>
    <row r="172" spans="4:6" x14ac:dyDescent="0.3">
      <c r="D172" s="43"/>
      <c r="E172" s="43"/>
      <c r="F172" s="43"/>
    </row>
    <row r="173" spans="4:6" x14ac:dyDescent="0.3">
      <c r="D173" s="43"/>
      <c r="E173" s="43"/>
      <c r="F173" s="43"/>
    </row>
    <row r="174" spans="4:6" x14ac:dyDescent="0.3">
      <c r="D174" s="43"/>
      <c r="E174" s="43"/>
      <c r="F174" s="43"/>
    </row>
    <row r="175" spans="4:6" x14ac:dyDescent="0.3">
      <c r="D175" s="43"/>
      <c r="E175" s="43"/>
      <c r="F175" s="43"/>
    </row>
    <row r="176" spans="4:6" x14ac:dyDescent="0.3">
      <c r="D176" s="43"/>
      <c r="E176" s="43"/>
      <c r="F176" s="43"/>
    </row>
    <row r="177" spans="4:6" x14ac:dyDescent="0.3">
      <c r="D177" s="43"/>
      <c r="E177" s="43"/>
      <c r="F177" s="43"/>
    </row>
    <row r="178" spans="4:6" x14ac:dyDescent="0.3">
      <c r="D178" s="43"/>
      <c r="E178" s="43"/>
      <c r="F178" s="43"/>
    </row>
    <row r="179" spans="4:6" x14ac:dyDescent="0.3">
      <c r="D179" s="43"/>
      <c r="E179" s="43"/>
      <c r="F179" s="43"/>
    </row>
    <row r="180" spans="4:6" x14ac:dyDescent="0.3">
      <c r="D180" s="43"/>
      <c r="E180" s="43"/>
      <c r="F180" s="43"/>
    </row>
    <row r="181" spans="4:6" x14ac:dyDescent="0.3">
      <c r="D181" s="43"/>
      <c r="E181" s="43"/>
      <c r="F181" s="43"/>
    </row>
    <row r="182" spans="4:6" x14ac:dyDescent="0.3">
      <c r="D182" s="43"/>
      <c r="E182" s="43"/>
      <c r="F182" s="43"/>
    </row>
    <row r="183" spans="4:6" x14ac:dyDescent="0.3">
      <c r="D183" s="43"/>
      <c r="E183" s="43"/>
      <c r="F183" s="43"/>
    </row>
    <row r="184" spans="4:6" x14ac:dyDescent="0.3">
      <c r="D184" s="43"/>
      <c r="E184" s="43"/>
      <c r="F184" s="43"/>
    </row>
    <row r="185" spans="4:6" x14ac:dyDescent="0.3">
      <c r="D185" s="43"/>
      <c r="E185" s="43"/>
      <c r="F185" s="43"/>
    </row>
    <row r="186" spans="4:6" x14ac:dyDescent="0.3">
      <c r="D186" s="43"/>
      <c r="E186" s="43"/>
      <c r="F186" s="43"/>
    </row>
    <row r="187" spans="4:6" x14ac:dyDescent="0.3">
      <c r="D187" s="43"/>
      <c r="E187" s="43"/>
      <c r="F187" s="43"/>
    </row>
    <row r="188" spans="4:6" x14ac:dyDescent="0.3">
      <c r="D188" s="43"/>
      <c r="E188" s="43"/>
      <c r="F188" s="43"/>
    </row>
    <row r="189" spans="4:6" x14ac:dyDescent="0.3">
      <c r="D189" s="43"/>
      <c r="E189" s="43"/>
      <c r="F189" s="43"/>
    </row>
    <row r="190" spans="4:6" x14ac:dyDescent="0.3">
      <c r="D190" s="43"/>
      <c r="E190" s="43"/>
      <c r="F190" s="43"/>
    </row>
    <row r="191" spans="4:6" x14ac:dyDescent="0.3">
      <c r="D191" s="43"/>
      <c r="E191" s="43"/>
      <c r="F191" s="43"/>
    </row>
    <row r="192" spans="4:6" x14ac:dyDescent="0.3">
      <c r="D192" s="43"/>
      <c r="E192" s="43"/>
      <c r="F192" s="43"/>
    </row>
    <row r="193" spans="4:6" x14ac:dyDescent="0.3">
      <c r="D193" s="43"/>
      <c r="E193" s="43"/>
      <c r="F193" s="43"/>
    </row>
    <row r="194" spans="4:6" x14ac:dyDescent="0.3">
      <c r="D194" s="43"/>
      <c r="E194" s="43"/>
      <c r="F194" s="43"/>
    </row>
    <row r="195" spans="4:6" x14ac:dyDescent="0.3">
      <c r="D195" s="43"/>
      <c r="E195" s="43"/>
      <c r="F195" s="43"/>
    </row>
    <row r="196" spans="4:6" x14ac:dyDescent="0.3">
      <c r="D196" s="43"/>
      <c r="E196" s="43"/>
      <c r="F196" s="43"/>
    </row>
    <row r="197" spans="4:6" x14ac:dyDescent="0.3">
      <c r="D197" s="43"/>
      <c r="E197" s="43"/>
      <c r="F197" s="43"/>
    </row>
    <row r="198" spans="4:6" x14ac:dyDescent="0.3">
      <c r="D198" s="43"/>
      <c r="E198" s="43"/>
      <c r="F198" s="43"/>
    </row>
    <row r="199" spans="4:6" x14ac:dyDescent="0.3">
      <c r="D199" s="43"/>
      <c r="E199" s="43"/>
      <c r="F199" s="43"/>
    </row>
    <row r="200" spans="4:6" x14ac:dyDescent="0.3">
      <c r="D200" s="43"/>
      <c r="E200" s="43"/>
      <c r="F200" s="43"/>
    </row>
    <row r="201" spans="4:6" x14ac:dyDescent="0.3">
      <c r="D201" s="43"/>
      <c r="E201" s="43"/>
      <c r="F201" s="43"/>
    </row>
    <row r="202" spans="4:6" x14ac:dyDescent="0.3">
      <c r="D202" s="43"/>
      <c r="E202" s="43"/>
      <c r="F202" s="43"/>
    </row>
    <row r="203" spans="4:6" x14ac:dyDescent="0.3">
      <c r="D203" s="43"/>
      <c r="E203" s="43"/>
      <c r="F203" s="43"/>
    </row>
    <row r="204" spans="4:6" x14ac:dyDescent="0.3">
      <c r="D204" s="43"/>
      <c r="E204" s="43"/>
      <c r="F204" s="43"/>
    </row>
    <row r="205" spans="4:6" x14ac:dyDescent="0.3">
      <c r="D205" s="43"/>
      <c r="E205" s="43"/>
      <c r="F205" s="43"/>
    </row>
    <row r="206" spans="4:6" x14ac:dyDescent="0.3">
      <c r="D206" s="43"/>
      <c r="E206" s="43"/>
      <c r="F206" s="43"/>
    </row>
    <row r="207" spans="4:6" x14ac:dyDescent="0.3">
      <c r="D207" s="43"/>
      <c r="E207" s="43"/>
      <c r="F207" s="43"/>
    </row>
    <row r="208" spans="4:6" x14ac:dyDescent="0.3">
      <c r="D208" s="43"/>
      <c r="E208" s="43"/>
      <c r="F208" s="43"/>
    </row>
    <row r="209" spans="4:6" x14ac:dyDescent="0.3">
      <c r="D209" s="43"/>
      <c r="E209" s="43"/>
      <c r="F209" s="43"/>
    </row>
    <row r="210" spans="4:6" x14ac:dyDescent="0.3">
      <c r="D210" s="43"/>
      <c r="E210" s="43"/>
      <c r="F210" s="43"/>
    </row>
    <row r="211" spans="4:6" x14ac:dyDescent="0.3">
      <c r="D211" s="43"/>
      <c r="E211" s="43"/>
      <c r="F211" s="43"/>
    </row>
    <row r="212" spans="4:6" x14ac:dyDescent="0.3">
      <c r="D212" s="43"/>
      <c r="E212" s="43"/>
      <c r="F212" s="43"/>
    </row>
    <row r="213" spans="4:6" x14ac:dyDescent="0.3">
      <c r="D213" s="43"/>
      <c r="E213" s="43"/>
      <c r="F213" s="43"/>
    </row>
    <row r="214" spans="4:6" x14ac:dyDescent="0.3">
      <c r="D214" s="43"/>
      <c r="E214" s="43"/>
      <c r="F214" s="43"/>
    </row>
    <row r="215" spans="4:6" x14ac:dyDescent="0.3">
      <c r="D215" s="43"/>
      <c r="E215" s="43"/>
      <c r="F215" s="43"/>
    </row>
    <row r="216" spans="4:6" x14ac:dyDescent="0.3">
      <c r="D216" s="43"/>
      <c r="E216" s="43"/>
      <c r="F216" s="43"/>
    </row>
    <row r="217" spans="4:6" x14ac:dyDescent="0.3">
      <c r="D217" s="43"/>
      <c r="E217" s="43"/>
      <c r="F217" s="43"/>
    </row>
    <row r="218" spans="4:6" x14ac:dyDescent="0.3">
      <c r="D218" s="43"/>
      <c r="E218" s="43"/>
      <c r="F218" s="43"/>
    </row>
    <row r="219" spans="4:6" x14ac:dyDescent="0.3">
      <c r="D219" s="43"/>
      <c r="E219" s="43"/>
      <c r="F219" s="43"/>
    </row>
    <row r="220" spans="4:6" x14ac:dyDescent="0.3">
      <c r="D220" s="43"/>
      <c r="E220" s="43"/>
      <c r="F220" s="43"/>
    </row>
    <row r="221" spans="4:6" x14ac:dyDescent="0.3">
      <c r="D221" s="43"/>
      <c r="E221" s="43"/>
      <c r="F221" s="43"/>
    </row>
    <row r="222" spans="4:6" x14ac:dyDescent="0.3">
      <c r="D222" s="43"/>
      <c r="E222" s="43"/>
      <c r="F222" s="43"/>
    </row>
    <row r="223" spans="4:6" x14ac:dyDescent="0.3">
      <c r="D223" s="43"/>
      <c r="E223" s="43"/>
      <c r="F223" s="43"/>
    </row>
    <row r="224" spans="4:6" x14ac:dyDescent="0.3">
      <c r="D224" s="43"/>
      <c r="E224" s="43"/>
      <c r="F224" s="43"/>
    </row>
    <row r="225" spans="4:6" x14ac:dyDescent="0.3">
      <c r="D225" s="43"/>
      <c r="E225" s="43"/>
      <c r="F225" s="43"/>
    </row>
    <row r="226" spans="4:6" x14ac:dyDescent="0.3">
      <c r="D226" s="43"/>
      <c r="E226" s="43"/>
      <c r="F226" s="43"/>
    </row>
    <row r="227" spans="4:6" x14ac:dyDescent="0.3">
      <c r="D227" s="43"/>
      <c r="E227" s="43"/>
      <c r="F227" s="43"/>
    </row>
    <row r="228" spans="4:6" x14ac:dyDescent="0.3">
      <c r="D228" s="43"/>
      <c r="E228" s="43"/>
      <c r="F228" s="43"/>
    </row>
    <row r="229" spans="4:6" x14ac:dyDescent="0.3">
      <c r="D229" s="43"/>
      <c r="E229" s="43"/>
      <c r="F229" s="43"/>
    </row>
    <row r="230" spans="4:6" x14ac:dyDescent="0.3">
      <c r="D230" s="43"/>
      <c r="E230" s="43"/>
      <c r="F230" s="43"/>
    </row>
    <row r="231" spans="4:6" x14ac:dyDescent="0.3">
      <c r="D231" s="43"/>
      <c r="E231" s="43"/>
      <c r="F231" s="43"/>
    </row>
    <row r="232" spans="4:6" x14ac:dyDescent="0.3">
      <c r="D232" s="43"/>
      <c r="E232" s="43"/>
      <c r="F232" s="43"/>
    </row>
    <row r="233" spans="4:6" x14ac:dyDescent="0.3">
      <c r="D233" s="43"/>
      <c r="E233" s="43"/>
      <c r="F233" s="43"/>
    </row>
    <row r="234" spans="4:6" x14ac:dyDescent="0.3">
      <c r="D234" s="43"/>
      <c r="E234" s="43"/>
      <c r="F234" s="43"/>
    </row>
    <row r="235" spans="4:6" x14ac:dyDescent="0.3">
      <c r="D235" s="43"/>
      <c r="E235" s="43"/>
      <c r="F235" s="43"/>
    </row>
    <row r="236" spans="4:6" x14ac:dyDescent="0.3">
      <c r="D236" s="43"/>
      <c r="E236" s="43"/>
      <c r="F236" s="43"/>
    </row>
    <row r="237" spans="4:6" x14ac:dyDescent="0.3">
      <c r="D237" s="43"/>
      <c r="E237" s="43"/>
      <c r="F237" s="43"/>
    </row>
    <row r="238" spans="4:6" x14ac:dyDescent="0.3">
      <c r="D238" s="43"/>
      <c r="E238" s="43"/>
      <c r="F238" s="43"/>
    </row>
    <row r="239" spans="4:6" x14ac:dyDescent="0.3">
      <c r="D239" s="43"/>
      <c r="E239" s="43"/>
      <c r="F239" s="43"/>
    </row>
    <row r="240" spans="4:6" x14ac:dyDescent="0.3">
      <c r="D240" s="43"/>
      <c r="E240" s="43"/>
      <c r="F240" s="43"/>
    </row>
    <row r="241" spans="4:6" x14ac:dyDescent="0.3">
      <c r="D241" s="43"/>
      <c r="E241" s="43"/>
      <c r="F241" s="43"/>
    </row>
    <row r="242" spans="4:6" x14ac:dyDescent="0.3">
      <c r="D242" s="43"/>
      <c r="E242" s="43"/>
      <c r="F242" s="43"/>
    </row>
    <row r="243" spans="4:6" x14ac:dyDescent="0.3">
      <c r="D243" s="43"/>
      <c r="E243" s="43"/>
      <c r="F243" s="43"/>
    </row>
    <row r="244" spans="4:6" x14ac:dyDescent="0.3">
      <c r="D244" s="43"/>
      <c r="E244" s="43"/>
      <c r="F244" s="43"/>
    </row>
    <row r="245" spans="4:6" x14ac:dyDescent="0.3">
      <c r="D245" s="43"/>
      <c r="E245" s="43"/>
      <c r="F245" s="43"/>
    </row>
    <row r="246" spans="4:6" x14ac:dyDescent="0.3">
      <c r="D246" s="43"/>
      <c r="E246" s="43"/>
      <c r="F246" s="43"/>
    </row>
    <row r="247" spans="4:6" x14ac:dyDescent="0.3">
      <c r="D247" s="43"/>
      <c r="E247" s="43"/>
      <c r="F247" s="43"/>
    </row>
    <row r="248" spans="4:6" x14ac:dyDescent="0.3">
      <c r="D248" s="43"/>
      <c r="E248" s="43"/>
      <c r="F248" s="43"/>
    </row>
    <row r="249" spans="4:6" x14ac:dyDescent="0.3">
      <c r="D249" s="43"/>
      <c r="E249" s="43"/>
      <c r="F249" s="43"/>
    </row>
    <row r="250" spans="4:6" x14ac:dyDescent="0.3">
      <c r="D250" s="43"/>
      <c r="E250" s="43"/>
      <c r="F250" s="43"/>
    </row>
    <row r="251" spans="4:6" x14ac:dyDescent="0.3">
      <c r="D251" s="43"/>
      <c r="E251" s="43"/>
      <c r="F251" s="43"/>
    </row>
    <row r="252" spans="4:6" x14ac:dyDescent="0.3">
      <c r="D252" s="43"/>
      <c r="E252" s="43"/>
      <c r="F252" s="43"/>
    </row>
    <row r="253" spans="4:6" x14ac:dyDescent="0.3">
      <c r="D253" s="43"/>
      <c r="E253" s="43"/>
      <c r="F253" s="43"/>
    </row>
    <row r="254" spans="4:6" x14ac:dyDescent="0.3">
      <c r="D254" s="43"/>
      <c r="E254" s="43"/>
      <c r="F254" s="43"/>
    </row>
    <row r="255" spans="4:6" x14ac:dyDescent="0.3">
      <c r="D255" s="43"/>
      <c r="E255" s="43"/>
      <c r="F255" s="43"/>
    </row>
    <row r="256" spans="4:6" x14ac:dyDescent="0.3">
      <c r="D256" s="43"/>
      <c r="E256" s="43"/>
      <c r="F256" s="43"/>
    </row>
    <row r="257" spans="4:6" x14ac:dyDescent="0.3">
      <c r="D257" s="43"/>
      <c r="E257" s="43"/>
      <c r="F257" s="43"/>
    </row>
    <row r="258" spans="4:6" x14ac:dyDescent="0.3">
      <c r="D258" s="43"/>
      <c r="E258" s="43"/>
      <c r="F258" s="43"/>
    </row>
    <row r="259" spans="4:6" x14ac:dyDescent="0.3">
      <c r="D259" s="43"/>
      <c r="E259" s="43"/>
      <c r="F259" s="43"/>
    </row>
    <row r="260" spans="4:6" x14ac:dyDescent="0.3">
      <c r="D260" s="43"/>
      <c r="E260" s="43"/>
      <c r="F260" s="43"/>
    </row>
    <row r="261" spans="4:6" x14ac:dyDescent="0.3">
      <c r="D261" s="43"/>
      <c r="E261" s="43"/>
      <c r="F261" s="43"/>
    </row>
    <row r="262" spans="4:6" x14ac:dyDescent="0.3">
      <c r="D262" s="43"/>
      <c r="E262" s="43"/>
      <c r="F262" s="43"/>
    </row>
    <row r="263" spans="4:6" x14ac:dyDescent="0.3">
      <c r="D263" s="43"/>
      <c r="E263" s="43"/>
      <c r="F263" s="43"/>
    </row>
    <row r="264" spans="4:6" x14ac:dyDescent="0.3">
      <c r="D264" s="43"/>
      <c r="E264" s="43"/>
      <c r="F264" s="43"/>
    </row>
    <row r="265" spans="4:6" x14ac:dyDescent="0.3">
      <c r="D265" s="43"/>
      <c r="E265" s="43"/>
      <c r="F265" s="43"/>
    </row>
    <row r="266" spans="4:6" x14ac:dyDescent="0.3">
      <c r="D266" s="43"/>
      <c r="E266" s="43"/>
      <c r="F266" s="43"/>
    </row>
    <row r="267" spans="4:6" x14ac:dyDescent="0.3">
      <c r="D267" s="43"/>
      <c r="E267" s="43"/>
      <c r="F267" s="43"/>
    </row>
    <row r="268" spans="4:6" x14ac:dyDescent="0.3">
      <c r="D268" s="43"/>
      <c r="E268" s="43"/>
      <c r="F268" s="43"/>
    </row>
    <row r="269" spans="4:6" x14ac:dyDescent="0.3">
      <c r="D269" s="43"/>
      <c r="E269" s="43"/>
      <c r="F269" s="43"/>
    </row>
    <row r="270" spans="4:6" x14ac:dyDescent="0.3">
      <c r="D270" s="43"/>
      <c r="E270" s="43"/>
      <c r="F270" s="43"/>
    </row>
    <row r="271" spans="4:6" x14ac:dyDescent="0.3">
      <c r="D271" s="43"/>
      <c r="E271" s="43"/>
      <c r="F271" s="43"/>
    </row>
    <row r="272" spans="4:6" x14ac:dyDescent="0.3">
      <c r="D272" s="43"/>
      <c r="E272" s="43"/>
      <c r="F272" s="43"/>
    </row>
    <row r="273" spans="4:6" x14ac:dyDescent="0.3">
      <c r="D273" s="43"/>
      <c r="E273" s="43"/>
      <c r="F273" s="43"/>
    </row>
    <row r="274" spans="4:6" x14ac:dyDescent="0.3">
      <c r="D274" s="43"/>
      <c r="E274" s="43"/>
      <c r="F274" s="43"/>
    </row>
    <row r="275" spans="4:6" x14ac:dyDescent="0.3">
      <c r="D275" s="43"/>
      <c r="E275" s="43"/>
      <c r="F275" s="43"/>
    </row>
    <row r="276" spans="4:6" x14ac:dyDescent="0.3">
      <c r="D276" s="43"/>
      <c r="E276" s="43"/>
      <c r="F276" s="43"/>
    </row>
    <row r="277" spans="4:6" x14ac:dyDescent="0.3">
      <c r="D277" s="43"/>
      <c r="E277" s="43"/>
      <c r="F277" s="43"/>
    </row>
    <row r="278" spans="4:6" x14ac:dyDescent="0.3">
      <c r="D278" s="43"/>
      <c r="E278" s="43"/>
      <c r="F278" s="43"/>
    </row>
    <row r="279" spans="4:6" x14ac:dyDescent="0.3">
      <c r="D279" s="43"/>
      <c r="E279" s="43"/>
      <c r="F279" s="43"/>
    </row>
    <row r="280" spans="4:6" x14ac:dyDescent="0.3">
      <c r="D280" s="43"/>
      <c r="E280" s="43"/>
      <c r="F280" s="43"/>
    </row>
    <row r="281" spans="4:6" x14ac:dyDescent="0.3">
      <c r="D281" s="43"/>
      <c r="E281" s="43"/>
      <c r="F281" s="43"/>
    </row>
    <row r="282" spans="4:6" x14ac:dyDescent="0.3">
      <c r="D282" s="43"/>
      <c r="E282" s="43"/>
      <c r="F282" s="43"/>
    </row>
    <row r="283" spans="4:6" x14ac:dyDescent="0.3">
      <c r="D283" s="43"/>
      <c r="E283" s="43"/>
      <c r="F283" s="43"/>
    </row>
    <row r="284" spans="4:6" x14ac:dyDescent="0.3">
      <c r="D284" s="43"/>
      <c r="E284" s="43"/>
      <c r="F284" s="43"/>
    </row>
    <row r="285" spans="4:6" x14ac:dyDescent="0.3">
      <c r="D285" s="43"/>
      <c r="E285" s="43"/>
      <c r="F285" s="43"/>
    </row>
    <row r="286" spans="4:6" x14ac:dyDescent="0.3">
      <c r="D286" s="43"/>
      <c r="E286" s="43"/>
      <c r="F286" s="43"/>
    </row>
    <row r="287" spans="4:6" x14ac:dyDescent="0.3">
      <c r="D287" s="43"/>
      <c r="E287" s="43"/>
      <c r="F287" s="43"/>
    </row>
    <row r="288" spans="4:6" x14ac:dyDescent="0.3">
      <c r="D288" s="43"/>
      <c r="E288" s="43"/>
      <c r="F288" s="43"/>
    </row>
    <row r="289" spans="4:6" x14ac:dyDescent="0.3">
      <c r="D289" s="43"/>
      <c r="E289" s="43"/>
      <c r="F289" s="43"/>
    </row>
    <row r="290" spans="4:6" x14ac:dyDescent="0.3">
      <c r="D290" s="43"/>
      <c r="E290" s="43"/>
      <c r="F290" s="43"/>
    </row>
    <row r="291" spans="4:6" x14ac:dyDescent="0.3">
      <c r="D291" s="43"/>
      <c r="E291" s="43"/>
      <c r="F291" s="43"/>
    </row>
    <row r="292" spans="4:6" x14ac:dyDescent="0.3">
      <c r="D292" s="43"/>
      <c r="E292" s="43"/>
      <c r="F292" s="43"/>
    </row>
    <row r="293" spans="4:6" x14ac:dyDescent="0.3">
      <c r="D293" s="43"/>
      <c r="E293" s="43"/>
      <c r="F293" s="43"/>
    </row>
    <row r="294" spans="4:6" x14ac:dyDescent="0.3">
      <c r="D294" s="43"/>
      <c r="E294" s="43"/>
      <c r="F294" s="43"/>
    </row>
    <row r="295" spans="4:6" x14ac:dyDescent="0.3">
      <c r="D295" s="43"/>
      <c r="E295" s="43"/>
      <c r="F295" s="43"/>
    </row>
    <row r="296" spans="4:6" x14ac:dyDescent="0.3">
      <c r="D296" s="43"/>
      <c r="E296" s="43"/>
      <c r="F296" s="43"/>
    </row>
    <row r="297" spans="4:6" x14ac:dyDescent="0.3">
      <c r="D297" s="43"/>
      <c r="E297" s="43"/>
      <c r="F297" s="43"/>
    </row>
    <row r="298" spans="4:6" x14ac:dyDescent="0.3">
      <c r="D298" s="43"/>
      <c r="E298" s="43"/>
      <c r="F298" s="43"/>
    </row>
    <row r="299" spans="4:6" x14ac:dyDescent="0.3">
      <c r="D299" s="43"/>
      <c r="E299" s="43"/>
      <c r="F299" s="43"/>
    </row>
    <row r="300" spans="4:6" x14ac:dyDescent="0.3">
      <c r="D300" s="43"/>
      <c r="E300" s="43"/>
      <c r="F300" s="43"/>
    </row>
    <row r="301" spans="4:6" x14ac:dyDescent="0.3">
      <c r="D301" s="43"/>
      <c r="E301" s="43"/>
      <c r="F301" s="43"/>
    </row>
    <row r="302" spans="4:6" x14ac:dyDescent="0.3">
      <c r="D302" s="43"/>
      <c r="E302" s="43"/>
      <c r="F302" s="43"/>
    </row>
    <row r="303" spans="4:6" x14ac:dyDescent="0.3">
      <c r="D303" s="43"/>
      <c r="E303" s="43"/>
      <c r="F303" s="43"/>
    </row>
    <row r="304" spans="4:6" x14ac:dyDescent="0.3">
      <c r="D304" s="43"/>
      <c r="E304" s="43"/>
      <c r="F304" s="43"/>
    </row>
    <row r="305" spans="4:6" x14ac:dyDescent="0.3">
      <c r="D305" s="43"/>
      <c r="E305" s="43"/>
      <c r="F305" s="43"/>
    </row>
    <row r="306" spans="4:6" x14ac:dyDescent="0.3">
      <c r="D306" s="43"/>
      <c r="E306" s="43"/>
      <c r="F306" s="43"/>
    </row>
    <row r="307" spans="4:6" x14ac:dyDescent="0.3">
      <c r="D307" s="43"/>
      <c r="E307" s="43"/>
      <c r="F307" s="43"/>
    </row>
    <row r="308" spans="4:6" x14ac:dyDescent="0.3">
      <c r="D308" s="43"/>
      <c r="E308" s="43"/>
      <c r="F308" s="43"/>
    </row>
    <row r="309" spans="4:6" x14ac:dyDescent="0.3">
      <c r="D309" s="43"/>
      <c r="E309" s="43"/>
      <c r="F309" s="43"/>
    </row>
    <row r="310" spans="4:6" x14ac:dyDescent="0.3">
      <c r="D310" s="43"/>
      <c r="E310" s="43"/>
      <c r="F310" s="43"/>
    </row>
    <row r="311" spans="4:6" x14ac:dyDescent="0.3">
      <c r="D311" s="43"/>
      <c r="E311" s="43"/>
      <c r="F311" s="43"/>
    </row>
    <row r="312" spans="4:6" x14ac:dyDescent="0.3">
      <c r="D312" s="43"/>
      <c r="E312" s="43"/>
      <c r="F312" s="43"/>
    </row>
    <row r="313" spans="4:6" x14ac:dyDescent="0.3">
      <c r="D313" s="43"/>
      <c r="E313" s="43"/>
      <c r="F313" s="43"/>
    </row>
    <row r="314" spans="4:6" x14ac:dyDescent="0.3">
      <c r="D314" s="43"/>
      <c r="E314" s="43"/>
      <c r="F314" s="43"/>
    </row>
    <row r="315" spans="4:6" x14ac:dyDescent="0.3">
      <c r="D315" s="43"/>
      <c r="E315" s="43"/>
      <c r="F315" s="43"/>
    </row>
    <row r="316" spans="4:6" x14ac:dyDescent="0.3">
      <c r="D316" s="43"/>
      <c r="E316" s="43"/>
      <c r="F316" s="43"/>
    </row>
    <row r="317" spans="4:6" x14ac:dyDescent="0.3">
      <c r="D317" s="43"/>
      <c r="E317" s="43"/>
      <c r="F317" s="43"/>
    </row>
    <row r="318" spans="4:6" x14ac:dyDescent="0.3">
      <c r="D318" s="43"/>
      <c r="E318" s="43"/>
      <c r="F318" s="43"/>
    </row>
    <row r="319" spans="4:6" x14ac:dyDescent="0.3">
      <c r="D319" s="43"/>
      <c r="E319" s="43"/>
      <c r="F319" s="43"/>
    </row>
    <row r="320" spans="4:6" x14ac:dyDescent="0.3">
      <c r="D320" s="43"/>
      <c r="E320" s="43"/>
      <c r="F320" s="43"/>
    </row>
    <row r="321" spans="4:6" x14ac:dyDescent="0.3">
      <c r="D321" s="43"/>
      <c r="E321" s="43"/>
      <c r="F321" s="43"/>
    </row>
    <row r="322" spans="4:6" x14ac:dyDescent="0.3">
      <c r="D322" s="43"/>
      <c r="E322" s="43"/>
      <c r="F322" s="43"/>
    </row>
    <row r="323" spans="4:6" x14ac:dyDescent="0.3">
      <c r="D323" s="43"/>
      <c r="E323" s="43"/>
      <c r="F323" s="43"/>
    </row>
    <row r="324" spans="4:6" x14ac:dyDescent="0.3">
      <c r="D324" s="43"/>
      <c r="E324" s="43"/>
      <c r="F324" s="43"/>
    </row>
    <row r="325" spans="4:6" x14ac:dyDescent="0.3">
      <c r="D325" s="43"/>
      <c r="E325" s="43"/>
      <c r="F325" s="43"/>
    </row>
    <row r="326" spans="4:6" x14ac:dyDescent="0.3">
      <c r="D326" s="43"/>
      <c r="E326" s="43"/>
      <c r="F326" s="43"/>
    </row>
    <row r="327" spans="4:6" x14ac:dyDescent="0.3">
      <c r="D327" s="43"/>
      <c r="E327" s="43"/>
      <c r="F327" s="43"/>
    </row>
    <row r="328" spans="4:6" x14ac:dyDescent="0.3">
      <c r="D328" s="43"/>
      <c r="E328" s="43"/>
      <c r="F328" s="43"/>
    </row>
    <row r="329" spans="4:6" x14ac:dyDescent="0.3">
      <c r="D329" s="43"/>
      <c r="E329" s="43"/>
      <c r="F329" s="43"/>
    </row>
    <row r="330" spans="4:6" x14ac:dyDescent="0.3">
      <c r="D330" s="43"/>
      <c r="E330" s="43"/>
      <c r="F330" s="43"/>
    </row>
    <row r="331" spans="4:6" x14ac:dyDescent="0.3">
      <c r="D331" s="43"/>
      <c r="E331" s="43"/>
      <c r="F331" s="43"/>
    </row>
    <row r="332" spans="4:6" x14ac:dyDescent="0.3">
      <c r="D332" s="43"/>
      <c r="E332" s="43"/>
      <c r="F332" s="43"/>
    </row>
    <row r="333" spans="4:6" x14ac:dyDescent="0.3">
      <c r="D333" s="43"/>
      <c r="E333" s="43"/>
      <c r="F333" s="43"/>
    </row>
    <row r="334" spans="4:6" x14ac:dyDescent="0.3">
      <c r="D334" s="43"/>
      <c r="E334" s="43"/>
      <c r="F334" s="43"/>
    </row>
    <row r="335" spans="4:6" x14ac:dyDescent="0.3">
      <c r="D335" s="43"/>
      <c r="E335" s="43"/>
      <c r="F335" s="43"/>
    </row>
    <row r="336" spans="4:6" x14ac:dyDescent="0.3">
      <c r="D336" s="43"/>
      <c r="E336" s="43"/>
      <c r="F336" s="43"/>
    </row>
    <row r="337" spans="4:6" x14ac:dyDescent="0.3">
      <c r="D337" s="43"/>
      <c r="E337" s="43"/>
      <c r="F337" s="43"/>
    </row>
    <row r="338" spans="4:6" x14ac:dyDescent="0.3">
      <c r="D338" s="43"/>
      <c r="E338" s="43"/>
      <c r="F338" s="43"/>
    </row>
    <row r="339" spans="4:6" x14ac:dyDescent="0.3">
      <c r="D339" s="43"/>
      <c r="E339" s="43"/>
      <c r="F339" s="43"/>
    </row>
    <row r="340" spans="4:6" x14ac:dyDescent="0.3">
      <c r="D340" s="43"/>
      <c r="E340" s="43"/>
      <c r="F340" s="43"/>
    </row>
    <row r="341" spans="4:6" x14ac:dyDescent="0.3">
      <c r="D341" s="43"/>
      <c r="E341" s="43"/>
      <c r="F341" s="43"/>
    </row>
    <row r="342" spans="4:6" x14ac:dyDescent="0.3">
      <c r="D342" s="43"/>
      <c r="E342" s="43"/>
      <c r="F342" s="43"/>
    </row>
    <row r="343" spans="4:6" x14ac:dyDescent="0.3">
      <c r="D343" s="43"/>
      <c r="E343" s="43"/>
      <c r="F343" s="43"/>
    </row>
    <row r="344" spans="4:6" x14ac:dyDescent="0.3">
      <c r="D344" s="43"/>
      <c r="E344" s="43"/>
      <c r="F344" s="43"/>
    </row>
    <row r="345" spans="4:6" x14ac:dyDescent="0.3">
      <c r="D345" s="43"/>
      <c r="E345" s="43"/>
      <c r="F345" s="43"/>
    </row>
    <row r="346" spans="4:6" x14ac:dyDescent="0.3">
      <c r="D346" s="43"/>
      <c r="E346" s="43"/>
      <c r="F346" s="43"/>
    </row>
    <row r="347" spans="4:6" x14ac:dyDescent="0.3">
      <c r="D347" s="43"/>
      <c r="E347" s="43"/>
      <c r="F347" s="43"/>
    </row>
    <row r="348" spans="4:6" x14ac:dyDescent="0.3">
      <c r="D348" s="43"/>
      <c r="E348" s="43"/>
      <c r="F348" s="43"/>
    </row>
    <row r="349" spans="4:6" x14ac:dyDescent="0.3">
      <c r="D349" s="43"/>
      <c r="E349" s="43"/>
      <c r="F349" s="43"/>
    </row>
    <row r="350" spans="4:6" x14ac:dyDescent="0.3">
      <c r="D350" s="43"/>
      <c r="E350" s="43"/>
      <c r="F350" s="43"/>
    </row>
    <row r="351" spans="4:6" x14ac:dyDescent="0.3">
      <c r="D351" s="43"/>
      <c r="E351" s="43"/>
      <c r="F351" s="43"/>
    </row>
    <row r="352" spans="4:6" x14ac:dyDescent="0.3">
      <c r="D352" s="43"/>
      <c r="E352" s="43"/>
      <c r="F352" s="43"/>
    </row>
    <row r="353" spans="4:6" x14ac:dyDescent="0.3">
      <c r="D353" s="43"/>
      <c r="E353" s="43"/>
      <c r="F353" s="43"/>
    </row>
    <row r="354" spans="4:6" x14ac:dyDescent="0.3">
      <c r="D354" s="43"/>
      <c r="E354" s="43"/>
      <c r="F354" s="43"/>
    </row>
    <row r="355" spans="4:6" x14ac:dyDescent="0.3">
      <c r="D355" s="43"/>
      <c r="E355" s="43"/>
      <c r="F355" s="43"/>
    </row>
    <row r="356" spans="4:6" x14ac:dyDescent="0.3">
      <c r="D356" s="43"/>
      <c r="E356" s="43"/>
      <c r="F356" s="43"/>
    </row>
    <row r="357" spans="4:6" x14ac:dyDescent="0.3">
      <c r="D357" s="43"/>
      <c r="E357" s="43"/>
      <c r="F357" s="43"/>
    </row>
    <row r="358" spans="4:6" x14ac:dyDescent="0.3">
      <c r="D358" s="43"/>
      <c r="E358" s="43"/>
      <c r="F358" s="43"/>
    </row>
    <row r="359" spans="4:6" x14ac:dyDescent="0.3">
      <c r="D359" s="43"/>
      <c r="E359" s="43"/>
      <c r="F359" s="43"/>
    </row>
    <row r="360" spans="4:6" x14ac:dyDescent="0.3">
      <c r="D360" s="43"/>
      <c r="E360" s="43"/>
      <c r="F360" s="43"/>
    </row>
    <row r="361" spans="4:6" x14ac:dyDescent="0.3">
      <c r="D361" s="43"/>
      <c r="E361" s="43"/>
      <c r="F361" s="43"/>
    </row>
    <row r="362" spans="4:6" x14ac:dyDescent="0.3">
      <c r="D362" s="43"/>
      <c r="E362" s="43"/>
      <c r="F362" s="43"/>
    </row>
    <row r="363" spans="4:6" x14ac:dyDescent="0.3">
      <c r="D363" s="43"/>
      <c r="E363" s="43"/>
      <c r="F363" s="43"/>
    </row>
    <row r="364" spans="4:6" x14ac:dyDescent="0.3">
      <c r="D364" s="43"/>
      <c r="E364" s="43"/>
      <c r="F364" s="43"/>
    </row>
    <row r="365" spans="4:6" x14ac:dyDescent="0.3">
      <c r="D365" s="43"/>
      <c r="E365" s="43"/>
      <c r="F365" s="43"/>
    </row>
    <row r="366" spans="4:6" x14ac:dyDescent="0.3">
      <c r="D366" s="43"/>
      <c r="E366" s="43"/>
      <c r="F366" s="43"/>
    </row>
    <row r="367" spans="4:6" x14ac:dyDescent="0.3">
      <c r="D367" s="43"/>
      <c r="E367" s="43"/>
      <c r="F367" s="43"/>
    </row>
    <row r="368" spans="4:6" x14ac:dyDescent="0.3">
      <c r="D368" s="43"/>
      <c r="E368" s="43"/>
      <c r="F368" s="43"/>
    </row>
    <row r="369" spans="4:6" x14ac:dyDescent="0.3">
      <c r="D369" s="43"/>
      <c r="E369" s="43"/>
      <c r="F369" s="43"/>
    </row>
    <row r="370" spans="4:6" x14ac:dyDescent="0.3">
      <c r="D370" s="43"/>
      <c r="E370" s="43"/>
      <c r="F370" s="43"/>
    </row>
    <row r="371" spans="4:6" x14ac:dyDescent="0.3">
      <c r="D371" s="43"/>
      <c r="E371" s="43"/>
      <c r="F371" s="43"/>
    </row>
    <row r="372" spans="4:6" x14ac:dyDescent="0.3">
      <c r="D372" s="43"/>
      <c r="E372" s="43"/>
      <c r="F372" s="43"/>
    </row>
    <row r="373" spans="4:6" x14ac:dyDescent="0.3">
      <c r="D373" s="43"/>
      <c r="E373" s="43"/>
      <c r="F373" s="43"/>
    </row>
    <row r="374" spans="4:6" x14ac:dyDescent="0.3">
      <c r="D374" s="43"/>
      <c r="E374" s="43"/>
      <c r="F374" s="43"/>
    </row>
    <row r="375" spans="4:6" x14ac:dyDescent="0.3">
      <c r="D375" s="43"/>
      <c r="E375" s="43"/>
      <c r="F375" s="43"/>
    </row>
    <row r="376" spans="4:6" x14ac:dyDescent="0.3">
      <c r="D376" s="43"/>
      <c r="E376" s="43"/>
      <c r="F376" s="43"/>
    </row>
    <row r="377" spans="4:6" x14ac:dyDescent="0.3">
      <c r="D377" s="43"/>
      <c r="E377" s="43"/>
      <c r="F377" s="43"/>
    </row>
    <row r="378" spans="4:6" x14ac:dyDescent="0.3">
      <c r="D378" s="43"/>
      <c r="E378" s="43"/>
      <c r="F378" s="43"/>
    </row>
    <row r="379" spans="4:6" x14ac:dyDescent="0.3">
      <c r="D379" s="43"/>
      <c r="E379" s="43"/>
      <c r="F379" s="43"/>
    </row>
    <row r="380" spans="4:6" x14ac:dyDescent="0.3">
      <c r="D380" s="43"/>
      <c r="E380" s="43"/>
      <c r="F380" s="43"/>
    </row>
    <row r="381" spans="4:6" x14ac:dyDescent="0.3">
      <c r="D381" s="43"/>
      <c r="E381" s="43"/>
      <c r="F381" s="43"/>
    </row>
    <row r="382" spans="4:6" x14ac:dyDescent="0.3">
      <c r="D382" s="43"/>
      <c r="E382" s="43"/>
      <c r="F382" s="43"/>
    </row>
    <row r="383" spans="4:6" x14ac:dyDescent="0.3">
      <c r="D383" s="43"/>
      <c r="E383" s="43"/>
      <c r="F383" s="43"/>
    </row>
    <row r="384" spans="4:6" x14ac:dyDescent="0.3">
      <c r="D384" s="43"/>
      <c r="E384" s="43"/>
      <c r="F384" s="43"/>
    </row>
    <row r="385" spans="4:6" x14ac:dyDescent="0.3">
      <c r="D385" s="43"/>
      <c r="E385" s="43"/>
      <c r="F385" s="43"/>
    </row>
    <row r="386" spans="4:6" x14ac:dyDescent="0.3">
      <c r="D386" s="43"/>
      <c r="E386" s="43"/>
      <c r="F386" s="43"/>
    </row>
    <row r="387" spans="4:6" x14ac:dyDescent="0.3">
      <c r="D387" s="43"/>
      <c r="E387" s="43"/>
      <c r="F387" s="43"/>
    </row>
    <row r="388" spans="4:6" x14ac:dyDescent="0.3">
      <c r="D388" s="43"/>
      <c r="E388" s="43"/>
      <c r="F388" s="43"/>
    </row>
    <row r="389" spans="4:6" x14ac:dyDescent="0.3">
      <c r="D389" s="43"/>
      <c r="E389" s="43"/>
      <c r="F389" s="43"/>
    </row>
    <row r="390" spans="4:6" x14ac:dyDescent="0.3">
      <c r="D390" s="43"/>
      <c r="E390" s="43"/>
      <c r="F390" s="43"/>
    </row>
    <row r="391" spans="4:6" x14ac:dyDescent="0.3">
      <c r="D391" s="43"/>
      <c r="E391" s="43"/>
      <c r="F391" s="43"/>
    </row>
    <row r="392" spans="4:6" x14ac:dyDescent="0.3">
      <c r="D392" s="43"/>
      <c r="E392" s="43"/>
      <c r="F392" s="43"/>
    </row>
    <row r="393" spans="4:6" x14ac:dyDescent="0.3">
      <c r="D393" s="43"/>
      <c r="E393" s="43"/>
      <c r="F393" s="43"/>
    </row>
    <row r="394" spans="4:6" x14ac:dyDescent="0.3">
      <c r="D394" s="43"/>
      <c r="E394" s="43"/>
      <c r="F394" s="43"/>
    </row>
    <row r="395" spans="4:6" x14ac:dyDescent="0.3">
      <c r="D395" s="43"/>
      <c r="E395" s="43"/>
      <c r="F395" s="43"/>
    </row>
    <row r="396" spans="4:6" x14ac:dyDescent="0.3">
      <c r="D396" s="43"/>
      <c r="E396" s="43"/>
      <c r="F396" s="43"/>
    </row>
    <row r="397" spans="4:6" x14ac:dyDescent="0.3">
      <c r="D397" s="43"/>
      <c r="E397" s="43"/>
      <c r="F397" s="43"/>
    </row>
    <row r="398" spans="4:6" x14ac:dyDescent="0.3">
      <c r="D398" s="43"/>
      <c r="E398" s="43"/>
      <c r="F398" s="43"/>
    </row>
    <row r="399" spans="4:6" x14ac:dyDescent="0.3">
      <c r="D399" s="43"/>
      <c r="E399" s="43"/>
      <c r="F399" s="43"/>
    </row>
    <row r="400" spans="4:6" x14ac:dyDescent="0.3">
      <c r="D400" s="43"/>
      <c r="E400" s="43"/>
      <c r="F400" s="43"/>
    </row>
    <row r="401" spans="4:6" x14ac:dyDescent="0.3">
      <c r="D401" s="43"/>
      <c r="E401" s="43"/>
      <c r="F401" s="43"/>
    </row>
    <row r="402" spans="4:6" x14ac:dyDescent="0.3">
      <c r="D402" s="43"/>
      <c r="E402" s="43"/>
      <c r="F402" s="43"/>
    </row>
    <row r="403" spans="4:6" x14ac:dyDescent="0.3">
      <c r="D403" s="43"/>
      <c r="E403" s="43"/>
      <c r="F403" s="43"/>
    </row>
    <row r="404" spans="4:6" x14ac:dyDescent="0.3">
      <c r="D404" s="43"/>
      <c r="E404" s="43"/>
      <c r="F404" s="43"/>
    </row>
    <row r="405" spans="4:6" x14ac:dyDescent="0.3">
      <c r="D405" s="43"/>
      <c r="E405" s="43"/>
      <c r="F405" s="43"/>
    </row>
    <row r="406" spans="4:6" x14ac:dyDescent="0.3">
      <c r="D406" s="43"/>
      <c r="E406" s="43"/>
      <c r="F406" s="43"/>
    </row>
    <row r="407" spans="4:6" x14ac:dyDescent="0.3">
      <c r="D407" s="43"/>
      <c r="E407" s="43"/>
      <c r="F407" s="43"/>
    </row>
    <row r="408" spans="4:6" x14ac:dyDescent="0.3">
      <c r="D408" s="43"/>
      <c r="E408" s="43"/>
      <c r="F408" s="43"/>
    </row>
    <row r="409" spans="4:6" x14ac:dyDescent="0.3">
      <c r="D409" s="43"/>
      <c r="E409" s="43"/>
      <c r="F409" s="43"/>
    </row>
    <row r="410" spans="4:6" x14ac:dyDescent="0.3">
      <c r="D410" s="43"/>
      <c r="E410" s="43"/>
      <c r="F410" s="43"/>
    </row>
    <row r="411" spans="4:6" x14ac:dyDescent="0.3">
      <c r="D411" s="43"/>
      <c r="E411" s="43"/>
      <c r="F411" s="43"/>
    </row>
    <row r="412" spans="4:6" x14ac:dyDescent="0.3">
      <c r="D412" s="43"/>
      <c r="E412" s="43"/>
      <c r="F412" s="43"/>
    </row>
    <row r="413" spans="4:6" x14ac:dyDescent="0.3">
      <c r="D413" s="43"/>
      <c r="E413" s="43"/>
      <c r="F413" s="43"/>
    </row>
    <row r="414" spans="4:6" x14ac:dyDescent="0.3">
      <c r="D414" s="43"/>
      <c r="E414" s="43"/>
      <c r="F414" s="43"/>
    </row>
    <row r="415" spans="4:6" x14ac:dyDescent="0.3">
      <c r="D415" s="43"/>
      <c r="E415" s="43"/>
      <c r="F415" s="43"/>
    </row>
    <row r="416" spans="4:6" x14ac:dyDescent="0.3">
      <c r="D416" s="43"/>
      <c r="E416" s="43"/>
      <c r="F416" s="43"/>
    </row>
    <row r="417" spans="4:6" x14ac:dyDescent="0.3">
      <c r="D417" s="43"/>
      <c r="E417" s="43"/>
      <c r="F417" s="43"/>
    </row>
    <row r="418" spans="4:6" x14ac:dyDescent="0.3">
      <c r="D418" s="43"/>
      <c r="E418" s="43"/>
      <c r="F418" s="43"/>
    </row>
    <row r="419" spans="4:6" x14ac:dyDescent="0.3">
      <c r="D419" s="43"/>
      <c r="E419" s="43"/>
      <c r="F419" s="43"/>
    </row>
    <row r="420" spans="4:6" x14ac:dyDescent="0.3">
      <c r="D420" s="43"/>
      <c r="E420" s="43"/>
      <c r="F420" s="43"/>
    </row>
    <row r="421" spans="4:6" x14ac:dyDescent="0.3">
      <c r="D421" s="43"/>
      <c r="E421" s="43"/>
      <c r="F421" s="43"/>
    </row>
    <row r="422" spans="4:6" x14ac:dyDescent="0.3">
      <c r="D422" s="43"/>
      <c r="E422" s="43"/>
      <c r="F422" s="43"/>
    </row>
    <row r="423" spans="4:6" x14ac:dyDescent="0.3">
      <c r="D423" s="43"/>
      <c r="E423" s="43"/>
      <c r="F423" s="43"/>
    </row>
    <row r="424" spans="4:6" x14ac:dyDescent="0.3">
      <c r="D424" s="43"/>
      <c r="E424" s="43"/>
      <c r="F424" s="43"/>
    </row>
    <row r="425" spans="4:6" x14ac:dyDescent="0.3">
      <c r="D425" s="43"/>
      <c r="E425" s="43"/>
      <c r="F425" s="43"/>
    </row>
    <row r="426" spans="4:6" x14ac:dyDescent="0.3">
      <c r="D426" s="43"/>
      <c r="E426" s="43"/>
      <c r="F426" s="43"/>
    </row>
    <row r="427" spans="4:6" x14ac:dyDescent="0.3">
      <c r="D427" s="43"/>
      <c r="E427" s="43"/>
      <c r="F427" s="43"/>
    </row>
    <row r="428" spans="4:6" x14ac:dyDescent="0.3">
      <c r="D428" s="43"/>
      <c r="E428" s="43"/>
      <c r="F428" s="43"/>
    </row>
    <row r="429" spans="4:6" x14ac:dyDescent="0.3">
      <c r="D429" s="43"/>
      <c r="E429" s="43"/>
      <c r="F429" s="43"/>
    </row>
    <row r="430" spans="4:6" x14ac:dyDescent="0.3">
      <c r="D430" s="43"/>
      <c r="E430" s="43"/>
      <c r="F430" s="43"/>
    </row>
    <row r="431" spans="4:6" x14ac:dyDescent="0.3">
      <c r="D431" s="43"/>
      <c r="E431" s="43"/>
      <c r="F431" s="43"/>
    </row>
    <row r="432" spans="4:6" x14ac:dyDescent="0.3">
      <c r="D432" s="43"/>
      <c r="E432" s="43"/>
      <c r="F432" s="43"/>
    </row>
    <row r="433" spans="4:6" x14ac:dyDescent="0.3">
      <c r="D433" s="43"/>
      <c r="E433" s="43"/>
      <c r="F433" s="43"/>
    </row>
    <row r="434" spans="4:6" x14ac:dyDescent="0.3">
      <c r="D434" s="43"/>
      <c r="E434" s="43"/>
      <c r="F434" s="43"/>
    </row>
    <row r="435" spans="4:6" x14ac:dyDescent="0.3">
      <c r="D435" s="43"/>
      <c r="E435" s="43"/>
      <c r="F435" s="43"/>
    </row>
    <row r="436" spans="4:6" x14ac:dyDescent="0.3">
      <c r="D436" s="43"/>
      <c r="E436" s="43"/>
      <c r="F436" s="43"/>
    </row>
    <row r="437" spans="4:6" x14ac:dyDescent="0.3">
      <c r="D437" s="43"/>
      <c r="E437" s="43"/>
      <c r="F437" s="43"/>
    </row>
    <row r="438" spans="4:6" x14ac:dyDescent="0.3">
      <c r="D438" s="43"/>
      <c r="E438" s="43"/>
      <c r="F438" s="43"/>
    </row>
    <row r="439" spans="4:6" x14ac:dyDescent="0.3">
      <c r="D439" s="43"/>
      <c r="E439" s="43"/>
      <c r="F439" s="43"/>
    </row>
    <row r="440" spans="4:6" x14ac:dyDescent="0.3">
      <c r="D440" s="43"/>
      <c r="E440" s="43"/>
      <c r="F440" s="43"/>
    </row>
    <row r="441" spans="4:6" x14ac:dyDescent="0.3">
      <c r="D441" s="43"/>
      <c r="E441" s="43"/>
      <c r="F441" s="43"/>
    </row>
    <row r="442" spans="4:6" x14ac:dyDescent="0.3">
      <c r="D442" s="43"/>
      <c r="E442" s="43"/>
      <c r="F442" s="43"/>
    </row>
    <row r="443" spans="4:6" x14ac:dyDescent="0.3">
      <c r="D443" s="43"/>
      <c r="E443" s="43"/>
      <c r="F443" s="43"/>
    </row>
    <row r="444" spans="4:6" x14ac:dyDescent="0.3">
      <c r="D444" s="43"/>
      <c r="E444" s="43"/>
      <c r="F444" s="43"/>
    </row>
    <row r="445" spans="4:6" x14ac:dyDescent="0.3">
      <c r="D445" s="43"/>
      <c r="E445" s="43"/>
      <c r="F445" s="43"/>
    </row>
    <row r="446" spans="4:6" x14ac:dyDescent="0.3">
      <c r="D446" s="43"/>
      <c r="E446" s="43"/>
      <c r="F446" s="43"/>
    </row>
    <row r="447" spans="4:6" x14ac:dyDescent="0.3">
      <c r="D447" s="43"/>
      <c r="E447" s="43"/>
      <c r="F447" s="43"/>
    </row>
    <row r="448" spans="4:6" x14ac:dyDescent="0.3">
      <c r="D448" s="43"/>
      <c r="E448" s="43"/>
      <c r="F448" s="43"/>
    </row>
    <row r="449" spans="4:6" x14ac:dyDescent="0.3">
      <c r="D449" s="43"/>
      <c r="E449" s="43"/>
      <c r="F449" s="43"/>
    </row>
    <row r="450" spans="4:6" x14ac:dyDescent="0.3">
      <c r="D450" s="43"/>
      <c r="E450" s="43"/>
      <c r="F450" s="43"/>
    </row>
    <row r="451" spans="4:6" x14ac:dyDescent="0.3">
      <c r="D451" s="43"/>
      <c r="E451" s="43"/>
      <c r="F451" s="43"/>
    </row>
    <row r="452" spans="4:6" x14ac:dyDescent="0.3">
      <c r="D452" s="43"/>
      <c r="E452" s="43"/>
      <c r="F452" s="43"/>
    </row>
    <row r="453" spans="4:6" x14ac:dyDescent="0.3">
      <c r="D453" s="43"/>
      <c r="E453" s="43"/>
      <c r="F453" s="43"/>
    </row>
    <row r="454" spans="4:6" x14ac:dyDescent="0.3">
      <c r="D454" s="43"/>
      <c r="E454" s="43"/>
      <c r="F454" s="43"/>
    </row>
    <row r="455" spans="4:6" x14ac:dyDescent="0.3">
      <c r="D455" s="43"/>
      <c r="E455" s="43"/>
      <c r="F455" s="43"/>
    </row>
    <row r="456" spans="4:6" x14ac:dyDescent="0.3">
      <c r="D456" s="43"/>
      <c r="E456" s="43"/>
      <c r="F456" s="43"/>
    </row>
    <row r="457" spans="4:6" x14ac:dyDescent="0.3">
      <c r="D457" s="43"/>
      <c r="E457" s="43"/>
      <c r="F457" s="43"/>
    </row>
    <row r="458" spans="4:6" x14ac:dyDescent="0.3">
      <c r="D458" s="43"/>
      <c r="E458" s="43"/>
      <c r="F458" s="43"/>
    </row>
    <row r="459" spans="4:6" x14ac:dyDescent="0.3">
      <c r="D459" s="43"/>
      <c r="E459" s="43"/>
      <c r="F459" s="43"/>
    </row>
    <row r="460" spans="4:6" x14ac:dyDescent="0.3">
      <c r="D460" s="43"/>
      <c r="E460" s="43"/>
      <c r="F460" s="43"/>
    </row>
    <row r="461" spans="4:6" x14ac:dyDescent="0.3">
      <c r="D461" s="43"/>
      <c r="E461" s="43"/>
      <c r="F461" s="43"/>
    </row>
    <row r="462" spans="4:6" x14ac:dyDescent="0.3">
      <c r="D462" s="43"/>
      <c r="E462" s="43"/>
      <c r="F462" s="43"/>
    </row>
    <row r="463" spans="4:6" x14ac:dyDescent="0.3">
      <c r="D463" s="43"/>
      <c r="E463" s="43"/>
      <c r="F463" s="43"/>
    </row>
    <row r="464" spans="4:6" x14ac:dyDescent="0.3">
      <c r="D464" s="43"/>
      <c r="E464" s="43"/>
      <c r="F464" s="43"/>
    </row>
    <row r="465" spans="4:6" x14ac:dyDescent="0.3">
      <c r="D465" s="43"/>
      <c r="E465" s="43"/>
      <c r="F465" s="43"/>
    </row>
    <row r="466" spans="4:6" x14ac:dyDescent="0.3">
      <c r="D466" s="43"/>
      <c r="E466" s="43"/>
      <c r="F466" s="43"/>
    </row>
    <row r="467" spans="4:6" x14ac:dyDescent="0.3">
      <c r="D467" s="43"/>
      <c r="E467" s="43"/>
      <c r="F467" s="43"/>
    </row>
    <row r="468" spans="4:6" x14ac:dyDescent="0.3">
      <c r="D468" s="43"/>
      <c r="E468" s="43"/>
      <c r="F468" s="43"/>
    </row>
    <row r="469" spans="4:6" x14ac:dyDescent="0.3">
      <c r="D469" s="43"/>
      <c r="E469" s="43"/>
      <c r="F469" s="43"/>
    </row>
    <row r="470" spans="4:6" x14ac:dyDescent="0.3">
      <c r="D470" s="43"/>
      <c r="E470" s="43"/>
      <c r="F470" s="43"/>
    </row>
    <row r="471" spans="4:6" x14ac:dyDescent="0.3">
      <c r="D471" s="43"/>
      <c r="E471" s="43"/>
      <c r="F471" s="43"/>
    </row>
    <row r="472" spans="4:6" x14ac:dyDescent="0.3">
      <c r="D472" s="43"/>
      <c r="E472" s="43"/>
      <c r="F472" s="43"/>
    </row>
    <row r="473" spans="4:6" x14ac:dyDescent="0.3">
      <c r="D473" s="43"/>
      <c r="E473" s="43"/>
      <c r="F473" s="43"/>
    </row>
  </sheetData>
  <sheetProtection selectLockedCells="1"/>
  <hyperlinks>
    <hyperlink ref="A1" location="Sheet1!A1" display="Sheet1!A1"/>
  </hyperlinks>
  <pageMargins left="0.7" right="0.7" top="0.75" bottom="0.75" header="0.3" footer="0.3"/>
  <pageSetup orientation="portrait" r:id="rId2"/>
  <drawing r:id="rId3"/>
  <webPublishItems count="1">
    <webPublishItem id="21143" divId="menu01-4_21143" sourceType="sheet" destinationFile="C:\Users\jbravof\Google Drive\WebSites\webspace\files\tablas\menu01-4.mht" autoRepublish="1"/>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91"/>
  <sheetViews>
    <sheetView tabSelected="1" topLeftCell="A9" workbookViewId="0">
      <selection activeCell="F9" sqref="F9:R91"/>
    </sheetView>
  </sheetViews>
  <sheetFormatPr defaultRowHeight="14.4" x14ac:dyDescent="0.3"/>
  <cols>
    <col min="2" max="2" width="14.6640625" bestFit="1" customWidth="1"/>
    <col min="5" max="5" width="10.5546875" bestFit="1" customWidth="1"/>
    <col min="7" max="7" width="9.5546875" bestFit="1" customWidth="1"/>
    <col min="11" max="12" width="12" style="28" bestFit="1" customWidth="1"/>
    <col min="13" max="13" width="12" style="29" customWidth="1"/>
    <col min="14" max="14" width="11.5546875" style="27" bestFit="1" customWidth="1"/>
    <col min="15" max="15" width="9.5546875" style="7" bestFit="1" customWidth="1"/>
    <col min="16" max="16" width="13.6640625" style="25" bestFit="1" customWidth="1"/>
    <col min="17" max="17" width="13.6640625" style="26" bestFit="1" customWidth="1"/>
    <col min="18" max="18" width="13.6640625" style="25" customWidth="1"/>
    <col min="19" max="19" width="10.77734375" bestFit="1" customWidth="1"/>
    <col min="21" max="21" width="14.6640625" bestFit="1" customWidth="1"/>
  </cols>
  <sheetData>
    <row r="1" spans="1:18" x14ac:dyDescent="0.3">
      <c r="A1" t="s">
        <v>25</v>
      </c>
      <c r="B1" s="25">
        <v>200000000</v>
      </c>
    </row>
    <row r="2" spans="1:18" x14ac:dyDescent="0.3">
      <c r="A2" t="s">
        <v>26</v>
      </c>
      <c r="B2" t="s">
        <v>18</v>
      </c>
    </row>
    <row r="3" spans="1:18" x14ac:dyDescent="0.3">
      <c r="A3" t="s">
        <v>32</v>
      </c>
      <c r="B3">
        <f>Plan!R2</f>
        <v>14</v>
      </c>
      <c r="C3" s="7"/>
    </row>
    <row r="4" spans="1:18" x14ac:dyDescent="0.3">
      <c r="A4" t="s">
        <v>24</v>
      </c>
      <c r="B4">
        <v>0.1</v>
      </c>
      <c r="C4" s="7"/>
    </row>
    <row r="6" spans="1:18" x14ac:dyDescent="0.3">
      <c r="C6" s="7"/>
    </row>
    <row r="7" spans="1:18" x14ac:dyDescent="0.3">
      <c r="C7" s="7"/>
    </row>
    <row r="8" spans="1:18" x14ac:dyDescent="0.3">
      <c r="C8" s="7"/>
      <c r="F8" t="s">
        <v>8</v>
      </c>
      <c r="G8" t="s">
        <v>13</v>
      </c>
      <c r="H8" t="s">
        <v>9</v>
      </c>
      <c r="I8" t="s">
        <v>10</v>
      </c>
      <c r="J8" t="s">
        <v>11</v>
      </c>
      <c r="K8" s="19" t="s">
        <v>12</v>
      </c>
      <c r="L8" s="19" t="s">
        <v>14</v>
      </c>
      <c r="M8" s="30" t="s">
        <v>20</v>
      </c>
      <c r="N8" s="27" t="s">
        <v>21</v>
      </c>
      <c r="O8" s="7" t="s">
        <v>22</v>
      </c>
      <c r="P8" s="26" t="s">
        <v>27</v>
      </c>
      <c r="Q8" s="7" t="s">
        <v>28</v>
      </c>
      <c r="R8" s="25" t="s">
        <v>29</v>
      </c>
    </row>
    <row r="9" spans="1:18" x14ac:dyDescent="0.3">
      <c r="F9">
        <v>1</v>
      </c>
      <c r="G9" s="7">
        <v>36526</v>
      </c>
      <c r="H9" s="9">
        <f>DAY(Table2[[#This Row],[date]])</f>
        <v>1</v>
      </c>
      <c r="I9" s="9">
        <f>MONTH(Table2[[#This Row],[date]])</f>
        <v>1</v>
      </c>
      <c r="J9" s="9">
        <f>YEAR(G9)</f>
        <v>2000</v>
      </c>
      <c r="K9" s="33">
        <f>WEEKNUM(Table2[[#This Row],[date]])</f>
        <v>1</v>
      </c>
      <c r="L9" s="33">
        <f>WEEKDAY(Table2[[#This Row],[date]])</f>
        <v>7</v>
      </c>
      <c r="M9" s="34">
        <f>_xlfn.NORM.DIST(Table2[[#This Row],[index]],41.5,$B$3,FALSE)</f>
        <v>4.3406898394638782E-4</v>
      </c>
      <c r="N9" s="27">
        <f>+Table2[[#This Row],[ratio]]*$B$1</f>
        <v>86813.796789277563</v>
      </c>
      <c r="O9" s="7">
        <f>IF(D3=1,C2,(CONCATENATE(Table2[[#This Row],[month]]+1,$B$2,1,$B$2,Table2[[#This Row],[year]]))-1)</f>
        <v>36556</v>
      </c>
      <c r="P9" s="35">
        <f>Table2[[#This Row],[monthend]]+20</f>
        <v>36576</v>
      </c>
      <c r="Q9" s="35">
        <f>Table2[[#This Row],[payment]] + 10</f>
        <v>36586</v>
      </c>
      <c r="R9" s="36">
        <f>Table2[[#This Row],[revenue]]*0.9</f>
        <v>78132.417110349808</v>
      </c>
    </row>
    <row r="10" spans="1:18" x14ac:dyDescent="0.3">
      <c r="F10">
        <f t="shared" ref="F10:F41" si="0">F9 +1</f>
        <v>2</v>
      </c>
      <c r="G10" s="7">
        <f t="shared" ref="G10:G41" si="1">G9 +1</f>
        <v>36527</v>
      </c>
      <c r="H10" s="9">
        <f>DAY(Table2[[#This Row],[date]])</f>
        <v>2</v>
      </c>
      <c r="I10" s="9">
        <f>MONTH(Table2[[#This Row],[date]])</f>
        <v>1</v>
      </c>
      <c r="J10" s="9">
        <f t="shared" ref="J10:J41" si="2">YEAR(G10)</f>
        <v>2000</v>
      </c>
      <c r="K10" s="28">
        <f>WEEKNUM(Table2[[#This Row],[date]])</f>
        <v>2</v>
      </c>
      <c r="L10" s="28">
        <f>WEEKDAY(Table2[[#This Row],[date]])</f>
        <v>1</v>
      </c>
      <c r="M10" s="29">
        <f>_xlfn.NORM.DIST(Table2[[#This Row],[index]],41.5,$B$3,FALSE)</f>
        <v>5.3234144815713193E-4</v>
      </c>
      <c r="N10" s="27">
        <f>+Table2[[#This Row],[ratio]]*$B$1</f>
        <v>106468.28963142639</v>
      </c>
      <c r="O10" s="7">
        <f>IF(D4=1,C3,(CONCATENATE(Table2[[#This Row],[month]]+1,$B$2,1,$B$2,Table2[[#This Row],[year]]))-1)</f>
        <v>36556</v>
      </c>
      <c r="P10" s="26">
        <f>Table2[[#This Row],[monthend]]+20</f>
        <v>36576</v>
      </c>
      <c r="Q10" s="26">
        <f>Table2[[#This Row],[payment]] + 10</f>
        <v>36586</v>
      </c>
      <c r="R10" s="40">
        <f>Table2[[#This Row],[revenue]]*0.9</f>
        <v>95821.460668283762</v>
      </c>
    </row>
    <row r="11" spans="1:18" x14ac:dyDescent="0.3">
      <c r="F11">
        <f t="shared" si="0"/>
        <v>3</v>
      </c>
      <c r="G11" s="7">
        <f t="shared" si="1"/>
        <v>36528</v>
      </c>
      <c r="H11" s="9">
        <f>DAY(Table2[[#This Row],[date]])</f>
        <v>3</v>
      </c>
      <c r="I11" s="9">
        <f>MONTH(Table2[[#This Row],[date]])</f>
        <v>1</v>
      </c>
      <c r="J11" s="9">
        <f t="shared" si="2"/>
        <v>2000</v>
      </c>
      <c r="K11" s="28">
        <f>WEEKNUM(Table2[[#This Row],[date]])</f>
        <v>2</v>
      </c>
      <c r="L11" s="28">
        <f>WEEKDAY(Table2[[#This Row],[date]])</f>
        <v>2</v>
      </c>
      <c r="M11" s="29">
        <f>_xlfn.NORM.DIST(Table2[[#This Row],[index]],41.5,$B$3,FALSE)</f>
        <v>6.4954017868507519E-4</v>
      </c>
      <c r="N11" s="27">
        <f>+Table2[[#This Row],[ratio]]*$B$1</f>
        <v>129908.03573701505</v>
      </c>
      <c r="O11" s="7">
        <f>IF(D5=1,C4,(CONCATENATE(Table2[[#This Row],[month]]+1,$B$2,1,$B$2,Table2[[#This Row],[year]]))-1)</f>
        <v>36556</v>
      </c>
      <c r="P11" s="26">
        <f>Table2[[#This Row],[monthend]]+20</f>
        <v>36576</v>
      </c>
      <c r="Q11" s="26">
        <f>Table2[[#This Row],[payment]] + 10</f>
        <v>36586</v>
      </c>
      <c r="R11" s="40">
        <f>Table2[[#This Row],[revenue]]*0.9</f>
        <v>116917.23216331354</v>
      </c>
    </row>
    <row r="12" spans="1:18" x14ac:dyDescent="0.3">
      <c r="F12">
        <f t="shared" si="0"/>
        <v>4</v>
      </c>
      <c r="G12" s="7">
        <f t="shared" si="1"/>
        <v>36529</v>
      </c>
      <c r="H12" s="9">
        <f>DAY(Table2[[#This Row],[date]])</f>
        <v>4</v>
      </c>
      <c r="I12" s="9">
        <f>MONTH(Table2[[#This Row],[date]])</f>
        <v>1</v>
      </c>
      <c r="J12" s="9">
        <f t="shared" si="2"/>
        <v>2000</v>
      </c>
      <c r="K12" s="28">
        <f>WEEKNUM(Table2[[#This Row],[date]])</f>
        <v>2</v>
      </c>
      <c r="L12" s="28">
        <f>WEEKDAY(Table2[[#This Row],[date]])</f>
        <v>3</v>
      </c>
      <c r="M12" s="29">
        <f>_xlfn.NORM.DIST(Table2[[#This Row],[index]],41.5,$B$3,FALSE)</f>
        <v>7.8850775869023925E-4</v>
      </c>
      <c r="N12" s="27">
        <f>+Table2[[#This Row],[ratio]]*$B$1</f>
        <v>157701.55173804786</v>
      </c>
      <c r="O12" s="7">
        <f>IF(D6=1,C5,(CONCATENATE(Table2[[#This Row],[month]]+1,$B$2,1,$B$2,Table2[[#This Row],[year]]))-1)</f>
        <v>36556</v>
      </c>
      <c r="P12" s="26">
        <f>Table2[[#This Row],[monthend]]+20</f>
        <v>36576</v>
      </c>
      <c r="Q12" s="26">
        <f>Table2[[#This Row],[payment]] + 10</f>
        <v>36586</v>
      </c>
      <c r="R12" s="40">
        <f>Table2[[#This Row],[revenue]]*0.9</f>
        <v>141931.39656424307</v>
      </c>
    </row>
    <row r="13" spans="1:18" x14ac:dyDescent="0.3">
      <c r="F13">
        <f t="shared" si="0"/>
        <v>5</v>
      </c>
      <c r="G13" s="7">
        <f t="shared" si="1"/>
        <v>36530</v>
      </c>
      <c r="H13" s="9">
        <f>DAY(Table2[[#This Row],[date]])</f>
        <v>5</v>
      </c>
      <c r="I13" s="9">
        <f>MONTH(Table2[[#This Row],[date]])</f>
        <v>1</v>
      </c>
      <c r="J13" s="9">
        <f t="shared" si="2"/>
        <v>2000</v>
      </c>
      <c r="K13" s="28">
        <f>WEEKNUM(Table2[[#This Row],[date]])</f>
        <v>2</v>
      </c>
      <c r="L13" s="28">
        <f>WEEKDAY(Table2[[#This Row],[date]])</f>
        <v>4</v>
      </c>
      <c r="M13" s="29">
        <f>_xlfn.NORM.DIST(Table2[[#This Row],[index]],41.5,$B$3,FALSE)</f>
        <v>9.5233585016906764E-4</v>
      </c>
      <c r="N13" s="27">
        <f>+Table2[[#This Row],[ratio]]*$B$1</f>
        <v>190467.17003381354</v>
      </c>
      <c r="O13" s="7">
        <f>IF(D7=1,C6,(CONCATENATE(Table2[[#This Row],[month]]+1,$B$2,1,$B$2,Table2[[#This Row],[year]]))-1)</f>
        <v>36556</v>
      </c>
      <c r="P13" s="26">
        <f>Table2[[#This Row],[monthend]]+20</f>
        <v>36576</v>
      </c>
      <c r="Q13" s="26">
        <f>Table2[[#This Row],[payment]] + 10</f>
        <v>36586</v>
      </c>
      <c r="R13" s="40">
        <f>Table2[[#This Row],[revenue]]*0.9</f>
        <v>171420.4530304322</v>
      </c>
    </row>
    <row r="14" spans="1:18" x14ac:dyDescent="0.3">
      <c r="F14">
        <f t="shared" si="0"/>
        <v>6</v>
      </c>
      <c r="G14" s="7">
        <f t="shared" si="1"/>
        <v>36531</v>
      </c>
      <c r="H14" s="9">
        <f>DAY(Table2[[#This Row],[date]])</f>
        <v>6</v>
      </c>
      <c r="I14" s="9">
        <f>MONTH(Table2[[#This Row],[date]])</f>
        <v>1</v>
      </c>
      <c r="J14" s="9">
        <f t="shared" si="2"/>
        <v>2000</v>
      </c>
      <c r="K14" s="28">
        <f>WEEKNUM(Table2[[#This Row],[date]])</f>
        <v>2</v>
      </c>
      <c r="L14" s="28">
        <f>WEEKDAY(Table2[[#This Row],[date]])</f>
        <v>5</v>
      </c>
      <c r="M14" s="29">
        <f>_xlfn.NORM.DIST(Table2[[#This Row],[index]],41.5,$B$3,FALSE)</f>
        <v>1.1443490348009631E-3</v>
      </c>
      <c r="N14" s="27">
        <f>+Table2[[#This Row],[ratio]]*$B$1</f>
        <v>228869.80696019263</v>
      </c>
      <c r="O14" s="7">
        <f>IF(D8=1,C7,(CONCATENATE(Table2[[#This Row],[month]]+1,$B$2,1,$B$2,Table2[[#This Row],[year]]))-1)</f>
        <v>36556</v>
      </c>
      <c r="P14" s="26">
        <f>Table2[[#This Row],[monthend]]+20</f>
        <v>36576</v>
      </c>
      <c r="Q14" s="26">
        <f>Table2[[#This Row],[payment]] + 10</f>
        <v>36586</v>
      </c>
      <c r="R14" s="40">
        <f>Table2[[#This Row],[revenue]]*0.9</f>
        <v>205982.82626417337</v>
      </c>
    </row>
    <row r="15" spans="1:18" x14ac:dyDescent="0.3">
      <c r="F15">
        <f t="shared" si="0"/>
        <v>7</v>
      </c>
      <c r="G15" s="7">
        <f t="shared" si="1"/>
        <v>36532</v>
      </c>
      <c r="H15" s="9">
        <f>DAY(Table2[[#This Row],[date]])</f>
        <v>7</v>
      </c>
      <c r="I15" s="9">
        <f>MONTH(Table2[[#This Row],[date]])</f>
        <v>1</v>
      </c>
      <c r="J15" s="9">
        <f t="shared" si="2"/>
        <v>2000</v>
      </c>
      <c r="K15" s="28">
        <f>WEEKNUM(Table2[[#This Row],[date]])</f>
        <v>2</v>
      </c>
      <c r="L15" s="28">
        <f>WEEKDAY(Table2[[#This Row],[date]])</f>
        <v>6</v>
      </c>
      <c r="M15" s="29">
        <f>_xlfn.NORM.DIST(Table2[[#This Row],[index]],41.5,$B$3,FALSE)</f>
        <v>1.368078739073009E-3</v>
      </c>
      <c r="N15" s="27">
        <f>+Table2[[#This Row],[ratio]]*$B$1</f>
        <v>273615.74781460181</v>
      </c>
      <c r="O15" s="7">
        <f>IF(D9=1,C8,(CONCATENATE(Table2[[#This Row],[month]]+1,$B$2,1,$B$2,Table2[[#This Row],[year]]))-1)</f>
        <v>36556</v>
      </c>
      <c r="P15" s="26">
        <f>Table2[[#This Row],[monthend]]+20</f>
        <v>36576</v>
      </c>
      <c r="Q15" s="26">
        <f>Table2[[#This Row],[payment]] + 10</f>
        <v>36586</v>
      </c>
      <c r="R15" s="40">
        <f>Table2[[#This Row],[revenue]]*0.9</f>
        <v>246254.17303314165</v>
      </c>
    </row>
    <row r="16" spans="1:18" x14ac:dyDescent="0.3">
      <c r="F16">
        <f t="shared" si="0"/>
        <v>8</v>
      </c>
      <c r="G16" s="7">
        <f t="shared" si="1"/>
        <v>36533</v>
      </c>
      <c r="H16" s="9">
        <f>DAY(Table2[[#This Row],[date]])</f>
        <v>8</v>
      </c>
      <c r="I16" s="9">
        <f>MONTH(Table2[[#This Row],[date]])</f>
        <v>1</v>
      </c>
      <c r="J16" s="9">
        <f t="shared" si="2"/>
        <v>2000</v>
      </c>
      <c r="K16" s="28">
        <f>WEEKNUM(Table2[[#This Row],[date]])</f>
        <v>2</v>
      </c>
      <c r="L16" s="28">
        <f>WEEKDAY(Table2[[#This Row],[date]])</f>
        <v>7</v>
      </c>
      <c r="M16" s="29">
        <f>_xlfn.NORM.DIST(Table2[[#This Row],[index]],41.5,$B$3,FALSE)</f>
        <v>1.627226062727493E-3</v>
      </c>
      <c r="N16" s="27">
        <f>+Table2[[#This Row],[ratio]]*$B$1</f>
        <v>325445.21254549857</v>
      </c>
      <c r="O16" s="7">
        <f>IF(D10=1,C9,(CONCATENATE(Table2[[#This Row],[month]]+1,$B$2,1,$B$2,Table2[[#This Row],[year]]))-1)</f>
        <v>36556</v>
      </c>
      <c r="P16" s="26">
        <f>Table2[[#This Row],[monthend]]+20</f>
        <v>36576</v>
      </c>
      <c r="Q16" s="26">
        <f>Table2[[#This Row],[payment]] + 10</f>
        <v>36586</v>
      </c>
      <c r="R16" s="40">
        <f>Table2[[#This Row],[revenue]]*0.9</f>
        <v>292900.69129094871</v>
      </c>
    </row>
    <row r="17" spans="6:18" x14ac:dyDescent="0.3">
      <c r="F17">
        <f t="shared" si="0"/>
        <v>9</v>
      </c>
      <c r="G17" s="7">
        <f t="shared" si="1"/>
        <v>36534</v>
      </c>
      <c r="H17" s="9">
        <f>DAY(Table2[[#This Row],[date]])</f>
        <v>9</v>
      </c>
      <c r="I17" s="9">
        <f>MONTH(Table2[[#This Row],[date]])</f>
        <v>1</v>
      </c>
      <c r="J17" s="9">
        <f t="shared" si="2"/>
        <v>2000</v>
      </c>
      <c r="K17" s="28">
        <f>WEEKNUM(Table2[[#This Row],[date]])</f>
        <v>3</v>
      </c>
      <c r="L17" s="28">
        <f>WEEKDAY(Table2[[#This Row],[date]])</f>
        <v>1</v>
      </c>
      <c r="M17" s="29">
        <f>_xlfn.NORM.DIST(Table2[[#This Row],[index]],41.5,$B$3,FALSE)</f>
        <v>1.9256125213568268E-3</v>
      </c>
      <c r="N17" s="27">
        <f>+Table2[[#This Row],[ratio]]*$B$1</f>
        <v>385122.50427136535</v>
      </c>
      <c r="O17" s="7">
        <f>IF(D11=1,C10,(CONCATENATE(Table2[[#This Row],[month]]+1,$B$2,1,$B$2,Table2[[#This Row],[year]]))-1)</f>
        <v>36556</v>
      </c>
      <c r="P17" s="26">
        <f>Table2[[#This Row],[monthend]]+20</f>
        <v>36576</v>
      </c>
      <c r="Q17" s="26">
        <f>Table2[[#This Row],[payment]] + 10</f>
        <v>36586</v>
      </c>
      <c r="R17" s="40">
        <f>Table2[[#This Row],[revenue]]*0.9</f>
        <v>346610.25384422881</v>
      </c>
    </row>
    <row r="18" spans="6:18" x14ac:dyDescent="0.3">
      <c r="F18">
        <f t="shared" si="0"/>
        <v>10</v>
      </c>
      <c r="G18" s="7">
        <f t="shared" si="1"/>
        <v>36535</v>
      </c>
      <c r="H18" s="9">
        <f>DAY(Table2[[#This Row],[date]])</f>
        <v>10</v>
      </c>
      <c r="I18" s="9">
        <f>MONTH(Table2[[#This Row],[date]])</f>
        <v>1</v>
      </c>
      <c r="J18" s="9">
        <f t="shared" si="2"/>
        <v>2000</v>
      </c>
      <c r="K18" s="28">
        <f>WEEKNUM(Table2[[#This Row],[date]])</f>
        <v>3</v>
      </c>
      <c r="L18" s="28">
        <f>WEEKDAY(Table2[[#This Row],[date]])</f>
        <v>2</v>
      </c>
      <c r="M18" s="29">
        <f>_xlfn.NORM.DIST(Table2[[#This Row],[index]],41.5,$B$3,FALSE)</f>
        <v>2.2671179882619587E-3</v>
      </c>
      <c r="N18" s="27">
        <f>+Table2[[#This Row],[ratio]]*$B$1</f>
        <v>453423.59765239176</v>
      </c>
      <c r="O18" s="7">
        <f>IF(D12=1,C11,(CONCATENATE(Table2[[#This Row],[month]]+1,$B$2,1,$B$2,Table2[[#This Row],[year]]))-1)</f>
        <v>36556</v>
      </c>
      <c r="P18" s="26">
        <f>Table2[[#This Row],[monthend]]+20</f>
        <v>36576</v>
      </c>
      <c r="Q18" s="26">
        <f>Table2[[#This Row],[payment]] + 10</f>
        <v>36586</v>
      </c>
      <c r="R18" s="40">
        <f>Table2[[#This Row],[revenue]]*0.9</f>
        <v>408081.23788715259</v>
      </c>
    </row>
    <row r="19" spans="6:18" x14ac:dyDescent="0.3">
      <c r="F19">
        <f t="shared" si="0"/>
        <v>11</v>
      </c>
      <c r="G19" s="7">
        <f t="shared" si="1"/>
        <v>36536</v>
      </c>
      <c r="H19" s="9">
        <f>DAY(Table2[[#This Row],[date]])</f>
        <v>11</v>
      </c>
      <c r="I19" s="9">
        <f>MONTH(Table2[[#This Row],[date]])</f>
        <v>1</v>
      </c>
      <c r="J19" s="9">
        <f t="shared" si="2"/>
        <v>2000</v>
      </c>
      <c r="K19" s="28">
        <f>WEEKNUM(Table2[[#This Row],[date]])</f>
        <v>3</v>
      </c>
      <c r="L19" s="28">
        <f>WEEKDAY(Table2[[#This Row],[date]])</f>
        <v>3</v>
      </c>
      <c r="M19" s="29">
        <f>_xlfn.NORM.DIST(Table2[[#This Row],[index]],41.5,$B$3,FALSE)</f>
        <v>2.6556054801163179E-3</v>
      </c>
      <c r="N19" s="27">
        <f>+Table2[[#This Row],[ratio]]*$B$1</f>
        <v>531121.09602326353</v>
      </c>
      <c r="O19" s="7">
        <f>IF(D13=1,C12,(CONCATENATE(Table2[[#This Row],[month]]+1,$B$2,1,$B$2,Table2[[#This Row],[year]]))-1)</f>
        <v>36556</v>
      </c>
      <c r="P19" s="26">
        <f>Table2[[#This Row],[monthend]]+20</f>
        <v>36576</v>
      </c>
      <c r="Q19" s="26">
        <f>Table2[[#This Row],[payment]] + 10</f>
        <v>36586</v>
      </c>
      <c r="R19" s="40">
        <f>Table2[[#This Row],[revenue]]*0.9</f>
        <v>478008.98642093717</v>
      </c>
    </row>
    <row r="20" spans="6:18" x14ac:dyDescent="0.3">
      <c r="F20">
        <f t="shared" si="0"/>
        <v>12</v>
      </c>
      <c r="G20" s="7">
        <f t="shared" si="1"/>
        <v>36537</v>
      </c>
      <c r="H20" s="9">
        <f>DAY(Table2[[#This Row],[date]])</f>
        <v>12</v>
      </c>
      <c r="I20" s="9">
        <f>MONTH(Table2[[#This Row],[date]])</f>
        <v>1</v>
      </c>
      <c r="J20" s="9">
        <f t="shared" si="2"/>
        <v>2000</v>
      </c>
      <c r="K20" s="28">
        <f>WEEKNUM(Table2[[#This Row],[date]])</f>
        <v>3</v>
      </c>
      <c r="L20" s="28">
        <f>WEEKDAY(Table2[[#This Row],[date]])</f>
        <v>4</v>
      </c>
      <c r="M20" s="29">
        <f>_xlfn.NORM.DIST(Table2[[#This Row],[index]],41.5,$B$3,FALSE)</f>
        <v>3.0948328739602007E-3</v>
      </c>
      <c r="N20" s="27">
        <f>+Table2[[#This Row],[ratio]]*$B$1</f>
        <v>618966.57479204016</v>
      </c>
      <c r="O20" s="7">
        <f>IF(D14=1,C13,(CONCATENATE(Table2[[#This Row],[month]]+1,$B$2,1,$B$2,Table2[[#This Row],[year]]))-1)</f>
        <v>36556</v>
      </c>
      <c r="P20" s="26">
        <f>Table2[[#This Row],[monthend]]+20</f>
        <v>36576</v>
      </c>
      <c r="Q20" s="26">
        <f>Table2[[#This Row],[payment]] + 10</f>
        <v>36586</v>
      </c>
      <c r="R20" s="40">
        <f>Table2[[#This Row],[revenue]]*0.9</f>
        <v>557069.91731283616</v>
      </c>
    </row>
    <row r="21" spans="6:18" x14ac:dyDescent="0.3">
      <c r="F21">
        <f t="shared" si="0"/>
        <v>13</v>
      </c>
      <c r="G21" s="7">
        <f t="shared" si="1"/>
        <v>36538</v>
      </c>
      <c r="H21" s="9">
        <f>DAY(Table2[[#This Row],[date]])</f>
        <v>13</v>
      </c>
      <c r="I21" s="9">
        <f>MONTH(Table2[[#This Row],[date]])</f>
        <v>1</v>
      </c>
      <c r="J21" s="9">
        <f t="shared" si="2"/>
        <v>2000</v>
      </c>
      <c r="K21" s="28">
        <f>WEEKNUM(Table2[[#This Row],[date]])</f>
        <v>3</v>
      </c>
      <c r="L21" s="28">
        <f>WEEKDAY(Table2[[#This Row],[date]])</f>
        <v>5</v>
      </c>
      <c r="M21" s="29">
        <f>_xlfn.NORM.DIST(Table2[[#This Row],[index]],41.5,$B$3,FALSE)</f>
        <v>3.5883521631022569E-3</v>
      </c>
      <c r="N21" s="27">
        <f>+Table2[[#This Row],[ratio]]*$B$1</f>
        <v>717670.43262045144</v>
      </c>
      <c r="O21" s="7">
        <f>IF(D15=1,C14,(CONCATENATE(Table2[[#This Row],[month]]+1,$B$2,1,$B$2,Table2[[#This Row],[year]]))-1)</f>
        <v>36556</v>
      </c>
      <c r="P21" s="26">
        <f>Table2[[#This Row],[monthend]]+20</f>
        <v>36576</v>
      </c>
      <c r="Q21" s="26">
        <f>Table2[[#This Row],[payment]] + 10</f>
        <v>36586</v>
      </c>
      <c r="R21" s="40">
        <f>Table2[[#This Row],[revenue]]*0.9</f>
        <v>645903.3893584063</v>
      </c>
    </row>
    <row r="22" spans="6:18" x14ac:dyDescent="0.3">
      <c r="F22">
        <f t="shared" si="0"/>
        <v>14</v>
      </c>
      <c r="G22" s="7">
        <f t="shared" si="1"/>
        <v>36539</v>
      </c>
      <c r="H22" s="9">
        <f>DAY(Table2[[#This Row],[date]])</f>
        <v>14</v>
      </c>
      <c r="I22" s="9">
        <f>MONTH(Table2[[#This Row],[date]])</f>
        <v>1</v>
      </c>
      <c r="J22" s="9">
        <f t="shared" si="2"/>
        <v>2000</v>
      </c>
      <c r="K22" s="28">
        <f>WEEKNUM(Table2[[#This Row],[date]])</f>
        <v>3</v>
      </c>
      <c r="L22" s="28">
        <f>WEEKDAY(Table2[[#This Row],[date]])</f>
        <v>6</v>
      </c>
      <c r="M22" s="29">
        <f>_xlfn.NORM.DIST(Table2[[#This Row],[index]],41.5,$B$3,FALSE)</f>
        <v>4.1393974447109013E-3</v>
      </c>
      <c r="N22" s="27">
        <f>+Table2[[#This Row],[ratio]]*$B$1</f>
        <v>827879.48894218029</v>
      </c>
      <c r="O22" s="7">
        <f>IF(D16=1,C15,(CONCATENATE(Table2[[#This Row],[month]]+1,$B$2,1,$B$2,Table2[[#This Row],[year]]))-1)</f>
        <v>36556</v>
      </c>
      <c r="P22" s="26">
        <f>Table2[[#This Row],[monthend]]+20</f>
        <v>36576</v>
      </c>
      <c r="Q22" s="26">
        <f>Table2[[#This Row],[payment]] + 10</f>
        <v>36586</v>
      </c>
      <c r="R22" s="40">
        <f>Table2[[#This Row],[revenue]]*0.9</f>
        <v>745091.54004796233</v>
      </c>
    </row>
    <row r="23" spans="6:18" x14ac:dyDescent="0.3">
      <c r="F23">
        <f t="shared" si="0"/>
        <v>15</v>
      </c>
      <c r="G23" s="7">
        <f t="shared" si="1"/>
        <v>36540</v>
      </c>
      <c r="H23" s="9">
        <f>DAY(Table2[[#This Row],[date]])</f>
        <v>15</v>
      </c>
      <c r="I23" s="9">
        <f>MONTH(Table2[[#This Row],[date]])</f>
        <v>1</v>
      </c>
      <c r="J23" s="9">
        <f t="shared" si="2"/>
        <v>2000</v>
      </c>
      <c r="K23" s="28">
        <f>WEEKNUM(Table2[[#This Row],[date]])</f>
        <v>3</v>
      </c>
      <c r="L23" s="28">
        <f>WEEKDAY(Table2[[#This Row],[date]])</f>
        <v>7</v>
      </c>
      <c r="M23" s="29">
        <f>_xlfn.NORM.DIST(Table2[[#This Row],[index]],41.5,$B$3,FALSE)</f>
        <v>4.7507634646432977E-3</v>
      </c>
      <c r="N23" s="27">
        <f>+Table2[[#This Row],[ratio]]*$B$1</f>
        <v>950152.6929286595</v>
      </c>
      <c r="O23" s="7">
        <f>IF(D17=1,C16,(CONCATENATE(Table2[[#This Row],[month]]+1,$B$2,1,$B$2,Table2[[#This Row],[year]]))-1)</f>
        <v>36556</v>
      </c>
      <c r="P23" s="26">
        <f>Table2[[#This Row],[monthend]]+20</f>
        <v>36576</v>
      </c>
      <c r="Q23" s="26">
        <f>Table2[[#This Row],[payment]] + 10</f>
        <v>36586</v>
      </c>
      <c r="R23" s="40">
        <f>Table2[[#This Row],[revenue]]*0.9</f>
        <v>855137.42363579362</v>
      </c>
    </row>
    <row r="24" spans="6:18" x14ac:dyDescent="0.3">
      <c r="F24">
        <f t="shared" si="0"/>
        <v>16</v>
      </c>
      <c r="G24" s="7">
        <f t="shared" si="1"/>
        <v>36541</v>
      </c>
      <c r="H24" s="9">
        <f>DAY(Table2[[#This Row],[date]])</f>
        <v>16</v>
      </c>
      <c r="I24" s="9">
        <f>MONTH(Table2[[#This Row],[date]])</f>
        <v>1</v>
      </c>
      <c r="J24" s="9">
        <f t="shared" si="2"/>
        <v>2000</v>
      </c>
      <c r="K24" s="28">
        <f>WEEKNUM(Table2[[#This Row],[date]])</f>
        <v>4</v>
      </c>
      <c r="L24" s="28">
        <f>WEEKDAY(Table2[[#This Row],[date]])</f>
        <v>1</v>
      </c>
      <c r="M24" s="29">
        <f>_xlfn.NORM.DIST(Table2[[#This Row],[index]],41.5,$B$3,FALSE)</f>
        <v>5.4246772021807159E-3</v>
      </c>
      <c r="N24" s="27">
        <f>+Table2[[#This Row],[ratio]]*$B$1</f>
        <v>1084935.4404361432</v>
      </c>
      <c r="O24" s="7">
        <f>IF(D18=1,C17,(CONCATENATE(Table2[[#This Row],[month]]+1,$B$2,1,$B$2,Table2[[#This Row],[year]]))-1)</f>
        <v>36556</v>
      </c>
      <c r="P24" s="26">
        <f>Table2[[#This Row],[monthend]]+20</f>
        <v>36576</v>
      </c>
      <c r="Q24" s="26">
        <f>Table2[[#This Row],[payment]] + 10</f>
        <v>36586</v>
      </c>
      <c r="R24" s="40">
        <f>Table2[[#This Row],[revenue]]*0.9</f>
        <v>976441.8963925289</v>
      </c>
    </row>
    <row r="25" spans="6:18" x14ac:dyDescent="0.3">
      <c r="F25">
        <f t="shared" si="0"/>
        <v>17</v>
      </c>
      <c r="G25" s="7">
        <f t="shared" si="1"/>
        <v>36542</v>
      </c>
      <c r="H25" s="9">
        <f>DAY(Table2[[#This Row],[date]])</f>
        <v>17</v>
      </c>
      <c r="I25" s="9">
        <f>MONTH(Table2[[#This Row],[date]])</f>
        <v>1</v>
      </c>
      <c r="J25" s="9">
        <f t="shared" si="2"/>
        <v>2000</v>
      </c>
      <c r="K25" s="28">
        <f>WEEKNUM(Table2[[#This Row],[date]])</f>
        <v>4</v>
      </c>
      <c r="L25" s="28">
        <f>WEEKDAY(Table2[[#This Row],[date]])</f>
        <v>2</v>
      </c>
      <c r="M25" s="29">
        <f>_xlfn.NORM.DIST(Table2[[#This Row],[index]],41.5,$B$3,FALSE)</f>
        <v>6.1626656304651084E-3</v>
      </c>
      <c r="N25" s="27">
        <f>+Table2[[#This Row],[ratio]]*$B$1</f>
        <v>1232533.1260930216</v>
      </c>
      <c r="O25" s="7">
        <f>IF(D19=1,C18,(CONCATENATE(Table2[[#This Row],[month]]+1,$B$2,1,$B$2,Table2[[#This Row],[year]]))-1)</f>
        <v>36556</v>
      </c>
      <c r="P25" s="26">
        <f>Table2[[#This Row],[monthend]]+20</f>
        <v>36576</v>
      </c>
      <c r="Q25" s="26">
        <f>Table2[[#This Row],[payment]] + 10</f>
        <v>36586</v>
      </c>
      <c r="R25" s="40">
        <f>Table2[[#This Row],[revenue]]*0.9</f>
        <v>1109279.8134837195</v>
      </c>
    </row>
    <row r="26" spans="6:18" x14ac:dyDescent="0.3">
      <c r="F26">
        <f t="shared" si="0"/>
        <v>18</v>
      </c>
      <c r="G26" s="7">
        <f t="shared" si="1"/>
        <v>36543</v>
      </c>
      <c r="H26" s="9">
        <f>DAY(Table2[[#This Row],[date]])</f>
        <v>18</v>
      </c>
      <c r="I26" s="9">
        <f>MONTH(Table2[[#This Row],[date]])</f>
        <v>1</v>
      </c>
      <c r="J26" s="9">
        <f t="shared" si="2"/>
        <v>2000</v>
      </c>
      <c r="K26" s="28">
        <f>WEEKNUM(Table2[[#This Row],[date]])</f>
        <v>4</v>
      </c>
      <c r="L26" s="28">
        <f>WEEKDAY(Table2[[#This Row],[date]])</f>
        <v>3</v>
      </c>
      <c r="M26" s="29">
        <f>_xlfn.NORM.DIST(Table2[[#This Row],[index]],41.5,$B$3,FALSE)</f>
        <v>6.9654234049265837E-3</v>
      </c>
      <c r="N26" s="27">
        <f>+Table2[[#This Row],[ratio]]*$B$1</f>
        <v>1393084.6809853166</v>
      </c>
      <c r="O26" s="7">
        <f>IF(D20=1,C19,(CONCATENATE(Table2[[#This Row],[month]]+1,$B$2,1,$B$2,Table2[[#This Row],[year]]))-1)</f>
        <v>36556</v>
      </c>
      <c r="P26" s="26">
        <f>Table2[[#This Row],[monthend]]+20</f>
        <v>36576</v>
      </c>
      <c r="Q26" s="26">
        <f>Table2[[#This Row],[payment]] + 10</f>
        <v>36586</v>
      </c>
      <c r="R26" s="40">
        <f>Table2[[#This Row],[revenue]]*0.9</f>
        <v>1253776.2128867849</v>
      </c>
    </row>
    <row r="27" spans="6:18" x14ac:dyDescent="0.3">
      <c r="F27">
        <f t="shared" si="0"/>
        <v>19</v>
      </c>
      <c r="G27" s="7">
        <f t="shared" si="1"/>
        <v>36544</v>
      </c>
      <c r="H27" s="9">
        <f>DAY(Table2[[#This Row],[date]])</f>
        <v>19</v>
      </c>
      <c r="I27" s="9">
        <f>MONTH(Table2[[#This Row],[date]])</f>
        <v>1</v>
      </c>
      <c r="J27" s="9">
        <f t="shared" si="2"/>
        <v>2000</v>
      </c>
      <c r="K27" s="28">
        <f>WEEKNUM(Table2[[#This Row],[date]])</f>
        <v>4</v>
      </c>
      <c r="L27" s="28">
        <f>WEEKDAY(Table2[[#This Row],[date]])</f>
        <v>4</v>
      </c>
      <c r="M27" s="29">
        <f>_xlfn.NORM.DIST(Table2[[#This Row],[index]],41.5,$B$3,FALSE)</f>
        <v>7.8326847762224365E-3</v>
      </c>
      <c r="N27" s="27">
        <f>+Table2[[#This Row],[ratio]]*$B$1</f>
        <v>1566536.9552444874</v>
      </c>
      <c r="O27" s="7">
        <f>IF(D21=1,C20,(CONCATENATE(Table2[[#This Row],[month]]+1,$B$2,1,$B$2,Table2[[#This Row],[year]]))-1)</f>
        <v>36556</v>
      </c>
      <c r="P27" s="26">
        <f>Table2[[#This Row],[monthend]]+20</f>
        <v>36576</v>
      </c>
      <c r="Q27" s="26">
        <f>Table2[[#This Row],[payment]] + 10</f>
        <v>36586</v>
      </c>
      <c r="R27" s="40">
        <f>Table2[[#This Row],[revenue]]*0.9</f>
        <v>1409883.2597200386</v>
      </c>
    </row>
    <row r="28" spans="6:18" x14ac:dyDescent="0.3">
      <c r="F28">
        <f t="shared" si="0"/>
        <v>20</v>
      </c>
      <c r="G28" s="7">
        <f t="shared" si="1"/>
        <v>36545</v>
      </c>
      <c r="H28" s="9">
        <f>DAY(Table2[[#This Row],[date]])</f>
        <v>20</v>
      </c>
      <c r="I28" s="9">
        <f>MONTH(Table2[[#This Row],[date]])</f>
        <v>1</v>
      </c>
      <c r="J28" s="9">
        <f t="shared" si="2"/>
        <v>2000</v>
      </c>
      <c r="K28" s="28">
        <f>WEEKNUM(Table2[[#This Row],[date]])</f>
        <v>4</v>
      </c>
      <c r="L28" s="28">
        <f>WEEKDAY(Table2[[#This Row],[date]])</f>
        <v>5</v>
      </c>
      <c r="M28" s="29">
        <f>_xlfn.NORM.DIST(Table2[[#This Row],[index]],41.5,$B$3,FALSE)</f>
        <v>8.763104459219441E-3</v>
      </c>
      <c r="N28" s="27">
        <f>+Table2[[#This Row],[ratio]]*$B$1</f>
        <v>1752620.8918438882</v>
      </c>
      <c r="O28" s="7">
        <f>IF(D22=1,C21,(CONCATENATE(Table2[[#This Row],[month]]+1,$B$2,1,$B$2,Table2[[#This Row],[year]]))-1)</f>
        <v>36556</v>
      </c>
      <c r="P28" s="26">
        <f>Table2[[#This Row],[monthend]]+20</f>
        <v>36576</v>
      </c>
      <c r="Q28" s="26">
        <f>Table2[[#This Row],[payment]] + 10</f>
        <v>36586</v>
      </c>
      <c r="R28" s="40">
        <f>Table2[[#This Row],[revenue]]*0.9</f>
        <v>1577358.8026594995</v>
      </c>
    </row>
    <row r="29" spans="6:18" x14ac:dyDescent="0.3">
      <c r="F29">
        <f t="shared" si="0"/>
        <v>21</v>
      </c>
      <c r="G29" s="7">
        <f t="shared" si="1"/>
        <v>36546</v>
      </c>
      <c r="H29" s="9">
        <f>DAY(Table2[[#This Row],[date]])</f>
        <v>21</v>
      </c>
      <c r="I29" s="9">
        <f>MONTH(Table2[[#This Row],[date]])</f>
        <v>1</v>
      </c>
      <c r="J29" s="9">
        <f t="shared" si="2"/>
        <v>2000</v>
      </c>
      <c r="K29" s="28">
        <f>WEEKNUM(Table2[[#This Row],[date]])</f>
        <v>4</v>
      </c>
      <c r="L29" s="28">
        <f>WEEKDAY(Table2[[#This Row],[date]])</f>
        <v>6</v>
      </c>
      <c r="M29" s="29">
        <f>_xlfn.NORM.DIST(Table2[[#This Row],[index]],41.5,$B$3,FALSE)</f>
        <v>9.7541524790725701E-3</v>
      </c>
      <c r="N29" s="27">
        <f>+Table2[[#This Row],[ratio]]*$B$1</f>
        <v>1950830.4958145141</v>
      </c>
      <c r="O29" s="7">
        <f>IF(D23=1,C22,(CONCATENATE(Table2[[#This Row],[month]]+1,$B$2,1,$B$2,Table2[[#This Row],[year]]))-1)</f>
        <v>36556</v>
      </c>
      <c r="P29" s="26">
        <f>Table2[[#This Row],[monthend]]+20</f>
        <v>36576</v>
      </c>
      <c r="Q29" s="26">
        <f>Table2[[#This Row],[payment]] + 10</f>
        <v>36586</v>
      </c>
      <c r="R29" s="40">
        <f>Table2[[#This Row],[revenue]]*0.9</f>
        <v>1755747.4462330628</v>
      </c>
    </row>
    <row r="30" spans="6:18" x14ac:dyDescent="0.3">
      <c r="F30">
        <f t="shared" si="0"/>
        <v>22</v>
      </c>
      <c r="G30" s="7">
        <f t="shared" si="1"/>
        <v>36547</v>
      </c>
      <c r="H30" s="9">
        <f>DAY(Table2[[#This Row],[date]])</f>
        <v>22</v>
      </c>
      <c r="I30" s="9">
        <f>MONTH(Table2[[#This Row],[date]])</f>
        <v>1</v>
      </c>
      <c r="J30" s="9">
        <f t="shared" si="2"/>
        <v>2000</v>
      </c>
      <c r="K30" s="28">
        <f>WEEKNUM(Table2[[#This Row],[date]])</f>
        <v>4</v>
      </c>
      <c r="L30" s="28">
        <f>WEEKDAY(Table2[[#This Row],[date]])</f>
        <v>7</v>
      </c>
      <c r="M30" s="29">
        <f>_xlfn.NORM.DIST(Table2[[#This Row],[index]],41.5,$B$3,FALSE)</f>
        <v>1.080202812614838E-2</v>
      </c>
      <c r="N30" s="27">
        <f>+Table2[[#This Row],[ratio]]*$B$1</f>
        <v>2160405.6252296758</v>
      </c>
      <c r="O30" s="7">
        <f>IF(D24=1,C23,(CONCATENATE(Table2[[#This Row],[month]]+1,$B$2,1,$B$2,Table2[[#This Row],[year]]))-1)</f>
        <v>36556</v>
      </c>
      <c r="P30" s="26">
        <f>Table2[[#This Row],[monthend]]+20</f>
        <v>36576</v>
      </c>
      <c r="Q30" s="26">
        <f>Table2[[#This Row],[payment]] + 10</f>
        <v>36586</v>
      </c>
      <c r="R30" s="40">
        <f>Table2[[#This Row],[revenue]]*0.9</f>
        <v>1944365.0627067082</v>
      </c>
    </row>
    <row r="31" spans="6:18" x14ac:dyDescent="0.3">
      <c r="F31">
        <f t="shared" si="0"/>
        <v>23</v>
      </c>
      <c r="G31" s="7">
        <f t="shared" si="1"/>
        <v>36548</v>
      </c>
      <c r="H31" s="9">
        <f>DAY(Table2[[#This Row],[date]])</f>
        <v>23</v>
      </c>
      <c r="I31" s="9">
        <f>MONTH(Table2[[#This Row],[date]])</f>
        <v>1</v>
      </c>
      <c r="J31" s="9">
        <f t="shared" si="2"/>
        <v>2000</v>
      </c>
      <c r="K31" s="28">
        <f>WEEKNUM(Table2[[#This Row],[date]])</f>
        <v>5</v>
      </c>
      <c r="L31" s="28">
        <f>WEEKDAY(Table2[[#This Row],[date]])</f>
        <v>1</v>
      </c>
      <c r="M31" s="29">
        <f>_xlfn.NORM.DIST(Table2[[#This Row],[index]],41.5,$B$3,FALSE)</f>
        <v>1.1901598055367165E-2</v>
      </c>
      <c r="N31" s="27">
        <f>+Table2[[#This Row],[ratio]]*$B$1</f>
        <v>2380319.611073433</v>
      </c>
      <c r="O31" s="7">
        <f>IF(D25=1,C24,(CONCATENATE(Table2[[#This Row],[month]]+1,$B$2,1,$B$2,Table2[[#This Row],[year]]))-1)</f>
        <v>36556</v>
      </c>
      <c r="P31" s="26">
        <f>Table2[[#This Row],[monthend]]+20</f>
        <v>36576</v>
      </c>
      <c r="Q31" s="26">
        <f>Table2[[#This Row],[payment]] + 10</f>
        <v>36586</v>
      </c>
      <c r="R31" s="40">
        <f>Table2[[#This Row],[revenue]]*0.9</f>
        <v>2142287.6499660895</v>
      </c>
    </row>
    <row r="32" spans="6:18" x14ac:dyDescent="0.3">
      <c r="F32">
        <f t="shared" si="0"/>
        <v>24</v>
      </c>
      <c r="G32" s="7">
        <f t="shared" si="1"/>
        <v>36549</v>
      </c>
      <c r="H32" s="9">
        <f>DAY(Table2[[#This Row],[date]])</f>
        <v>24</v>
      </c>
      <c r="I32" s="9">
        <f>MONTH(Table2[[#This Row],[date]])</f>
        <v>1</v>
      </c>
      <c r="J32" s="9">
        <f t="shared" si="2"/>
        <v>2000</v>
      </c>
      <c r="K32" s="28">
        <f>WEEKNUM(Table2[[#This Row],[date]])</f>
        <v>5</v>
      </c>
      <c r="L32" s="28">
        <f>WEEKDAY(Table2[[#This Row],[date]])</f>
        <v>2</v>
      </c>
      <c r="M32" s="29">
        <f>_xlfn.NORM.DIST(Table2[[#This Row],[index]],41.5,$B$3,FALSE)</f>
        <v>1.3046363242072994E-2</v>
      </c>
      <c r="N32" s="27">
        <f>+Table2[[#This Row],[ratio]]*$B$1</f>
        <v>2609272.6484145988</v>
      </c>
      <c r="O32" s="7">
        <f>IF(D26=1,C25,(CONCATENATE(Table2[[#This Row],[month]]+1,$B$2,1,$B$2,Table2[[#This Row],[year]]))-1)</f>
        <v>36556</v>
      </c>
      <c r="P32" s="26">
        <f>Table2[[#This Row],[monthend]]+20</f>
        <v>36576</v>
      </c>
      <c r="Q32" s="26">
        <f>Table2[[#This Row],[payment]] + 10</f>
        <v>36586</v>
      </c>
      <c r="R32" s="40">
        <f>Table2[[#This Row],[revenue]]*0.9</f>
        <v>2348345.3835731391</v>
      </c>
    </row>
    <row r="33" spans="6:18" x14ac:dyDescent="0.3">
      <c r="F33">
        <f t="shared" si="0"/>
        <v>25</v>
      </c>
      <c r="G33" s="7">
        <f t="shared" si="1"/>
        <v>36550</v>
      </c>
      <c r="H33" s="9">
        <f>DAY(Table2[[#This Row],[date]])</f>
        <v>25</v>
      </c>
      <c r="I33" s="9">
        <f>MONTH(Table2[[#This Row],[date]])</f>
        <v>1</v>
      </c>
      <c r="J33" s="9">
        <f t="shared" si="2"/>
        <v>2000</v>
      </c>
      <c r="K33" s="28">
        <f>WEEKNUM(Table2[[#This Row],[date]])</f>
        <v>5</v>
      </c>
      <c r="L33" s="28">
        <f>WEEKDAY(Table2[[#This Row],[date]])</f>
        <v>3</v>
      </c>
      <c r="M33" s="29">
        <f>_xlfn.NORM.DIST(Table2[[#This Row],[index]],41.5,$B$3,FALSE)</f>
        <v>1.4228458945108895E-2</v>
      </c>
      <c r="N33" s="27">
        <f>+Table2[[#This Row],[ratio]]*$B$1</f>
        <v>2845691.7890217789</v>
      </c>
      <c r="O33" s="7">
        <f>IF(D27=1,C26,(CONCATENATE(Table2[[#This Row],[month]]+1,$B$2,1,$B$2,Table2[[#This Row],[year]]))-1)</f>
        <v>36556</v>
      </c>
      <c r="P33" s="26">
        <f>Table2[[#This Row],[monthend]]+20</f>
        <v>36576</v>
      </c>
      <c r="Q33" s="26">
        <f>Table2[[#This Row],[payment]] + 10</f>
        <v>36586</v>
      </c>
      <c r="R33" s="40">
        <f>Table2[[#This Row],[revenue]]*0.9</f>
        <v>2561122.6101196012</v>
      </c>
    </row>
    <row r="34" spans="6:18" x14ac:dyDescent="0.3">
      <c r="F34">
        <f t="shared" si="0"/>
        <v>26</v>
      </c>
      <c r="G34" s="7">
        <f t="shared" si="1"/>
        <v>36551</v>
      </c>
      <c r="H34" s="9">
        <f>DAY(Table2[[#This Row],[date]])</f>
        <v>26</v>
      </c>
      <c r="I34" s="9">
        <f>MONTH(Table2[[#This Row],[date]])</f>
        <v>1</v>
      </c>
      <c r="J34" s="9">
        <f t="shared" si="2"/>
        <v>2000</v>
      </c>
      <c r="K34" s="28">
        <f>WEEKNUM(Table2[[#This Row],[date]])</f>
        <v>5</v>
      </c>
      <c r="L34" s="28">
        <f>WEEKDAY(Table2[[#This Row],[date]])</f>
        <v>4</v>
      </c>
      <c r="M34" s="29">
        <f>_xlfn.NORM.DIST(Table2[[#This Row],[index]],41.5,$B$3,FALSE)</f>
        <v>1.5438691029196216E-2</v>
      </c>
      <c r="N34" s="27">
        <f>+Table2[[#This Row],[ratio]]*$B$1</f>
        <v>3087738.2058392433</v>
      </c>
      <c r="O34" s="7">
        <f>IF(D28=1,C27,(CONCATENATE(Table2[[#This Row],[month]]+1,$B$2,1,$B$2,Table2[[#This Row],[year]]))-1)</f>
        <v>36556</v>
      </c>
      <c r="P34" s="26">
        <f>Table2[[#This Row],[monthend]]+20</f>
        <v>36576</v>
      </c>
      <c r="Q34" s="26">
        <f>Table2[[#This Row],[payment]] + 10</f>
        <v>36586</v>
      </c>
      <c r="R34" s="40">
        <f>Table2[[#This Row],[revenue]]*0.9</f>
        <v>2778964.3852553191</v>
      </c>
    </row>
    <row r="35" spans="6:18" x14ac:dyDescent="0.3">
      <c r="F35">
        <f t="shared" si="0"/>
        <v>27</v>
      </c>
      <c r="G35" s="7">
        <f t="shared" si="1"/>
        <v>36552</v>
      </c>
      <c r="H35" s="9">
        <f>DAY(Table2[[#This Row],[date]])</f>
        <v>27</v>
      </c>
      <c r="I35" s="9">
        <f>MONTH(Table2[[#This Row],[date]])</f>
        <v>1</v>
      </c>
      <c r="J35" s="9">
        <f t="shared" si="2"/>
        <v>2000</v>
      </c>
      <c r="K35" s="28">
        <f>WEEKNUM(Table2[[#This Row],[date]])</f>
        <v>5</v>
      </c>
      <c r="L35" s="28">
        <f>WEEKDAY(Table2[[#This Row],[date]])</f>
        <v>5</v>
      </c>
      <c r="M35" s="29">
        <f>_xlfn.NORM.DIST(Table2[[#This Row],[index]],41.5,$B$3,FALSE)</f>
        <v>1.6666610976523753E-2</v>
      </c>
      <c r="N35" s="27">
        <f>+Table2[[#This Row],[ratio]]*$B$1</f>
        <v>3333322.1953047505</v>
      </c>
      <c r="O35" s="7">
        <f>IF(D29=1,C28,(CONCATENATE(Table2[[#This Row],[month]]+1,$B$2,1,$B$2,Table2[[#This Row],[year]]))-1)</f>
        <v>36556</v>
      </c>
      <c r="P35" s="26">
        <f>Table2[[#This Row],[monthend]]+20</f>
        <v>36576</v>
      </c>
      <c r="Q35" s="26">
        <f>Table2[[#This Row],[payment]] + 10</f>
        <v>36586</v>
      </c>
      <c r="R35" s="40">
        <f>Table2[[#This Row],[revenue]]*0.9</f>
        <v>2999989.9757742756</v>
      </c>
    </row>
    <row r="36" spans="6:18" x14ac:dyDescent="0.3">
      <c r="F36">
        <f t="shared" si="0"/>
        <v>28</v>
      </c>
      <c r="G36" s="7">
        <f t="shared" si="1"/>
        <v>36553</v>
      </c>
      <c r="H36" s="9">
        <f>DAY(Table2[[#This Row],[date]])</f>
        <v>28</v>
      </c>
      <c r="I36" s="9">
        <f>MONTH(Table2[[#This Row],[date]])</f>
        <v>1</v>
      </c>
      <c r="J36" s="9">
        <f t="shared" si="2"/>
        <v>2000</v>
      </c>
      <c r="K36" s="28">
        <f>WEEKNUM(Table2[[#This Row],[date]])</f>
        <v>5</v>
      </c>
      <c r="L36" s="28">
        <f>WEEKDAY(Table2[[#This Row],[date]])</f>
        <v>6</v>
      </c>
      <c r="M36" s="29">
        <f>_xlfn.NORM.DIST(Table2[[#This Row],[index]],41.5,$B$3,FALSE)</f>
        <v>1.7900630698417495E-2</v>
      </c>
      <c r="N36" s="27">
        <f>+Table2[[#This Row],[ratio]]*$B$1</f>
        <v>3580126.139683499</v>
      </c>
      <c r="O36" s="7">
        <f>IF(D30=1,C29,(CONCATENATE(Table2[[#This Row],[month]]+1,$B$2,1,$B$2,Table2[[#This Row],[year]]))-1)</f>
        <v>36556</v>
      </c>
      <c r="P36" s="26">
        <f>Table2[[#This Row],[monthend]]+20</f>
        <v>36576</v>
      </c>
      <c r="Q36" s="26">
        <f>Table2[[#This Row],[payment]] + 10</f>
        <v>36586</v>
      </c>
      <c r="R36" s="40">
        <f>Table2[[#This Row],[revenue]]*0.9</f>
        <v>3222113.525715149</v>
      </c>
    </row>
    <row r="37" spans="6:18" x14ac:dyDescent="0.3">
      <c r="F37">
        <f t="shared" si="0"/>
        <v>29</v>
      </c>
      <c r="G37" s="7">
        <f t="shared" si="1"/>
        <v>36554</v>
      </c>
      <c r="H37" s="9">
        <f>DAY(Table2[[#This Row],[date]])</f>
        <v>29</v>
      </c>
      <c r="I37" s="9">
        <f>MONTH(Table2[[#This Row],[date]])</f>
        <v>1</v>
      </c>
      <c r="J37" s="9">
        <f t="shared" si="2"/>
        <v>2000</v>
      </c>
      <c r="K37" s="28">
        <f>WEEKNUM(Table2[[#This Row],[date]])</f>
        <v>5</v>
      </c>
      <c r="L37" s="28">
        <f>WEEKDAY(Table2[[#This Row],[date]])</f>
        <v>7</v>
      </c>
      <c r="M37" s="29">
        <f>_xlfn.NORM.DIST(Table2[[#This Row],[index]],41.5,$B$3,FALSE)</f>
        <v>1.9128176881846124E-2</v>
      </c>
      <c r="N37" s="27">
        <f>+Table2[[#This Row],[ratio]]*$B$1</f>
        <v>3825635.3763692249</v>
      </c>
      <c r="O37" s="7">
        <f>IF(D31=1,C30,(CONCATENATE(Table2[[#This Row],[month]]+1,$B$2,1,$B$2,Table2[[#This Row],[year]]))-1)</f>
        <v>36556</v>
      </c>
      <c r="P37" s="26">
        <f>Table2[[#This Row],[monthend]]+20</f>
        <v>36576</v>
      </c>
      <c r="Q37" s="26">
        <f>Table2[[#This Row],[payment]] + 10</f>
        <v>36586</v>
      </c>
      <c r="R37" s="40">
        <f>Table2[[#This Row],[revenue]]*0.9</f>
        <v>3443071.8387323027</v>
      </c>
    </row>
    <row r="38" spans="6:18" x14ac:dyDescent="0.3">
      <c r="F38">
        <f t="shared" si="0"/>
        <v>30</v>
      </c>
      <c r="G38" s="7">
        <f t="shared" si="1"/>
        <v>36555</v>
      </c>
      <c r="H38" s="9">
        <f>DAY(Table2[[#This Row],[date]])</f>
        <v>30</v>
      </c>
      <c r="I38" s="9">
        <f>MONTH(Table2[[#This Row],[date]])</f>
        <v>1</v>
      </c>
      <c r="J38" s="9">
        <f t="shared" si="2"/>
        <v>2000</v>
      </c>
      <c r="K38" s="28">
        <f>WEEKNUM(Table2[[#This Row],[date]])</f>
        <v>6</v>
      </c>
      <c r="L38" s="28">
        <f>WEEKDAY(Table2[[#This Row],[date]])</f>
        <v>1</v>
      </c>
      <c r="M38" s="29">
        <f>_xlfn.NORM.DIST(Table2[[#This Row],[index]],41.5,$B$3,FALSE)</f>
        <v>2.0335883123965309E-2</v>
      </c>
      <c r="N38" s="27">
        <f>+Table2[[#This Row],[ratio]]*$B$1</f>
        <v>4067176.624793062</v>
      </c>
      <c r="O38" s="7">
        <f>IF(D32=1,C31,(CONCATENATE(Table2[[#This Row],[month]]+1,$B$2,1,$B$2,Table2[[#This Row],[year]]))-1)</f>
        <v>36556</v>
      </c>
      <c r="P38" s="26">
        <f>Table2[[#This Row],[monthend]]+20</f>
        <v>36576</v>
      </c>
      <c r="Q38" s="26">
        <f>Table2[[#This Row],[payment]] + 10</f>
        <v>36586</v>
      </c>
      <c r="R38" s="40">
        <f>Table2[[#This Row],[revenue]]*0.9</f>
        <v>3660458.9623137559</v>
      </c>
    </row>
    <row r="39" spans="6:18" x14ac:dyDescent="0.3">
      <c r="F39">
        <f t="shared" si="0"/>
        <v>31</v>
      </c>
      <c r="G39" s="7">
        <f t="shared" si="1"/>
        <v>36556</v>
      </c>
      <c r="H39" s="9">
        <f>DAY(Table2[[#This Row],[date]])</f>
        <v>31</v>
      </c>
      <c r="I39" s="9">
        <f>MONTH(Table2[[#This Row],[date]])</f>
        <v>1</v>
      </c>
      <c r="J39" s="9">
        <f t="shared" si="2"/>
        <v>2000</v>
      </c>
      <c r="K39" s="28">
        <f>WEEKNUM(Table2[[#This Row],[date]])</f>
        <v>6</v>
      </c>
      <c r="L39" s="28">
        <f>WEEKDAY(Table2[[#This Row],[date]])</f>
        <v>2</v>
      </c>
      <c r="M39" s="29">
        <f>_xlfn.NORM.DIST(Table2[[#This Row],[index]],41.5,$B$3,FALSE)</f>
        <v>2.1509816582486029E-2</v>
      </c>
      <c r="N39" s="27">
        <f>+Table2[[#This Row],[ratio]]*$B$1</f>
        <v>4301963.3164972058</v>
      </c>
      <c r="O39" s="7">
        <f>IF(D33=1,C32,(CONCATENATE(Table2[[#This Row],[month]]+1,$B$2,1,$B$2,Table2[[#This Row],[year]]))-1)</f>
        <v>36556</v>
      </c>
      <c r="P39" s="26">
        <f>Table2[[#This Row],[monthend]]+20</f>
        <v>36576</v>
      </c>
      <c r="Q39" s="26">
        <f>Table2[[#This Row],[payment]] + 10</f>
        <v>36586</v>
      </c>
      <c r="R39" s="40">
        <f>Table2[[#This Row],[revenue]]*0.9</f>
        <v>3871766.9848474851</v>
      </c>
    </row>
    <row r="40" spans="6:18" x14ac:dyDescent="0.3">
      <c r="F40">
        <f t="shared" si="0"/>
        <v>32</v>
      </c>
      <c r="G40" s="7">
        <f t="shared" si="1"/>
        <v>36557</v>
      </c>
      <c r="H40" s="9">
        <f>DAY(Table2[[#This Row],[date]])</f>
        <v>1</v>
      </c>
      <c r="I40" s="9">
        <f>MONTH(Table2[[#This Row],[date]])</f>
        <v>2</v>
      </c>
      <c r="J40" s="9">
        <f t="shared" si="2"/>
        <v>2000</v>
      </c>
      <c r="K40" s="28">
        <f>WEEKNUM(Table2[[#This Row],[date]])</f>
        <v>6</v>
      </c>
      <c r="L40" s="28">
        <f>WEEKDAY(Table2[[#This Row],[date]])</f>
        <v>3</v>
      </c>
      <c r="M40" s="29">
        <f>_xlfn.NORM.DIST(Table2[[#This Row],[index]],41.5,$B$3,FALSE)</f>
        <v>2.2635734369121589E-2</v>
      </c>
      <c r="N40" s="27">
        <f>+Table2[[#This Row],[ratio]]*$B$1</f>
        <v>4527146.8738243179</v>
      </c>
      <c r="O40" s="7">
        <f>IF(D34=1,C33,(CONCATENATE(Table2[[#This Row],[month]]+1,$B$2,1,$B$2,Table2[[#This Row],[year]]))-1)</f>
        <v>36585</v>
      </c>
      <c r="P40" s="26">
        <f>Table2[[#This Row],[monthend]]+20</f>
        <v>36605</v>
      </c>
      <c r="Q40" s="26">
        <f>Table2[[#This Row],[payment]] + 10</f>
        <v>36615</v>
      </c>
      <c r="R40" s="40">
        <f>Table2[[#This Row],[revenue]]*0.9</f>
        <v>4074432.1864418862</v>
      </c>
    </row>
    <row r="41" spans="6:18" x14ac:dyDescent="0.3">
      <c r="F41">
        <f t="shared" si="0"/>
        <v>33</v>
      </c>
      <c r="G41" s="7">
        <f t="shared" si="1"/>
        <v>36558</v>
      </c>
      <c r="H41" s="9">
        <f>DAY(Table2[[#This Row],[date]])</f>
        <v>2</v>
      </c>
      <c r="I41" s="9">
        <f>MONTH(Table2[[#This Row],[date]])</f>
        <v>2</v>
      </c>
      <c r="J41" s="9">
        <f t="shared" si="2"/>
        <v>2000</v>
      </c>
      <c r="K41" s="28">
        <f>WEEKNUM(Table2[[#This Row],[date]])</f>
        <v>6</v>
      </c>
      <c r="L41" s="28">
        <f>WEEKDAY(Table2[[#This Row],[date]])</f>
        <v>4</v>
      </c>
      <c r="M41" s="29">
        <f>_xlfn.NORM.DIST(Table2[[#This Row],[index]],41.5,$B$3,FALSE)</f>
        <v>2.3699363510239359E-2</v>
      </c>
      <c r="N41" s="27">
        <f>+Table2[[#This Row],[ratio]]*$B$1</f>
        <v>4739872.7020478714</v>
      </c>
      <c r="O41" s="7">
        <f>IF(D35=1,C34,(CONCATENATE(Table2[[#This Row],[month]]+1,$B$2,1,$B$2,Table2[[#This Row],[year]]))-1)</f>
        <v>36585</v>
      </c>
      <c r="P41" s="26">
        <f>Table2[[#This Row],[monthend]]+20</f>
        <v>36605</v>
      </c>
      <c r="Q41" s="26">
        <f>Table2[[#This Row],[payment]] + 10</f>
        <v>36615</v>
      </c>
      <c r="R41" s="40">
        <f>Table2[[#This Row],[revenue]]*0.9</f>
        <v>4265885.4318430843</v>
      </c>
    </row>
    <row r="42" spans="6:18" x14ac:dyDescent="0.3">
      <c r="F42">
        <f t="shared" ref="F42:F73" si="3">F41 +1</f>
        <v>34</v>
      </c>
      <c r="G42" s="7">
        <f t="shared" ref="G42:G73" si="4">G41 +1</f>
        <v>36559</v>
      </c>
      <c r="H42" s="9">
        <f>DAY(Table2[[#This Row],[date]])</f>
        <v>3</v>
      </c>
      <c r="I42" s="9">
        <f>MONTH(Table2[[#This Row],[date]])</f>
        <v>2</v>
      </c>
      <c r="J42" s="9">
        <f t="shared" ref="J42:J73" si="5">YEAR(G42)</f>
        <v>2000</v>
      </c>
      <c r="K42" s="28">
        <f>WEEKNUM(Table2[[#This Row],[date]])</f>
        <v>6</v>
      </c>
      <c r="L42" s="28">
        <f>WEEKDAY(Table2[[#This Row],[date]])</f>
        <v>5</v>
      </c>
      <c r="M42" s="29">
        <f>_xlfn.NORM.DIST(Table2[[#This Row],[index]],41.5,$B$3,FALSE)</f>
        <v>2.4686697065492834E-2</v>
      </c>
      <c r="N42" s="27">
        <f>+Table2[[#This Row],[ratio]]*$B$1</f>
        <v>4937339.4130985672</v>
      </c>
      <c r="O42" s="7">
        <f>IF(D36=1,C35,(CONCATENATE(Table2[[#This Row],[month]]+1,$B$2,1,$B$2,Table2[[#This Row],[year]]))-1)</f>
        <v>36585</v>
      </c>
      <c r="P42" s="26">
        <f>Table2[[#This Row],[monthend]]+20</f>
        <v>36605</v>
      </c>
      <c r="Q42" s="26">
        <f>Table2[[#This Row],[payment]] + 10</f>
        <v>36615</v>
      </c>
      <c r="R42" s="40">
        <f>Table2[[#This Row],[revenue]]*0.9</f>
        <v>4443605.4717887109</v>
      </c>
    </row>
    <row r="43" spans="6:18" x14ac:dyDescent="0.3">
      <c r="F43">
        <f t="shared" si="3"/>
        <v>35</v>
      </c>
      <c r="G43" s="7">
        <f t="shared" si="4"/>
        <v>36560</v>
      </c>
      <c r="H43" s="9">
        <f>DAY(Table2[[#This Row],[date]])</f>
        <v>4</v>
      </c>
      <c r="I43" s="9">
        <f>MONTH(Table2[[#This Row],[date]])</f>
        <v>2</v>
      </c>
      <c r="J43" s="9">
        <f t="shared" si="5"/>
        <v>2000</v>
      </c>
      <c r="K43" s="28">
        <f>WEEKNUM(Table2[[#This Row],[date]])</f>
        <v>6</v>
      </c>
      <c r="L43" s="28">
        <f>WEEKDAY(Table2[[#This Row],[date]])</f>
        <v>6</v>
      </c>
      <c r="M43" s="29">
        <f>_xlfn.NORM.DIST(Table2[[#This Row],[index]],41.5,$B$3,FALSE)</f>
        <v>2.5584297999708468E-2</v>
      </c>
      <c r="N43" s="27">
        <f>+Table2[[#This Row],[ratio]]*$B$1</f>
        <v>5116859.5999416932</v>
      </c>
      <c r="O43" s="7">
        <f>IF(D37=1,C36,(CONCATENATE(Table2[[#This Row],[month]]+1,$B$2,1,$B$2,Table2[[#This Row],[year]]))-1)</f>
        <v>36585</v>
      </c>
      <c r="P43" s="26">
        <f>Table2[[#This Row],[monthend]]+20</f>
        <v>36605</v>
      </c>
      <c r="Q43" s="26">
        <f>Table2[[#This Row],[payment]] + 10</f>
        <v>36615</v>
      </c>
      <c r="R43" s="40">
        <f>Table2[[#This Row],[revenue]]*0.9</f>
        <v>4605173.6399475243</v>
      </c>
    </row>
    <row r="44" spans="6:18" x14ac:dyDescent="0.3">
      <c r="F44">
        <f t="shared" si="3"/>
        <v>36</v>
      </c>
      <c r="G44" s="7">
        <f t="shared" si="4"/>
        <v>36561</v>
      </c>
      <c r="H44" s="9">
        <f>DAY(Table2[[#This Row],[date]])</f>
        <v>5</v>
      </c>
      <c r="I44" s="9">
        <f>MONTH(Table2[[#This Row],[date]])</f>
        <v>2</v>
      </c>
      <c r="J44" s="9">
        <f t="shared" si="5"/>
        <v>2000</v>
      </c>
      <c r="K44" s="28">
        <f>WEEKNUM(Table2[[#This Row],[date]])</f>
        <v>6</v>
      </c>
      <c r="L44" s="28">
        <f>WEEKDAY(Table2[[#This Row],[date]])</f>
        <v>7</v>
      </c>
      <c r="M44" s="29">
        <f>_xlfn.NORM.DIST(Table2[[#This Row],[index]],41.5,$B$3,FALSE)</f>
        <v>2.6379601705265307E-2</v>
      </c>
      <c r="N44" s="27">
        <f>+Table2[[#This Row],[ratio]]*$B$1</f>
        <v>5275920.3410530612</v>
      </c>
      <c r="O44" s="7">
        <f>IF(D38=1,C37,(CONCATENATE(Table2[[#This Row],[month]]+1,$B$2,1,$B$2,Table2[[#This Row],[year]]))-1)</f>
        <v>36585</v>
      </c>
      <c r="P44" s="26">
        <f>Table2[[#This Row],[monthend]]+20</f>
        <v>36605</v>
      </c>
      <c r="Q44" s="26">
        <f>Table2[[#This Row],[payment]] + 10</f>
        <v>36615</v>
      </c>
      <c r="R44" s="40">
        <f>Table2[[#This Row],[revenue]]*0.9</f>
        <v>4748328.3069477556</v>
      </c>
    </row>
    <row r="45" spans="6:18" x14ac:dyDescent="0.3">
      <c r="F45">
        <f t="shared" si="3"/>
        <v>37</v>
      </c>
      <c r="G45" s="7">
        <f t="shared" si="4"/>
        <v>36562</v>
      </c>
      <c r="H45" s="9">
        <f>DAY(Table2[[#This Row],[date]])</f>
        <v>6</v>
      </c>
      <c r="I45" s="9">
        <f>MONTH(Table2[[#This Row],[date]])</f>
        <v>2</v>
      </c>
      <c r="J45" s="9">
        <f t="shared" si="5"/>
        <v>2000</v>
      </c>
      <c r="K45" s="28">
        <f>WEEKNUM(Table2[[#This Row],[date]])</f>
        <v>7</v>
      </c>
      <c r="L45" s="28">
        <f>WEEKDAY(Table2[[#This Row],[date]])</f>
        <v>1</v>
      </c>
      <c r="M45" s="29">
        <f>_xlfn.NORM.DIST(Table2[[#This Row],[index]],41.5,$B$3,FALSE)</f>
        <v>2.7061207718924354E-2</v>
      </c>
      <c r="N45" s="27">
        <f>+Table2[[#This Row],[ratio]]*$B$1</f>
        <v>5412241.5437848708</v>
      </c>
      <c r="O45" s="7">
        <f>IF(D39=1,C38,(CONCATENATE(Table2[[#This Row],[month]]+1,$B$2,1,$B$2,Table2[[#This Row],[year]]))-1)</f>
        <v>36585</v>
      </c>
      <c r="P45" s="26">
        <f>Table2[[#This Row],[monthend]]+20</f>
        <v>36605</v>
      </c>
      <c r="Q45" s="26">
        <f>Table2[[#This Row],[payment]] + 10</f>
        <v>36615</v>
      </c>
      <c r="R45" s="40">
        <f>Table2[[#This Row],[revenue]]*0.9</f>
        <v>4871017.389406384</v>
      </c>
    </row>
    <row r="46" spans="6:18" x14ac:dyDescent="0.3">
      <c r="F46">
        <f t="shared" si="3"/>
        <v>38</v>
      </c>
      <c r="G46" s="7">
        <f t="shared" si="4"/>
        <v>36563</v>
      </c>
      <c r="H46" s="9">
        <f>DAY(Table2[[#This Row],[date]])</f>
        <v>7</v>
      </c>
      <c r="I46" s="9">
        <f>MONTH(Table2[[#This Row],[date]])</f>
        <v>2</v>
      </c>
      <c r="J46" s="9">
        <f t="shared" si="5"/>
        <v>2000</v>
      </c>
      <c r="K46" s="28">
        <f>WEEKNUM(Table2[[#This Row],[date]])</f>
        <v>7</v>
      </c>
      <c r="L46" s="28">
        <f>WEEKDAY(Table2[[#This Row],[date]])</f>
        <v>2</v>
      </c>
      <c r="M46" s="29">
        <f>_xlfn.NORM.DIST(Table2[[#This Row],[index]],41.5,$B$3,FALSE)</f>
        <v>2.7619151200203515E-2</v>
      </c>
      <c r="N46" s="27">
        <f>+Table2[[#This Row],[ratio]]*$B$1</f>
        <v>5523830.2400407027</v>
      </c>
      <c r="O46" s="7">
        <f>IF(D40=1,C39,(CONCATENATE(Table2[[#This Row],[month]]+1,$B$2,1,$B$2,Table2[[#This Row],[year]]))-1)</f>
        <v>36585</v>
      </c>
      <c r="P46" s="26">
        <f>Table2[[#This Row],[monthend]]+20</f>
        <v>36605</v>
      </c>
      <c r="Q46" s="26">
        <f>Table2[[#This Row],[payment]] + 10</f>
        <v>36615</v>
      </c>
      <c r="R46" s="40">
        <f>Table2[[#This Row],[revenue]]*0.9</f>
        <v>4971447.2160366327</v>
      </c>
    </row>
    <row r="47" spans="6:18" x14ac:dyDescent="0.3">
      <c r="F47">
        <f t="shared" si="3"/>
        <v>39</v>
      </c>
      <c r="G47" s="7">
        <f t="shared" si="4"/>
        <v>36564</v>
      </c>
      <c r="H47" s="9">
        <f>DAY(Table2[[#This Row],[date]])</f>
        <v>8</v>
      </c>
      <c r="I47" s="9">
        <f>MONTH(Table2[[#This Row],[date]])</f>
        <v>2</v>
      </c>
      <c r="J47" s="9">
        <f t="shared" si="5"/>
        <v>2000</v>
      </c>
      <c r="K47" s="28">
        <f>WEEKNUM(Table2[[#This Row],[date]])</f>
        <v>7</v>
      </c>
      <c r="L47" s="28">
        <f>WEEKDAY(Table2[[#This Row],[date]])</f>
        <v>3</v>
      </c>
      <c r="M47" s="29">
        <f>_xlfn.NORM.DIST(Table2[[#This Row],[index]],41.5,$B$3,FALSE)</f>
        <v>2.8045145151504698E-2</v>
      </c>
      <c r="N47" s="27">
        <f>+Table2[[#This Row],[ratio]]*$B$1</f>
        <v>5609029.0303009395</v>
      </c>
      <c r="O47" s="7">
        <f>IF(D41=1,C40,(CONCATENATE(Table2[[#This Row],[month]]+1,$B$2,1,$B$2,Table2[[#This Row],[year]]))-1)</f>
        <v>36585</v>
      </c>
      <c r="P47" s="26">
        <f>Table2[[#This Row],[monthend]]+20</f>
        <v>36605</v>
      </c>
      <c r="Q47" s="26">
        <f>Table2[[#This Row],[payment]] + 10</f>
        <v>36615</v>
      </c>
      <c r="R47" s="40">
        <f>Table2[[#This Row],[revenue]]*0.9</f>
        <v>5048126.1272708457</v>
      </c>
    </row>
    <row r="48" spans="6:18" x14ac:dyDescent="0.3">
      <c r="F48">
        <f t="shared" si="3"/>
        <v>40</v>
      </c>
      <c r="G48" s="7">
        <f t="shared" si="4"/>
        <v>36565</v>
      </c>
      <c r="H48" s="9">
        <f>DAY(Table2[[#This Row],[date]])</f>
        <v>9</v>
      </c>
      <c r="I48" s="9">
        <f>MONTH(Table2[[#This Row],[date]])</f>
        <v>2</v>
      </c>
      <c r="J48" s="9">
        <f t="shared" si="5"/>
        <v>2000</v>
      </c>
      <c r="K48" s="28">
        <f>WEEKNUM(Table2[[#This Row],[date]])</f>
        <v>7</v>
      </c>
      <c r="L48" s="28">
        <f>WEEKDAY(Table2[[#This Row],[date]])</f>
        <v>4</v>
      </c>
      <c r="M48" s="29">
        <f>_xlfn.NORM.DIST(Table2[[#This Row],[index]],41.5,$B$3,FALSE)</f>
        <v>2.8332785157249189E-2</v>
      </c>
      <c r="N48" s="27">
        <f>+Table2[[#This Row],[ratio]]*$B$1</f>
        <v>5666557.0314498376</v>
      </c>
      <c r="O48" s="7">
        <f>IF(D42=1,C41,(CONCATENATE(Table2[[#This Row],[month]]+1,$B$2,1,$B$2,Table2[[#This Row],[year]]))-1)</f>
        <v>36585</v>
      </c>
      <c r="P48" s="26">
        <f>Table2[[#This Row],[monthend]]+20</f>
        <v>36605</v>
      </c>
      <c r="Q48" s="26">
        <f>Table2[[#This Row],[payment]] + 10</f>
        <v>36615</v>
      </c>
      <c r="R48" s="40">
        <f>Table2[[#This Row],[revenue]]*0.9</f>
        <v>5099901.3283048542</v>
      </c>
    </row>
    <row r="49" spans="6:18" x14ac:dyDescent="0.3">
      <c r="F49">
        <f t="shared" si="3"/>
        <v>41</v>
      </c>
      <c r="G49" s="7">
        <f t="shared" si="4"/>
        <v>36566</v>
      </c>
      <c r="H49" s="9">
        <f>DAY(Table2[[#This Row],[date]])</f>
        <v>10</v>
      </c>
      <c r="I49" s="9">
        <f>MONTH(Table2[[#This Row],[date]])</f>
        <v>2</v>
      </c>
      <c r="J49" s="9">
        <f t="shared" si="5"/>
        <v>2000</v>
      </c>
      <c r="K49" s="28">
        <f>WEEKNUM(Table2[[#This Row],[date]])</f>
        <v>7</v>
      </c>
      <c r="L49" s="28">
        <f>WEEKDAY(Table2[[#This Row],[date]])</f>
        <v>5</v>
      </c>
      <c r="M49" s="29">
        <f>_xlfn.NORM.DIST(Table2[[#This Row],[index]],41.5,$B$3,FALSE)</f>
        <v>2.8477709574332315E-2</v>
      </c>
      <c r="N49" s="27">
        <f>+Table2[[#This Row],[ratio]]*$B$1</f>
        <v>5695541.9148664633</v>
      </c>
      <c r="O49" s="7">
        <f>IF(D43=1,C42,(CONCATENATE(Table2[[#This Row],[month]]+1,$B$2,1,$B$2,Table2[[#This Row],[year]]))-1)</f>
        <v>36585</v>
      </c>
      <c r="P49" s="26">
        <f>Table2[[#This Row],[monthend]]+20</f>
        <v>36605</v>
      </c>
      <c r="Q49" s="26">
        <f>Table2[[#This Row],[payment]] + 10</f>
        <v>36615</v>
      </c>
      <c r="R49" s="40">
        <f>Table2[[#This Row],[revenue]]*0.9</f>
        <v>5125987.7233798169</v>
      </c>
    </row>
    <row r="50" spans="6:18" x14ac:dyDescent="0.3">
      <c r="F50">
        <f t="shared" si="3"/>
        <v>42</v>
      </c>
      <c r="G50" s="7">
        <f t="shared" si="4"/>
        <v>36567</v>
      </c>
      <c r="H50" s="9">
        <f>DAY(Table2[[#This Row],[date]])</f>
        <v>11</v>
      </c>
      <c r="I50" s="9">
        <f>MONTH(Table2[[#This Row],[date]])</f>
        <v>2</v>
      </c>
      <c r="J50" s="9">
        <f t="shared" si="5"/>
        <v>2000</v>
      </c>
      <c r="K50" s="28">
        <f>WEEKNUM(Table2[[#This Row],[date]])</f>
        <v>7</v>
      </c>
      <c r="L50" s="28">
        <f>WEEKDAY(Table2[[#This Row],[date]])</f>
        <v>6</v>
      </c>
      <c r="M50" s="29">
        <f>_xlfn.NORM.DIST(Table2[[#This Row],[index]],41.5,$B$3,FALSE)</f>
        <v>2.8477709574332315E-2</v>
      </c>
      <c r="N50" s="27">
        <f>+Table2[[#This Row],[ratio]]*$B$1</f>
        <v>5695541.9148664633</v>
      </c>
      <c r="O50" s="7">
        <f>IF(D44=1,C43,(CONCATENATE(Table2[[#This Row],[month]]+1,$B$2,1,$B$2,Table2[[#This Row],[year]]))-1)</f>
        <v>36585</v>
      </c>
      <c r="P50" s="26">
        <f>Table2[[#This Row],[monthend]]+20</f>
        <v>36605</v>
      </c>
      <c r="Q50" s="26">
        <f>Table2[[#This Row],[payment]] + 10</f>
        <v>36615</v>
      </c>
      <c r="R50" s="40">
        <f>Table2[[#This Row],[revenue]]*0.9</f>
        <v>5125987.7233798169</v>
      </c>
    </row>
    <row r="51" spans="6:18" x14ac:dyDescent="0.3">
      <c r="F51">
        <f t="shared" si="3"/>
        <v>43</v>
      </c>
      <c r="G51" s="7">
        <f t="shared" si="4"/>
        <v>36568</v>
      </c>
      <c r="H51" s="9">
        <f>DAY(Table2[[#This Row],[date]])</f>
        <v>12</v>
      </c>
      <c r="I51" s="9">
        <f>MONTH(Table2[[#This Row],[date]])</f>
        <v>2</v>
      </c>
      <c r="J51" s="9">
        <f t="shared" si="5"/>
        <v>2000</v>
      </c>
      <c r="K51" s="28">
        <f>WEEKNUM(Table2[[#This Row],[date]])</f>
        <v>7</v>
      </c>
      <c r="L51" s="28">
        <f>WEEKDAY(Table2[[#This Row],[date]])</f>
        <v>7</v>
      </c>
      <c r="M51" s="29">
        <f>_xlfn.NORM.DIST(Table2[[#This Row],[index]],41.5,$B$3,FALSE)</f>
        <v>2.8332785157249189E-2</v>
      </c>
      <c r="N51" s="27">
        <f>+Table2[[#This Row],[ratio]]*$B$1</f>
        <v>5666557.0314498376</v>
      </c>
      <c r="O51" s="7">
        <f>IF(D45=1,C44,(CONCATENATE(Table2[[#This Row],[month]]+1,$B$2,1,$B$2,Table2[[#This Row],[year]]))-1)</f>
        <v>36585</v>
      </c>
      <c r="P51" s="26">
        <f>Table2[[#This Row],[monthend]]+20</f>
        <v>36605</v>
      </c>
      <c r="Q51" s="26">
        <f>Table2[[#This Row],[payment]] + 10</f>
        <v>36615</v>
      </c>
      <c r="R51" s="40">
        <f>Table2[[#This Row],[revenue]]*0.9</f>
        <v>5099901.3283048542</v>
      </c>
    </row>
    <row r="52" spans="6:18" x14ac:dyDescent="0.3">
      <c r="F52">
        <f t="shared" si="3"/>
        <v>44</v>
      </c>
      <c r="G52" s="7">
        <f t="shared" si="4"/>
        <v>36569</v>
      </c>
      <c r="H52" s="9">
        <f>DAY(Table2[[#This Row],[date]])</f>
        <v>13</v>
      </c>
      <c r="I52" s="9">
        <f>MONTH(Table2[[#This Row],[date]])</f>
        <v>2</v>
      </c>
      <c r="J52" s="9">
        <f t="shared" si="5"/>
        <v>2000</v>
      </c>
      <c r="K52" s="28">
        <f>WEEKNUM(Table2[[#This Row],[date]])</f>
        <v>8</v>
      </c>
      <c r="L52" s="28">
        <f>WEEKDAY(Table2[[#This Row],[date]])</f>
        <v>1</v>
      </c>
      <c r="M52" s="29">
        <f>_xlfn.NORM.DIST(Table2[[#This Row],[index]],41.5,$B$3,FALSE)</f>
        <v>2.8045145151504698E-2</v>
      </c>
      <c r="N52" s="27">
        <f>+Table2[[#This Row],[ratio]]*$B$1</f>
        <v>5609029.0303009395</v>
      </c>
      <c r="O52" s="7">
        <f>IF(D46=1,C45,(CONCATENATE(Table2[[#This Row],[month]]+1,$B$2,1,$B$2,Table2[[#This Row],[year]]))-1)</f>
        <v>36585</v>
      </c>
      <c r="P52" s="26">
        <f>Table2[[#This Row],[monthend]]+20</f>
        <v>36605</v>
      </c>
      <c r="Q52" s="26">
        <f>Table2[[#This Row],[payment]] + 10</f>
        <v>36615</v>
      </c>
      <c r="R52" s="40">
        <f>Table2[[#This Row],[revenue]]*0.9</f>
        <v>5048126.1272708457</v>
      </c>
    </row>
    <row r="53" spans="6:18" x14ac:dyDescent="0.3">
      <c r="F53">
        <f t="shared" si="3"/>
        <v>45</v>
      </c>
      <c r="G53" s="7">
        <f t="shared" si="4"/>
        <v>36570</v>
      </c>
      <c r="H53" s="9">
        <f>DAY(Table2[[#This Row],[date]])</f>
        <v>14</v>
      </c>
      <c r="I53" s="9">
        <f>MONTH(Table2[[#This Row],[date]])</f>
        <v>2</v>
      </c>
      <c r="J53" s="9">
        <f t="shared" si="5"/>
        <v>2000</v>
      </c>
      <c r="K53" s="28">
        <f>WEEKNUM(Table2[[#This Row],[date]])</f>
        <v>8</v>
      </c>
      <c r="L53" s="28">
        <f>WEEKDAY(Table2[[#This Row],[date]])</f>
        <v>2</v>
      </c>
      <c r="M53" s="29">
        <f>_xlfn.NORM.DIST(Table2[[#This Row],[index]],41.5,$B$3,FALSE)</f>
        <v>2.7619151200203515E-2</v>
      </c>
      <c r="N53" s="27">
        <f>+Table2[[#This Row],[ratio]]*$B$1</f>
        <v>5523830.2400407027</v>
      </c>
      <c r="O53" s="7">
        <f>IF(D47=1,C46,(CONCATENATE(Table2[[#This Row],[month]]+1,$B$2,1,$B$2,Table2[[#This Row],[year]]))-1)</f>
        <v>36585</v>
      </c>
      <c r="P53" s="26">
        <f>Table2[[#This Row],[monthend]]+20</f>
        <v>36605</v>
      </c>
      <c r="Q53" s="26">
        <f>Table2[[#This Row],[payment]] + 10</f>
        <v>36615</v>
      </c>
      <c r="R53" s="40">
        <f>Table2[[#This Row],[revenue]]*0.9</f>
        <v>4971447.2160366327</v>
      </c>
    </row>
    <row r="54" spans="6:18" x14ac:dyDescent="0.3">
      <c r="F54">
        <f t="shared" si="3"/>
        <v>46</v>
      </c>
      <c r="G54" s="7">
        <f t="shared" si="4"/>
        <v>36571</v>
      </c>
      <c r="H54" s="9">
        <f>DAY(Table2[[#This Row],[date]])</f>
        <v>15</v>
      </c>
      <c r="I54" s="9">
        <f>MONTH(Table2[[#This Row],[date]])</f>
        <v>2</v>
      </c>
      <c r="J54" s="9">
        <f t="shared" si="5"/>
        <v>2000</v>
      </c>
      <c r="K54" s="28">
        <f>WEEKNUM(Table2[[#This Row],[date]])</f>
        <v>8</v>
      </c>
      <c r="L54" s="28">
        <f>WEEKDAY(Table2[[#This Row],[date]])</f>
        <v>3</v>
      </c>
      <c r="M54" s="29">
        <f>_xlfn.NORM.DIST(Table2[[#This Row],[index]],41.5,$B$3,FALSE)</f>
        <v>2.7061207718924354E-2</v>
      </c>
      <c r="N54" s="27">
        <f>+Table2[[#This Row],[ratio]]*$B$1</f>
        <v>5412241.5437848708</v>
      </c>
      <c r="O54" s="7">
        <f>IF(D48=1,C47,(CONCATENATE(Table2[[#This Row],[month]]+1,$B$2,1,$B$2,Table2[[#This Row],[year]]))-1)</f>
        <v>36585</v>
      </c>
      <c r="P54" s="26">
        <f>Table2[[#This Row],[monthend]]+20</f>
        <v>36605</v>
      </c>
      <c r="Q54" s="26">
        <f>Table2[[#This Row],[payment]] + 10</f>
        <v>36615</v>
      </c>
      <c r="R54" s="40">
        <f>Table2[[#This Row],[revenue]]*0.9</f>
        <v>4871017.389406384</v>
      </c>
    </row>
    <row r="55" spans="6:18" x14ac:dyDescent="0.3">
      <c r="F55">
        <f t="shared" si="3"/>
        <v>47</v>
      </c>
      <c r="G55" s="7">
        <f t="shared" si="4"/>
        <v>36572</v>
      </c>
      <c r="H55" s="9">
        <f>DAY(Table2[[#This Row],[date]])</f>
        <v>16</v>
      </c>
      <c r="I55" s="9">
        <f>MONTH(Table2[[#This Row],[date]])</f>
        <v>2</v>
      </c>
      <c r="J55" s="9">
        <f t="shared" si="5"/>
        <v>2000</v>
      </c>
      <c r="K55" s="28">
        <f>WEEKNUM(Table2[[#This Row],[date]])</f>
        <v>8</v>
      </c>
      <c r="L55" s="28">
        <f>WEEKDAY(Table2[[#This Row],[date]])</f>
        <v>4</v>
      </c>
      <c r="M55" s="29">
        <f>_xlfn.NORM.DIST(Table2[[#This Row],[index]],41.5,$B$3,FALSE)</f>
        <v>2.6379601705265307E-2</v>
      </c>
      <c r="N55" s="27">
        <f>+Table2[[#This Row],[ratio]]*$B$1</f>
        <v>5275920.3410530612</v>
      </c>
      <c r="O55" s="7">
        <f>IF(D49=1,C48,(CONCATENATE(Table2[[#This Row],[month]]+1,$B$2,1,$B$2,Table2[[#This Row],[year]]))-1)</f>
        <v>36585</v>
      </c>
      <c r="P55" s="26">
        <f>Table2[[#This Row],[monthend]]+20</f>
        <v>36605</v>
      </c>
      <c r="Q55" s="26">
        <f>Table2[[#This Row],[payment]] + 10</f>
        <v>36615</v>
      </c>
      <c r="R55" s="40">
        <f>Table2[[#This Row],[revenue]]*0.9</f>
        <v>4748328.3069477556</v>
      </c>
    </row>
    <row r="56" spans="6:18" x14ac:dyDescent="0.3">
      <c r="F56">
        <f t="shared" si="3"/>
        <v>48</v>
      </c>
      <c r="G56" s="7">
        <f t="shared" si="4"/>
        <v>36573</v>
      </c>
      <c r="H56" s="9">
        <f>DAY(Table2[[#This Row],[date]])</f>
        <v>17</v>
      </c>
      <c r="I56" s="9">
        <f>MONTH(Table2[[#This Row],[date]])</f>
        <v>2</v>
      </c>
      <c r="J56" s="9">
        <f t="shared" si="5"/>
        <v>2000</v>
      </c>
      <c r="K56" s="28">
        <f>WEEKNUM(Table2[[#This Row],[date]])</f>
        <v>8</v>
      </c>
      <c r="L56" s="28">
        <f>WEEKDAY(Table2[[#This Row],[date]])</f>
        <v>5</v>
      </c>
      <c r="M56" s="29">
        <f>_xlfn.NORM.DIST(Table2[[#This Row],[index]],41.5,$B$3,FALSE)</f>
        <v>2.5584297999708468E-2</v>
      </c>
      <c r="N56" s="27">
        <f>+Table2[[#This Row],[ratio]]*$B$1</f>
        <v>5116859.5999416932</v>
      </c>
      <c r="O56" s="7">
        <f>IF(D50=1,C49,(CONCATENATE(Table2[[#This Row],[month]]+1,$B$2,1,$B$2,Table2[[#This Row],[year]]))-1)</f>
        <v>36585</v>
      </c>
      <c r="P56" s="26">
        <f>Table2[[#This Row],[monthend]]+20</f>
        <v>36605</v>
      </c>
      <c r="Q56" s="26">
        <f>Table2[[#This Row],[payment]] + 10</f>
        <v>36615</v>
      </c>
      <c r="R56" s="40">
        <f>Table2[[#This Row],[revenue]]*0.9</f>
        <v>4605173.6399475243</v>
      </c>
    </row>
    <row r="57" spans="6:18" x14ac:dyDescent="0.3">
      <c r="F57">
        <f t="shared" si="3"/>
        <v>49</v>
      </c>
      <c r="G57" s="7">
        <f t="shared" si="4"/>
        <v>36574</v>
      </c>
      <c r="H57" s="9">
        <f>DAY(Table2[[#This Row],[date]])</f>
        <v>18</v>
      </c>
      <c r="I57" s="9">
        <f>MONTH(Table2[[#This Row],[date]])</f>
        <v>2</v>
      </c>
      <c r="J57" s="9">
        <f t="shared" si="5"/>
        <v>2000</v>
      </c>
      <c r="K57" s="28">
        <f>WEEKNUM(Table2[[#This Row],[date]])</f>
        <v>8</v>
      </c>
      <c r="L57" s="28">
        <f>WEEKDAY(Table2[[#This Row],[date]])</f>
        <v>6</v>
      </c>
      <c r="M57" s="29">
        <f>_xlfn.NORM.DIST(Table2[[#This Row],[index]],41.5,$B$3,FALSE)</f>
        <v>2.4686697065492834E-2</v>
      </c>
      <c r="N57" s="27">
        <f>+Table2[[#This Row],[ratio]]*$B$1</f>
        <v>4937339.4130985672</v>
      </c>
      <c r="O57" s="7">
        <f>IF(D51=1,C50,(CONCATENATE(Table2[[#This Row],[month]]+1,$B$2,1,$B$2,Table2[[#This Row],[year]]))-1)</f>
        <v>36585</v>
      </c>
      <c r="P57" s="26">
        <f>Table2[[#This Row],[monthend]]+20</f>
        <v>36605</v>
      </c>
      <c r="Q57" s="26">
        <f>Table2[[#This Row],[payment]] + 10</f>
        <v>36615</v>
      </c>
      <c r="R57" s="40">
        <f>Table2[[#This Row],[revenue]]*0.9</f>
        <v>4443605.4717887109</v>
      </c>
    </row>
    <row r="58" spans="6:18" x14ac:dyDescent="0.3">
      <c r="F58">
        <f t="shared" si="3"/>
        <v>50</v>
      </c>
      <c r="G58" s="7">
        <f t="shared" si="4"/>
        <v>36575</v>
      </c>
      <c r="H58" s="9">
        <f>DAY(Table2[[#This Row],[date]])</f>
        <v>19</v>
      </c>
      <c r="I58" s="9">
        <f>MONTH(Table2[[#This Row],[date]])</f>
        <v>2</v>
      </c>
      <c r="J58" s="9">
        <f t="shared" si="5"/>
        <v>2000</v>
      </c>
      <c r="K58" s="28">
        <f>WEEKNUM(Table2[[#This Row],[date]])</f>
        <v>8</v>
      </c>
      <c r="L58" s="28">
        <f>WEEKDAY(Table2[[#This Row],[date]])</f>
        <v>7</v>
      </c>
      <c r="M58" s="29">
        <f>_xlfn.NORM.DIST(Table2[[#This Row],[index]],41.5,$B$3,FALSE)</f>
        <v>2.3699363510239359E-2</v>
      </c>
      <c r="N58" s="27">
        <f>+Table2[[#This Row],[ratio]]*$B$1</f>
        <v>4739872.7020478714</v>
      </c>
      <c r="O58" s="7">
        <f>IF(D52=1,C51,(CONCATENATE(Table2[[#This Row],[month]]+1,$B$2,1,$B$2,Table2[[#This Row],[year]]))-1)</f>
        <v>36585</v>
      </c>
      <c r="P58" s="26">
        <f>Table2[[#This Row],[monthend]]+20</f>
        <v>36605</v>
      </c>
      <c r="Q58" s="26">
        <f>Table2[[#This Row],[payment]] + 10</f>
        <v>36615</v>
      </c>
      <c r="R58" s="40">
        <f>Table2[[#This Row],[revenue]]*0.9</f>
        <v>4265885.4318430843</v>
      </c>
    </row>
    <row r="59" spans="6:18" x14ac:dyDescent="0.3">
      <c r="F59">
        <f t="shared" si="3"/>
        <v>51</v>
      </c>
      <c r="G59" s="7">
        <f t="shared" si="4"/>
        <v>36576</v>
      </c>
      <c r="H59" s="9">
        <f>DAY(Table2[[#This Row],[date]])</f>
        <v>20</v>
      </c>
      <c r="I59" s="9">
        <f>MONTH(Table2[[#This Row],[date]])</f>
        <v>2</v>
      </c>
      <c r="J59" s="9">
        <f t="shared" si="5"/>
        <v>2000</v>
      </c>
      <c r="K59" s="28">
        <f>WEEKNUM(Table2[[#This Row],[date]])</f>
        <v>9</v>
      </c>
      <c r="L59" s="28">
        <f>WEEKDAY(Table2[[#This Row],[date]])</f>
        <v>1</v>
      </c>
      <c r="M59" s="29">
        <f>_xlfn.NORM.DIST(Table2[[#This Row],[index]],41.5,$B$3,FALSE)</f>
        <v>2.2635734369121589E-2</v>
      </c>
      <c r="N59" s="27">
        <f>+Table2[[#This Row],[ratio]]*$B$1</f>
        <v>4527146.8738243179</v>
      </c>
      <c r="O59" s="7">
        <f>IF(D53=1,C52,(CONCATENATE(Table2[[#This Row],[month]]+1,$B$2,1,$B$2,Table2[[#This Row],[year]]))-1)</f>
        <v>36585</v>
      </c>
      <c r="P59" s="26">
        <f>Table2[[#This Row],[monthend]]+20</f>
        <v>36605</v>
      </c>
      <c r="Q59" s="26">
        <f>Table2[[#This Row],[payment]] + 10</f>
        <v>36615</v>
      </c>
      <c r="R59" s="40">
        <f>Table2[[#This Row],[revenue]]*0.9</f>
        <v>4074432.1864418862</v>
      </c>
    </row>
    <row r="60" spans="6:18" x14ac:dyDescent="0.3">
      <c r="F60">
        <f t="shared" si="3"/>
        <v>52</v>
      </c>
      <c r="G60" s="7">
        <f t="shared" si="4"/>
        <v>36577</v>
      </c>
      <c r="H60" s="9">
        <f>DAY(Table2[[#This Row],[date]])</f>
        <v>21</v>
      </c>
      <c r="I60" s="9">
        <f>MONTH(Table2[[#This Row],[date]])</f>
        <v>2</v>
      </c>
      <c r="J60" s="9">
        <f t="shared" si="5"/>
        <v>2000</v>
      </c>
      <c r="K60" s="28">
        <f>WEEKNUM(Table2[[#This Row],[date]])</f>
        <v>9</v>
      </c>
      <c r="L60" s="28">
        <f>WEEKDAY(Table2[[#This Row],[date]])</f>
        <v>2</v>
      </c>
      <c r="M60" s="29">
        <f>_xlfn.NORM.DIST(Table2[[#This Row],[index]],41.5,$B$3,FALSE)</f>
        <v>2.1509816582486029E-2</v>
      </c>
      <c r="N60" s="27">
        <f>+Table2[[#This Row],[ratio]]*$B$1</f>
        <v>4301963.3164972058</v>
      </c>
      <c r="O60" s="7">
        <f>IF(D54=1,C53,(CONCATENATE(Table2[[#This Row],[month]]+1,$B$2,1,$B$2,Table2[[#This Row],[year]]))-1)</f>
        <v>36585</v>
      </c>
      <c r="P60" s="26">
        <f>Table2[[#This Row],[monthend]]+20</f>
        <v>36605</v>
      </c>
      <c r="Q60" s="26">
        <f>Table2[[#This Row],[payment]] + 10</f>
        <v>36615</v>
      </c>
      <c r="R60" s="40">
        <f>Table2[[#This Row],[revenue]]*0.9</f>
        <v>3871766.9848474851</v>
      </c>
    </row>
    <row r="61" spans="6:18" x14ac:dyDescent="0.3">
      <c r="F61">
        <f t="shared" si="3"/>
        <v>53</v>
      </c>
      <c r="G61" s="7">
        <f t="shared" si="4"/>
        <v>36578</v>
      </c>
      <c r="H61" s="9">
        <f>DAY(Table2[[#This Row],[date]])</f>
        <v>22</v>
      </c>
      <c r="I61" s="9">
        <f>MONTH(Table2[[#This Row],[date]])</f>
        <v>2</v>
      </c>
      <c r="J61" s="9">
        <f t="shared" si="5"/>
        <v>2000</v>
      </c>
      <c r="K61" s="28">
        <f>WEEKNUM(Table2[[#This Row],[date]])</f>
        <v>9</v>
      </c>
      <c r="L61" s="28">
        <f>WEEKDAY(Table2[[#This Row],[date]])</f>
        <v>3</v>
      </c>
      <c r="M61" s="29">
        <f>_xlfn.NORM.DIST(Table2[[#This Row],[index]],41.5,$B$3,FALSE)</f>
        <v>2.0335883123965309E-2</v>
      </c>
      <c r="N61" s="27">
        <f>+Table2[[#This Row],[ratio]]*$B$1</f>
        <v>4067176.624793062</v>
      </c>
      <c r="O61" s="7">
        <f>IF(D55=1,C54,(CONCATENATE(Table2[[#This Row],[month]]+1,$B$2,1,$B$2,Table2[[#This Row],[year]]))-1)</f>
        <v>36585</v>
      </c>
      <c r="P61" s="26">
        <f>Table2[[#This Row],[monthend]]+20</f>
        <v>36605</v>
      </c>
      <c r="Q61" s="26">
        <f>Table2[[#This Row],[payment]] + 10</f>
        <v>36615</v>
      </c>
      <c r="R61" s="40">
        <f>Table2[[#This Row],[revenue]]*0.9</f>
        <v>3660458.9623137559</v>
      </c>
    </row>
    <row r="62" spans="6:18" x14ac:dyDescent="0.3">
      <c r="F62">
        <f t="shared" si="3"/>
        <v>54</v>
      </c>
      <c r="G62" s="7">
        <f t="shared" si="4"/>
        <v>36579</v>
      </c>
      <c r="H62" s="9">
        <f>DAY(Table2[[#This Row],[date]])</f>
        <v>23</v>
      </c>
      <c r="I62" s="9">
        <f>MONTH(Table2[[#This Row],[date]])</f>
        <v>2</v>
      </c>
      <c r="J62" s="9">
        <f t="shared" si="5"/>
        <v>2000</v>
      </c>
      <c r="K62" s="28">
        <f>WEEKNUM(Table2[[#This Row],[date]])</f>
        <v>9</v>
      </c>
      <c r="L62" s="28">
        <f>WEEKDAY(Table2[[#This Row],[date]])</f>
        <v>4</v>
      </c>
      <c r="M62" s="29">
        <f>_xlfn.NORM.DIST(Table2[[#This Row],[index]],41.5,$B$3,FALSE)</f>
        <v>1.9128176881846124E-2</v>
      </c>
      <c r="N62" s="27">
        <f>+Table2[[#This Row],[ratio]]*$B$1</f>
        <v>3825635.3763692249</v>
      </c>
      <c r="O62" s="7">
        <f>IF(D56=1,C55,(CONCATENATE(Table2[[#This Row],[month]]+1,$B$2,1,$B$2,Table2[[#This Row],[year]]))-1)</f>
        <v>36585</v>
      </c>
      <c r="P62" s="26">
        <f>Table2[[#This Row],[monthend]]+20</f>
        <v>36605</v>
      </c>
      <c r="Q62" s="26">
        <f>Table2[[#This Row],[payment]] + 10</f>
        <v>36615</v>
      </c>
      <c r="R62" s="40">
        <f>Table2[[#This Row],[revenue]]*0.9</f>
        <v>3443071.8387323027</v>
      </c>
    </row>
    <row r="63" spans="6:18" x14ac:dyDescent="0.3">
      <c r="F63">
        <f t="shared" si="3"/>
        <v>55</v>
      </c>
      <c r="G63" s="7">
        <f t="shared" si="4"/>
        <v>36580</v>
      </c>
      <c r="H63" s="9">
        <f>DAY(Table2[[#This Row],[date]])</f>
        <v>24</v>
      </c>
      <c r="I63" s="9">
        <f>MONTH(Table2[[#This Row],[date]])</f>
        <v>2</v>
      </c>
      <c r="J63" s="9">
        <f t="shared" si="5"/>
        <v>2000</v>
      </c>
      <c r="K63" s="28">
        <f>WEEKNUM(Table2[[#This Row],[date]])</f>
        <v>9</v>
      </c>
      <c r="L63" s="28">
        <f>WEEKDAY(Table2[[#This Row],[date]])</f>
        <v>5</v>
      </c>
      <c r="M63" s="29">
        <f>_xlfn.NORM.DIST(Table2[[#This Row],[index]],41.5,$B$3,FALSE)</f>
        <v>1.7900630698417495E-2</v>
      </c>
      <c r="N63" s="27">
        <f>+Table2[[#This Row],[ratio]]*$B$1</f>
        <v>3580126.139683499</v>
      </c>
      <c r="O63" s="7">
        <f>IF(D57=1,C56,(CONCATENATE(Table2[[#This Row],[month]]+1,$B$2,1,$B$2,Table2[[#This Row],[year]]))-1)</f>
        <v>36585</v>
      </c>
      <c r="P63" s="26">
        <f>Table2[[#This Row],[monthend]]+20</f>
        <v>36605</v>
      </c>
      <c r="Q63" s="26">
        <f>Table2[[#This Row],[payment]] + 10</f>
        <v>36615</v>
      </c>
      <c r="R63" s="40">
        <f>Table2[[#This Row],[revenue]]*0.9</f>
        <v>3222113.525715149</v>
      </c>
    </row>
    <row r="64" spans="6:18" x14ac:dyDescent="0.3">
      <c r="F64">
        <f t="shared" si="3"/>
        <v>56</v>
      </c>
      <c r="G64" s="7">
        <f t="shared" si="4"/>
        <v>36581</v>
      </c>
      <c r="H64" s="9">
        <f>DAY(Table2[[#This Row],[date]])</f>
        <v>25</v>
      </c>
      <c r="I64" s="9">
        <f>MONTH(Table2[[#This Row],[date]])</f>
        <v>2</v>
      </c>
      <c r="J64" s="9">
        <f t="shared" si="5"/>
        <v>2000</v>
      </c>
      <c r="K64" s="28">
        <f>WEEKNUM(Table2[[#This Row],[date]])</f>
        <v>9</v>
      </c>
      <c r="L64" s="28">
        <f>WEEKDAY(Table2[[#This Row],[date]])</f>
        <v>6</v>
      </c>
      <c r="M64" s="29">
        <f>_xlfn.NORM.DIST(Table2[[#This Row],[index]],41.5,$B$3,FALSE)</f>
        <v>1.6666610976523753E-2</v>
      </c>
      <c r="N64" s="27">
        <f>+Table2[[#This Row],[ratio]]*$B$1</f>
        <v>3333322.1953047505</v>
      </c>
      <c r="O64" s="7">
        <f>IF(D58=1,C57,(CONCATENATE(Table2[[#This Row],[month]]+1,$B$2,1,$B$2,Table2[[#This Row],[year]]))-1)</f>
        <v>36585</v>
      </c>
      <c r="P64" s="26">
        <f>Table2[[#This Row],[monthend]]+20</f>
        <v>36605</v>
      </c>
      <c r="Q64" s="26">
        <f>Table2[[#This Row],[payment]] + 10</f>
        <v>36615</v>
      </c>
      <c r="R64" s="40">
        <f>Table2[[#This Row],[revenue]]*0.9</f>
        <v>2999989.9757742756</v>
      </c>
    </row>
    <row r="65" spans="6:18" x14ac:dyDescent="0.3">
      <c r="F65">
        <f t="shared" si="3"/>
        <v>57</v>
      </c>
      <c r="G65" s="7">
        <f t="shared" si="4"/>
        <v>36582</v>
      </c>
      <c r="H65" s="9">
        <f>DAY(Table2[[#This Row],[date]])</f>
        <v>26</v>
      </c>
      <c r="I65" s="9">
        <f>MONTH(Table2[[#This Row],[date]])</f>
        <v>2</v>
      </c>
      <c r="J65" s="9">
        <f t="shared" si="5"/>
        <v>2000</v>
      </c>
      <c r="K65" s="28">
        <f>WEEKNUM(Table2[[#This Row],[date]])</f>
        <v>9</v>
      </c>
      <c r="L65" s="28">
        <f>WEEKDAY(Table2[[#This Row],[date]])</f>
        <v>7</v>
      </c>
      <c r="M65" s="29">
        <f>_xlfn.NORM.DIST(Table2[[#This Row],[index]],41.5,$B$3,FALSE)</f>
        <v>1.5438691029196216E-2</v>
      </c>
      <c r="N65" s="27">
        <f>+Table2[[#This Row],[ratio]]*$B$1</f>
        <v>3087738.2058392433</v>
      </c>
      <c r="O65" s="7">
        <f>IF(D59=1,C58,(CONCATENATE(Table2[[#This Row],[month]]+1,$B$2,1,$B$2,Table2[[#This Row],[year]]))-1)</f>
        <v>36585</v>
      </c>
      <c r="P65" s="26">
        <f>Table2[[#This Row],[monthend]]+20</f>
        <v>36605</v>
      </c>
      <c r="Q65" s="26">
        <f>Table2[[#This Row],[payment]] + 10</f>
        <v>36615</v>
      </c>
      <c r="R65" s="40">
        <f>Table2[[#This Row],[revenue]]*0.9</f>
        <v>2778964.3852553191</v>
      </c>
    </row>
    <row r="66" spans="6:18" x14ac:dyDescent="0.3">
      <c r="F66">
        <f t="shared" si="3"/>
        <v>58</v>
      </c>
      <c r="G66" s="7">
        <f t="shared" si="4"/>
        <v>36583</v>
      </c>
      <c r="H66" s="9">
        <f>DAY(Table2[[#This Row],[date]])</f>
        <v>27</v>
      </c>
      <c r="I66" s="9">
        <f>MONTH(Table2[[#This Row],[date]])</f>
        <v>2</v>
      </c>
      <c r="J66" s="9">
        <f t="shared" si="5"/>
        <v>2000</v>
      </c>
      <c r="K66" s="28">
        <f>WEEKNUM(Table2[[#This Row],[date]])</f>
        <v>10</v>
      </c>
      <c r="L66" s="28">
        <f>WEEKDAY(Table2[[#This Row],[date]])</f>
        <v>1</v>
      </c>
      <c r="M66" s="29">
        <f>_xlfn.NORM.DIST(Table2[[#This Row],[index]],41.5,$B$3,FALSE)</f>
        <v>1.4228458945108895E-2</v>
      </c>
      <c r="N66" s="27">
        <f>+Table2[[#This Row],[ratio]]*$B$1</f>
        <v>2845691.7890217789</v>
      </c>
      <c r="O66" s="7">
        <f>IF(D60=1,C59,(CONCATENATE(Table2[[#This Row],[month]]+1,$B$2,1,$B$2,Table2[[#This Row],[year]]))-1)</f>
        <v>36585</v>
      </c>
      <c r="P66" s="26">
        <f>Table2[[#This Row],[monthend]]+20</f>
        <v>36605</v>
      </c>
      <c r="Q66" s="26">
        <f>Table2[[#This Row],[payment]] + 10</f>
        <v>36615</v>
      </c>
      <c r="R66" s="40">
        <f>Table2[[#This Row],[revenue]]*0.9</f>
        <v>2561122.6101196012</v>
      </c>
    </row>
    <row r="67" spans="6:18" x14ac:dyDescent="0.3">
      <c r="F67">
        <f t="shared" si="3"/>
        <v>59</v>
      </c>
      <c r="G67" s="7">
        <f t="shared" si="4"/>
        <v>36584</v>
      </c>
      <c r="H67" s="9">
        <f>DAY(Table2[[#This Row],[date]])</f>
        <v>28</v>
      </c>
      <c r="I67" s="9">
        <f>MONTH(Table2[[#This Row],[date]])</f>
        <v>2</v>
      </c>
      <c r="J67" s="9">
        <f t="shared" si="5"/>
        <v>2000</v>
      </c>
      <c r="K67" s="28">
        <f>WEEKNUM(Table2[[#This Row],[date]])</f>
        <v>10</v>
      </c>
      <c r="L67" s="28">
        <f>WEEKDAY(Table2[[#This Row],[date]])</f>
        <v>2</v>
      </c>
      <c r="M67" s="29">
        <f>_xlfn.NORM.DIST(Table2[[#This Row],[index]],41.5,$B$3,FALSE)</f>
        <v>1.3046363242072994E-2</v>
      </c>
      <c r="N67" s="27">
        <f>+Table2[[#This Row],[ratio]]*$B$1</f>
        <v>2609272.6484145988</v>
      </c>
      <c r="O67" s="7">
        <f>IF(D61=1,C60,(CONCATENATE(Table2[[#This Row],[month]]+1,$B$2,1,$B$2,Table2[[#This Row],[year]]))-1)</f>
        <v>36585</v>
      </c>
      <c r="P67" s="26">
        <f>Table2[[#This Row],[monthend]]+20</f>
        <v>36605</v>
      </c>
      <c r="Q67" s="26">
        <f>Table2[[#This Row],[payment]] + 10</f>
        <v>36615</v>
      </c>
      <c r="R67" s="40">
        <f>Table2[[#This Row],[revenue]]*0.9</f>
        <v>2348345.3835731391</v>
      </c>
    </row>
    <row r="68" spans="6:18" x14ac:dyDescent="0.3">
      <c r="F68">
        <f t="shared" si="3"/>
        <v>60</v>
      </c>
      <c r="G68" s="7">
        <f t="shared" si="4"/>
        <v>36585</v>
      </c>
      <c r="H68" s="9">
        <f>DAY(Table2[[#This Row],[date]])</f>
        <v>29</v>
      </c>
      <c r="I68" s="9">
        <f>MONTH(Table2[[#This Row],[date]])</f>
        <v>2</v>
      </c>
      <c r="J68" s="9">
        <f t="shared" si="5"/>
        <v>2000</v>
      </c>
      <c r="K68" s="28">
        <f>WEEKNUM(Table2[[#This Row],[date]])</f>
        <v>10</v>
      </c>
      <c r="L68" s="28">
        <f>WEEKDAY(Table2[[#This Row],[date]])</f>
        <v>3</v>
      </c>
      <c r="M68" s="29">
        <f>_xlfn.NORM.DIST(Table2[[#This Row],[index]],41.5,$B$3,FALSE)</f>
        <v>1.1901598055367165E-2</v>
      </c>
      <c r="N68" s="27">
        <f>+Table2[[#This Row],[ratio]]*$B$1</f>
        <v>2380319.611073433</v>
      </c>
      <c r="O68" s="7">
        <f>IF(D62=1,C61,(CONCATENATE(Table2[[#This Row],[month]]+1,$B$2,1,$B$2,Table2[[#This Row],[year]]))-1)</f>
        <v>36585</v>
      </c>
      <c r="P68" s="26">
        <f>Table2[[#This Row],[monthend]]+20</f>
        <v>36605</v>
      </c>
      <c r="Q68" s="26">
        <f>Table2[[#This Row],[payment]] + 10</f>
        <v>36615</v>
      </c>
      <c r="R68" s="40">
        <f>Table2[[#This Row],[revenue]]*0.9</f>
        <v>2142287.6499660895</v>
      </c>
    </row>
    <row r="69" spans="6:18" x14ac:dyDescent="0.3">
      <c r="F69">
        <f t="shared" si="3"/>
        <v>61</v>
      </c>
      <c r="G69" s="7">
        <f t="shared" si="4"/>
        <v>36586</v>
      </c>
      <c r="H69" s="9">
        <f>DAY(Table2[[#This Row],[date]])</f>
        <v>1</v>
      </c>
      <c r="I69" s="9">
        <f>MONTH(Table2[[#This Row],[date]])</f>
        <v>3</v>
      </c>
      <c r="J69" s="9">
        <f t="shared" si="5"/>
        <v>2000</v>
      </c>
      <c r="K69" s="28">
        <f>WEEKNUM(Table2[[#This Row],[date]])</f>
        <v>10</v>
      </c>
      <c r="L69" s="28">
        <f>WEEKDAY(Table2[[#This Row],[date]])</f>
        <v>4</v>
      </c>
      <c r="M69" s="29">
        <f>_xlfn.NORM.DIST(Table2[[#This Row],[index]],41.5,$B$3,FALSE)</f>
        <v>1.080202812614838E-2</v>
      </c>
      <c r="N69" s="27">
        <f>+Table2[[#This Row],[ratio]]*$B$1</f>
        <v>2160405.6252296758</v>
      </c>
      <c r="O69" s="7">
        <f>IF(D63=1,C62,(CONCATENATE(Table2[[#This Row],[month]]+1,$B$2,1,$B$2,Table2[[#This Row],[year]]))-1)</f>
        <v>36616</v>
      </c>
      <c r="P69" s="26">
        <f>Table2[[#This Row],[monthend]]+20</f>
        <v>36636</v>
      </c>
      <c r="Q69" s="26">
        <f>Table2[[#This Row],[payment]] + 10</f>
        <v>36646</v>
      </c>
      <c r="R69" s="40">
        <f>Table2[[#This Row],[revenue]]*0.9</f>
        <v>1944365.0627067082</v>
      </c>
    </row>
    <row r="70" spans="6:18" x14ac:dyDescent="0.3">
      <c r="F70">
        <f t="shared" si="3"/>
        <v>62</v>
      </c>
      <c r="G70" s="7">
        <f t="shared" si="4"/>
        <v>36587</v>
      </c>
      <c r="H70" s="9">
        <f>DAY(Table2[[#This Row],[date]])</f>
        <v>2</v>
      </c>
      <c r="I70" s="9">
        <f>MONTH(Table2[[#This Row],[date]])</f>
        <v>3</v>
      </c>
      <c r="J70" s="9">
        <f t="shared" si="5"/>
        <v>2000</v>
      </c>
      <c r="K70" s="28">
        <f>WEEKNUM(Table2[[#This Row],[date]])</f>
        <v>10</v>
      </c>
      <c r="L70" s="28">
        <f>WEEKDAY(Table2[[#This Row],[date]])</f>
        <v>5</v>
      </c>
      <c r="M70" s="29">
        <f>_xlfn.NORM.DIST(Table2[[#This Row],[index]],41.5,$B$3,FALSE)</f>
        <v>9.7541524790725701E-3</v>
      </c>
      <c r="N70" s="27">
        <f>+Table2[[#This Row],[ratio]]*$B$1</f>
        <v>1950830.4958145141</v>
      </c>
      <c r="O70" s="7">
        <f>IF(D64=1,C63,(CONCATENATE(Table2[[#This Row],[month]]+1,$B$2,1,$B$2,Table2[[#This Row],[year]]))-1)</f>
        <v>36616</v>
      </c>
      <c r="P70" s="26">
        <f>Table2[[#This Row],[monthend]]+20</f>
        <v>36636</v>
      </c>
      <c r="Q70" s="26">
        <f>Table2[[#This Row],[payment]] + 10</f>
        <v>36646</v>
      </c>
      <c r="R70" s="40">
        <f>Table2[[#This Row],[revenue]]*0.9</f>
        <v>1755747.4462330628</v>
      </c>
    </row>
    <row r="71" spans="6:18" x14ac:dyDescent="0.3">
      <c r="F71">
        <f t="shared" si="3"/>
        <v>63</v>
      </c>
      <c r="G71" s="7">
        <f t="shared" si="4"/>
        <v>36588</v>
      </c>
      <c r="H71" s="9">
        <f>DAY(Table2[[#This Row],[date]])</f>
        <v>3</v>
      </c>
      <c r="I71" s="9">
        <f>MONTH(Table2[[#This Row],[date]])</f>
        <v>3</v>
      </c>
      <c r="J71" s="9">
        <f t="shared" si="5"/>
        <v>2000</v>
      </c>
      <c r="K71" s="28">
        <f>WEEKNUM(Table2[[#This Row],[date]])</f>
        <v>10</v>
      </c>
      <c r="L71" s="28">
        <f>WEEKDAY(Table2[[#This Row],[date]])</f>
        <v>6</v>
      </c>
      <c r="M71" s="29">
        <f>_xlfn.NORM.DIST(Table2[[#This Row],[index]],41.5,$B$3,FALSE)</f>
        <v>8.763104459219441E-3</v>
      </c>
      <c r="N71" s="27">
        <f>+Table2[[#This Row],[ratio]]*$B$1</f>
        <v>1752620.8918438882</v>
      </c>
      <c r="O71" s="7">
        <f>IF(D65=1,C64,(CONCATENATE(Table2[[#This Row],[month]]+1,$B$2,1,$B$2,Table2[[#This Row],[year]]))-1)</f>
        <v>36616</v>
      </c>
      <c r="P71" s="26">
        <f>Table2[[#This Row],[monthend]]+20</f>
        <v>36636</v>
      </c>
      <c r="Q71" s="26">
        <f>Table2[[#This Row],[payment]] + 10</f>
        <v>36646</v>
      </c>
      <c r="R71" s="40">
        <f>Table2[[#This Row],[revenue]]*0.9</f>
        <v>1577358.8026594995</v>
      </c>
    </row>
    <row r="72" spans="6:18" x14ac:dyDescent="0.3">
      <c r="F72">
        <f t="shared" si="3"/>
        <v>64</v>
      </c>
      <c r="G72" s="7">
        <f t="shared" si="4"/>
        <v>36589</v>
      </c>
      <c r="H72" s="9">
        <f>DAY(Table2[[#This Row],[date]])</f>
        <v>4</v>
      </c>
      <c r="I72" s="9">
        <f>MONTH(Table2[[#This Row],[date]])</f>
        <v>3</v>
      </c>
      <c r="J72" s="9">
        <f t="shared" si="5"/>
        <v>2000</v>
      </c>
      <c r="K72" s="28">
        <f>WEEKNUM(Table2[[#This Row],[date]])</f>
        <v>10</v>
      </c>
      <c r="L72" s="28">
        <f>WEEKDAY(Table2[[#This Row],[date]])</f>
        <v>7</v>
      </c>
      <c r="M72" s="29">
        <f>_xlfn.NORM.DIST(Table2[[#This Row],[index]],41.5,$B$3,FALSE)</f>
        <v>7.8326847762224365E-3</v>
      </c>
      <c r="N72" s="27">
        <f>+Table2[[#This Row],[ratio]]*$B$1</f>
        <v>1566536.9552444874</v>
      </c>
      <c r="O72" s="7">
        <f>IF(D66=1,C65,(CONCATENATE(Table2[[#This Row],[month]]+1,$B$2,1,$B$2,Table2[[#This Row],[year]]))-1)</f>
        <v>36616</v>
      </c>
      <c r="P72" s="26">
        <f>Table2[[#This Row],[monthend]]+20</f>
        <v>36636</v>
      </c>
      <c r="Q72" s="26">
        <f>Table2[[#This Row],[payment]] + 10</f>
        <v>36646</v>
      </c>
      <c r="R72" s="40">
        <f>Table2[[#This Row],[revenue]]*0.9</f>
        <v>1409883.2597200386</v>
      </c>
    </row>
    <row r="73" spans="6:18" x14ac:dyDescent="0.3">
      <c r="F73">
        <f t="shared" si="3"/>
        <v>65</v>
      </c>
      <c r="G73" s="7">
        <f t="shared" si="4"/>
        <v>36590</v>
      </c>
      <c r="H73" s="9">
        <f>DAY(Table2[[#This Row],[date]])</f>
        <v>5</v>
      </c>
      <c r="I73" s="9">
        <f>MONTH(Table2[[#This Row],[date]])</f>
        <v>3</v>
      </c>
      <c r="J73" s="9">
        <f t="shared" si="5"/>
        <v>2000</v>
      </c>
      <c r="K73" s="28">
        <f>WEEKNUM(Table2[[#This Row],[date]])</f>
        <v>11</v>
      </c>
      <c r="L73" s="28">
        <f>WEEKDAY(Table2[[#This Row],[date]])</f>
        <v>1</v>
      </c>
      <c r="M73" s="29">
        <f>_xlfn.NORM.DIST(Table2[[#This Row],[index]],41.5,$B$3,FALSE)</f>
        <v>6.9654234049265837E-3</v>
      </c>
      <c r="N73" s="27">
        <f>+Table2[[#This Row],[ratio]]*$B$1</f>
        <v>1393084.6809853166</v>
      </c>
      <c r="O73" s="7">
        <f>IF(D67=1,C66,(CONCATENATE(Table2[[#This Row],[month]]+1,$B$2,1,$B$2,Table2[[#This Row],[year]]))-1)</f>
        <v>36616</v>
      </c>
      <c r="P73" s="26">
        <f>Table2[[#This Row],[monthend]]+20</f>
        <v>36636</v>
      </c>
      <c r="Q73" s="26">
        <f>Table2[[#This Row],[payment]] + 10</f>
        <v>36646</v>
      </c>
      <c r="R73" s="40">
        <f>Table2[[#This Row],[revenue]]*0.9</f>
        <v>1253776.2128867849</v>
      </c>
    </row>
    <row r="74" spans="6:18" x14ac:dyDescent="0.3">
      <c r="F74">
        <f t="shared" ref="F74:F91" si="6">F73 +1</f>
        <v>66</v>
      </c>
      <c r="G74" s="7">
        <f t="shared" ref="G74:G91" si="7">G73 +1</f>
        <v>36591</v>
      </c>
      <c r="H74" s="9">
        <f>DAY(Table2[[#This Row],[date]])</f>
        <v>6</v>
      </c>
      <c r="I74" s="9">
        <f>MONTH(Table2[[#This Row],[date]])</f>
        <v>3</v>
      </c>
      <c r="J74" s="9">
        <f t="shared" ref="J74:J91" si="8">YEAR(G74)</f>
        <v>2000</v>
      </c>
      <c r="K74" s="28">
        <f>WEEKNUM(Table2[[#This Row],[date]])</f>
        <v>11</v>
      </c>
      <c r="L74" s="28">
        <f>WEEKDAY(Table2[[#This Row],[date]])</f>
        <v>2</v>
      </c>
      <c r="M74" s="29">
        <f>_xlfn.NORM.DIST(Table2[[#This Row],[index]],41.5,$B$3,FALSE)</f>
        <v>6.1626656304651084E-3</v>
      </c>
      <c r="N74" s="27">
        <f>+Table2[[#This Row],[ratio]]*$B$1</f>
        <v>1232533.1260930216</v>
      </c>
      <c r="O74" s="7">
        <f>IF(D68=1,C67,(CONCATENATE(Table2[[#This Row],[month]]+1,$B$2,1,$B$2,Table2[[#This Row],[year]]))-1)</f>
        <v>36616</v>
      </c>
      <c r="P74" s="26">
        <f>Table2[[#This Row],[monthend]]+20</f>
        <v>36636</v>
      </c>
      <c r="Q74" s="26">
        <f>Table2[[#This Row],[payment]] + 10</f>
        <v>36646</v>
      </c>
      <c r="R74" s="40">
        <f>Table2[[#This Row],[revenue]]*0.9</f>
        <v>1109279.8134837195</v>
      </c>
    </row>
    <row r="75" spans="6:18" x14ac:dyDescent="0.3">
      <c r="F75">
        <f t="shared" si="6"/>
        <v>67</v>
      </c>
      <c r="G75" s="7">
        <f t="shared" si="7"/>
        <v>36592</v>
      </c>
      <c r="H75" s="9">
        <f>DAY(Table2[[#This Row],[date]])</f>
        <v>7</v>
      </c>
      <c r="I75" s="9">
        <f>MONTH(Table2[[#This Row],[date]])</f>
        <v>3</v>
      </c>
      <c r="J75" s="9">
        <f t="shared" si="8"/>
        <v>2000</v>
      </c>
      <c r="K75" s="28">
        <f>WEEKNUM(Table2[[#This Row],[date]])</f>
        <v>11</v>
      </c>
      <c r="L75" s="28">
        <f>WEEKDAY(Table2[[#This Row],[date]])</f>
        <v>3</v>
      </c>
      <c r="M75" s="29">
        <f>_xlfn.NORM.DIST(Table2[[#This Row],[index]],41.5,$B$3,FALSE)</f>
        <v>5.4246772021807159E-3</v>
      </c>
      <c r="N75" s="27">
        <f>+Table2[[#This Row],[ratio]]*$B$1</f>
        <v>1084935.4404361432</v>
      </c>
      <c r="O75" s="7">
        <f>IF(D69=1,C68,(CONCATENATE(Table2[[#This Row],[month]]+1,$B$2,1,$B$2,Table2[[#This Row],[year]]))-1)</f>
        <v>36616</v>
      </c>
      <c r="P75" s="26">
        <f>Table2[[#This Row],[monthend]]+20</f>
        <v>36636</v>
      </c>
      <c r="Q75" s="26">
        <f>Table2[[#This Row],[payment]] + 10</f>
        <v>36646</v>
      </c>
      <c r="R75" s="40">
        <f>Table2[[#This Row],[revenue]]*0.9</f>
        <v>976441.8963925289</v>
      </c>
    </row>
    <row r="76" spans="6:18" x14ac:dyDescent="0.3">
      <c r="F76">
        <f t="shared" si="6"/>
        <v>68</v>
      </c>
      <c r="G76" s="7">
        <f t="shared" si="7"/>
        <v>36593</v>
      </c>
      <c r="H76" s="9">
        <f>DAY(Table2[[#This Row],[date]])</f>
        <v>8</v>
      </c>
      <c r="I76" s="9">
        <f>MONTH(Table2[[#This Row],[date]])</f>
        <v>3</v>
      </c>
      <c r="J76" s="9">
        <f t="shared" si="8"/>
        <v>2000</v>
      </c>
      <c r="K76" s="28">
        <f>WEEKNUM(Table2[[#This Row],[date]])</f>
        <v>11</v>
      </c>
      <c r="L76" s="28">
        <f>WEEKDAY(Table2[[#This Row],[date]])</f>
        <v>4</v>
      </c>
      <c r="M76" s="29">
        <f>_xlfn.NORM.DIST(Table2[[#This Row],[index]],41.5,$B$3,FALSE)</f>
        <v>4.7507634646432977E-3</v>
      </c>
      <c r="N76" s="27">
        <f>+Table2[[#This Row],[ratio]]*$B$1</f>
        <v>950152.6929286595</v>
      </c>
      <c r="O76" s="7">
        <f>IF(D70=1,C69,(CONCATENATE(Table2[[#This Row],[month]]+1,$B$2,1,$B$2,Table2[[#This Row],[year]]))-1)</f>
        <v>36616</v>
      </c>
      <c r="P76" s="26">
        <f>Table2[[#This Row],[monthend]]+20</f>
        <v>36636</v>
      </c>
      <c r="Q76" s="26">
        <f>Table2[[#This Row],[payment]] + 10</f>
        <v>36646</v>
      </c>
      <c r="R76" s="40">
        <f>Table2[[#This Row],[revenue]]*0.9</f>
        <v>855137.42363579362</v>
      </c>
    </row>
    <row r="77" spans="6:18" x14ac:dyDescent="0.3">
      <c r="F77">
        <f t="shared" si="6"/>
        <v>69</v>
      </c>
      <c r="G77" s="7">
        <f t="shared" si="7"/>
        <v>36594</v>
      </c>
      <c r="H77" s="9">
        <f>DAY(Table2[[#This Row],[date]])</f>
        <v>9</v>
      </c>
      <c r="I77" s="9">
        <f>MONTH(Table2[[#This Row],[date]])</f>
        <v>3</v>
      </c>
      <c r="J77" s="9">
        <f t="shared" si="8"/>
        <v>2000</v>
      </c>
      <c r="K77" s="28">
        <f>WEEKNUM(Table2[[#This Row],[date]])</f>
        <v>11</v>
      </c>
      <c r="L77" s="28">
        <f>WEEKDAY(Table2[[#This Row],[date]])</f>
        <v>5</v>
      </c>
      <c r="M77" s="29">
        <f>_xlfn.NORM.DIST(Table2[[#This Row],[index]],41.5,$B$3,FALSE)</f>
        <v>4.1393974447109013E-3</v>
      </c>
      <c r="N77" s="27">
        <f>+Table2[[#This Row],[ratio]]*$B$1</f>
        <v>827879.48894218029</v>
      </c>
      <c r="O77" s="7">
        <f>IF(D71=1,C70,(CONCATENATE(Table2[[#This Row],[month]]+1,$B$2,1,$B$2,Table2[[#This Row],[year]]))-1)</f>
        <v>36616</v>
      </c>
      <c r="P77" s="26">
        <f>Table2[[#This Row],[monthend]]+20</f>
        <v>36636</v>
      </c>
      <c r="Q77" s="26">
        <f>Table2[[#This Row],[payment]] + 10</f>
        <v>36646</v>
      </c>
      <c r="R77" s="40">
        <f>Table2[[#This Row],[revenue]]*0.9</f>
        <v>745091.54004796233</v>
      </c>
    </row>
    <row r="78" spans="6:18" x14ac:dyDescent="0.3">
      <c r="F78">
        <f t="shared" si="6"/>
        <v>70</v>
      </c>
      <c r="G78" s="7">
        <f t="shared" si="7"/>
        <v>36595</v>
      </c>
      <c r="H78" s="9">
        <f>DAY(Table2[[#This Row],[date]])</f>
        <v>10</v>
      </c>
      <c r="I78" s="9">
        <f>MONTH(Table2[[#This Row],[date]])</f>
        <v>3</v>
      </c>
      <c r="J78" s="9">
        <f t="shared" si="8"/>
        <v>2000</v>
      </c>
      <c r="K78" s="28">
        <f>WEEKNUM(Table2[[#This Row],[date]])</f>
        <v>11</v>
      </c>
      <c r="L78" s="28">
        <f>WEEKDAY(Table2[[#This Row],[date]])</f>
        <v>6</v>
      </c>
      <c r="M78" s="29">
        <f>_xlfn.NORM.DIST(Table2[[#This Row],[index]],41.5,$B$3,FALSE)</f>
        <v>3.5883521631022569E-3</v>
      </c>
      <c r="N78" s="27">
        <f>+Table2[[#This Row],[ratio]]*$B$1</f>
        <v>717670.43262045144</v>
      </c>
      <c r="O78" s="7">
        <f>IF(D72=1,C71,(CONCATENATE(Table2[[#This Row],[month]]+1,$B$2,1,$B$2,Table2[[#This Row],[year]]))-1)</f>
        <v>36616</v>
      </c>
      <c r="P78" s="26">
        <f>Table2[[#This Row],[monthend]]+20</f>
        <v>36636</v>
      </c>
      <c r="Q78" s="26">
        <f>Table2[[#This Row],[payment]] + 10</f>
        <v>36646</v>
      </c>
      <c r="R78" s="40">
        <f>Table2[[#This Row],[revenue]]*0.9</f>
        <v>645903.3893584063</v>
      </c>
    </row>
    <row r="79" spans="6:18" x14ac:dyDescent="0.3">
      <c r="F79">
        <f t="shared" si="6"/>
        <v>71</v>
      </c>
      <c r="G79" s="7">
        <f t="shared" si="7"/>
        <v>36596</v>
      </c>
      <c r="H79" s="9">
        <f>DAY(Table2[[#This Row],[date]])</f>
        <v>11</v>
      </c>
      <c r="I79" s="9">
        <f>MONTH(Table2[[#This Row],[date]])</f>
        <v>3</v>
      </c>
      <c r="J79" s="9">
        <f t="shared" si="8"/>
        <v>2000</v>
      </c>
      <c r="K79" s="28">
        <f>WEEKNUM(Table2[[#This Row],[date]])</f>
        <v>11</v>
      </c>
      <c r="L79" s="28">
        <f>WEEKDAY(Table2[[#This Row],[date]])</f>
        <v>7</v>
      </c>
      <c r="M79" s="29">
        <f>_xlfn.NORM.DIST(Table2[[#This Row],[index]],41.5,$B$3,FALSE)</f>
        <v>3.0948328739602007E-3</v>
      </c>
      <c r="N79" s="27">
        <f>+Table2[[#This Row],[ratio]]*$B$1</f>
        <v>618966.57479204016</v>
      </c>
      <c r="O79" s="7">
        <f>IF(D73=1,C72,(CONCATENATE(Table2[[#This Row],[month]]+1,$B$2,1,$B$2,Table2[[#This Row],[year]]))-1)</f>
        <v>36616</v>
      </c>
      <c r="P79" s="26">
        <f>Table2[[#This Row],[monthend]]+20</f>
        <v>36636</v>
      </c>
      <c r="Q79" s="26">
        <f>Table2[[#This Row],[payment]] + 10</f>
        <v>36646</v>
      </c>
      <c r="R79" s="40">
        <f>Table2[[#This Row],[revenue]]*0.9</f>
        <v>557069.91731283616</v>
      </c>
    </row>
    <row r="80" spans="6:18" x14ac:dyDescent="0.3">
      <c r="F80">
        <f t="shared" si="6"/>
        <v>72</v>
      </c>
      <c r="G80" s="7">
        <f t="shared" si="7"/>
        <v>36597</v>
      </c>
      <c r="H80" s="9">
        <f>DAY(Table2[[#This Row],[date]])</f>
        <v>12</v>
      </c>
      <c r="I80" s="9">
        <f>MONTH(Table2[[#This Row],[date]])</f>
        <v>3</v>
      </c>
      <c r="J80" s="9">
        <f t="shared" si="8"/>
        <v>2000</v>
      </c>
      <c r="K80" s="28">
        <f>WEEKNUM(Table2[[#This Row],[date]])</f>
        <v>12</v>
      </c>
      <c r="L80" s="28">
        <f>WEEKDAY(Table2[[#This Row],[date]])</f>
        <v>1</v>
      </c>
      <c r="M80" s="29">
        <f>_xlfn.NORM.DIST(Table2[[#This Row],[index]],41.5,$B$3,FALSE)</f>
        <v>2.6556054801163179E-3</v>
      </c>
      <c r="N80" s="27">
        <f>+Table2[[#This Row],[ratio]]*$B$1</f>
        <v>531121.09602326353</v>
      </c>
      <c r="O80" s="7">
        <f>IF(D74=1,C73,(CONCATENATE(Table2[[#This Row],[month]]+1,$B$2,1,$B$2,Table2[[#This Row],[year]]))-1)</f>
        <v>36616</v>
      </c>
      <c r="P80" s="26">
        <f>Table2[[#This Row],[monthend]]+20</f>
        <v>36636</v>
      </c>
      <c r="Q80" s="26">
        <f>Table2[[#This Row],[payment]] + 10</f>
        <v>36646</v>
      </c>
      <c r="R80" s="40">
        <f>Table2[[#This Row],[revenue]]*0.9</f>
        <v>478008.98642093717</v>
      </c>
    </row>
    <row r="81" spans="6:18" x14ac:dyDescent="0.3">
      <c r="F81">
        <f t="shared" si="6"/>
        <v>73</v>
      </c>
      <c r="G81" s="7">
        <f t="shared" si="7"/>
        <v>36598</v>
      </c>
      <c r="H81" s="9">
        <f>DAY(Table2[[#This Row],[date]])</f>
        <v>13</v>
      </c>
      <c r="I81" s="9">
        <f>MONTH(Table2[[#This Row],[date]])</f>
        <v>3</v>
      </c>
      <c r="J81" s="9">
        <f t="shared" si="8"/>
        <v>2000</v>
      </c>
      <c r="K81" s="28">
        <f>WEEKNUM(Table2[[#This Row],[date]])</f>
        <v>12</v>
      </c>
      <c r="L81" s="28">
        <f>WEEKDAY(Table2[[#This Row],[date]])</f>
        <v>2</v>
      </c>
      <c r="M81" s="29">
        <f>_xlfn.NORM.DIST(Table2[[#This Row],[index]],41.5,$B$3,FALSE)</f>
        <v>2.2671179882619587E-3</v>
      </c>
      <c r="N81" s="27">
        <f>+Table2[[#This Row],[ratio]]*$B$1</f>
        <v>453423.59765239176</v>
      </c>
      <c r="O81" s="7">
        <f>IF(D75=1,C74,(CONCATENATE(Table2[[#This Row],[month]]+1,$B$2,1,$B$2,Table2[[#This Row],[year]]))-1)</f>
        <v>36616</v>
      </c>
      <c r="P81" s="26">
        <f>Table2[[#This Row],[monthend]]+20</f>
        <v>36636</v>
      </c>
      <c r="Q81" s="26">
        <f>Table2[[#This Row],[payment]] + 10</f>
        <v>36646</v>
      </c>
      <c r="R81" s="40">
        <f>Table2[[#This Row],[revenue]]*0.9</f>
        <v>408081.23788715259</v>
      </c>
    </row>
    <row r="82" spans="6:18" x14ac:dyDescent="0.3">
      <c r="F82">
        <f t="shared" si="6"/>
        <v>74</v>
      </c>
      <c r="G82" s="7">
        <f t="shared" si="7"/>
        <v>36599</v>
      </c>
      <c r="H82" s="9">
        <f>DAY(Table2[[#This Row],[date]])</f>
        <v>14</v>
      </c>
      <c r="I82" s="9">
        <f>MONTH(Table2[[#This Row],[date]])</f>
        <v>3</v>
      </c>
      <c r="J82" s="9">
        <f t="shared" si="8"/>
        <v>2000</v>
      </c>
      <c r="K82" s="28">
        <f>WEEKNUM(Table2[[#This Row],[date]])</f>
        <v>12</v>
      </c>
      <c r="L82" s="28">
        <f>WEEKDAY(Table2[[#This Row],[date]])</f>
        <v>3</v>
      </c>
      <c r="M82" s="29">
        <f>_xlfn.NORM.DIST(Table2[[#This Row],[index]],41.5,$B$3,FALSE)</f>
        <v>1.9256125213568268E-3</v>
      </c>
      <c r="N82" s="27">
        <f>+Table2[[#This Row],[ratio]]*$B$1</f>
        <v>385122.50427136535</v>
      </c>
      <c r="O82" s="7">
        <f>IF(D76=1,C75,(CONCATENATE(Table2[[#This Row],[month]]+1,$B$2,1,$B$2,Table2[[#This Row],[year]]))-1)</f>
        <v>36616</v>
      </c>
      <c r="P82" s="26">
        <f>Table2[[#This Row],[monthend]]+20</f>
        <v>36636</v>
      </c>
      <c r="Q82" s="26">
        <f>Table2[[#This Row],[payment]] + 10</f>
        <v>36646</v>
      </c>
      <c r="R82" s="40">
        <f>Table2[[#This Row],[revenue]]*0.9</f>
        <v>346610.25384422881</v>
      </c>
    </row>
    <row r="83" spans="6:18" x14ac:dyDescent="0.3">
      <c r="F83">
        <f t="shared" si="6"/>
        <v>75</v>
      </c>
      <c r="G83" s="7">
        <f t="shared" si="7"/>
        <v>36600</v>
      </c>
      <c r="H83" s="9">
        <f>DAY(Table2[[#This Row],[date]])</f>
        <v>15</v>
      </c>
      <c r="I83" s="9">
        <f>MONTH(Table2[[#This Row],[date]])</f>
        <v>3</v>
      </c>
      <c r="J83" s="9">
        <f t="shared" si="8"/>
        <v>2000</v>
      </c>
      <c r="K83" s="28">
        <f>WEEKNUM(Table2[[#This Row],[date]])</f>
        <v>12</v>
      </c>
      <c r="L83" s="28">
        <f>WEEKDAY(Table2[[#This Row],[date]])</f>
        <v>4</v>
      </c>
      <c r="M83" s="29">
        <f>_xlfn.NORM.DIST(Table2[[#This Row],[index]],41.5,$B$3,FALSE)</f>
        <v>1.627226062727493E-3</v>
      </c>
      <c r="N83" s="27">
        <f>+Table2[[#This Row],[ratio]]*$B$1</f>
        <v>325445.21254549857</v>
      </c>
      <c r="O83" s="7">
        <f>IF(D77=1,C76,(CONCATENATE(Table2[[#This Row],[month]]+1,$B$2,1,$B$2,Table2[[#This Row],[year]]))-1)</f>
        <v>36616</v>
      </c>
      <c r="P83" s="26">
        <f>Table2[[#This Row],[monthend]]+20</f>
        <v>36636</v>
      </c>
      <c r="Q83" s="26">
        <f>Table2[[#This Row],[payment]] + 10</f>
        <v>36646</v>
      </c>
      <c r="R83" s="40">
        <f>Table2[[#This Row],[revenue]]*0.9</f>
        <v>292900.69129094871</v>
      </c>
    </row>
    <row r="84" spans="6:18" x14ac:dyDescent="0.3">
      <c r="F84">
        <f t="shared" si="6"/>
        <v>76</v>
      </c>
      <c r="G84" s="7">
        <f t="shared" si="7"/>
        <v>36601</v>
      </c>
      <c r="H84" s="9">
        <f>DAY(Table2[[#This Row],[date]])</f>
        <v>16</v>
      </c>
      <c r="I84" s="9">
        <f>MONTH(Table2[[#This Row],[date]])</f>
        <v>3</v>
      </c>
      <c r="J84" s="9">
        <f t="shared" si="8"/>
        <v>2000</v>
      </c>
      <c r="K84" s="28">
        <f>WEEKNUM(Table2[[#This Row],[date]])</f>
        <v>12</v>
      </c>
      <c r="L84" s="28">
        <f>WEEKDAY(Table2[[#This Row],[date]])</f>
        <v>5</v>
      </c>
      <c r="M84" s="29">
        <f>_xlfn.NORM.DIST(Table2[[#This Row],[index]],41.5,$B$3,FALSE)</f>
        <v>1.368078739073009E-3</v>
      </c>
      <c r="N84" s="27">
        <f>+Table2[[#This Row],[ratio]]*$B$1</f>
        <v>273615.74781460181</v>
      </c>
      <c r="O84" s="7">
        <f>IF(D78=1,C77,(CONCATENATE(Table2[[#This Row],[month]]+1,$B$2,1,$B$2,Table2[[#This Row],[year]]))-1)</f>
        <v>36616</v>
      </c>
      <c r="P84" s="26">
        <f>Table2[[#This Row],[monthend]]+20</f>
        <v>36636</v>
      </c>
      <c r="Q84" s="26">
        <f>Table2[[#This Row],[payment]] + 10</f>
        <v>36646</v>
      </c>
      <c r="R84" s="40">
        <f>Table2[[#This Row],[revenue]]*0.9</f>
        <v>246254.17303314165</v>
      </c>
    </row>
    <row r="85" spans="6:18" x14ac:dyDescent="0.3">
      <c r="F85">
        <f t="shared" si="6"/>
        <v>77</v>
      </c>
      <c r="G85" s="7">
        <f t="shared" si="7"/>
        <v>36602</v>
      </c>
      <c r="H85" s="9">
        <f>DAY(Table2[[#This Row],[date]])</f>
        <v>17</v>
      </c>
      <c r="I85" s="9">
        <f>MONTH(Table2[[#This Row],[date]])</f>
        <v>3</v>
      </c>
      <c r="J85" s="9">
        <f t="shared" si="8"/>
        <v>2000</v>
      </c>
      <c r="K85" s="28">
        <f>WEEKNUM(Table2[[#This Row],[date]])</f>
        <v>12</v>
      </c>
      <c r="L85" s="28">
        <f>WEEKDAY(Table2[[#This Row],[date]])</f>
        <v>6</v>
      </c>
      <c r="M85" s="29">
        <f>_xlfn.NORM.DIST(Table2[[#This Row],[index]],41.5,$B$3,FALSE)</f>
        <v>1.1443490348009631E-3</v>
      </c>
      <c r="N85" s="27">
        <f>+Table2[[#This Row],[ratio]]*$B$1</f>
        <v>228869.80696019263</v>
      </c>
      <c r="O85" s="7">
        <f>IF(D79=1,C78,(CONCATENATE(Table2[[#This Row],[month]]+1,$B$2,1,$B$2,Table2[[#This Row],[year]]))-1)</f>
        <v>36616</v>
      </c>
      <c r="P85" s="26">
        <f>Table2[[#This Row],[monthend]]+20</f>
        <v>36636</v>
      </c>
      <c r="Q85" s="26">
        <f>Table2[[#This Row],[payment]] + 10</f>
        <v>36646</v>
      </c>
      <c r="R85" s="40">
        <f>Table2[[#This Row],[revenue]]*0.9</f>
        <v>205982.82626417337</v>
      </c>
    </row>
    <row r="86" spans="6:18" x14ac:dyDescent="0.3">
      <c r="F86">
        <f t="shared" si="6"/>
        <v>78</v>
      </c>
      <c r="G86" s="7">
        <f t="shared" si="7"/>
        <v>36603</v>
      </c>
      <c r="H86" s="9">
        <f>DAY(Table2[[#This Row],[date]])</f>
        <v>18</v>
      </c>
      <c r="I86" s="9">
        <f>MONTH(Table2[[#This Row],[date]])</f>
        <v>3</v>
      </c>
      <c r="J86" s="9">
        <f t="shared" si="8"/>
        <v>2000</v>
      </c>
      <c r="K86" s="28">
        <f>WEEKNUM(Table2[[#This Row],[date]])</f>
        <v>12</v>
      </c>
      <c r="L86" s="28">
        <f>WEEKDAY(Table2[[#This Row],[date]])</f>
        <v>7</v>
      </c>
      <c r="M86" s="29">
        <f>_xlfn.NORM.DIST(Table2[[#This Row],[index]],41.5,$B$3,FALSE)</f>
        <v>9.5233585016906764E-4</v>
      </c>
      <c r="N86" s="27">
        <f>+Table2[[#This Row],[ratio]]*$B$1</f>
        <v>190467.17003381354</v>
      </c>
      <c r="O86" s="7">
        <f>IF(D80=1,C79,(CONCATENATE(Table2[[#This Row],[month]]+1,$B$2,1,$B$2,Table2[[#This Row],[year]]))-1)</f>
        <v>36616</v>
      </c>
      <c r="P86" s="26">
        <f>Table2[[#This Row],[monthend]]+20</f>
        <v>36636</v>
      </c>
      <c r="Q86" s="26">
        <f>Table2[[#This Row],[payment]] + 10</f>
        <v>36646</v>
      </c>
      <c r="R86" s="40">
        <f>Table2[[#This Row],[revenue]]*0.9</f>
        <v>171420.4530304322</v>
      </c>
    </row>
    <row r="87" spans="6:18" x14ac:dyDescent="0.3">
      <c r="F87">
        <f t="shared" si="6"/>
        <v>79</v>
      </c>
      <c r="G87" s="7">
        <f t="shared" si="7"/>
        <v>36604</v>
      </c>
      <c r="H87" s="9">
        <f>DAY(Table2[[#This Row],[date]])</f>
        <v>19</v>
      </c>
      <c r="I87" s="9">
        <f>MONTH(Table2[[#This Row],[date]])</f>
        <v>3</v>
      </c>
      <c r="J87" s="9">
        <f t="shared" si="8"/>
        <v>2000</v>
      </c>
      <c r="K87" s="28">
        <f>WEEKNUM(Table2[[#This Row],[date]])</f>
        <v>13</v>
      </c>
      <c r="L87" s="28">
        <f>WEEKDAY(Table2[[#This Row],[date]])</f>
        <v>1</v>
      </c>
      <c r="M87" s="29">
        <f>_xlfn.NORM.DIST(Table2[[#This Row],[index]],41.5,$B$3,FALSE)</f>
        <v>7.8850775869023925E-4</v>
      </c>
      <c r="N87" s="27">
        <f>+Table2[[#This Row],[ratio]]*$B$1</f>
        <v>157701.55173804786</v>
      </c>
      <c r="O87" s="7">
        <f>IF(D81=1,C80,(CONCATENATE(Table2[[#This Row],[month]]+1,$B$2,1,$B$2,Table2[[#This Row],[year]]))-1)</f>
        <v>36616</v>
      </c>
      <c r="P87" s="26">
        <f>Table2[[#This Row],[monthend]]+20</f>
        <v>36636</v>
      </c>
      <c r="Q87" s="26">
        <f>Table2[[#This Row],[payment]] + 10</f>
        <v>36646</v>
      </c>
      <c r="R87" s="40">
        <f>Table2[[#This Row],[revenue]]*0.9</f>
        <v>141931.39656424307</v>
      </c>
    </row>
    <row r="88" spans="6:18" x14ac:dyDescent="0.3">
      <c r="F88">
        <f t="shared" si="6"/>
        <v>80</v>
      </c>
      <c r="G88" s="7">
        <f t="shared" si="7"/>
        <v>36605</v>
      </c>
      <c r="H88" s="9">
        <f>DAY(Table2[[#This Row],[date]])</f>
        <v>20</v>
      </c>
      <c r="I88" s="9">
        <f>MONTH(Table2[[#This Row],[date]])</f>
        <v>3</v>
      </c>
      <c r="J88" s="9">
        <f t="shared" si="8"/>
        <v>2000</v>
      </c>
      <c r="K88" s="28">
        <f>WEEKNUM(Table2[[#This Row],[date]])</f>
        <v>13</v>
      </c>
      <c r="L88" s="28">
        <f>WEEKDAY(Table2[[#This Row],[date]])</f>
        <v>2</v>
      </c>
      <c r="M88" s="29">
        <f>_xlfn.NORM.DIST(Table2[[#This Row],[index]],41.5,$B$3,FALSE)</f>
        <v>6.4954017868507519E-4</v>
      </c>
      <c r="N88" s="27">
        <f>+Table2[[#This Row],[ratio]]*$B$1</f>
        <v>129908.03573701505</v>
      </c>
      <c r="O88" s="7">
        <f>IF(D82=1,C81,(CONCATENATE(Table2[[#This Row],[month]]+1,$B$2,1,$B$2,Table2[[#This Row],[year]]))-1)</f>
        <v>36616</v>
      </c>
      <c r="P88" s="26">
        <f>Table2[[#This Row],[monthend]]+20</f>
        <v>36636</v>
      </c>
      <c r="Q88" s="26">
        <f>Table2[[#This Row],[payment]] + 10</f>
        <v>36646</v>
      </c>
      <c r="R88" s="40">
        <f>Table2[[#This Row],[revenue]]*0.9</f>
        <v>116917.23216331354</v>
      </c>
    </row>
    <row r="89" spans="6:18" x14ac:dyDescent="0.3">
      <c r="F89">
        <f t="shared" si="6"/>
        <v>81</v>
      </c>
      <c r="G89" s="7">
        <f t="shared" si="7"/>
        <v>36606</v>
      </c>
      <c r="H89" s="9">
        <f>DAY(Table2[[#This Row],[date]])</f>
        <v>21</v>
      </c>
      <c r="I89" s="9">
        <f>MONTH(Table2[[#This Row],[date]])</f>
        <v>3</v>
      </c>
      <c r="J89" s="9">
        <f t="shared" si="8"/>
        <v>2000</v>
      </c>
      <c r="K89" s="28">
        <f>WEEKNUM(Table2[[#This Row],[date]])</f>
        <v>13</v>
      </c>
      <c r="L89" s="28">
        <f>WEEKDAY(Table2[[#This Row],[date]])</f>
        <v>3</v>
      </c>
      <c r="M89" s="29">
        <f>_xlfn.NORM.DIST(Table2[[#This Row],[index]],41.5,$B$3,FALSE)</f>
        <v>5.3234144815713193E-4</v>
      </c>
      <c r="N89" s="27">
        <f>+Table2[[#This Row],[ratio]]*$B$1</f>
        <v>106468.28963142639</v>
      </c>
      <c r="O89" s="7">
        <f>IF(D83=1,C82,(CONCATENATE(Table2[[#This Row],[month]]+1,$B$2,1,$B$2,Table2[[#This Row],[year]]))-1)</f>
        <v>36616</v>
      </c>
      <c r="P89" s="26">
        <f>Table2[[#This Row],[monthend]]+20</f>
        <v>36636</v>
      </c>
      <c r="Q89" s="26">
        <f>Table2[[#This Row],[payment]] + 10</f>
        <v>36646</v>
      </c>
      <c r="R89" s="40">
        <f>Table2[[#This Row],[revenue]]*0.9</f>
        <v>95821.460668283762</v>
      </c>
    </row>
    <row r="90" spans="6:18" x14ac:dyDescent="0.3">
      <c r="F90">
        <f t="shared" si="6"/>
        <v>82</v>
      </c>
      <c r="G90" s="7">
        <f t="shared" si="7"/>
        <v>36607</v>
      </c>
      <c r="H90" s="9">
        <f>DAY(Table2[[#This Row],[date]])</f>
        <v>22</v>
      </c>
      <c r="I90" s="9">
        <f>MONTH(Table2[[#This Row],[date]])</f>
        <v>3</v>
      </c>
      <c r="J90" s="9">
        <f t="shared" si="8"/>
        <v>2000</v>
      </c>
      <c r="K90" s="28">
        <f>WEEKNUM(Table2[[#This Row],[date]])</f>
        <v>13</v>
      </c>
      <c r="L90" s="28">
        <f>WEEKDAY(Table2[[#This Row],[date]])</f>
        <v>4</v>
      </c>
      <c r="M90" s="29">
        <f>_xlfn.NORM.DIST(Table2[[#This Row],[index]],41.5,$B$3,FALSE)</f>
        <v>4.3406898394638782E-4</v>
      </c>
      <c r="N90" s="27">
        <f>+Table2[[#This Row],[ratio]]*$B$1</f>
        <v>86813.796789277563</v>
      </c>
      <c r="O90" s="7">
        <f>IF(D84=1,C83,(CONCATENATE(Table2[[#This Row],[month]]+1,$B$2,1,$B$2,Table2[[#This Row],[year]]))-1)</f>
        <v>36616</v>
      </c>
      <c r="P90" s="26">
        <f>Table2[[#This Row],[monthend]]+20</f>
        <v>36636</v>
      </c>
      <c r="Q90" s="26">
        <f>Table2[[#This Row],[payment]] + 10</f>
        <v>36646</v>
      </c>
      <c r="R90" s="40">
        <f>Table2[[#This Row],[revenue]]*0.9</f>
        <v>78132.417110349808</v>
      </c>
    </row>
    <row r="91" spans="6:18" x14ac:dyDescent="0.3">
      <c r="F91">
        <f t="shared" si="6"/>
        <v>83</v>
      </c>
      <c r="G91" s="7">
        <f t="shared" si="7"/>
        <v>36608</v>
      </c>
      <c r="H91" s="9">
        <f>DAY(Table2[[#This Row],[date]])</f>
        <v>23</v>
      </c>
      <c r="I91" s="9">
        <f>MONTH(Table2[[#This Row],[date]])</f>
        <v>3</v>
      </c>
      <c r="J91" s="9">
        <f t="shared" si="8"/>
        <v>2000</v>
      </c>
      <c r="K91" s="28">
        <f>WEEKNUM(Table2[[#This Row],[date]])</f>
        <v>13</v>
      </c>
      <c r="L91" s="28">
        <f>WEEKDAY(Table2[[#This Row],[date]])</f>
        <v>5</v>
      </c>
      <c r="M91" s="29">
        <f>_xlfn.NORM.DIST(Table2[[#This Row],[index]],41.5,$B$3,FALSE)</f>
        <v>3.5213682138279524E-4</v>
      </c>
      <c r="N91" s="27">
        <f>+Table2[[#This Row],[ratio]]*$B$1</f>
        <v>70427.364276559048</v>
      </c>
      <c r="O91" s="7">
        <f>IF(D85=1,C84,(CONCATENATE(Table2[[#This Row],[month]]+1,$B$2,1,$B$2,Table2[[#This Row],[year]]))-1)</f>
        <v>36616</v>
      </c>
      <c r="P91" s="26">
        <f>Table2[[#This Row],[monthend]]+20</f>
        <v>36636</v>
      </c>
      <c r="Q91" s="26">
        <f>Table2[[#This Row],[payment]] + 10</f>
        <v>36646</v>
      </c>
      <c r="R91" s="40">
        <f>Table2[[#This Row],[revenue]]*0.9</f>
        <v>63384.627848903147</v>
      </c>
    </row>
  </sheetData>
  <sortState ref="A4:B7">
    <sortCondition ref="A4"/>
  </sortState>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AC15"/>
  <sheetViews>
    <sheetView workbookViewId="0"/>
  </sheetViews>
  <sheetFormatPr defaultRowHeight="14.4" x14ac:dyDescent="0.3"/>
  <cols>
    <col min="1" max="1" width="3.109375" customWidth="1"/>
    <col min="2" max="2" width="11.44140625" customWidth="1"/>
    <col min="3" max="3" width="11.6640625" customWidth="1"/>
    <col min="4" max="4" width="2.5546875" customWidth="1"/>
    <col min="5" max="6" width="12" customWidth="1"/>
    <col min="7" max="7" width="3" customWidth="1"/>
    <col min="8" max="8" width="12" customWidth="1"/>
    <col min="9" max="9" width="12.109375" customWidth="1"/>
    <col min="10" max="10" width="2.44140625" customWidth="1"/>
    <col min="11" max="11" width="12" customWidth="1"/>
    <col min="12" max="12" width="12.109375" customWidth="1"/>
    <col min="15" max="15" width="10.5546875" bestFit="1" customWidth="1"/>
    <col min="23" max="23" width="9.33203125" customWidth="1"/>
    <col min="24" max="25" width="8.88671875" customWidth="1"/>
    <col min="26" max="26" width="10.44140625" customWidth="1"/>
    <col min="27" max="27" width="8.88671875" customWidth="1"/>
    <col min="28" max="28" width="9.21875" customWidth="1"/>
    <col min="29" max="29" width="11.21875" customWidth="1"/>
    <col min="30" max="41" width="8.88671875" customWidth="1"/>
  </cols>
  <sheetData>
    <row r="1" spans="2:29" ht="7.8" customHeight="1" thickBot="1" x14ac:dyDescent="0.35"/>
    <row r="2" spans="2:29" s="12" customFormat="1" ht="18" customHeight="1" thickBot="1" x14ac:dyDescent="0.35">
      <c r="B2" s="16" t="s">
        <v>4</v>
      </c>
      <c r="C2" s="37">
        <v>36526</v>
      </c>
      <c r="E2" s="15" t="s">
        <v>5</v>
      </c>
      <c r="F2" s="37">
        <v>36609</v>
      </c>
      <c r="H2" s="15" t="s">
        <v>6</v>
      </c>
      <c r="I2" s="39">
        <f>+date2-date</f>
        <v>83</v>
      </c>
      <c r="K2" s="15" t="s">
        <v>15</v>
      </c>
      <c r="L2" s="37">
        <f>WORKDAY(date,days,1)</f>
        <v>36642</v>
      </c>
      <c r="N2" s="11" t="s">
        <v>7</v>
      </c>
      <c r="O2" s="10"/>
      <c r="R2" s="38">
        <v>14</v>
      </c>
      <c r="S2" s="38"/>
    </row>
    <row r="3" spans="2:29" s="12" customFormat="1" ht="8.4" customHeight="1" x14ac:dyDescent="0.3">
      <c r="B3" s="14"/>
      <c r="C3" s="13"/>
      <c r="F3" s="13"/>
      <c r="L3" s="13"/>
      <c r="N3" s="11"/>
      <c r="O3" s="10"/>
    </row>
    <row r="4" spans="2:29" x14ac:dyDescent="0.3">
      <c r="H4" s="55"/>
      <c r="I4" s="17"/>
      <c r="J4" s="17"/>
      <c r="K4" s="17"/>
      <c r="L4" s="17"/>
      <c r="M4" s="17"/>
      <c r="N4" s="18"/>
      <c r="O4" s="18"/>
      <c r="P4" s="17"/>
      <c r="Q4" s="17"/>
      <c r="R4" s="17"/>
      <c r="S4" s="17"/>
      <c r="T4" s="17"/>
      <c r="U4" s="17"/>
    </row>
    <row r="5" spans="2:29" ht="27" customHeight="1" x14ac:dyDescent="0.3">
      <c r="H5" s="55"/>
      <c r="I5" s="17"/>
      <c r="J5" s="17"/>
      <c r="K5" s="17"/>
      <c r="L5" s="17"/>
      <c r="M5" s="17"/>
      <c r="N5" s="17"/>
      <c r="O5" s="17"/>
      <c r="P5" s="17"/>
      <c r="Q5" s="17"/>
      <c r="R5" s="17"/>
      <c r="S5" s="17"/>
      <c r="T5" s="17"/>
      <c r="U5" s="17"/>
    </row>
    <row r="6" spans="2:29" hidden="1" x14ac:dyDescent="0.3">
      <c r="H6" s="55"/>
      <c r="I6" s="17"/>
      <c r="J6" s="17"/>
      <c r="K6" s="17"/>
      <c r="L6" s="17"/>
      <c r="M6" s="17"/>
      <c r="N6" s="17"/>
      <c r="O6" s="17"/>
      <c r="P6" s="17"/>
      <c r="Q6" s="17"/>
      <c r="R6" s="17"/>
      <c r="S6" s="17"/>
      <c r="T6" s="17"/>
      <c r="U6" s="17"/>
    </row>
    <row r="7" spans="2:29" hidden="1" x14ac:dyDescent="0.3">
      <c r="H7" s="55"/>
      <c r="I7" s="17"/>
      <c r="J7" s="17"/>
      <c r="K7" s="17"/>
      <c r="L7" s="17"/>
      <c r="M7" s="17"/>
      <c r="N7" s="17"/>
      <c r="O7" s="17"/>
      <c r="P7" s="17"/>
      <c r="Q7" s="17"/>
      <c r="R7" s="17"/>
      <c r="S7" s="17"/>
      <c r="T7" s="17"/>
      <c r="U7" s="17"/>
    </row>
    <row r="8" spans="2:29" hidden="1" x14ac:dyDescent="0.3">
      <c r="H8" s="55"/>
      <c r="I8" s="17"/>
      <c r="J8" s="17"/>
      <c r="K8" s="17"/>
      <c r="L8" s="17"/>
      <c r="M8" s="17"/>
      <c r="N8" s="17"/>
      <c r="O8" s="17"/>
      <c r="P8" s="17"/>
      <c r="Q8" s="17"/>
      <c r="R8" s="17"/>
      <c r="S8" s="17"/>
      <c r="T8" s="17"/>
      <c r="U8" s="17"/>
    </row>
    <row r="9" spans="2:29" hidden="1" x14ac:dyDescent="0.3">
      <c r="H9" s="55"/>
      <c r="I9" s="17"/>
      <c r="J9" s="17"/>
      <c r="K9" s="17"/>
      <c r="L9" s="17"/>
      <c r="M9" s="17"/>
      <c r="N9" s="17"/>
      <c r="O9" s="17"/>
      <c r="P9" s="17"/>
      <c r="Q9" s="17"/>
      <c r="R9" s="17"/>
      <c r="S9" s="17"/>
      <c r="T9" s="17"/>
      <c r="U9" s="17"/>
    </row>
    <row r="10" spans="2:29" hidden="1" x14ac:dyDescent="0.3">
      <c r="H10" s="55"/>
      <c r="I10" s="17"/>
      <c r="J10" s="17"/>
      <c r="K10" s="17"/>
      <c r="L10" s="17"/>
      <c r="M10" s="17"/>
      <c r="N10" s="17"/>
      <c r="O10" s="17"/>
      <c r="P10" s="17"/>
      <c r="Q10" s="17"/>
      <c r="R10" s="17"/>
      <c r="S10" s="17"/>
      <c r="T10" s="17"/>
      <c r="U10" s="17"/>
    </row>
    <row r="11" spans="2:29" ht="342.6" customHeight="1" x14ac:dyDescent="0.3">
      <c r="H11" s="55"/>
      <c r="I11" s="17"/>
      <c r="J11" s="17"/>
      <c r="K11" s="17"/>
      <c r="L11" s="17"/>
      <c r="M11" s="17"/>
      <c r="N11" s="17"/>
      <c r="O11" s="17"/>
      <c r="P11" s="17"/>
      <c r="Q11" s="17"/>
      <c r="R11" s="17"/>
      <c r="S11" s="17"/>
      <c r="T11" s="17"/>
      <c r="U11" s="17"/>
    </row>
    <row r="12" spans="2:29" ht="16.8" customHeight="1" x14ac:dyDescent="0.3"/>
    <row r="13" spans="2:29" s="8" customFormat="1" ht="18" customHeight="1" x14ac:dyDescent="0.3">
      <c r="E13"/>
      <c r="F13"/>
      <c r="G13"/>
      <c r="H13"/>
      <c r="I13"/>
      <c r="J13"/>
      <c r="K13"/>
      <c r="L13"/>
      <c r="M13"/>
      <c r="N13"/>
      <c r="O13"/>
      <c r="P13"/>
      <c r="W13" s="20" t="s">
        <v>8</v>
      </c>
      <c r="X13" s="21" t="s">
        <v>13</v>
      </c>
      <c r="Y13" s="21" t="s">
        <v>9</v>
      </c>
      <c r="Z13" s="21" t="s">
        <v>10</v>
      </c>
      <c r="AA13" s="21" t="s">
        <v>11</v>
      </c>
      <c r="AB13" s="21" t="s">
        <v>12</v>
      </c>
      <c r="AC13" s="22" t="s">
        <v>14</v>
      </c>
    </row>
    <row r="15" spans="2:29" x14ac:dyDescent="0.3">
      <c r="X15">
        <f>X14 +1</f>
        <v>1</v>
      </c>
    </row>
  </sheetData>
  <sheetProtection selectLockedCells="1"/>
  <mergeCells count="1">
    <mergeCell ref="H4:H11"/>
  </mergeCells>
  <pageMargins left="0.7" right="0.7" top="0.75" bottom="0.75" header="0.3" footer="0.3"/>
  <pageSetup orientation="portrait" r:id="rId1"/>
  <drawing r:id="rId2"/>
  <legacyDrawing r:id="rId3"/>
  <controls>
    <mc:AlternateContent xmlns:mc="http://schemas.openxmlformats.org/markup-compatibility/2006">
      <mc:Choice Requires="x14">
        <control shapeId="12296" r:id="rId4" name="ToggleButton1">
          <controlPr autoLine="0" r:id="rId5">
            <anchor moveWithCells="1">
              <from>
                <xdr:col>16</xdr:col>
                <xdr:colOff>0</xdr:colOff>
                <xdr:row>1</xdr:row>
                <xdr:rowOff>0</xdr:rowOff>
              </from>
              <to>
                <xdr:col>16</xdr:col>
                <xdr:colOff>457200</xdr:colOff>
                <xdr:row>3</xdr:row>
                <xdr:rowOff>175260</xdr:rowOff>
              </to>
            </anchor>
          </controlPr>
        </control>
      </mc:Choice>
      <mc:Fallback>
        <control shapeId="12296" r:id="rId4" name="ToggleButton1"/>
      </mc:Fallback>
    </mc:AlternateContent>
    <mc:AlternateContent xmlns:mc="http://schemas.openxmlformats.org/markup-compatibility/2006">
      <mc:Choice Requires="x14">
        <control shapeId="12295" r:id="rId6" name="CommandButton2">
          <controlPr autoLine="0" r:id="rId7">
            <anchor moveWithCells="1">
              <from>
                <xdr:col>19</xdr:col>
                <xdr:colOff>0</xdr:colOff>
                <xdr:row>1</xdr:row>
                <xdr:rowOff>0</xdr:rowOff>
              </from>
              <to>
                <xdr:col>20</xdr:col>
                <xdr:colOff>304800</xdr:colOff>
                <xdr:row>2</xdr:row>
                <xdr:rowOff>76200</xdr:rowOff>
              </to>
            </anchor>
          </controlPr>
        </control>
      </mc:Choice>
      <mc:Fallback>
        <control shapeId="12295" r:id="rId6" name="CommandButton2"/>
      </mc:Fallback>
    </mc:AlternateContent>
    <mc:AlternateContent xmlns:mc="http://schemas.openxmlformats.org/markup-compatibility/2006">
      <mc:Choice Requires="x14">
        <control shapeId="12294" r:id="rId8" name="CommandButton1">
          <controlPr autoLine="0" r:id="rId9">
            <anchor moveWithCells="1">
              <from>
                <xdr:col>15</xdr:col>
                <xdr:colOff>0</xdr:colOff>
                <xdr:row>1</xdr:row>
                <xdr:rowOff>0</xdr:rowOff>
              </from>
              <to>
                <xdr:col>15</xdr:col>
                <xdr:colOff>548640</xdr:colOff>
                <xdr:row>2</xdr:row>
                <xdr:rowOff>76200</xdr:rowOff>
              </to>
            </anchor>
          </controlPr>
        </control>
      </mc:Choice>
      <mc:Fallback>
        <control shapeId="12294" r:id="rId8" name="CommandButton1"/>
      </mc:Fallback>
    </mc:AlternateContent>
    <mc:AlternateContent xmlns:mc="http://schemas.openxmlformats.org/markup-compatibility/2006">
      <mc:Choice Requires="x14">
        <control shapeId="12290" r:id="rId10" name="ProgressBar21">
          <controlPr autoLine="0" autoPict="0" r:id="rId11">
            <anchor>
              <from>
                <xdr:col>0</xdr:col>
                <xdr:colOff>38100</xdr:colOff>
                <xdr:row>4</xdr:row>
                <xdr:rowOff>182880</xdr:rowOff>
              </from>
              <to>
                <xdr:col>1</xdr:col>
                <xdr:colOff>0</xdr:colOff>
                <xdr:row>10</xdr:row>
                <xdr:rowOff>4191000</xdr:rowOff>
              </to>
            </anchor>
          </controlPr>
        </control>
      </mc:Choice>
      <mc:Fallback>
        <control shapeId="12290" r:id="rId10" name="ProgressBar21"/>
      </mc:Fallback>
    </mc:AlternateContent>
    <mc:AlternateContent xmlns:mc="http://schemas.openxmlformats.org/markup-compatibility/2006">
      <mc:Choice Requires="x14">
        <control shapeId="12291" r:id="rId12" name="ScrollBar1">
          <controlPr autoLine="0" autoPict="0" linkedCell="date" r:id="rId13">
            <anchor moveWithCells="1" sizeWithCells="1">
              <from>
                <xdr:col>1</xdr:col>
                <xdr:colOff>0</xdr:colOff>
                <xdr:row>3</xdr:row>
                <xdr:rowOff>0</xdr:rowOff>
              </from>
              <to>
                <xdr:col>3</xdr:col>
                <xdr:colOff>15240</xdr:colOff>
                <xdr:row>4</xdr:row>
                <xdr:rowOff>0</xdr:rowOff>
              </to>
            </anchor>
          </controlPr>
        </control>
      </mc:Choice>
      <mc:Fallback>
        <control shapeId="12291" r:id="rId12" name="ScrollBar1"/>
      </mc:Fallback>
    </mc:AlternateContent>
    <mc:AlternateContent xmlns:mc="http://schemas.openxmlformats.org/markup-compatibility/2006">
      <mc:Choice Requires="x14">
        <control shapeId="12292" r:id="rId14" name="ScrollBar2">
          <controlPr autoLine="0" autoPict="0" linkedCell="F2" r:id="rId13">
            <anchor moveWithCells="1" sizeWithCells="1">
              <from>
                <xdr:col>4</xdr:col>
                <xdr:colOff>0</xdr:colOff>
                <xdr:row>3</xdr:row>
                <xdr:rowOff>0</xdr:rowOff>
              </from>
              <to>
                <xdr:col>6</xdr:col>
                <xdr:colOff>0</xdr:colOff>
                <xdr:row>4</xdr:row>
                <xdr:rowOff>0</xdr:rowOff>
              </to>
            </anchor>
          </controlPr>
        </control>
      </mc:Choice>
      <mc:Fallback>
        <control shapeId="12292" r:id="rId14" name="ScrollBar2"/>
      </mc:Fallback>
    </mc:AlternateContent>
    <mc:AlternateContent xmlns:mc="http://schemas.openxmlformats.org/markup-compatibility/2006">
      <mc:Choice Requires="x14">
        <control shapeId="12293" r:id="rId15" name="ListBox1">
          <controlPr autoLine="0" listFillRange="datatable" r:id="rId16">
            <anchor moveWithCells="1" sizeWithCells="1">
              <from>
                <xdr:col>1</xdr:col>
                <xdr:colOff>129540</xdr:colOff>
                <xdr:row>5</xdr:row>
                <xdr:rowOff>0</xdr:rowOff>
              </from>
              <to>
                <xdr:col>20</xdr:col>
                <xdr:colOff>38100</xdr:colOff>
                <xdr:row>11</xdr:row>
                <xdr:rowOff>0</xdr:rowOff>
              </to>
            </anchor>
          </controlPr>
        </control>
      </mc:Choice>
      <mc:Fallback>
        <control shapeId="12293" r:id="rId15" name="List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
  <sheetViews>
    <sheetView zoomScale="200" zoomScaleNormal="200" workbookViewId="0"/>
  </sheetViews>
  <sheetFormatPr defaultRowHeight="14.4" x14ac:dyDescent="0.3"/>
  <cols>
    <col min="1" max="1" width="67.109375" bestFit="1" customWidth="1"/>
  </cols>
  <sheetData>
    <row r="1" spans="1:1" x14ac:dyDescent="0.3">
      <c r="A1" t="s">
        <v>40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26629" r:id="rId4" name="WebBrowser1">
          <controlPr defaultSize="0" autoLine="0" autoPict="0" r:id="rId5">
            <anchor moveWithCells="1">
              <from>
                <xdr:col>0</xdr:col>
                <xdr:colOff>434340</xdr:colOff>
                <xdr:row>3</xdr:row>
                <xdr:rowOff>38100</xdr:rowOff>
              </from>
              <to>
                <xdr:col>2</xdr:col>
                <xdr:colOff>167640</xdr:colOff>
                <xdr:row>15</xdr:row>
                <xdr:rowOff>121920</xdr:rowOff>
              </to>
            </anchor>
          </controlPr>
        </control>
      </mc:Choice>
      <mc:Fallback>
        <control shapeId="26629" r:id="rId4" name="WebBrowser1"/>
      </mc:Fallback>
    </mc:AlternateContent>
    <mc:AlternateContent xmlns:mc="http://schemas.openxmlformats.org/markup-compatibility/2006">
      <mc:Choice Requires="x14">
        <control shapeId="26626" r:id="rId6" name="CommandButton1">
          <controlPr autoLine="0" r:id="rId7">
            <anchor moveWithCells="1">
              <from>
                <xdr:col>2</xdr:col>
                <xdr:colOff>7620</xdr:colOff>
                <xdr:row>0</xdr:row>
                <xdr:rowOff>15240</xdr:rowOff>
              </from>
              <to>
                <xdr:col>2</xdr:col>
                <xdr:colOff>579120</xdr:colOff>
                <xdr:row>1</xdr:row>
                <xdr:rowOff>83820</xdr:rowOff>
              </to>
            </anchor>
          </controlPr>
        </control>
      </mc:Choice>
      <mc:Fallback>
        <control shapeId="26626" r:id="rId6"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85"/>
  <sheetViews>
    <sheetView workbookViewId="0"/>
  </sheetViews>
  <sheetFormatPr defaultRowHeight="14.4" x14ac:dyDescent="0.3"/>
  <cols>
    <col min="1" max="1" width="12.5546875" customWidth="1"/>
    <col min="2" max="2" width="14.44140625" customWidth="1"/>
    <col min="3" max="3" width="13.77734375" bestFit="1" customWidth="1"/>
    <col min="4" max="4" width="9.77734375" bestFit="1" customWidth="1"/>
    <col min="5" max="7" width="10.77734375" bestFit="1" customWidth="1"/>
    <col min="8" max="16" width="9.77734375" bestFit="1" customWidth="1"/>
    <col min="17" max="17" width="10.77734375" customWidth="1"/>
    <col min="18" max="18" width="10.77734375" bestFit="1" customWidth="1"/>
    <col min="19" max="19" width="10.77734375" customWidth="1"/>
    <col min="20" max="28" width="9.77734375" bestFit="1" customWidth="1"/>
    <col min="29" max="29" width="10.77734375" customWidth="1"/>
    <col min="30" max="30" width="10.77734375" bestFit="1" customWidth="1"/>
    <col min="31" max="31" width="10.77734375" customWidth="1"/>
    <col min="32" max="40" width="9.77734375" bestFit="1" customWidth="1"/>
    <col min="41" max="43" width="10.77734375" bestFit="1" customWidth="1"/>
    <col min="44" max="52" width="9.77734375" bestFit="1" customWidth="1"/>
    <col min="53" max="55" width="10.77734375" bestFit="1" customWidth="1"/>
    <col min="56" max="58" width="9.77734375" bestFit="1" customWidth="1"/>
    <col min="59" max="59" width="10.77734375" bestFit="1" customWidth="1"/>
    <col min="60" max="60" width="14.5546875" customWidth="1"/>
    <col min="61" max="61" width="11.77734375" customWidth="1"/>
    <col min="62" max="62" width="14.5546875" customWidth="1"/>
    <col min="63" max="63" width="11.77734375" customWidth="1"/>
    <col min="64" max="64" width="14.5546875" customWidth="1"/>
    <col min="65" max="65" width="11.77734375" customWidth="1"/>
    <col min="66" max="66" width="14.5546875" customWidth="1"/>
    <col min="67" max="67" width="11.77734375" customWidth="1"/>
    <col min="68" max="68" width="14.5546875" customWidth="1"/>
    <col min="69" max="69" width="11.77734375" customWidth="1"/>
    <col min="70" max="70" width="14.5546875" customWidth="1"/>
    <col min="71" max="71" width="11.77734375" customWidth="1"/>
    <col min="72" max="72" width="14.5546875" customWidth="1"/>
    <col min="73" max="73" width="11.77734375" customWidth="1"/>
    <col min="74" max="74" width="14.5546875" customWidth="1"/>
    <col min="75" max="75" width="11.77734375" customWidth="1"/>
    <col min="76" max="76" width="14.5546875" customWidth="1"/>
    <col min="77" max="77" width="11.77734375" customWidth="1"/>
    <col min="78" max="78" width="14.5546875" customWidth="1"/>
    <col min="79" max="79" width="11.77734375" customWidth="1"/>
    <col min="80" max="80" width="14.5546875" customWidth="1"/>
    <col min="81" max="81" width="11.77734375" customWidth="1"/>
    <col min="82" max="82" width="14.5546875" customWidth="1"/>
    <col min="83" max="83" width="11.77734375" customWidth="1"/>
    <col min="84" max="84" width="14.5546875" customWidth="1"/>
    <col min="85" max="85" width="11.77734375" customWidth="1"/>
    <col min="86" max="86" width="14.5546875" customWidth="1"/>
    <col min="87" max="87" width="11.77734375" customWidth="1"/>
    <col min="88" max="88" width="14.5546875" customWidth="1"/>
    <col min="89" max="89" width="11.77734375" customWidth="1"/>
    <col min="90" max="90" width="14.5546875" customWidth="1"/>
    <col min="91" max="91" width="11.77734375" customWidth="1"/>
    <col min="92" max="92" width="14.5546875" customWidth="1"/>
    <col min="93" max="93" width="12.77734375" customWidth="1"/>
    <col min="94" max="94" width="15.5546875" bestFit="1" customWidth="1"/>
    <col min="95" max="95" width="12.77734375" customWidth="1"/>
    <col min="96" max="96" width="15.5546875" bestFit="1" customWidth="1"/>
    <col min="97" max="97" width="12.77734375" customWidth="1"/>
    <col min="98" max="98" width="15.5546875" bestFit="1" customWidth="1"/>
    <col min="99" max="99" width="12.77734375" customWidth="1"/>
    <col min="100" max="100" width="15.5546875" bestFit="1" customWidth="1"/>
    <col min="101" max="101" width="12.77734375" customWidth="1"/>
    <col min="102" max="102" width="15.5546875" bestFit="1" customWidth="1"/>
    <col min="103" max="103" width="12.77734375" customWidth="1"/>
    <col min="104" max="104" width="15.5546875" bestFit="1" customWidth="1"/>
    <col min="105" max="105" width="12.77734375" customWidth="1"/>
    <col min="106" max="106" width="15.5546875" bestFit="1" customWidth="1"/>
    <col min="107" max="107" width="12.77734375" customWidth="1"/>
    <col min="108" max="108" width="15.5546875" bestFit="1" customWidth="1"/>
    <col min="109" max="109" width="12.77734375" customWidth="1"/>
    <col min="110" max="110" width="15.5546875" bestFit="1" customWidth="1"/>
    <col min="111" max="111" width="12.77734375" customWidth="1"/>
    <col min="112" max="112" width="15.5546875" customWidth="1"/>
    <col min="113" max="113" width="12.77734375" customWidth="1"/>
    <col min="114" max="114" width="15.5546875" bestFit="1" customWidth="1"/>
    <col min="115" max="115" width="12.77734375" customWidth="1"/>
    <col min="116" max="116" width="15.5546875" bestFit="1" customWidth="1"/>
    <col min="117" max="117" width="12.77734375" customWidth="1"/>
    <col min="118" max="118" width="15.5546875" bestFit="1" customWidth="1"/>
    <col min="119" max="119" width="12.77734375" customWidth="1"/>
    <col min="120" max="120" width="15.5546875" bestFit="1" customWidth="1"/>
    <col min="121" max="121" width="12.77734375" customWidth="1"/>
    <col min="122" max="122" width="15.5546875" bestFit="1" customWidth="1"/>
    <col min="123" max="123" width="12.77734375" customWidth="1"/>
    <col min="124" max="124" width="15.5546875" bestFit="1" customWidth="1"/>
    <col min="125" max="125" width="12.77734375" customWidth="1"/>
    <col min="126" max="126" width="15.5546875" bestFit="1" customWidth="1"/>
    <col min="127" max="127" width="12.77734375" customWidth="1"/>
    <col min="128" max="128" width="15.5546875" bestFit="1" customWidth="1"/>
    <col min="129" max="129" width="12.77734375" customWidth="1"/>
    <col min="130" max="130" width="15.5546875" bestFit="1" customWidth="1"/>
    <col min="131" max="131" width="12.77734375" customWidth="1"/>
    <col min="132" max="132" width="15.5546875" bestFit="1" customWidth="1"/>
    <col min="133" max="133" width="12.77734375" customWidth="1"/>
    <col min="134" max="134" width="15.5546875" bestFit="1" customWidth="1"/>
    <col min="135" max="135" width="12.77734375" customWidth="1"/>
    <col min="136" max="136" width="15.5546875" bestFit="1" customWidth="1"/>
    <col min="137" max="137" width="11.77734375" customWidth="1"/>
    <col min="138" max="138" width="14.5546875" customWidth="1"/>
    <col min="139" max="139" width="11.77734375" customWidth="1"/>
    <col min="140" max="140" width="14.5546875" customWidth="1"/>
    <col min="141" max="141" width="11.77734375" customWidth="1"/>
    <col min="142" max="142" width="14.5546875" customWidth="1"/>
    <col min="143" max="143" width="11.77734375" customWidth="1"/>
    <col min="144" max="144" width="14.5546875" customWidth="1"/>
    <col min="145" max="145" width="11.77734375" customWidth="1"/>
    <col min="146" max="146" width="14.5546875" customWidth="1"/>
    <col min="147" max="147" width="11.77734375" customWidth="1"/>
    <col min="148" max="148" width="14.5546875" customWidth="1"/>
    <col min="149" max="149" width="11.77734375" customWidth="1"/>
    <col min="150" max="150" width="14.5546875" customWidth="1"/>
    <col min="151" max="151" width="11.77734375" customWidth="1"/>
    <col min="152" max="152" width="14.5546875" customWidth="1"/>
    <col min="153" max="153" width="11.77734375" customWidth="1"/>
    <col min="154" max="154" width="14.5546875" customWidth="1"/>
    <col min="155" max="155" width="12.77734375" customWidth="1"/>
    <col min="156" max="156" width="15.5546875" bestFit="1" customWidth="1"/>
    <col min="157" max="157" width="12.77734375" customWidth="1"/>
    <col min="158" max="158" width="15.5546875" bestFit="1" customWidth="1"/>
    <col min="159" max="159" width="12.77734375" customWidth="1"/>
    <col min="160" max="160" width="15.5546875" bestFit="1" customWidth="1"/>
    <col min="161" max="161" width="12.77734375" customWidth="1"/>
    <col min="162" max="162" width="15.5546875" bestFit="1" customWidth="1"/>
    <col min="163" max="163" width="12.77734375" customWidth="1"/>
    <col min="164" max="164" width="15.5546875" bestFit="1" customWidth="1"/>
    <col min="165" max="165" width="12.77734375" customWidth="1"/>
    <col min="166" max="166" width="15.5546875" bestFit="1" customWidth="1"/>
    <col min="167" max="167" width="12.77734375" customWidth="1"/>
    <col min="168" max="168" width="15.5546875" customWidth="1"/>
    <col min="169" max="169" width="12.77734375" customWidth="1"/>
    <col min="170" max="170" width="15.5546875" bestFit="1" customWidth="1"/>
    <col min="171" max="171" width="12.77734375" customWidth="1"/>
    <col min="172" max="172" width="15.5546875" bestFit="1" customWidth="1"/>
    <col min="173" max="173" width="12.77734375" customWidth="1"/>
    <col min="174" max="174" width="15.5546875" bestFit="1" customWidth="1"/>
    <col min="175" max="175" width="12.77734375" customWidth="1"/>
    <col min="176" max="176" width="15.5546875" bestFit="1" customWidth="1"/>
    <col min="177" max="177" width="12.77734375" customWidth="1"/>
    <col min="178" max="178" width="15.5546875" bestFit="1" customWidth="1"/>
    <col min="179" max="179" width="12.77734375" customWidth="1"/>
    <col min="180" max="180" width="15.5546875" bestFit="1" customWidth="1"/>
    <col min="181" max="181" width="12.77734375" customWidth="1"/>
    <col min="182" max="182" width="15.5546875" bestFit="1" customWidth="1"/>
    <col min="183" max="183" width="12.77734375" customWidth="1"/>
    <col min="184" max="184" width="15.5546875" bestFit="1" customWidth="1"/>
    <col min="185" max="185" width="12.77734375" customWidth="1"/>
    <col min="186" max="186" width="15.5546875" bestFit="1" customWidth="1"/>
    <col min="187" max="187" width="12.77734375" customWidth="1"/>
    <col min="188" max="188" width="15.5546875" bestFit="1" customWidth="1"/>
    <col min="189" max="189" width="12.77734375" customWidth="1"/>
    <col min="190" max="190" width="15.5546875" bestFit="1" customWidth="1"/>
    <col min="191" max="191" width="12.77734375" customWidth="1"/>
    <col min="192" max="192" width="15.5546875" bestFit="1" customWidth="1"/>
    <col min="193" max="193" width="12.77734375" customWidth="1"/>
    <col min="194" max="194" width="15.5546875" bestFit="1" customWidth="1"/>
    <col min="195" max="195" width="12.77734375" customWidth="1"/>
    <col min="196" max="196" width="15.5546875" bestFit="1" customWidth="1"/>
    <col min="197" max="197" width="11.77734375" customWidth="1"/>
    <col min="198" max="198" width="14.5546875" customWidth="1"/>
    <col min="199" max="199" width="11.77734375" customWidth="1"/>
    <col min="200" max="200" width="14.5546875" customWidth="1"/>
    <col min="201" max="201" width="11.77734375" customWidth="1"/>
    <col min="202" max="202" width="14.5546875" customWidth="1"/>
    <col min="203" max="203" width="11.77734375" customWidth="1"/>
    <col min="204" max="204" width="14.5546875" customWidth="1"/>
    <col min="205" max="205" width="11.77734375" customWidth="1"/>
    <col min="206" max="206" width="14.5546875" customWidth="1"/>
    <col min="207" max="207" width="11.77734375" customWidth="1"/>
    <col min="208" max="208" width="14.5546875" customWidth="1"/>
    <col min="209" max="209" width="11.77734375" customWidth="1"/>
    <col min="210" max="210" width="14.5546875" customWidth="1"/>
    <col min="211" max="211" width="11.77734375" customWidth="1"/>
    <col min="212" max="212" width="14.5546875" customWidth="1"/>
    <col min="213" max="213" width="11.77734375" customWidth="1"/>
    <col min="214" max="214" width="14.5546875" customWidth="1"/>
    <col min="215" max="215" width="12.77734375" customWidth="1"/>
    <col min="216" max="216" width="15.5546875" bestFit="1" customWidth="1"/>
    <col min="217" max="217" width="12.77734375" customWidth="1"/>
    <col min="218" max="218" width="15.5546875" bestFit="1" customWidth="1"/>
    <col min="219" max="219" width="12.77734375" customWidth="1"/>
    <col min="220" max="220" width="15.5546875" bestFit="1" customWidth="1"/>
    <col min="221" max="221" width="12.77734375" customWidth="1"/>
    <col min="222" max="222" width="15.5546875" bestFit="1" customWidth="1"/>
    <col min="223" max="223" width="12.77734375" customWidth="1"/>
    <col min="224" max="224" width="15.5546875" customWidth="1"/>
    <col min="225" max="225" width="12.77734375" customWidth="1"/>
    <col min="226" max="226" width="15.5546875" bestFit="1" customWidth="1"/>
    <col min="227" max="227" width="12.77734375" customWidth="1"/>
    <col min="228" max="228" width="15.5546875" bestFit="1" customWidth="1"/>
    <col min="229" max="229" width="12.77734375" customWidth="1"/>
    <col min="230" max="230" width="15.5546875" bestFit="1" customWidth="1"/>
    <col min="231" max="231" width="12.77734375" customWidth="1"/>
    <col min="232" max="232" width="15.5546875" bestFit="1" customWidth="1"/>
    <col min="233" max="233" width="12.77734375" customWidth="1"/>
    <col min="234" max="234" width="15.5546875" bestFit="1" customWidth="1"/>
    <col min="235" max="235" width="12.77734375" customWidth="1"/>
    <col min="236" max="236" width="15.5546875" bestFit="1" customWidth="1"/>
    <col min="237" max="237" width="12.77734375" customWidth="1"/>
    <col min="238" max="238" width="15.5546875" bestFit="1" customWidth="1"/>
    <col min="239" max="239" width="12.77734375" customWidth="1"/>
    <col min="240" max="240" width="15.5546875" bestFit="1" customWidth="1"/>
    <col min="241" max="241" width="12.77734375" customWidth="1"/>
    <col min="242" max="242" width="15.5546875" bestFit="1" customWidth="1"/>
    <col min="243" max="243" width="12.77734375" customWidth="1"/>
    <col min="244" max="244" width="15.5546875" bestFit="1" customWidth="1"/>
    <col min="245" max="245" width="12.77734375" customWidth="1"/>
    <col min="246" max="246" width="15.5546875" bestFit="1" customWidth="1"/>
    <col min="247" max="247" width="12.77734375" customWidth="1"/>
    <col min="248" max="248" width="15.5546875" bestFit="1" customWidth="1"/>
    <col min="249" max="249" width="12.77734375" customWidth="1"/>
    <col min="250" max="250" width="15.5546875" bestFit="1" customWidth="1"/>
    <col min="251" max="251" width="12.77734375" customWidth="1"/>
    <col min="252" max="252" width="15.5546875" bestFit="1" customWidth="1"/>
    <col min="253" max="253" width="12.77734375" customWidth="1"/>
    <col min="254" max="254" width="15.5546875" bestFit="1" customWidth="1"/>
    <col min="255" max="255" width="12.77734375" customWidth="1"/>
    <col min="256" max="256" width="15.5546875" bestFit="1" customWidth="1"/>
    <col min="257" max="257" width="12.77734375" customWidth="1"/>
    <col min="258" max="258" width="15.5546875" bestFit="1" customWidth="1"/>
    <col min="259" max="259" width="10.77734375" customWidth="1"/>
    <col min="260" max="260" width="13.5546875" customWidth="1"/>
    <col min="261" max="261" width="10.77734375" customWidth="1"/>
    <col min="262" max="262" width="13.5546875" customWidth="1"/>
    <col min="263" max="263" width="10.77734375" customWidth="1"/>
    <col min="264" max="264" width="13.5546875" customWidth="1"/>
    <col min="265" max="265" width="10.77734375" customWidth="1"/>
    <col min="266" max="266" width="13.5546875" customWidth="1"/>
    <col min="267" max="267" width="10.77734375" customWidth="1"/>
    <col min="268" max="268" width="13.5546875" customWidth="1"/>
    <col min="269" max="269" width="10.77734375" customWidth="1"/>
    <col min="270" max="270" width="13.5546875" customWidth="1"/>
    <col min="271" max="271" width="10.77734375" customWidth="1"/>
    <col min="272" max="272" width="13.5546875" customWidth="1"/>
    <col min="273" max="273" width="10.77734375" customWidth="1"/>
    <col min="274" max="274" width="13.5546875" customWidth="1"/>
    <col min="275" max="275" width="10.77734375" customWidth="1"/>
    <col min="276" max="276" width="13.5546875" customWidth="1"/>
    <col min="277" max="277" width="11.77734375" customWidth="1"/>
    <col min="278" max="278" width="14.5546875" customWidth="1"/>
    <col min="279" max="279" width="11.77734375" customWidth="1"/>
    <col min="280" max="280" width="14.5546875" customWidth="1"/>
    <col min="281" max="281" width="11.77734375" customWidth="1"/>
    <col min="282" max="282" width="14.5546875" customWidth="1"/>
    <col min="283" max="283" width="11.77734375" customWidth="1"/>
    <col min="284" max="284" width="14.5546875" customWidth="1"/>
    <col min="285" max="285" width="11.77734375" customWidth="1"/>
    <col min="286" max="286" width="14.5546875" customWidth="1"/>
    <col min="287" max="287" width="11.77734375" customWidth="1"/>
    <col min="288" max="288" width="14.5546875" customWidth="1"/>
    <col min="289" max="289" width="11.77734375" customWidth="1"/>
    <col min="290" max="290" width="14.5546875" customWidth="1"/>
    <col min="291" max="291" width="11.77734375" customWidth="1"/>
    <col min="292" max="292" width="14.5546875" customWidth="1"/>
    <col min="293" max="293" width="11.77734375" customWidth="1"/>
    <col min="294" max="294" width="14.5546875" customWidth="1"/>
    <col min="295" max="295" width="11.77734375" customWidth="1"/>
    <col min="296" max="296" width="14.5546875" customWidth="1"/>
    <col min="297" max="297" width="11.77734375" customWidth="1"/>
    <col min="298" max="298" width="14.5546875" customWidth="1"/>
    <col min="299" max="299" width="11.77734375" customWidth="1"/>
    <col min="300" max="300" width="14.5546875" customWidth="1"/>
    <col min="301" max="301" width="11.77734375" customWidth="1"/>
    <col min="302" max="302" width="14.5546875" customWidth="1"/>
    <col min="303" max="303" width="11.77734375" customWidth="1"/>
    <col min="304" max="304" width="14.5546875" customWidth="1"/>
    <col min="305" max="305" width="11.77734375" customWidth="1"/>
    <col min="306" max="306" width="14.5546875" customWidth="1"/>
    <col min="307" max="307" width="11.77734375" customWidth="1"/>
    <col min="308" max="308" width="14.5546875" customWidth="1"/>
    <col min="309" max="309" width="11.77734375" customWidth="1"/>
    <col min="310" max="310" width="14.5546875" customWidth="1"/>
    <col min="311" max="311" width="11.77734375" customWidth="1"/>
    <col min="312" max="312" width="14.5546875" customWidth="1"/>
    <col min="313" max="313" width="11.77734375" customWidth="1"/>
    <col min="314" max="314" width="14.5546875" customWidth="1"/>
    <col min="315" max="315" width="11.77734375" customWidth="1"/>
    <col min="316" max="316" width="14.5546875" customWidth="1"/>
    <col min="317" max="317" width="11.77734375" customWidth="1"/>
    <col min="318" max="318" width="14.5546875" customWidth="1"/>
    <col min="319" max="319" width="11.77734375" customWidth="1"/>
    <col min="320" max="320" width="14.5546875" customWidth="1"/>
    <col min="321" max="321" width="10.77734375" customWidth="1"/>
    <col min="322" max="322" width="13.5546875" customWidth="1"/>
    <col min="323" max="323" width="10.77734375" customWidth="1"/>
    <col min="324" max="324" width="13.5546875" customWidth="1"/>
    <col min="325" max="325" width="10.77734375" customWidth="1"/>
    <col min="326" max="326" width="13.5546875" customWidth="1"/>
    <col min="327" max="327" width="10.77734375" customWidth="1"/>
    <col min="328" max="328" width="13.5546875" customWidth="1"/>
    <col min="329" max="329" width="10.77734375" customWidth="1"/>
    <col min="330" max="330" width="13.5546875" customWidth="1"/>
    <col min="331" max="331" width="10.77734375" customWidth="1"/>
    <col min="332" max="332" width="13.5546875" customWidth="1"/>
    <col min="333" max="333" width="10.77734375" customWidth="1"/>
    <col min="334" max="334" width="13.5546875" customWidth="1"/>
    <col min="335" max="335" width="10.77734375" customWidth="1"/>
    <col min="336" max="336" width="13.5546875" customWidth="1"/>
    <col min="337" max="337" width="10.77734375" customWidth="1"/>
    <col min="338" max="338" width="13.5546875" customWidth="1"/>
    <col min="339" max="339" width="11.77734375" customWidth="1"/>
    <col min="340" max="340" width="14.5546875" customWidth="1"/>
    <col min="341" max="341" width="11.77734375" customWidth="1"/>
    <col min="342" max="342" width="14.5546875" customWidth="1"/>
    <col min="343" max="343" width="11.77734375" customWidth="1"/>
    <col min="344" max="344" width="14.5546875" customWidth="1"/>
    <col min="345" max="345" width="11.77734375" customWidth="1"/>
    <col min="346" max="346" width="14.5546875" customWidth="1"/>
    <col min="347" max="347" width="11.77734375" customWidth="1"/>
    <col min="348" max="348" width="14.5546875" customWidth="1"/>
    <col min="349" max="349" width="11.77734375" customWidth="1"/>
    <col min="350" max="350" width="14.5546875" customWidth="1"/>
    <col min="351" max="351" width="11.77734375" customWidth="1"/>
    <col min="352" max="352" width="14.5546875" customWidth="1"/>
    <col min="353" max="353" width="11.77734375" customWidth="1"/>
    <col min="354" max="354" width="14.5546875" customWidth="1"/>
    <col min="355" max="355" width="11.77734375" customWidth="1"/>
    <col min="356" max="356" width="14.5546875" customWidth="1"/>
    <col min="357" max="357" width="11.77734375" customWidth="1"/>
    <col min="358" max="358" width="14.5546875" customWidth="1"/>
    <col min="359" max="359" width="11.77734375" customWidth="1"/>
    <col min="360" max="360" width="14.5546875" customWidth="1"/>
    <col min="361" max="361" width="11.77734375" customWidth="1"/>
    <col min="362" max="362" width="14.5546875" customWidth="1"/>
    <col min="363" max="363" width="11.77734375" customWidth="1"/>
    <col min="364" max="364" width="14.5546875" customWidth="1"/>
    <col min="365" max="365" width="11.77734375" customWidth="1"/>
    <col min="366" max="366" width="14.5546875" customWidth="1"/>
    <col min="367" max="367" width="11.77734375" customWidth="1"/>
    <col min="368" max="368" width="14.5546875" customWidth="1"/>
    <col min="369" max="369" width="11.77734375" customWidth="1"/>
    <col min="370" max="370" width="14.5546875" customWidth="1"/>
    <col min="371" max="371" width="11.77734375" customWidth="1"/>
    <col min="372" max="372" width="14.5546875" customWidth="1"/>
    <col min="373" max="373" width="11.77734375" customWidth="1"/>
    <col min="374" max="374" width="14.5546875" customWidth="1"/>
    <col min="375" max="375" width="11.77734375" customWidth="1"/>
    <col min="376" max="376" width="14.5546875" customWidth="1"/>
    <col min="377" max="377" width="10.77734375" customWidth="1"/>
    <col min="378" max="378" width="13.5546875" customWidth="1"/>
    <col min="379" max="379" width="10.77734375" customWidth="1"/>
    <col min="380" max="380" width="13.5546875" customWidth="1"/>
    <col min="381" max="381" width="10.77734375" customWidth="1"/>
    <col min="382" max="382" width="13.5546875" customWidth="1"/>
    <col min="383" max="383" width="10.77734375" customWidth="1"/>
    <col min="384" max="384" width="13.5546875" customWidth="1"/>
    <col min="385" max="385" width="10.77734375" customWidth="1"/>
    <col min="386" max="386" width="13.5546875" customWidth="1"/>
    <col min="387" max="387" width="10.77734375" customWidth="1"/>
    <col min="388" max="388" width="13.5546875" customWidth="1"/>
    <col min="389" max="389" width="10.77734375" customWidth="1"/>
    <col min="390" max="390" width="13.5546875" customWidth="1"/>
    <col min="391" max="391" width="10.77734375" customWidth="1"/>
    <col min="392" max="392" width="13.5546875" customWidth="1"/>
    <col min="393" max="393" width="10.77734375" customWidth="1"/>
    <col min="394" max="394" width="13.5546875" customWidth="1"/>
    <col min="395" max="395" width="11.77734375" customWidth="1"/>
    <col min="396" max="396" width="14.5546875" customWidth="1"/>
    <col min="397" max="397" width="11.77734375" customWidth="1"/>
    <col min="398" max="398" width="14.5546875" customWidth="1"/>
    <col min="399" max="399" width="11.77734375" customWidth="1"/>
    <col min="400" max="400" width="14.5546875" customWidth="1"/>
    <col min="401" max="401" width="11.77734375" customWidth="1"/>
    <col min="402" max="402" width="14.5546875" customWidth="1"/>
    <col min="403" max="403" width="11.77734375" customWidth="1"/>
    <col min="404" max="404" width="14.5546875" customWidth="1"/>
    <col min="405" max="405" width="11.77734375" customWidth="1"/>
    <col min="406" max="406" width="14.5546875" customWidth="1"/>
    <col min="407" max="407" width="11.77734375" customWidth="1"/>
    <col min="408" max="408" width="14.5546875" customWidth="1"/>
    <col min="409" max="409" width="11.77734375" customWidth="1"/>
    <col min="410" max="410" width="14.5546875" customWidth="1"/>
    <col min="411" max="411" width="11.77734375" customWidth="1"/>
    <col min="412" max="412" width="14.5546875" customWidth="1"/>
    <col min="413" max="413" width="11.77734375" customWidth="1"/>
    <col min="414" max="414" width="14.5546875" customWidth="1"/>
    <col min="415" max="415" width="11.77734375" customWidth="1"/>
    <col min="416" max="416" width="14.5546875" customWidth="1"/>
    <col min="417" max="417" width="11.77734375" customWidth="1"/>
    <col min="418" max="418" width="14.5546875" customWidth="1"/>
    <col min="419" max="419" width="11.77734375" customWidth="1"/>
    <col min="420" max="420" width="14.5546875" customWidth="1"/>
    <col min="421" max="421" width="11.77734375" customWidth="1"/>
    <col min="422" max="422" width="14.5546875" customWidth="1"/>
    <col min="423" max="423" width="11.77734375" customWidth="1"/>
    <col min="424" max="424" width="14.5546875" customWidth="1"/>
    <col min="425" max="425" width="11.77734375" customWidth="1"/>
    <col min="426" max="426" width="14.5546875" customWidth="1"/>
    <col min="427" max="427" width="11.77734375" customWidth="1"/>
    <col min="428" max="428" width="14.5546875" customWidth="1"/>
    <col min="429" max="429" width="11.77734375" customWidth="1"/>
    <col min="430" max="430" width="14.5546875" customWidth="1"/>
    <col min="431" max="431" width="11.77734375" customWidth="1"/>
    <col min="432" max="432" width="14.5546875" customWidth="1"/>
    <col min="433" max="433" width="11.77734375" customWidth="1"/>
    <col min="434" max="434" width="14.5546875" customWidth="1"/>
    <col min="435" max="435" width="11.77734375" customWidth="1"/>
    <col min="436" max="436" width="14.5546875" customWidth="1"/>
    <col min="437" max="437" width="11.77734375" customWidth="1"/>
    <col min="438" max="438" width="14.5546875" customWidth="1"/>
    <col min="439" max="439" width="10.77734375" customWidth="1"/>
    <col min="440" max="440" width="13.5546875" customWidth="1"/>
    <col min="441" max="441" width="10.77734375" customWidth="1"/>
    <col min="442" max="442" width="13.5546875" customWidth="1"/>
    <col min="443" max="443" width="10.77734375" customWidth="1"/>
    <col min="444" max="444" width="13.5546875" customWidth="1"/>
    <col min="445" max="445" width="10.77734375" customWidth="1"/>
    <col min="446" max="446" width="13.5546875" customWidth="1"/>
    <col min="447" max="447" width="10.77734375" customWidth="1"/>
    <col min="448" max="448" width="13.5546875" customWidth="1"/>
    <col min="449" max="449" width="10.77734375" customWidth="1"/>
    <col min="450" max="450" width="13.5546875" customWidth="1"/>
    <col min="451" max="451" width="10.77734375" customWidth="1"/>
    <col min="452" max="452" width="13.5546875" customWidth="1"/>
    <col min="453" max="453" width="10.77734375" customWidth="1"/>
    <col min="454" max="454" width="13.5546875" customWidth="1"/>
    <col min="455" max="455" width="10.77734375" customWidth="1"/>
    <col min="456" max="456" width="13.5546875" customWidth="1"/>
    <col min="457" max="457" width="11.77734375" customWidth="1"/>
    <col min="458" max="458" width="14.5546875" customWidth="1"/>
    <col min="459" max="459" width="11.77734375" customWidth="1"/>
    <col min="460" max="460" width="14.5546875" customWidth="1"/>
    <col min="461" max="461" width="11.77734375" customWidth="1"/>
    <col min="462" max="462" width="14.5546875" customWidth="1"/>
    <col min="463" max="463" width="11.77734375" customWidth="1"/>
    <col min="464" max="464" width="14.5546875" customWidth="1"/>
    <col min="465" max="465" width="11.77734375" customWidth="1"/>
    <col min="466" max="466" width="14.5546875" customWidth="1"/>
    <col min="467" max="467" width="11.77734375" customWidth="1"/>
    <col min="468" max="468" width="14.5546875" customWidth="1"/>
    <col min="469" max="469" width="11.77734375" customWidth="1"/>
    <col min="470" max="470" width="14.5546875" customWidth="1"/>
    <col min="471" max="471" width="11.77734375" customWidth="1"/>
    <col min="472" max="472" width="14.5546875" customWidth="1"/>
    <col min="473" max="473" width="11.77734375" customWidth="1"/>
    <col min="474" max="474" width="14.5546875" customWidth="1"/>
    <col min="475" max="475" width="11.77734375" customWidth="1"/>
    <col min="476" max="476" width="14.5546875" customWidth="1"/>
    <col min="477" max="477" width="11.77734375" customWidth="1"/>
    <col min="478" max="478" width="14.5546875" customWidth="1"/>
    <col min="479" max="479" width="11.77734375" customWidth="1"/>
    <col min="480" max="480" width="14.5546875" customWidth="1"/>
    <col min="481" max="481" width="11.77734375" customWidth="1"/>
    <col min="482" max="482" width="14.5546875" customWidth="1"/>
    <col min="483" max="483" width="11.77734375" customWidth="1"/>
    <col min="484" max="484" width="14.5546875" customWidth="1"/>
    <col min="485" max="485" width="11.77734375" customWidth="1"/>
    <col min="486" max="486" width="14.5546875" customWidth="1"/>
    <col min="487" max="487" width="11.77734375" customWidth="1"/>
    <col min="488" max="488" width="14.5546875" customWidth="1"/>
    <col min="489" max="489" width="11.77734375" customWidth="1"/>
    <col min="490" max="490" width="14.5546875" customWidth="1"/>
    <col min="491" max="491" width="11.77734375" customWidth="1"/>
    <col min="492" max="492" width="14.5546875" customWidth="1"/>
    <col min="493" max="493" width="11.77734375" customWidth="1"/>
    <col min="494" max="494" width="14.5546875" customWidth="1"/>
    <col min="495" max="495" width="11.77734375" customWidth="1"/>
    <col min="496" max="496" width="14.5546875" customWidth="1"/>
    <col min="497" max="497" width="11.77734375" customWidth="1"/>
    <col min="498" max="498" width="14.5546875" customWidth="1"/>
    <col min="499" max="499" width="10.77734375" customWidth="1"/>
    <col min="500" max="500" width="13.5546875" customWidth="1"/>
    <col min="501" max="501" width="10.77734375" customWidth="1"/>
    <col min="502" max="502" width="13.5546875" customWidth="1"/>
    <col min="503" max="503" width="10.77734375" customWidth="1"/>
    <col min="504" max="504" width="13.5546875" customWidth="1"/>
    <col min="505" max="505" width="10.77734375" customWidth="1"/>
    <col min="506" max="506" width="13.5546875" customWidth="1"/>
    <col min="507" max="507" width="10.77734375" customWidth="1"/>
    <col min="508" max="508" width="13.5546875" customWidth="1"/>
    <col min="509" max="509" width="10.77734375" customWidth="1"/>
    <col min="510" max="510" width="13.5546875" customWidth="1"/>
    <col min="511" max="511" width="10.77734375" customWidth="1"/>
    <col min="512" max="512" width="13.5546875" customWidth="1"/>
    <col min="513" max="513" width="10.77734375" customWidth="1"/>
    <col min="514" max="514" width="13.5546875" customWidth="1"/>
    <col min="515" max="515" width="10.77734375" customWidth="1"/>
    <col min="516" max="516" width="13.5546875" customWidth="1"/>
    <col min="517" max="517" width="11.77734375" customWidth="1"/>
    <col min="518" max="518" width="14.5546875" customWidth="1"/>
    <col min="519" max="519" width="11.77734375" customWidth="1"/>
    <col min="520" max="520" width="14.5546875" customWidth="1"/>
    <col min="521" max="521" width="11.77734375" customWidth="1"/>
    <col min="522" max="522" width="14.5546875" customWidth="1"/>
    <col min="523" max="523" width="11.77734375" customWidth="1"/>
    <col min="524" max="524" width="14.5546875" customWidth="1"/>
    <col min="525" max="525" width="11.77734375" customWidth="1"/>
    <col min="526" max="526" width="14.5546875" customWidth="1"/>
    <col min="527" max="527" width="11.77734375" customWidth="1"/>
    <col min="528" max="528" width="14.5546875" customWidth="1"/>
    <col min="529" max="529" width="11.77734375" customWidth="1"/>
    <col min="530" max="530" width="14.5546875" customWidth="1"/>
    <col min="531" max="531" width="11.77734375" customWidth="1"/>
    <col min="532" max="532" width="14.5546875" customWidth="1"/>
    <col min="533" max="533" width="11.77734375" customWidth="1"/>
    <col min="534" max="534" width="14.5546875" customWidth="1"/>
    <col min="535" max="535" width="11.77734375" customWidth="1"/>
    <col min="536" max="536" width="14.5546875" customWidth="1"/>
    <col min="537" max="537" width="11.77734375" customWidth="1"/>
    <col min="538" max="538" width="14.5546875" customWidth="1"/>
    <col min="539" max="539" width="11.77734375" customWidth="1"/>
    <col min="540" max="540" width="14.5546875" customWidth="1"/>
    <col min="541" max="541" width="11.77734375" customWidth="1"/>
    <col min="542" max="542" width="14.5546875" customWidth="1"/>
    <col min="543" max="543" width="11.77734375" customWidth="1"/>
    <col min="544" max="544" width="14.5546875" customWidth="1"/>
    <col min="545" max="545" width="11.77734375" customWidth="1"/>
    <col min="546" max="546" width="14.5546875" customWidth="1"/>
    <col min="547" max="547" width="11.77734375" customWidth="1"/>
    <col min="548" max="548" width="14.5546875" customWidth="1"/>
    <col min="549" max="549" width="11.77734375" customWidth="1"/>
    <col min="550" max="550" width="14.5546875" customWidth="1"/>
    <col min="551" max="551" width="11.77734375" customWidth="1"/>
    <col min="552" max="552" width="14.5546875" customWidth="1"/>
    <col min="553" max="553" width="11.77734375" customWidth="1"/>
    <col min="554" max="554" width="14.5546875" customWidth="1"/>
    <col min="555" max="555" width="11.77734375" customWidth="1"/>
    <col min="556" max="556" width="14.5546875" customWidth="1"/>
    <col min="557" max="557" width="11.77734375" customWidth="1"/>
    <col min="558" max="558" width="14.5546875" customWidth="1"/>
    <col min="559" max="559" width="11.77734375" customWidth="1"/>
    <col min="560" max="560" width="14.5546875" customWidth="1"/>
    <col min="561" max="561" width="10.77734375" customWidth="1"/>
    <col min="562" max="562" width="13.5546875" customWidth="1"/>
    <col min="563" max="563" width="10.77734375" customWidth="1"/>
    <col min="564" max="564" width="13.5546875" customWidth="1"/>
    <col min="565" max="565" width="10.77734375" customWidth="1"/>
    <col min="566" max="566" width="13.5546875" customWidth="1"/>
    <col min="567" max="567" width="10.77734375" customWidth="1"/>
    <col min="568" max="568" width="13.5546875" customWidth="1"/>
    <col min="569" max="569" width="10.77734375" customWidth="1"/>
    <col min="570" max="570" width="13.5546875" customWidth="1"/>
    <col min="571" max="571" width="10.77734375" customWidth="1"/>
    <col min="572" max="572" width="13.5546875" customWidth="1"/>
    <col min="573" max="573" width="10.77734375" customWidth="1"/>
    <col min="574" max="574" width="13.5546875" customWidth="1"/>
    <col min="575" max="575" width="10.77734375" customWidth="1"/>
    <col min="576" max="576" width="13.5546875" customWidth="1"/>
    <col min="577" max="577" width="10.77734375" customWidth="1"/>
    <col min="578" max="578" width="13.5546875" customWidth="1"/>
    <col min="579" max="579" width="11.77734375" customWidth="1"/>
    <col min="580" max="580" width="14.5546875" customWidth="1"/>
    <col min="581" max="581" width="11.77734375" customWidth="1"/>
    <col min="582" max="582" width="14.5546875" customWidth="1"/>
    <col min="583" max="583" width="11.77734375" customWidth="1"/>
    <col min="584" max="584" width="14.5546875" customWidth="1"/>
    <col min="585" max="585" width="11.77734375" customWidth="1"/>
    <col min="586" max="586" width="14.5546875" customWidth="1"/>
    <col min="587" max="587" width="11.77734375" customWidth="1"/>
    <col min="588" max="588" width="14.5546875" customWidth="1"/>
    <col min="589" max="589" width="11.77734375" customWidth="1"/>
    <col min="590" max="590" width="14.5546875" customWidth="1"/>
    <col min="591" max="591" width="11.77734375" customWidth="1"/>
    <col min="592" max="592" width="14.5546875" customWidth="1"/>
    <col min="593" max="593" width="11.77734375" customWidth="1"/>
    <col min="594" max="594" width="14.5546875" customWidth="1"/>
    <col min="595" max="595" width="11.77734375" customWidth="1"/>
    <col min="596" max="596" width="14.5546875" customWidth="1"/>
    <col min="597" max="597" width="11.77734375" customWidth="1"/>
    <col min="598" max="598" width="14.5546875" customWidth="1"/>
    <col min="599" max="599" width="11.77734375" customWidth="1"/>
    <col min="600" max="600" width="14.5546875" customWidth="1"/>
    <col min="601" max="601" width="11.77734375" customWidth="1"/>
    <col min="602" max="602" width="14.5546875" customWidth="1"/>
    <col min="603" max="603" width="11.77734375" customWidth="1"/>
    <col min="604" max="604" width="14.5546875" customWidth="1"/>
    <col min="605" max="605" width="11.77734375" customWidth="1"/>
    <col min="606" max="606" width="14.5546875" customWidth="1"/>
    <col min="607" max="607" width="11.77734375" customWidth="1"/>
    <col min="608" max="608" width="14.5546875" customWidth="1"/>
    <col min="609" max="609" width="11.77734375" customWidth="1"/>
    <col min="610" max="610" width="14.5546875" customWidth="1"/>
    <col min="611" max="611" width="11.77734375" customWidth="1"/>
    <col min="612" max="612" width="14.5546875" customWidth="1"/>
    <col min="613" max="613" width="11.77734375" customWidth="1"/>
    <col min="614" max="614" width="14.5546875" customWidth="1"/>
    <col min="615" max="615" width="11.77734375" customWidth="1"/>
    <col min="616" max="616" width="14.5546875" customWidth="1"/>
    <col min="617" max="617" width="11.77734375" customWidth="1"/>
    <col min="618" max="618" width="14.5546875" customWidth="1"/>
    <col min="619" max="619" width="11.77734375" customWidth="1"/>
    <col min="620" max="620" width="14.5546875" customWidth="1"/>
    <col min="621" max="621" width="10.77734375" customWidth="1"/>
    <col min="622" max="622" width="13.5546875" customWidth="1"/>
    <col min="623" max="623" width="10.77734375" customWidth="1"/>
    <col min="624" max="624" width="13.5546875" customWidth="1"/>
    <col min="625" max="625" width="10.77734375" customWidth="1"/>
    <col min="626" max="626" width="13.5546875" customWidth="1"/>
    <col min="627" max="627" width="10.77734375" customWidth="1"/>
    <col min="628" max="628" width="13.5546875" customWidth="1"/>
    <col min="629" max="629" width="10.77734375" customWidth="1"/>
    <col min="630" max="630" width="13.5546875" customWidth="1"/>
    <col min="631" max="631" width="10.77734375" customWidth="1"/>
    <col min="632" max="632" width="13.5546875" customWidth="1"/>
    <col min="633" max="633" width="10.77734375" customWidth="1"/>
    <col min="634" max="634" width="13.5546875" customWidth="1"/>
    <col min="635" max="635" width="10.77734375" customWidth="1"/>
    <col min="636" max="636" width="13.5546875" customWidth="1"/>
    <col min="637" max="637" width="10.77734375" customWidth="1"/>
    <col min="638" max="638" width="13.5546875" customWidth="1"/>
    <col min="639" max="639" width="11.77734375" customWidth="1"/>
    <col min="640" max="640" width="14.5546875" customWidth="1"/>
    <col min="641" max="641" width="11.77734375" customWidth="1"/>
    <col min="642" max="642" width="14.5546875" customWidth="1"/>
    <col min="643" max="643" width="11.77734375" customWidth="1"/>
    <col min="644" max="644" width="14.5546875" customWidth="1"/>
    <col min="645" max="645" width="11.77734375" customWidth="1"/>
    <col min="646" max="646" width="14.5546875" customWidth="1"/>
    <col min="647" max="647" width="11.77734375" customWidth="1"/>
    <col min="648" max="648" width="14.5546875" customWidth="1"/>
    <col min="649" max="649" width="11.77734375" customWidth="1"/>
    <col min="650" max="650" width="14.5546875" customWidth="1"/>
    <col min="651" max="651" width="11.77734375" customWidth="1"/>
    <col min="652" max="652" width="14.5546875" customWidth="1"/>
    <col min="653" max="653" width="11.77734375" customWidth="1"/>
    <col min="654" max="654" width="14.5546875" customWidth="1"/>
    <col min="655" max="655" width="11.77734375" customWidth="1"/>
    <col min="656" max="656" width="14.5546875" customWidth="1"/>
    <col min="657" max="657" width="11.77734375" customWidth="1"/>
    <col min="658" max="658" width="14.5546875" customWidth="1"/>
    <col min="659" max="659" width="11.77734375" customWidth="1"/>
    <col min="660" max="660" width="14.5546875" customWidth="1"/>
    <col min="661" max="661" width="11.77734375" customWidth="1"/>
    <col min="662" max="662" width="14.5546875" customWidth="1"/>
    <col min="663" max="663" width="11.77734375" customWidth="1"/>
    <col min="664" max="664" width="14.5546875" customWidth="1"/>
    <col min="665" max="665" width="11.77734375" customWidth="1"/>
    <col min="666" max="666" width="14.5546875" customWidth="1"/>
    <col min="667" max="667" width="11.77734375" customWidth="1"/>
    <col min="668" max="668" width="14.5546875" customWidth="1"/>
    <col min="669" max="669" width="11.77734375" customWidth="1"/>
    <col min="670" max="670" width="14.5546875" customWidth="1"/>
    <col min="671" max="671" width="11.77734375" customWidth="1"/>
    <col min="672" max="672" width="14.5546875" customWidth="1"/>
    <col min="673" max="673" width="11.77734375" customWidth="1"/>
    <col min="674" max="674" width="14.5546875" customWidth="1"/>
    <col min="675" max="675" width="11.77734375" customWidth="1"/>
    <col min="676" max="676" width="14.5546875" customWidth="1"/>
    <col min="677" max="677" width="11.77734375" customWidth="1"/>
    <col min="678" max="678" width="14.5546875" customWidth="1"/>
    <col min="679" max="679" width="11.77734375" customWidth="1"/>
    <col min="680" max="680" width="14.5546875" customWidth="1"/>
    <col min="681" max="681" width="11.77734375" customWidth="1"/>
    <col min="682" max="682" width="14.5546875" customWidth="1"/>
    <col min="683" max="683" width="10.77734375" customWidth="1"/>
    <col min="684" max="684" width="13.5546875" customWidth="1"/>
    <col min="685" max="685" width="10.77734375" customWidth="1"/>
    <col min="686" max="686" width="13.5546875" customWidth="1"/>
    <col min="687" max="687" width="10.77734375" customWidth="1"/>
    <col min="688" max="688" width="13.5546875" customWidth="1"/>
    <col min="689" max="689" width="10.77734375" customWidth="1"/>
    <col min="690" max="690" width="13.5546875" customWidth="1"/>
    <col min="691" max="691" width="10.77734375" customWidth="1"/>
    <col min="692" max="692" width="13.5546875" customWidth="1"/>
    <col min="693" max="693" width="10.77734375" customWidth="1"/>
    <col min="694" max="694" width="13.5546875" customWidth="1"/>
    <col min="695" max="695" width="10.77734375" customWidth="1"/>
    <col min="696" max="696" width="13.5546875" customWidth="1"/>
    <col min="697" max="697" width="10.77734375" customWidth="1"/>
    <col min="698" max="698" width="13.5546875" customWidth="1"/>
    <col min="699" max="699" width="10.77734375" customWidth="1"/>
    <col min="700" max="700" width="13.5546875" customWidth="1"/>
    <col min="701" max="701" width="11.77734375" customWidth="1"/>
    <col min="702" max="702" width="14.5546875" customWidth="1"/>
    <col min="703" max="703" width="11.77734375" customWidth="1"/>
    <col min="704" max="704" width="14.5546875" customWidth="1"/>
    <col min="705" max="705" width="11.77734375" customWidth="1"/>
    <col min="706" max="706" width="14.5546875" customWidth="1"/>
    <col min="707" max="707" width="11.77734375" customWidth="1"/>
    <col min="708" max="708" width="14.5546875" customWidth="1"/>
    <col min="709" max="709" width="11.77734375" customWidth="1"/>
    <col min="710" max="710" width="14.5546875" customWidth="1"/>
    <col min="711" max="711" width="11.77734375" customWidth="1"/>
    <col min="712" max="712" width="14.5546875" customWidth="1"/>
    <col min="713" max="713" width="11.77734375" customWidth="1"/>
    <col min="714" max="714" width="14.5546875" customWidth="1"/>
    <col min="715" max="715" width="11.77734375" customWidth="1"/>
    <col min="716" max="716" width="14.5546875" customWidth="1"/>
    <col min="717" max="717" width="11.77734375" customWidth="1"/>
    <col min="718" max="718" width="14.5546875" customWidth="1"/>
    <col min="719" max="719" width="11.77734375" customWidth="1"/>
    <col min="720" max="720" width="14.5546875" customWidth="1"/>
    <col min="721" max="721" width="11.77734375" customWidth="1"/>
    <col min="722" max="722" width="14.5546875" customWidth="1"/>
    <col min="723" max="723" width="11.77734375" customWidth="1"/>
    <col min="724" max="724" width="14.5546875" customWidth="1"/>
    <col min="725" max="725" width="11.77734375" customWidth="1"/>
    <col min="726" max="726" width="14.5546875" customWidth="1"/>
    <col min="727" max="727" width="11.77734375" customWidth="1"/>
    <col min="728" max="728" width="14.5546875" customWidth="1"/>
    <col min="729" max="729" width="11.77734375" customWidth="1"/>
    <col min="730" max="730" width="14.5546875" customWidth="1"/>
    <col min="731" max="731" width="11.77734375" customWidth="1"/>
    <col min="732" max="732" width="14.5546875" customWidth="1"/>
    <col min="733" max="733" width="11.77734375" customWidth="1"/>
    <col min="734" max="734" width="14.5546875" customWidth="1"/>
    <col min="735" max="735" width="11.77734375" customWidth="1"/>
    <col min="736" max="736" width="14.5546875" customWidth="1"/>
    <col min="737" max="737" width="11.77734375" customWidth="1"/>
    <col min="738" max="738" width="14.5546875" customWidth="1"/>
    <col min="739" max="739" width="11.77734375" customWidth="1"/>
    <col min="740" max="740" width="14.5546875" customWidth="1"/>
    <col min="741" max="741" width="11.77734375" customWidth="1"/>
    <col min="742" max="742" width="14.5546875" customWidth="1"/>
    <col min="743" max="743" width="11.77734375" customWidth="1"/>
    <col min="744" max="744" width="14.5546875" customWidth="1"/>
    <col min="745" max="745" width="10.77734375" customWidth="1"/>
    <col min="746" max="746" width="13.5546875" customWidth="1"/>
    <col min="747" max="747" width="10.77734375" customWidth="1"/>
    <col min="748" max="748" width="13.5546875" customWidth="1"/>
    <col min="749" max="749" width="10.77734375" customWidth="1"/>
    <col min="750" max="750" width="13.5546875" customWidth="1"/>
    <col min="751" max="751" width="10.77734375" customWidth="1"/>
    <col min="752" max="752" width="13.5546875" customWidth="1"/>
    <col min="753" max="753" width="10.77734375" customWidth="1"/>
    <col min="754" max="754" width="13.5546875" customWidth="1"/>
    <col min="755" max="755" width="10.77734375" customWidth="1"/>
    <col min="756" max="756" width="13.5546875" customWidth="1"/>
    <col min="757" max="757" width="10.77734375" customWidth="1"/>
    <col min="758" max="758" width="13.5546875" customWidth="1"/>
    <col min="759" max="759" width="10.77734375" customWidth="1"/>
    <col min="760" max="760" width="13.5546875" customWidth="1"/>
    <col min="761" max="761" width="10.77734375" customWidth="1"/>
    <col min="762" max="762" width="13.5546875" customWidth="1"/>
    <col min="763" max="763" width="11.77734375" customWidth="1"/>
    <col min="764" max="764" width="14.5546875" customWidth="1"/>
    <col min="765" max="765" width="11.77734375" customWidth="1"/>
    <col min="766" max="766" width="14.5546875" customWidth="1"/>
    <col min="767" max="767" width="11.77734375" customWidth="1"/>
    <col min="768" max="768" width="14.5546875" customWidth="1"/>
    <col min="769" max="769" width="11.77734375" customWidth="1"/>
    <col min="770" max="770" width="14.5546875" customWidth="1"/>
    <col min="771" max="771" width="11.77734375" customWidth="1"/>
    <col min="772" max="772" width="14.5546875" customWidth="1"/>
    <col min="773" max="773" width="11.77734375" customWidth="1"/>
    <col min="774" max="774" width="14.5546875" customWidth="1"/>
    <col min="775" max="775" width="11.77734375" customWidth="1"/>
    <col min="776" max="776" width="14.5546875" customWidth="1"/>
    <col min="777" max="777" width="11.77734375" customWidth="1"/>
    <col min="778" max="778" width="14.5546875" customWidth="1"/>
    <col min="779" max="779" width="11.77734375" customWidth="1"/>
    <col min="780" max="780" width="14.5546875" customWidth="1"/>
    <col min="781" max="781" width="11.77734375" customWidth="1"/>
    <col min="782" max="782" width="14.5546875" customWidth="1"/>
    <col min="783" max="783" width="11.77734375" customWidth="1"/>
    <col min="784" max="784" width="14.5546875" customWidth="1"/>
    <col min="785" max="785" width="11.77734375" customWidth="1"/>
    <col min="786" max="786" width="14.5546875" customWidth="1"/>
    <col min="787" max="787" width="11.77734375" customWidth="1"/>
    <col min="788" max="788" width="14.5546875" customWidth="1"/>
    <col min="789" max="789" width="11.77734375" customWidth="1"/>
    <col min="790" max="790" width="14.5546875" customWidth="1"/>
    <col min="791" max="791" width="11.77734375" customWidth="1"/>
    <col min="792" max="792" width="14.5546875" customWidth="1"/>
    <col min="793" max="793" width="11.77734375" customWidth="1"/>
    <col min="794" max="794" width="14.5546875" customWidth="1"/>
    <col min="795" max="795" width="11.77734375" customWidth="1"/>
    <col min="796" max="796" width="14.5546875" customWidth="1"/>
    <col min="797" max="797" width="11.77734375" customWidth="1"/>
    <col min="798" max="798" width="14.5546875" customWidth="1"/>
    <col min="799" max="799" width="11.77734375" customWidth="1"/>
    <col min="800" max="800" width="14.5546875" customWidth="1"/>
    <col min="801" max="801" width="11.77734375" customWidth="1"/>
    <col min="802" max="802" width="14.5546875" customWidth="1"/>
    <col min="803" max="803" width="11.77734375" customWidth="1"/>
    <col min="804" max="804" width="14.5546875" customWidth="1"/>
    <col min="805" max="805" width="11.77734375" customWidth="1"/>
    <col min="806" max="806" width="14.5546875" customWidth="1"/>
    <col min="807" max="807" width="11.77734375" customWidth="1"/>
    <col min="808" max="808" width="14.5546875" customWidth="1"/>
    <col min="809" max="809" width="11.77734375" customWidth="1"/>
    <col min="810" max="810" width="14.5546875" customWidth="1"/>
    <col min="811" max="811" width="11.77734375" customWidth="1"/>
    <col min="812" max="812" width="14.5546875" customWidth="1"/>
    <col min="813" max="813" width="11.77734375" customWidth="1"/>
    <col min="814" max="814" width="14.5546875" customWidth="1"/>
    <col min="815" max="815" width="11.77734375" customWidth="1"/>
    <col min="816" max="816" width="14.5546875" customWidth="1"/>
    <col min="817" max="817" width="11.77734375" customWidth="1"/>
    <col min="818" max="818" width="14.5546875" customWidth="1"/>
    <col min="819" max="819" width="11.77734375" customWidth="1"/>
    <col min="820" max="820" width="14.5546875" customWidth="1"/>
    <col min="821" max="821" width="11.77734375" customWidth="1"/>
    <col min="822" max="822" width="14.5546875" customWidth="1"/>
    <col min="823" max="823" width="12.77734375" customWidth="1"/>
    <col min="824" max="824" width="15.5546875" bestFit="1" customWidth="1"/>
    <col min="825" max="825" width="12.77734375" customWidth="1"/>
    <col min="826" max="826" width="15.5546875" bestFit="1" customWidth="1"/>
    <col min="827" max="827" width="12.77734375" customWidth="1"/>
    <col min="828" max="828" width="15.5546875" bestFit="1" customWidth="1"/>
    <col min="829" max="829" width="12.77734375" customWidth="1"/>
    <col min="830" max="830" width="15.5546875" bestFit="1" customWidth="1"/>
    <col min="831" max="831" width="12.77734375" customWidth="1"/>
    <col min="832" max="832" width="15.5546875" bestFit="1" customWidth="1"/>
    <col min="833" max="833" width="12.77734375" customWidth="1"/>
    <col min="834" max="834" width="15.5546875" bestFit="1" customWidth="1"/>
    <col min="835" max="835" width="12.77734375" customWidth="1"/>
    <col min="836" max="836" width="15.5546875" bestFit="1" customWidth="1"/>
    <col min="837" max="837" width="12.77734375" customWidth="1"/>
    <col min="838" max="838" width="15.5546875" bestFit="1" customWidth="1"/>
    <col min="839" max="839" width="12.77734375" customWidth="1"/>
    <col min="840" max="840" width="15.5546875" bestFit="1" customWidth="1"/>
    <col min="841" max="841" width="12.77734375" customWidth="1"/>
    <col min="842" max="842" width="15.5546875" bestFit="1" customWidth="1"/>
    <col min="843" max="843" width="12.77734375" customWidth="1"/>
    <col min="844" max="844" width="15.5546875" bestFit="1" customWidth="1"/>
    <col min="845" max="845" width="12.77734375" customWidth="1"/>
    <col min="846" max="846" width="15.5546875" bestFit="1" customWidth="1"/>
    <col min="847" max="847" width="12.77734375" customWidth="1"/>
    <col min="848" max="848" width="15.5546875" bestFit="1" customWidth="1"/>
    <col min="849" max="849" width="12.77734375" customWidth="1"/>
    <col min="850" max="850" width="15.5546875" bestFit="1" customWidth="1"/>
    <col min="851" max="851" width="12.77734375" customWidth="1"/>
    <col min="852" max="852" width="15.5546875" bestFit="1" customWidth="1"/>
    <col min="853" max="853" width="12.77734375" customWidth="1"/>
    <col min="854" max="854" width="15.5546875" bestFit="1" customWidth="1"/>
    <col min="855" max="855" width="12.77734375" customWidth="1"/>
    <col min="856" max="856" width="15.5546875" bestFit="1" customWidth="1"/>
    <col min="857" max="857" width="12.77734375" customWidth="1"/>
    <col min="858" max="858" width="15.5546875" bestFit="1" customWidth="1"/>
    <col min="859" max="859" width="12.77734375" customWidth="1"/>
    <col min="860" max="860" width="15.5546875" bestFit="1" customWidth="1"/>
    <col min="861" max="861" width="12.77734375" customWidth="1"/>
    <col min="862" max="862" width="15.5546875" bestFit="1" customWidth="1"/>
    <col min="863" max="863" width="12.77734375" customWidth="1"/>
    <col min="864" max="864" width="15.5546875" bestFit="1" customWidth="1"/>
    <col min="865" max="865" width="12.77734375" customWidth="1"/>
    <col min="866" max="866" width="15.5546875" bestFit="1" customWidth="1"/>
    <col min="867" max="867" width="11.77734375" customWidth="1"/>
    <col min="868" max="868" width="14.5546875" customWidth="1"/>
    <col min="869" max="869" width="11.77734375" customWidth="1"/>
    <col min="870" max="870" width="14.5546875" customWidth="1"/>
    <col min="871" max="871" width="11.77734375" customWidth="1"/>
    <col min="872" max="872" width="14.5546875" customWidth="1"/>
    <col min="873" max="873" width="11.77734375" customWidth="1"/>
    <col min="874" max="874" width="14.5546875" customWidth="1"/>
    <col min="875" max="875" width="11.77734375" customWidth="1"/>
    <col min="876" max="876" width="14.5546875" customWidth="1"/>
    <col min="877" max="877" width="11.77734375" customWidth="1"/>
    <col min="878" max="878" width="14.5546875" customWidth="1"/>
    <col min="879" max="879" width="11.77734375" customWidth="1"/>
    <col min="880" max="880" width="14.5546875" customWidth="1"/>
    <col min="881" max="881" width="11.77734375" customWidth="1"/>
    <col min="882" max="882" width="14.5546875" customWidth="1"/>
    <col min="883" max="883" width="11.77734375" customWidth="1"/>
    <col min="884" max="884" width="14.5546875" customWidth="1"/>
    <col min="885" max="885" width="12.77734375" customWidth="1"/>
    <col min="886" max="886" width="15.5546875" bestFit="1" customWidth="1"/>
    <col min="887" max="887" width="12.77734375" customWidth="1"/>
    <col min="888" max="888" width="15.5546875" bestFit="1" customWidth="1"/>
    <col min="889" max="889" width="12.77734375" customWidth="1"/>
    <col min="890" max="890" width="15.5546875" customWidth="1"/>
    <col min="891" max="891" width="12.77734375" customWidth="1"/>
    <col min="892" max="892" width="15.5546875" bestFit="1" customWidth="1"/>
    <col min="893" max="893" width="12.77734375" customWidth="1"/>
    <col min="894" max="894" width="15.5546875" bestFit="1" customWidth="1"/>
    <col min="895" max="895" width="12.77734375" customWidth="1"/>
    <col min="896" max="896" width="15.5546875" bestFit="1" customWidth="1"/>
    <col min="897" max="897" width="12.77734375" customWidth="1"/>
    <col min="898" max="898" width="15.5546875" bestFit="1" customWidth="1"/>
    <col min="899" max="899" width="12.77734375" customWidth="1"/>
    <col min="900" max="900" width="15.5546875" bestFit="1" customWidth="1"/>
    <col min="901" max="901" width="12.77734375" customWidth="1"/>
    <col min="902" max="902" width="15.5546875" bestFit="1" customWidth="1"/>
    <col min="903" max="903" width="12.77734375" customWidth="1"/>
    <col min="904" max="904" width="15.5546875" bestFit="1" customWidth="1"/>
    <col min="905" max="905" width="12.77734375" customWidth="1"/>
    <col min="906" max="906" width="15.5546875" bestFit="1" customWidth="1"/>
    <col min="907" max="907" width="12.77734375" customWidth="1"/>
    <col min="908" max="908" width="15.5546875" bestFit="1" customWidth="1"/>
    <col min="909" max="909" width="12.77734375" customWidth="1"/>
    <col min="910" max="910" width="15.5546875" bestFit="1" customWidth="1"/>
    <col min="911" max="911" width="12.77734375" customWidth="1"/>
    <col min="912" max="912" width="15.5546875" bestFit="1" customWidth="1"/>
    <col min="913" max="913" width="12.77734375" customWidth="1"/>
    <col min="914" max="914" width="15.5546875" bestFit="1" customWidth="1"/>
    <col min="915" max="915" width="12.77734375" customWidth="1"/>
    <col min="916" max="916" width="15.5546875" bestFit="1" customWidth="1"/>
    <col min="917" max="917" width="12.77734375" customWidth="1"/>
    <col min="918" max="918" width="15.5546875" bestFit="1" customWidth="1"/>
    <col min="919" max="919" width="12.77734375" customWidth="1"/>
    <col min="920" max="920" width="15.5546875" bestFit="1" customWidth="1"/>
    <col min="921" max="921" width="12.77734375" customWidth="1"/>
    <col min="922" max="922" width="15.5546875" bestFit="1" customWidth="1"/>
    <col min="923" max="923" width="12.77734375" customWidth="1"/>
    <col min="924" max="924" width="15.5546875" bestFit="1" customWidth="1"/>
    <col min="925" max="925" width="12.77734375" customWidth="1"/>
    <col min="926" max="926" width="15.5546875" bestFit="1" customWidth="1"/>
    <col min="927" max="927" width="11.77734375" customWidth="1"/>
    <col min="928" max="928" width="14.5546875" customWidth="1"/>
    <col min="929" max="929" width="11.77734375" customWidth="1"/>
    <col min="930" max="930" width="14.5546875" customWidth="1"/>
    <col min="931" max="931" width="11.77734375" customWidth="1"/>
    <col min="932" max="932" width="14.5546875" customWidth="1"/>
    <col min="933" max="933" width="11.77734375" customWidth="1"/>
    <col min="934" max="934" width="14.5546875" customWidth="1"/>
    <col min="935" max="935" width="11.77734375" customWidth="1"/>
    <col min="936" max="936" width="14.5546875" customWidth="1"/>
    <col min="937" max="937" width="11.77734375" customWidth="1"/>
    <col min="938" max="938" width="14.5546875" customWidth="1"/>
    <col min="939" max="939" width="11.77734375" customWidth="1"/>
    <col min="940" max="940" width="14.5546875" customWidth="1"/>
    <col min="941" max="941" width="11.77734375" customWidth="1"/>
    <col min="942" max="942" width="14.5546875" customWidth="1"/>
    <col min="943" max="943" width="11.77734375" customWidth="1"/>
    <col min="944" max="944" width="14.5546875" customWidth="1"/>
    <col min="945" max="945" width="12.77734375" customWidth="1"/>
    <col min="946" max="946" width="15.5546875" bestFit="1" customWidth="1"/>
    <col min="947" max="947" width="12.77734375" customWidth="1"/>
    <col min="948" max="948" width="15.5546875" bestFit="1" customWidth="1"/>
    <col min="949" max="949" width="12.77734375" customWidth="1"/>
    <col min="950" max="950" width="15.5546875" bestFit="1" customWidth="1"/>
    <col min="951" max="951" width="12.77734375" customWidth="1"/>
    <col min="952" max="952" width="15.5546875" bestFit="1" customWidth="1"/>
    <col min="953" max="953" width="12.77734375" customWidth="1"/>
    <col min="954" max="954" width="15.5546875" bestFit="1" customWidth="1"/>
    <col min="955" max="955" width="12.77734375" customWidth="1"/>
    <col min="956" max="956" width="15.5546875" bestFit="1" customWidth="1"/>
    <col min="957" max="957" width="12.77734375" customWidth="1"/>
    <col min="958" max="958" width="15.5546875" bestFit="1" customWidth="1"/>
    <col min="959" max="959" width="12.77734375" customWidth="1"/>
    <col min="960" max="960" width="15.5546875" bestFit="1" customWidth="1"/>
    <col min="961" max="961" width="12.77734375" customWidth="1"/>
    <col min="962" max="962" width="15.5546875" bestFit="1" customWidth="1"/>
    <col min="963" max="963" width="12.77734375" customWidth="1"/>
    <col min="964" max="964" width="15.5546875" bestFit="1" customWidth="1"/>
    <col min="965" max="965" width="12.77734375" customWidth="1"/>
    <col min="966" max="966" width="15.5546875" bestFit="1" customWidth="1"/>
    <col min="967" max="967" width="12.77734375" customWidth="1"/>
    <col min="968" max="968" width="15.5546875" bestFit="1" customWidth="1"/>
    <col min="969" max="969" width="12.77734375" customWidth="1"/>
    <col min="970" max="970" width="15.5546875" bestFit="1" customWidth="1"/>
    <col min="971" max="971" width="12.77734375" customWidth="1"/>
    <col min="972" max="972" width="15.5546875" bestFit="1" customWidth="1"/>
    <col min="973" max="973" width="12.77734375" customWidth="1"/>
    <col min="974" max="974" width="15.5546875" bestFit="1" customWidth="1"/>
    <col min="975" max="975" width="12.77734375" customWidth="1"/>
    <col min="976" max="976" width="15.5546875" bestFit="1" customWidth="1"/>
    <col min="977" max="977" width="12.77734375" customWidth="1"/>
    <col min="978" max="978" width="15.5546875" bestFit="1" customWidth="1"/>
    <col min="979" max="979" width="12.77734375" customWidth="1"/>
    <col min="980" max="980" width="15.5546875" bestFit="1" customWidth="1"/>
    <col min="981" max="981" width="12.77734375" customWidth="1"/>
    <col min="982" max="982" width="15.5546875" bestFit="1" customWidth="1"/>
    <col min="983" max="983" width="12.77734375" customWidth="1"/>
    <col min="984" max="984" width="15.5546875" bestFit="1" customWidth="1"/>
    <col min="985" max="985" width="12.77734375" customWidth="1"/>
    <col min="986" max="986" width="15.5546875" bestFit="1" customWidth="1"/>
    <col min="987" max="987" width="12.77734375" customWidth="1"/>
    <col min="988" max="988" width="15.5546875" bestFit="1" customWidth="1"/>
    <col min="989" max="989" width="10.77734375" customWidth="1"/>
    <col min="990" max="990" width="13.5546875" customWidth="1"/>
    <col min="991" max="991" width="10.77734375" customWidth="1"/>
    <col min="992" max="992" width="13.5546875" customWidth="1"/>
    <col min="993" max="993" width="10.77734375" customWidth="1"/>
    <col min="994" max="994" width="13.5546875" customWidth="1"/>
    <col min="995" max="995" width="10.77734375" customWidth="1"/>
    <col min="996" max="996" width="13.5546875" customWidth="1"/>
    <col min="997" max="997" width="10.77734375" customWidth="1"/>
    <col min="998" max="998" width="13.5546875" customWidth="1"/>
    <col min="999" max="999" width="10.77734375" customWidth="1"/>
    <col min="1000" max="1000" width="13.5546875" customWidth="1"/>
    <col min="1001" max="1001" width="10.77734375" customWidth="1"/>
    <col min="1002" max="1002" width="13.5546875" customWidth="1"/>
    <col min="1003" max="1003" width="10.77734375" customWidth="1"/>
    <col min="1004" max="1004" width="13.5546875" customWidth="1"/>
    <col min="1005" max="1005" width="10.77734375" customWidth="1"/>
    <col min="1006" max="1006" width="13.5546875" customWidth="1"/>
    <col min="1007" max="1007" width="11.77734375" customWidth="1"/>
    <col min="1008" max="1008" width="14.5546875" customWidth="1"/>
    <col min="1009" max="1009" width="11.77734375" customWidth="1"/>
    <col min="1010" max="1010" width="14.5546875" customWidth="1"/>
    <col min="1011" max="1011" width="11.77734375" customWidth="1"/>
    <col min="1012" max="1012" width="14.5546875" customWidth="1"/>
    <col min="1013" max="1013" width="11.77734375" customWidth="1"/>
    <col min="1014" max="1014" width="14.5546875" customWidth="1"/>
    <col min="1015" max="1015" width="11.77734375" customWidth="1"/>
    <col min="1016" max="1016" width="14.5546875" customWidth="1"/>
    <col min="1017" max="1017" width="11.77734375" customWidth="1"/>
    <col min="1018" max="1018" width="14.5546875" customWidth="1"/>
    <col min="1019" max="1019" width="11.77734375" customWidth="1"/>
    <col min="1020" max="1020" width="14.5546875" customWidth="1"/>
    <col min="1021" max="1021" width="11.77734375" customWidth="1"/>
    <col min="1022" max="1022" width="14.5546875" customWidth="1"/>
    <col min="1023" max="1023" width="11.77734375" customWidth="1"/>
    <col min="1024" max="1024" width="14.5546875" customWidth="1"/>
    <col min="1025" max="1025" width="11.77734375" customWidth="1"/>
    <col min="1026" max="1026" width="14.5546875" customWidth="1"/>
    <col min="1027" max="1027" width="11.77734375" customWidth="1"/>
    <col min="1028" max="1028" width="14.5546875" customWidth="1"/>
    <col min="1029" max="1029" width="11.77734375" customWidth="1"/>
    <col min="1030" max="1030" width="14.5546875" customWidth="1"/>
    <col min="1031" max="1031" width="11.77734375" customWidth="1"/>
    <col min="1032" max="1032" width="14.5546875" customWidth="1"/>
    <col min="1033" max="1033" width="11.77734375" customWidth="1"/>
    <col min="1034" max="1034" width="14.5546875" customWidth="1"/>
    <col min="1035" max="1035" width="11.77734375" customWidth="1"/>
    <col min="1036" max="1036" width="14.5546875" customWidth="1"/>
    <col min="1037" max="1037" width="11.77734375" customWidth="1"/>
    <col min="1038" max="1038" width="14.5546875" customWidth="1"/>
    <col min="1039" max="1039" width="11.77734375" customWidth="1"/>
    <col min="1040" max="1040" width="14.5546875" customWidth="1"/>
    <col min="1041" max="1041" width="11.77734375" customWidth="1"/>
    <col min="1042" max="1042" width="14.5546875" customWidth="1"/>
    <col min="1043" max="1043" width="11.77734375" customWidth="1"/>
    <col min="1044" max="1044" width="14.5546875" customWidth="1"/>
    <col min="1045" max="1045" width="11.77734375" customWidth="1"/>
    <col min="1046" max="1046" width="14.5546875" customWidth="1"/>
    <col min="1047" max="1047" width="11.77734375" customWidth="1"/>
    <col min="1048" max="1048" width="14.5546875" customWidth="1"/>
    <col min="1049" max="1049" width="11.77734375" customWidth="1"/>
    <col min="1050" max="1050" width="14.5546875" customWidth="1"/>
    <col min="1051" max="1051" width="10.77734375" customWidth="1"/>
    <col min="1052" max="1052" width="13.5546875" customWidth="1"/>
    <col min="1053" max="1053" width="10.77734375" customWidth="1"/>
    <col min="1054" max="1054" width="13.5546875" customWidth="1"/>
    <col min="1055" max="1055" width="10.77734375" customWidth="1"/>
    <col min="1056" max="1056" width="13.5546875" customWidth="1"/>
    <col min="1057" max="1057" width="10.77734375" customWidth="1"/>
    <col min="1058" max="1058" width="13.5546875" customWidth="1"/>
    <col min="1059" max="1059" width="10.77734375" customWidth="1"/>
    <col min="1060" max="1060" width="13.5546875" customWidth="1"/>
    <col min="1061" max="1061" width="10.77734375" customWidth="1"/>
    <col min="1062" max="1062" width="13.5546875" customWidth="1"/>
    <col min="1063" max="1063" width="10.77734375" customWidth="1"/>
    <col min="1064" max="1064" width="13.5546875" customWidth="1"/>
    <col min="1065" max="1065" width="10.77734375" customWidth="1"/>
    <col min="1066" max="1066" width="13.5546875" customWidth="1"/>
    <col min="1067" max="1067" width="10.77734375" customWidth="1"/>
    <col min="1068" max="1068" width="13.5546875" customWidth="1"/>
    <col min="1069" max="1069" width="11.77734375" customWidth="1"/>
    <col min="1070" max="1070" width="14.5546875" customWidth="1"/>
    <col min="1071" max="1071" width="11.77734375" customWidth="1"/>
    <col min="1072" max="1072" width="14.5546875" customWidth="1"/>
    <col min="1073" max="1073" width="11.77734375" customWidth="1"/>
    <col min="1074" max="1074" width="14.5546875" customWidth="1"/>
    <col min="1075" max="1075" width="11.77734375" customWidth="1"/>
    <col min="1076" max="1076" width="14.5546875" customWidth="1"/>
    <col min="1077" max="1077" width="11.77734375" customWidth="1"/>
    <col min="1078" max="1078" width="14.5546875" customWidth="1"/>
    <col min="1079" max="1079" width="11.77734375" customWidth="1"/>
    <col min="1080" max="1080" width="14.5546875" customWidth="1"/>
    <col min="1081" max="1081" width="11.77734375" customWidth="1"/>
    <col min="1082" max="1082" width="14.5546875" customWidth="1"/>
    <col min="1083" max="1083" width="11.77734375" customWidth="1"/>
    <col min="1084" max="1084" width="14.5546875" customWidth="1"/>
    <col min="1085" max="1085" width="11.77734375" customWidth="1"/>
    <col min="1086" max="1086" width="14.5546875" customWidth="1"/>
    <col min="1087" max="1087" width="11.77734375" customWidth="1"/>
    <col min="1088" max="1088" width="14.5546875" customWidth="1"/>
    <col min="1089" max="1089" width="11.77734375" customWidth="1"/>
    <col min="1090" max="1090" width="14.5546875" customWidth="1"/>
    <col min="1091" max="1091" width="11.77734375" customWidth="1"/>
    <col min="1092" max="1092" width="14.5546875" customWidth="1"/>
    <col min="1093" max="1093" width="11.77734375" customWidth="1"/>
    <col min="1094" max="1094" width="14.5546875" customWidth="1"/>
    <col min="1095" max="1095" width="11.77734375" customWidth="1"/>
    <col min="1096" max="1096" width="14.5546875" customWidth="1"/>
    <col min="1097" max="1097" width="11.77734375" customWidth="1"/>
    <col min="1098" max="1098" width="14.5546875" customWidth="1"/>
    <col min="1099" max="1099" width="11.77734375" customWidth="1"/>
    <col min="1100" max="1100" width="14.5546875" customWidth="1"/>
    <col min="1101" max="1101" width="11.77734375" customWidth="1"/>
    <col min="1102" max="1102" width="14.5546875" customWidth="1"/>
    <col min="1103" max="1103" width="11.77734375" customWidth="1"/>
    <col min="1104" max="1104" width="14.5546875" customWidth="1"/>
    <col min="1105" max="1105" width="11.77734375" customWidth="1"/>
    <col min="1106" max="1106" width="14.5546875" customWidth="1"/>
    <col min="1107" max="1107" width="11.77734375" customWidth="1"/>
    <col min="1108" max="1108" width="14.5546875" customWidth="1"/>
    <col min="1109" max="1109" width="10.77734375" customWidth="1"/>
    <col min="1110" max="1110" width="13.5546875" customWidth="1"/>
    <col min="1111" max="1111" width="10.77734375" customWidth="1"/>
    <col min="1112" max="1112" width="13.5546875" customWidth="1"/>
    <col min="1113" max="1113" width="10.77734375" customWidth="1"/>
    <col min="1114" max="1114" width="13.5546875" customWidth="1"/>
    <col min="1115" max="1115" width="10.77734375" customWidth="1"/>
    <col min="1116" max="1116" width="13.5546875" customWidth="1"/>
    <col min="1117" max="1117" width="10.77734375" customWidth="1"/>
    <col min="1118" max="1118" width="13.5546875" customWidth="1"/>
    <col min="1119" max="1119" width="10.77734375" customWidth="1"/>
    <col min="1120" max="1120" width="13.5546875" customWidth="1"/>
    <col min="1121" max="1121" width="10.77734375" customWidth="1"/>
    <col min="1122" max="1122" width="13.5546875" customWidth="1"/>
    <col min="1123" max="1123" width="10.77734375" customWidth="1"/>
    <col min="1124" max="1124" width="13.5546875" customWidth="1"/>
    <col min="1125" max="1125" width="10.77734375" customWidth="1"/>
    <col min="1126" max="1126" width="13.5546875" customWidth="1"/>
    <col min="1127" max="1127" width="11.77734375" customWidth="1"/>
    <col min="1128" max="1128" width="14.5546875" customWidth="1"/>
    <col min="1129" max="1129" width="11.77734375" customWidth="1"/>
    <col min="1130" max="1130" width="14.5546875" customWidth="1"/>
    <col min="1131" max="1131" width="11.77734375" customWidth="1"/>
    <col min="1132" max="1132" width="14.5546875" customWidth="1"/>
    <col min="1133" max="1133" width="11.77734375" customWidth="1"/>
    <col min="1134" max="1134" width="14.5546875" customWidth="1"/>
    <col min="1135" max="1135" width="11.77734375" customWidth="1"/>
    <col min="1136" max="1136" width="14.5546875" customWidth="1"/>
    <col min="1137" max="1137" width="11.77734375" customWidth="1"/>
    <col min="1138" max="1138" width="14.5546875" customWidth="1"/>
    <col min="1139" max="1139" width="11.77734375" customWidth="1"/>
    <col min="1140" max="1140" width="14.5546875" customWidth="1"/>
    <col min="1141" max="1141" width="11.77734375" customWidth="1"/>
    <col min="1142" max="1142" width="14.5546875" customWidth="1"/>
    <col min="1143" max="1143" width="11.77734375" customWidth="1"/>
    <col min="1144" max="1144" width="14.5546875" customWidth="1"/>
    <col min="1145" max="1145" width="11.77734375" customWidth="1"/>
    <col min="1146" max="1146" width="14.5546875" customWidth="1"/>
    <col min="1147" max="1147" width="11.77734375" customWidth="1"/>
    <col min="1148" max="1148" width="14.5546875" customWidth="1"/>
    <col min="1149" max="1149" width="11.77734375" customWidth="1"/>
    <col min="1150" max="1150" width="14.5546875" customWidth="1"/>
    <col min="1151" max="1151" width="11.77734375" customWidth="1"/>
    <col min="1152" max="1152" width="14.5546875" customWidth="1"/>
    <col min="1153" max="1153" width="11.77734375" customWidth="1"/>
    <col min="1154" max="1154" width="14.5546875" customWidth="1"/>
    <col min="1155" max="1155" width="11.77734375" customWidth="1"/>
    <col min="1156" max="1156" width="14.5546875" customWidth="1"/>
    <col min="1157" max="1157" width="11.77734375" customWidth="1"/>
    <col min="1158" max="1158" width="14.5546875" customWidth="1"/>
    <col min="1159" max="1159" width="11.77734375" customWidth="1"/>
    <col min="1160" max="1160" width="14.5546875" customWidth="1"/>
    <col min="1161" max="1161" width="11.77734375" customWidth="1"/>
    <col min="1162" max="1162" width="14.5546875" customWidth="1"/>
    <col min="1163" max="1163" width="11.77734375" customWidth="1"/>
    <col min="1164" max="1164" width="14.5546875" customWidth="1"/>
    <col min="1165" max="1165" width="11.77734375" customWidth="1"/>
    <col min="1166" max="1166" width="14.5546875" customWidth="1"/>
    <col min="1167" max="1167" width="11.77734375" customWidth="1"/>
    <col min="1168" max="1168" width="14.5546875" customWidth="1"/>
    <col min="1169" max="1169" width="11.77734375" customWidth="1"/>
    <col min="1170" max="1170" width="14.5546875" customWidth="1"/>
    <col min="1171" max="1171" width="10.77734375" customWidth="1"/>
    <col min="1172" max="1172" width="13.5546875" customWidth="1"/>
    <col min="1173" max="1173" width="10.77734375" customWidth="1"/>
    <col min="1174" max="1174" width="13.5546875" customWidth="1"/>
    <col min="1175" max="1175" width="10.77734375" customWidth="1"/>
    <col min="1176" max="1176" width="13.5546875" customWidth="1"/>
    <col min="1177" max="1177" width="10.77734375" customWidth="1"/>
    <col min="1178" max="1178" width="13.5546875" customWidth="1"/>
    <col min="1179" max="1179" width="10.77734375" customWidth="1"/>
    <col min="1180" max="1180" width="13.5546875" customWidth="1"/>
    <col min="1181" max="1181" width="10.77734375" customWidth="1"/>
    <col min="1182" max="1182" width="13.5546875" customWidth="1"/>
    <col min="1183" max="1183" width="10.77734375" customWidth="1"/>
    <col min="1184" max="1184" width="13.5546875" customWidth="1"/>
    <col min="1185" max="1185" width="10.77734375" customWidth="1"/>
    <col min="1186" max="1186" width="13.5546875" customWidth="1"/>
    <col min="1187" max="1187" width="10.77734375" customWidth="1"/>
    <col min="1188" max="1188" width="13.5546875" customWidth="1"/>
    <col min="1189" max="1189" width="11.77734375" customWidth="1"/>
    <col min="1190" max="1190" width="14.5546875" customWidth="1"/>
    <col min="1191" max="1191" width="11.77734375" customWidth="1"/>
    <col min="1192" max="1192" width="14.5546875" customWidth="1"/>
    <col min="1193" max="1193" width="11.77734375" customWidth="1"/>
    <col min="1194" max="1194" width="14.5546875" customWidth="1"/>
    <col min="1195" max="1195" width="11.77734375" customWidth="1"/>
    <col min="1196" max="1196" width="14.5546875" customWidth="1"/>
    <col min="1197" max="1197" width="11.77734375" customWidth="1"/>
    <col min="1198" max="1198" width="14.5546875" customWidth="1"/>
    <col min="1199" max="1199" width="11.77734375" customWidth="1"/>
    <col min="1200" max="1200" width="14.5546875" customWidth="1"/>
    <col min="1201" max="1201" width="11.77734375" customWidth="1"/>
    <col min="1202" max="1202" width="14.5546875" customWidth="1"/>
    <col min="1203" max="1203" width="11.77734375" customWidth="1"/>
    <col min="1204" max="1204" width="14.5546875" customWidth="1"/>
    <col min="1205" max="1205" width="11.77734375" customWidth="1"/>
    <col min="1206" max="1206" width="14.5546875" customWidth="1"/>
    <col min="1207" max="1207" width="11.77734375" customWidth="1"/>
    <col min="1208" max="1208" width="14.5546875" customWidth="1"/>
    <col min="1209" max="1209" width="11.77734375" customWidth="1"/>
    <col min="1210" max="1210" width="14.5546875" customWidth="1"/>
    <col min="1211" max="1211" width="11.77734375" customWidth="1"/>
    <col min="1212" max="1212" width="14.5546875" customWidth="1"/>
    <col min="1213" max="1213" width="11.77734375" customWidth="1"/>
    <col min="1214" max="1214" width="14.5546875" customWidth="1"/>
    <col min="1215" max="1215" width="11.77734375" customWidth="1"/>
    <col min="1216" max="1216" width="14.5546875" customWidth="1"/>
    <col min="1217" max="1217" width="11.77734375" customWidth="1"/>
    <col min="1218" max="1218" width="14.5546875" customWidth="1"/>
    <col min="1219" max="1219" width="11.77734375" customWidth="1"/>
    <col min="1220" max="1220" width="14.5546875" customWidth="1"/>
    <col min="1221" max="1221" width="11.77734375" customWidth="1"/>
    <col min="1222" max="1222" width="14.5546875" customWidth="1"/>
    <col min="1223" max="1223" width="11.77734375" customWidth="1"/>
    <col min="1224" max="1224" width="14.5546875" customWidth="1"/>
    <col min="1225" max="1225" width="11.77734375" customWidth="1"/>
    <col min="1226" max="1226" width="14.5546875" customWidth="1"/>
    <col min="1227" max="1227" width="11.77734375" customWidth="1"/>
    <col min="1228" max="1228" width="14.5546875" customWidth="1"/>
    <col min="1229" max="1229" width="11.77734375" customWidth="1"/>
    <col min="1230" max="1230" width="14.5546875" customWidth="1"/>
    <col min="1231" max="1231" width="10.77734375" customWidth="1"/>
    <col min="1232" max="1232" width="13.5546875" customWidth="1"/>
    <col min="1233" max="1233" width="10.77734375" customWidth="1"/>
    <col min="1234" max="1234" width="13.5546875" customWidth="1"/>
    <col min="1235" max="1235" width="10.77734375" customWidth="1"/>
    <col min="1236" max="1236" width="13.5546875" customWidth="1"/>
    <col min="1237" max="1237" width="10.77734375" customWidth="1"/>
    <col min="1238" max="1238" width="13.5546875" customWidth="1"/>
    <col min="1239" max="1239" width="10.77734375" customWidth="1"/>
    <col min="1240" max="1240" width="13.5546875" customWidth="1"/>
    <col min="1241" max="1241" width="10.77734375" customWidth="1"/>
    <col min="1242" max="1242" width="13.5546875" customWidth="1"/>
    <col min="1243" max="1243" width="10.77734375" customWidth="1"/>
    <col min="1244" max="1244" width="13.5546875" customWidth="1"/>
    <col min="1245" max="1245" width="10.77734375" customWidth="1"/>
    <col min="1246" max="1246" width="13.5546875" customWidth="1"/>
    <col min="1247" max="1247" width="10.77734375" customWidth="1"/>
    <col min="1248" max="1248" width="13.5546875" customWidth="1"/>
    <col min="1249" max="1249" width="11.77734375" customWidth="1"/>
    <col min="1250" max="1250" width="14.5546875" customWidth="1"/>
    <col min="1251" max="1251" width="11.77734375" customWidth="1"/>
    <col min="1252" max="1252" width="14.5546875" customWidth="1"/>
    <col min="1253" max="1253" width="11.77734375" customWidth="1"/>
    <col min="1254" max="1254" width="14.5546875" customWidth="1"/>
    <col min="1255" max="1255" width="11.77734375" customWidth="1"/>
    <col min="1256" max="1256" width="14.5546875" customWidth="1"/>
    <col min="1257" max="1257" width="11.77734375" customWidth="1"/>
    <col min="1258" max="1258" width="14.5546875" customWidth="1"/>
    <col min="1259" max="1259" width="11.77734375" customWidth="1"/>
    <col min="1260" max="1260" width="14.5546875" customWidth="1"/>
    <col min="1261" max="1261" width="11.77734375" customWidth="1"/>
    <col min="1262" max="1262" width="14.5546875" customWidth="1"/>
    <col min="1263" max="1263" width="11.77734375" customWidth="1"/>
    <col min="1264" max="1264" width="14.5546875" customWidth="1"/>
    <col min="1265" max="1265" width="11.77734375" customWidth="1"/>
    <col min="1266" max="1266" width="14.5546875" customWidth="1"/>
    <col min="1267" max="1267" width="11.77734375" customWidth="1"/>
    <col min="1268" max="1268" width="14.5546875" customWidth="1"/>
    <col min="1269" max="1269" width="11.77734375" customWidth="1"/>
    <col min="1270" max="1270" width="14.5546875" customWidth="1"/>
    <col min="1271" max="1271" width="11.77734375" customWidth="1"/>
    <col min="1272" max="1272" width="14.5546875" customWidth="1"/>
    <col min="1273" max="1273" width="11.77734375" customWidth="1"/>
    <col min="1274" max="1274" width="14.5546875" customWidth="1"/>
    <col min="1275" max="1275" width="11.77734375" customWidth="1"/>
    <col min="1276" max="1276" width="14.5546875" customWidth="1"/>
    <col min="1277" max="1277" width="11.77734375" customWidth="1"/>
    <col min="1278" max="1278" width="14.5546875" customWidth="1"/>
    <col min="1279" max="1279" width="11.77734375" customWidth="1"/>
    <col min="1280" max="1280" width="14.5546875" customWidth="1"/>
    <col min="1281" max="1281" width="11.77734375" customWidth="1"/>
    <col min="1282" max="1282" width="14.5546875" customWidth="1"/>
    <col min="1283" max="1283" width="11.77734375" customWidth="1"/>
    <col min="1284" max="1284" width="14.5546875" customWidth="1"/>
    <col min="1285" max="1285" width="11.77734375" customWidth="1"/>
    <col min="1286" max="1286" width="14.5546875" customWidth="1"/>
    <col min="1287" max="1287" width="11.77734375" customWidth="1"/>
    <col min="1288" max="1288" width="14.5546875" customWidth="1"/>
    <col min="1289" max="1289" width="11.77734375" customWidth="1"/>
    <col min="1290" max="1290" width="14.5546875" customWidth="1"/>
    <col min="1291" max="1291" width="11.77734375" customWidth="1"/>
    <col min="1292" max="1292" width="14.5546875" customWidth="1"/>
    <col min="1293" max="1293" width="10.77734375" customWidth="1"/>
    <col min="1294" max="1294" width="13.5546875" customWidth="1"/>
    <col min="1295" max="1295" width="10.77734375" customWidth="1"/>
    <col min="1296" max="1296" width="13.5546875" customWidth="1"/>
    <col min="1297" max="1297" width="10.77734375" customWidth="1"/>
    <col min="1298" max="1298" width="13.5546875" customWidth="1"/>
    <col min="1299" max="1299" width="10.77734375" customWidth="1"/>
    <col min="1300" max="1300" width="13.5546875" customWidth="1"/>
    <col min="1301" max="1301" width="10.77734375" customWidth="1"/>
    <col min="1302" max="1302" width="13.5546875" customWidth="1"/>
    <col min="1303" max="1303" width="10.77734375" customWidth="1"/>
    <col min="1304" max="1304" width="13.5546875" customWidth="1"/>
    <col min="1305" max="1305" width="10.77734375" customWidth="1"/>
    <col min="1306" max="1306" width="13.5546875" customWidth="1"/>
    <col min="1307" max="1307" width="10.77734375" customWidth="1"/>
    <col min="1308" max="1308" width="13.5546875" customWidth="1"/>
    <col min="1309" max="1309" width="10.77734375" customWidth="1"/>
    <col min="1310" max="1310" width="13.5546875" customWidth="1"/>
    <col min="1311" max="1311" width="11.77734375" customWidth="1"/>
    <col min="1312" max="1312" width="14.5546875" customWidth="1"/>
    <col min="1313" max="1313" width="11.77734375" customWidth="1"/>
    <col min="1314" max="1314" width="14.5546875" customWidth="1"/>
    <col min="1315" max="1315" width="11.77734375" customWidth="1"/>
    <col min="1316" max="1316" width="14.5546875" customWidth="1"/>
    <col min="1317" max="1317" width="11.77734375" customWidth="1"/>
    <col min="1318" max="1318" width="14.5546875" customWidth="1"/>
    <col min="1319" max="1319" width="11.77734375" customWidth="1"/>
    <col min="1320" max="1320" width="14.5546875" customWidth="1"/>
    <col min="1321" max="1321" width="11.77734375" customWidth="1"/>
    <col min="1322" max="1322" width="14.5546875" customWidth="1"/>
    <col min="1323" max="1323" width="11.77734375" customWidth="1"/>
    <col min="1324" max="1324" width="14.5546875" customWidth="1"/>
    <col min="1325" max="1325" width="11.77734375" customWidth="1"/>
    <col min="1326" max="1326" width="14.5546875" customWidth="1"/>
    <col min="1327" max="1327" width="11.77734375" customWidth="1"/>
    <col min="1328" max="1328" width="14.5546875" customWidth="1"/>
    <col min="1329" max="1329" width="11.77734375" customWidth="1"/>
    <col min="1330" max="1330" width="14.5546875" customWidth="1"/>
    <col min="1331" max="1331" width="11.77734375" customWidth="1"/>
    <col min="1332" max="1332" width="14.5546875" customWidth="1"/>
    <col min="1333" max="1333" width="11.77734375" customWidth="1"/>
    <col min="1334" max="1334" width="14.5546875" customWidth="1"/>
    <col min="1335" max="1335" width="11.77734375" customWidth="1"/>
    <col min="1336" max="1336" width="14.5546875" customWidth="1"/>
    <col min="1337" max="1337" width="11.77734375" customWidth="1"/>
    <col min="1338" max="1338" width="14.5546875" customWidth="1"/>
    <col min="1339" max="1339" width="11.77734375" customWidth="1"/>
    <col min="1340" max="1340" width="14.5546875" customWidth="1"/>
    <col min="1341" max="1341" width="11.77734375" customWidth="1"/>
    <col min="1342" max="1342" width="14.5546875" customWidth="1"/>
    <col min="1343" max="1343" width="11.77734375" customWidth="1"/>
    <col min="1344" max="1344" width="14.5546875" customWidth="1"/>
    <col min="1345" max="1345" width="11.77734375" customWidth="1"/>
    <col min="1346" max="1346" width="14.5546875" customWidth="1"/>
    <col min="1347" max="1347" width="11.77734375" customWidth="1"/>
    <col min="1348" max="1348" width="14.5546875" customWidth="1"/>
    <col min="1349" max="1349" width="11.77734375" customWidth="1"/>
    <col min="1350" max="1350" width="14.5546875" customWidth="1"/>
    <col min="1351" max="1351" width="11.77734375" customWidth="1"/>
    <col min="1352" max="1352" width="14.5546875" customWidth="1"/>
    <col min="1353" max="1353" width="10.77734375" customWidth="1"/>
    <col min="1354" max="1354" width="13.5546875" customWidth="1"/>
    <col min="1355" max="1355" width="10.77734375" customWidth="1"/>
    <col min="1356" max="1356" width="13.5546875" customWidth="1"/>
    <col min="1357" max="1357" width="10.77734375" customWidth="1"/>
    <col min="1358" max="1358" width="13.5546875" customWidth="1"/>
    <col min="1359" max="1359" width="10.77734375" customWidth="1"/>
    <col min="1360" max="1360" width="13.5546875" customWidth="1"/>
    <col min="1361" max="1361" width="10.77734375" customWidth="1"/>
    <col min="1362" max="1362" width="13.5546875" customWidth="1"/>
    <col min="1363" max="1363" width="10.77734375" customWidth="1"/>
    <col min="1364" max="1364" width="13.5546875" customWidth="1"/>
    <col min="1365" max="1365" width="10.77734375" customWidth="1"/>
    <col min="1366" max="1366" width="13.5546875" customWidth="1"/>
    <col min="1367" max="1367" width="10.77734375" customWidth="1"/>
    <col min="1368" max="1368" width="13.5546875" customWidth="1"/>
    <col min="1369" max="1369" width="10.77734375" customWidth="1"/>
    <col min="1370" max="1370" width="13.5546875" customWidth="1"/>
    <col min="1371" max="1371" width="11.77734375" customWidth="1"/>
    <col min="1372" max="1372" width="14.5546875" customWidth="1"/>
    <col min="1373" max="1373" width="11.77734375" customWidth="1"/>
    <col min="1374" max="1374" width="14.5546875" customWidth="1"/>
    <col min="1375" max="1375" width="11.77734375" customWidth="1"/>
    <col min="1376" max="1376" width="14.5546875" customWidth="1"/>
    <col min="1377" max="1377" width="11.77734375" customWidth="1"/>
    <col min="1378" max="1378" width="14.5546875" customWidth="1"/>
    <col min="1379" max="1379" width="11.77734375" customWidth="1"/>
    <col min="1380" max="1380" width="14.5546875" customWidth="1"/>
    <col min="1381" max="1381" width="11.77734375" customWidth="1"/>
    <col min="1382" max="1382" width="14.5546875" customWidth="1"/>
    <col min="1383" max="1383" width="11.77734375" customWidth="1"/>
    <col min="1384" max="1384" width="14.5546875" customWidth="1"/>
    <col min="1385" max="1385" width="11.77734375" customWidth="1"/>
    <col min="1386" max="1386" width="14.5546875" customWidth="1"/>
    <col min="1387" max="1387" width="11.77734375" customWidth="1"/>
    <col min="1388" max="1388" width="14.5546875" customWidth="1"/>
    <col min="1389" max="1389" width="11.77734375" customWidth="1"/>
    <col min="1390" max="1390" width="14.5546875" customWidth="1"/>
    <col min="1391" max="1391" width="11.77734375" customWidth="1"/>
    <col min="1392" max="1392" width="14.5546875" customWidth="1"/>
    <col min="1393" max="1393" width="11.77734375" customWidth="1"/>
    <col min="1394" max="1394" width="14.5546875" customWidth="1"/>
    <col min="1395" max="1395" width="11.77734375" customWidth="1"/>
    <col min="1396" max="1396" width="14.5546875" customWidth="1"/>
    <col min="1397" max="1397" width="11.77734375" customWidth="1"/>
    <col min="1398" max="1398" width="14.5546875" customWidth="1"/>
    <col min="1399" max="1399" width="11.77734375" customWidth="1"/>
    <col min="1400" max="1400" width="14.5546875" customWidth="1"/>
    <col min="1401" max="1401" width="11.77734375" customWidth="1"/>
    <col min="1402" max="1402" width="14.5546875" customWidth="1"/>
    <col min="1403" max="1403" width="11.77734375" customWidth="1"/>
    <col min="1404" max="1404" width="14.5546875" customWidth="1"/>
    <col min="1405" max="1405" width="11.77734375" customWidth="1"/>
    <col min="1406" max="1406" width="14.5546875" customWidth="1"/>
    <col min="1407" max="1407" width="11.77734375" customWidth="1"/>
    <col min="1408" max="1408" width="14.5546875" customWidth="1"/>
    <col min="1409" max="1409" width="11.77734375" customWidth="1"/>
    <col min="1410" max="1410" width="14.5546875" customWidth="1"/>
    <col min="1411" max="1411" width="11.77734375" customWidth="1"/>
    <col min="1412" max="1412" width="14.5546875" customWidth="1"/>
    <col min="1413" max="1413" width="11.77734375" customWidth="1"/>
    <col min="1414" max="1414" width="14.5546875" customWidth="1"/>
    <col min="1415" max="1415" width="10.77734375" customWidth="1"/>
    <col min="1416" max="1416" width="13.5546875" customWidth="1"/>
    <col min="1417" max="1417" width="10.77734375" customWidth="1"/>
    <col min="1418" max="1418" width="13.5546875" customWidth="1"/>
    <col min="1419" max="1419" width="10.77734375" customWidth="1"/>
    <col min="1420" max="1420" width="13.5546875" customWidth="1"/>
    <col min="1421" max="1421" width="10.77734375" customWidth="1"/>
    <col min="1422" max="1422" width="13.5546875" customWidth="1"/>
    <col min="1423" max="1423" width="10.77734375" customWidth="1"/>
    <col min="1424" max="1424" width="13.5546875" customWidth="1"/>
    <col min="1425" max="1425" width="10.77734375" customWidth="1"/>
    <col min="1426" max="1426" width="13.5546875" customWidth="1"/>
    <col min="1427" max="1427" width="10.77734375" customWidth="1"/>
    <col min="1428" max="1428" width="13.5546875" customWidth="1"/>
    <col min="1429" max="1429" width="10.77734375" customWidth="1"/>
    <col min="1430" max="1430" width="13.5546875" customWidth="1"/>
    <col min="1431" max="1431" width="10.77734375" customWidth="1"/>
    <col min="1432" max="1432" width="13.5546875" customWidth="1"/>
    <col min="1433" max="1433" width="11.77734375" customWidth="1"/>
    <col min="1434" max="1434" width="14.5546875" customWidth="1"/>
    <col min="1435" max="1435" width="11.77734375" customWidth="1"/>
    <col min="1436" max="1436" width="14.5546875" customWidth="1"/>
    <col min="1437" max="1437" width="11.77734375" customWidth="1"/>
    <col min="1438" max="1438" width="14.5546875" customWidth="1"/>
    <col min="1439" max="1439" width="11.77734375" customWidth="1"/>
    <col min="1440" max="1440" width="14.5546875" customWidth="1"/>
    <col min="1441" max="1441" width="11.77734375" customWidth="1"/>
    <col min="1442" max="1442" width="14.5546875" customWidth="1"/>
    <col min="1443" max="1443" width="11.77734375" customWidth="1"/>
    <col min="1444" max="1444" width="14.5546875" customWidth="1"/>
    <col min="1445" max="1445" width="11.77734375" customWidth="1"/>
    <col min="1446" max="1446" width="14.5546875" customWidth="1"/>
    <col min="1447" max="1447" width="11.77734375" customWidth="1"/>
    <col min="1448" max="1448" width="14.5546875" customWidth="1"/>
    <col min="1449" max="1449" width="11.77734375" customWidth="1"/>
    <col min="1450" max="1450" width="14.5546875" customWidth="1"/>
    <col min="1451" max="1451" width="11.77734375" customWidth="1"/>
    <col min="1452" max="1452" width="14.5546875" customWidth="1"/>
    <col min="1453" max="1453" width="11.77734375" customWidth="1"/>
    <col min="1454" max="1454" width="14.5546875" customWidth="1"/>
    <col min="1455" max="1455" width="11.77734375" customWidth="1"/>
    <col min="1456" max="1456" width="14.5546875" customWidth="1"/>
    <col min="1457" max="1457" width="11.77734375" customWidth="1"/>
    <col min="1458" max="1458" width="14.5546875" customWidth="1"/>
    <col min="1459" max="1459" width="11.77734375" customWidth="1"/>
    <col min="1460" max="1460" width="14.5546875" customWidth="1"/>
    <col min="1461" max="1461" width="11.77734375" customWidth="1"/>
    <col min="1462" max="1462" width="14.5546875" customWidth="1"/>
    <col min="1463" max="1463" width="11.77734375" customWidth="1"/>
    <col min="1464" max="1464" width="14.5546875" customWidth="1"/>
    <col min="1465" max="1465" width="11.77734375" customWidth="1"/>
    <col min="1466" max="1466" width="14.5546875" customWidth="1"/>
    <col min="1467" max="1467" width="11.77734375" customWidth="1"/>
    <col min="1468" max="1468" width="14.5546875" customWidth="1"/>
    <col min="1469" max="1469" width="11.77734375" customWidth="1"/>
    <col min="1470" max="1470" width="14.5546875" customWidth="1"/>
    <col min="1471" max="1471" width="11.77734375" customWidth="1"/>
    <col min="1472" max="1472" width="14.5546875" customWidth="1"/>
    <col min="1473" max="1473" width="11.77734375" customWidth="1"/>
    <col min="1474" max="1474" width="14.5546875" customWidth="1"/>
    <col min="1475" max="1475" width="11.77734375" customWidth="1"/>
    <col min="1476" max="1476" width="14.5546875" customWidth="1"/>
    <col min="1477" max="1477" width="10.77734375" customWidth="1"/>
    <col min="1478" max="1478" width="13.5546875" customWidth="1"/>
    <col min="1479" max="1479" width="10.77734375" customWidth="1"/>
    <col min="1480" max="1480" width="13.5546875" customWidth="1"/>
    <col min="1481" max="1481" width="10.77734375" customWidth="1"/>
    <col min="1482" max="1482" width="13.5546875" customWidth="1"/>
    <col min="1483" max="1483" width="10.77734375" customWidth="1"/>
    <col min="1484" max="1484" width="13.5546875" customWidth="1"/>
    <col min="1485" max="1485" width="10.77734375" customWidth="1"/>
    <col min="1486" max="1486" width="13.5546875" customWidth="1"/>
    <col min="1487" max="1487" width="10.77734375" customWidth="1"/>
    <col min="1488" max="1488" width="13.5546875" customWidth="1"/>
    <col min="1489" max="1489" width="10.77734375" customWidth="1"/>
    <col min="1490" max="1490" width="13.5546875" customWidth="1"/>
    <col min="1491" max="1491" width="10.77734375" customWidth="1"/>
    <col min="1492" max="1492" width="13.5546875" customWidth="1"/>
    <col min="1493" max="1493" width="10.77734375" customWidth="1"/>
    <col min="1494" max="1494" width="13.5546875" customWidth="1"/>
    <col min="1495" max="1495" width="11.77734375" customWidth="1"/>
    <col min="1496" max="1496" width="14.5546875" customWidth="1"/>
    <col min="1497" max="1497" width="11.77734375" customWidth="1"/>
    <col min="1498" max="1498" width="14.5546875" customWidth="1"/>
    <col min="1499" max="1499" width="11.77734375" customWidth="1"/>
    <col min="1500" max="1500" width="14.5546875" customWidth="1"/>
    <col min="1501" max="1501" width="11.77734375" customWidth="1"/>
    <col min="1502" max="1502" width="14.5546875" customWidth="1"/>
    <col min="1503" max="1503" width="11.77734375" customWidth="1"/>
    <col min="1504" max="1504" width="14.5546875" customWidth="1"/>
    <col min="1505" max="1505" width="11.77734375" customWidth="1"/>
    <col min="1506" max="1506" width="14.5546875" customWidth="1"/>
    <col min="1507" max="1507" width="11.77734375" customWidth="1"/>
    <col min="1508" max="1508" width="14.5546875" customWidth="1"/>
    <col min="1509" max="1509" width="11.77734375" customWidth="1"/>
    <col min="1510" max="1510" width="14.5546875" customWidth="1"/>
    <col min="1511" max="1511" width="11.77734375" customWidth="1"/>
    <col min="1512" max="1512" width="14.5546875" customWidth="1"/>
    <col min="1513" max="1513" width="11.77734375" customWidth="1"/>
    <col min="1514" max="1514" width="14.5546875" customWidth="1"/>
    <col min="1515" max="1515" width="11.77734375" customWidth="1"/>
    <col min="1516" max="1516" width="14.5546875" customWidth="1"/>
    <col min="1517" max="1517" width="11.77734375" customWidth="1"/>
    <col min="1518" max="1518" width="14.5546875" customWidth="1"/>
    <col min="1519" max="1519" width="11.77734375" customWidth="1"/>
    <col min="1520" max="1520" width="14.5546875" customWidth="1"/>
    <col min="1521" max="1521" width="11.77734375" customWidth="1"/>
    <col min="1522" max="1522" width="14.5546875" customWidth="1"/>
    <col min="1523" max="1523" width="11.77734375" customWidth="1"/>
    <col min="1524" max="1524" width="14.5546875" customWidth="1"/>
    <col min="1525" max="1525" width="11.77734375" customWidth="1"/>
    <col min="1526" max="1526" width="14.5546875" customWidth="1"/>
    <col min="1527" max="1527" width="11.77734375" customWidth="1"/>
    <col min="1528" max="1528" width="14.5546875" customWidth="1"/>
    <col min="1529" max="1529" width="11.77734375" customWidth="1"/>
    <col min="1530" max="1530" width="14.5546875" customWidth="1"/>
    <col min="1531" max="1531" width="11.77734375" customWidth="1"/>
    <col min="1532" max="1532" width="14.5546875" customWidth="1"/>
    <col min="1533" max="1533" width="11.77734375" customWidth="1"/>
    <col min="1534" max="1534" width="14.5546875" customWidth="1"/>
    <col min="1535" max="1535" width="11.77734375" customWidth="1"/>
    <col min="1536" max="1536" width="14.5546875" customWidth="1"/>
    <col min="1537" max="1537" width="11.77734375" customWidth="1"/>
    <col min="1538" max="1538" width="14.5546875" customWidth="1"/>
    <col min="1539" max="1539" width="11.77734375" customWidth="1"/>
    <col min="1540" max="1540" width="14.5546875" customWidth="1"/>
    <col min="1541" max="1541" width="11.77734375" customWidth="1"/>
    <col min="1542" max="1542" width="14.5546875" customWidth="1"/>
    <col min="1543" max="1543" width="11.77734375" customWidth="1"/>
    <col min="1544" max="1544" width="14.5546875" customWidth="1"/>
    <col min="1545" max="1545" width="11.77734375" customWidth="1"/>
    <col min="1546" max="1546" width="14.5546875" customWidth="1"/>
    <col min="1547" max="1547" width="11.77734375" customWidth="1"/>
    <col min="1548" max="1548" width="14.5546875" customWidth="1"/>
    <col min="1549" max="1549" width="11.77734375" customWidth="1"/>
    <col min="1550" max="1550" width="14.5546875" customWidth="1"/>
    <col min="1551" max="1551" width="11.77734375" customWidth="1"/>
    <col min="1552" max="1552" width="14.5546875" customWidth="1"/>
    <col min="1553" max="1553" width="11.77734375" customWidth="1"/>
    <col min="1554" max="1554" width="14.5546875" customWidth="1"/>
    <col min="1555" max="1555" width="12.77734375" customWidth="1"/>
    <col min="1556" max="1556" width="15.5546875" bestFit="1" customWidth="1"/>
    <col min="1557" max="1557" width="12.77734375" customWidth="1"/>
    <col min="1558" max="1558" width="15.5546875" bestFit="1" customWidth="1"/>
    <col min="1559" max="1559" width="12.77734375" customWidth="1"/>
    <col min="1560" max="1560" width="15.5546875" bestFit="1" customWidth="1"/>
    <col min="1561" max="1561" width="12.77734375" customWidth="1"/>
    <col min="1562" max="1562" width="15.5546875" bestFit="1" customWidth="1"/>
    <col min="1563" max="1563" width="12.77734375" customWidth="1"/>
    <col min="1564" max="1564" width="15.5546875" bestFit="1" customWidth="1"/>
    <col min="1565" max="1565" width="12.77734375" customWidth="1"/>
    <col min="1566" max="1566" width="15.5546875" bestFit="1" customWidth="1"/>
    <col min="1567" max="1567" width="12.77734375" customWidth="1"/>
    <col min="1568" max="1568" width="15.5546875" bestFit="1" customWidth="1"/>
    <col min="1569" max="1569" width="12.77734375" customWidth="1"/>
    <col min="1570" max="1570" width="15.5546875" bestFit="1" customWidth="1"/>
    <col min="1571" max="1571" width="12.77734375" customWidth="1"/>
    <col min="1572" max="1572" width="15.5546875" bestFit="1" customWidth="1"/>
    <col min="1573" max="1573" width="12.77734375" customWidth="1"/>
    <col min="1574" max="1574" width="15.5546875" bestFit="1" customWidth="1"/>
    <col min="1575" max="1575" width="12.77734375" customWidth="1"/>
    <col min="1576" max="1576" width="15.5546875" bestFit="1" customWidth="1"/>
    <col min="1577" max="1577" width="12.77734375" customWidth="1"/>
    <col min="1578" max="1578" width="15.5546875" bestFit="1" customWidth="1"/>
    <col min="1579" max="1579" width="12.77734375" customWidth="1"/>
    <col min="1580" max="1580" width="15.5546875" bestFit="1" customWidth="1"/>
    <col min="1581" max="1581" width="12.77734375" customWidth="1"/>
    <col min="1582" max="1582" width="15.5546875" bestFit="1" customWidth="1"/>
    <col min="1583" max="1583" width="12.77734375" customWidth="1"/>
    <col min="1584" max="1584" width="15.5546875" bestFit="1" customWidth="1"/>
    <col min="1585" max="1585" width="12.77734375" customWidth="1"/>
    <col min="1586" max="1586" width="15.5546875" bestFit="1" customWidth="1"/>
    <col min="1587" max="1587" width="12.77734375" customWidth="1"/>
    <col min="1588" max="1588" width="15.5546875" bestFit="1" customWidth="1"/>
    <col min="1589" max="1589" width="12.77734375" customWidth="1"/>
    <col min="1590" max="1590" width="15.5546875" bestFit="1" customWidth="1"/>
    <col min="1591" max="1591" width="12.77734375" customWidth="1"/>
    <col min="1592" max="1592" width="15.5546875" bestFit="1" customWidth="1"/>
    <col min="1593" max="1593" width="12.77734375" customWidth="1"/>
    <col min="1594" max="1594" width="15.5546875" bestFit="1" customWidth="1"/>
    <col min="1595" max="1595" width="12.77734375" customWidth="1"/>
    <col min="1596" max="1596" width="15.5546875" bestFit="1" customWidth="1"/>
    <col min="1597" max="1597" width="12.77734375" customWidth="1"/>
    <col min="1598" max="1598" width="15.5546875" bestFit="1" customWidth="1"/>
    <col min="1599" max="1599" width="11.77734375" customWidth="1"/>
    <col min="1600" max="1600" width="14.5546875" customWidth="1"/>
    <col min="1601" max="1601" width="11.77734375" customWidth="1"/>
    <col min="1602" max="1602" width="14.5546875" customWidth="1"/>
    <col min="1603" max="1603" width="11.77734375" customWidth="1"/>
    <col min="1604" max="1604" width="14.5546875" customWidth="1"/>
    <col min="1605" max="1605" width="11.77734375" customWidth="1"/>
    <col min="1606" max="1606" width="14.5546875" customWidth="1"/>
    <col min="1607" max="1607" width="11.77734375" customWidth="1"/>
    <col min="1608" max="1608" width="14.5546875" customWidth="1"/>
    <col min="1609" max="1609" width="11.77734375" customWidth="1"/>
    <col min="1610" max="1610" width="14.5546875" customWidth="1"/>
    <col min="1611" max="1611" width="11.77734375" customWidth="1"/>
    <col min="1612" max="1612" width="14.5546875" customWidth="1"/>
    <col min="1613" max="1613" width="11.77734375" customWidth="1"/>
    <col min="1614" max="1614" width="14.5546875" customWidth="1"/>
    <col min="1615" max="1615" width="11.77734375" customWidth="1"/>
    <col min="1616" max="1616" width="14.5546875" customWidth="1"/>
    <col min="1617" max="1617" width="12.77734375" customWidth="1"/>
    <col min="1618" max="1618" width="15.5546875" bestFit="1" customWidth="1"/>
    <col min="1619" max="1619" width="12.77734375" customWidth="1"/>
    <col min="1620" max="1620" width="15.5546875" bestFit="1" customWidth="1"/>
    <col min="1621" max="1621" width="12.77734375" customWidth="1"/>
    <col min="1622" max="1622" width="15.5546875" bestFit="1" customWidth="1"/>
    <col min="1623" max="1623" width="12.77734375" customWidth="1"/>
    <col min="1624" max="1624" width="15.5546875" bestFit="1" customWidth="1"/>
    <col min="1625" max="1625" width="12.77734375" customWidth="1"/>
    <col min="1626" max="1626" width="15.5546875" bestFit="1" customWidth="1"/>
    <col min="1627" max="1627" width="12.77734375" customWidth="1"/>
    <col min="1628" max="1628" width="15.5546875" bestFit="1" customWidth="1"/>
    <col min="1629" max="1629" width="12.77734375" customWidth="1"/>
    <col min="1630" max="1630" width="15.5546875" bestFit="1" customWidth="1"/>
    <col min="1631" max="1631" width="12.77734375" customWidth="1"/>
    <col min="1632" max="1632" width="15.5546875" bestFit="1" customWidth="1"/>
    <col min="1633" max="1633" width="12.77734375" customWidth="1"/>
    <col min="1634" max="1634" width="15.5546875" bestFit="1" customWidth="1"/>
    <col min="1635" max="1635" width="12.77734375" customWidth="1"/>
    <col min="1636" max="1636" width="15.5546875" bestFit="1" customWidth="1"/>
    <col min="1637" max="1637" width="12.77734375" customWidth="1"/>
    <col min="1638" max="1638" width="15.5546875" bestFit="1" customWidth="1"/>
    <col min="1639" max="1639" width="12.77734375" customWidth="1"/>
    <col min="1640" max="1640" width="15.5546875" bestFit="1" customWidth="1"/>
    <col min="1641" max="1641" width="12.77734375" customWidth="1"/>
    <col min="1642" max="1642" width="15.5546875" bestFit="1" customWidth="1"/>
    <col min="1643" max="1643" width="12.77734375" customWidth="1"/>
    <col min="1644" max="1644" width="15.5546875" bestFit="1" customWidth="1"/>
    <col min="1645" max="1645" width="12.77734375" customWidth="1"/>
    <col min="1646" max="1646" width="15.5546875" bestFit="1" customWidth="1"/>
    <col min="1647" max="1647" width="12.77734375" customWidth="1"/>
    <col min="1648" max="1648" width="15.5546875" bestFit="1" customWidth="1"/>
    <col min="1649" max="1649" width="12.77734375" customWidth="1"/>
    <col min="1650" max="1650" width="15.5546875" bestFit="1" customWidth="1"/>
    <col min="1651" max="1651" width="12.77734375" customWidth="1"/>
    <col min="1652" max="1652" width="15.5546875" bestFit="1" customWidth="1"/>
    <col min="1653" max="1653" width="12.77734375" customWidth="1"/>
    <col min="1654" max="1654" width="15.5546875" bestFit="1" customWidth="1"/>
    <col min="1655" max="1655" width="12.77734375" customWidth="1"/>
    <col min="1656" max="1656" width="15.5546875" bestFit="1" customWidth="1"/>
    <col min="1657" max="1657" width="12.77734375" customWidth="1"/>
    <col min="1658" max="1658" width="15.5546875" bestFit="1" customWidth="1"/>
    <col min="1659" max="1659" width="11.77734375" customWidth="1"/>
    <col min="1660" max="1660" width="14.5546875" bestFit="1" customWidth="1"/>
    <col min="1661" max="1661" width="11.77734375" bestFit="1" customWidth="1"/>
    <col min="1662" max="1662" width="14.5546875" bestFit="1" customWidth="1"/>
    <col min="1663" max="1663" width="11.77734375" bestFit="1" customWidth="1"/>
    <col min="1664" max="1664" width="14.5546875" bestFit="1" customWidth="1"/>
    <col min="1665" max="1665" width="11.77734375" bestFit="1" customWidth="1"/>
    <col min="1666" max="1666" width="14.5546875" bestFit="1" customWidth="1"/>
    <col min="1667" max="1667" width="11.77734375" bestFit="1" customWidth="1"/>
    <col min="1668" max="1668" width="14.5546875" bestFit="1" customWidth="1"/>
    <col min="1669" max="1669" width="11.77734375" bestFit="1" customWidth="1"/>
    <col min="1670" max="1670" width="14.5546875" bestFit="1" customWidth="1"/>
    <col min="1671" max="1671" width="11.77734375" bestFit="1" customWidth="1"/>
    <col min="1672" max="1672" width="14.5546875" bestFit="1" customWidth="1"/>
    <col min="1673" max="1673" width="11.77734375" bestFit="1" customWidth="1"/>
    <col min="1674" max="1674" width="14.5546875" bestFit="1" customWidth="1"/>
    <col min="1675" max="1675" width="11.77734375" bestFit="1" customWidth="1"/>
    <col min="1676" max="1676" width="14.5546875" bestFit="1" customWidth="1"/>
    <col min="1677" max="1677" width="12.77734375" bestFit="1" customWidth="1"/>
    <col min="1678" max="1678" width="15.5546875" bestFit="1" customWidth="1"/>
    <col min="1679" max="1679" width="12.77734375" bestFit="1" customWidth="1"/>
    <col min="1680" max="1680" width="15.5546875" bestFit="1" customWidth="1"/>
    <col min="1681" max="1681" width="12.77734375" bestFit="1" customWidth="1"/>
    <col min="1682" max="1682" width="15.5546875" bestFit="1" customWidth="1"/>
    <col min="1683" max="1683" width="12.77734375" bestFit="1" customWidth="1"/>
    <col min="1684" max="1684" width="15.5546875" bestFit="1" customWidth="1"/>
    <col min="1685" max="1685" width="12.77734375" bestFit="1" customWidth="1"/>
    <col min="1686" max="1686" width="15.5546875" bestFit="1" customWidth="1"/>
    <col min="1687" max="1687" width="12.77734375" bestFit="1" customWidth="1"/>
    <col min="1688" max="1688" width="15.5546875" bestFit="1" customWidth="1"/>
    <col min="1689" max="1689" width="12.77734375" bestFit="1" customWidth="1"/>
    <col min="1690" max="1690" width="15.5546875" customWidth="1"/>
    <col min="1691" max="1691" width="12.77734375" bestFit="1" customWidth="1"/>
    <col min="1692" max="1692" width="15.5546875" bestFit="1" customWidth="1"/>
    <col min="1693" max="1693" width="12.77734375" bestFit="1" customWidth="1"/>
    <col min="1694" max="1694" width="15.5546875" bestFit="1" customWidth="1"/>
    <col min="1695" max="1695" width="12.77734375" bestFit="1" customWidth="1"/>
    <col min="1696" max="1696" width="15.5546875" bestFit="1" customWidth="1"/>
    <col min="1697" max="1697" width="12.77734375" bestFit="1" customWidth="1"/>
    <col min="1698" max="1698" width="15.5546875" bestFit="1" customWidth="1"/>
    <col min="1699" max="1699" width="12.77734375" bestFit="1" customWidth="1"/>
    <col min="1700" max="1700" width="15.5546875" bestFit="1" customWidth="1"/>
    <col min="1701" max="1701" width="12.77734375" bestFit="1" customWidth="1"/>
    <col min="1702" max="1702" width="15.5546875" bestFit="1" customWidth="1"/>
    <col min="1703" max="1703" width="12.77734375" bestFit="1" customWidth="1"/>
    <col min="1704" max="1704" width="15.5546875" bestFit="1" customWidth="1"/>
    <col min="1705" max="1705" width="12.77734375" bestFit="1" customWidth="1"/>
    <col min="1706" max="1706" width="15.5546875" bestFit="1" customWidth="1"/>
    <col min="1707" max="1707" width="12.77734375" bestFit="1" customWidth="1"/>
    <col min="1708" max="1708" width="15.5546875" bestFit="1" customWidth="1"/>
    <col min="1709" max="1709" width="12.77734375" bestFit="1" customWidth="1"/>
    <col min="1710" max="1710" width="15.5546875" bestFit="1" customWidth="1"/>
    <col min="1711" max="1711" width="12.77734375" bestFit="1" customWidth="1"/>
    <col min="1712" max="1712" width="15.5546875" bestFit="1" customWidth="1"/>
    <col min="1713" max="1713" width="12.77734375" bestFit="1" customWidth="1"/>
    <col min="1714" max="1714" width="15.5546875" bestFit="1" customWidth="1"/>
    <col min="1715" max="1715" width="12.77734375" bestFit="1" customWidth="1"/>
    <col min="1716" max="1716" width="15.5546875" bestFit="1" customWidth="1"/>
    <col min="1717" max="1717" width="12.77734375" bestFit="1" customWidth="1"/>
    <col min="1718" max="1718" width="15.5546875" bestFit="1" customWidth="1"/>
    <col min="1719" max="1719" width="12.77734375" bestFit="1" customWidth="1"/>
    <col min="1720" max="1720" width="15.5546875" bestFit="1" customWidth="1"/>
    <col min="1721" max="1721" width="10.77734375" bestFit="1" customWidth="1"/>
    <col min="1722" max="1722" width="13.5546875" bestFit="1" customWidth="1"/>
    <col min="1723" max="1723" width="10.77734375" bestFit="1" customWidth="1"/>
    <col min="1724" max="1724" width="13.5546875" bestFit="1" customWidth="1"/>
    <col min="1725" max="1725" width="10.77734375" bestFit="1" customWidth="1"/>
    <col min="1726" max="1726" width="13.5546875" bestFit="1" customWidth="1"/>
    <col min="1727" max="1727" width="10.77734375" bestFit="1" customWidth="1"/>
    <col min="1728" max="1728" width="13.5546875" bestFit="1" customWidth="1"/>
    <col min="1729" max="1729" width="10.77734375" bestFit="1" customWidth="1"/>
    <col min="1730" max="1730" width="13.5546875" bestFit="1" customWidth="1"/>
    <col min="1731" max="1731" width="10.77734375" bestFit="1" customWidth="1"/>
    <col min="1732" max="1732" width="13.5546875" bestFit="1" customWidth="1"/>
    <col min="1733" max="1733" width="10.77734375" bestFit="1" customWidth="1"/>
    <col min="1734" max="1734" width="13.5546875" bestFit="1" customWidth="1"/>
    <col min="1735" max="1735" width="10.77734375" bestFit="1" customWidth="1"/>
    <col min="1736" max="1736" width="13.5546875" bestFit="1" customWidth="1"/>
    <col min="1737" max="1737" width="10.77734375" bestFit="1" customWidth="1"/>
    <col min="1738" max="1738" width="13.5546875" bestFit="1" customWidth="1"/>
    <col min="1739" max="1739" width="11.77734375" bestFit="1" customWidth="1"/>
    <col min="1740" max="1740" width="14.5546875" bestFit="1" customWidth="1"/>
    <col min="1741" max="1741" width="11.77734375" bestFit="1" customWidth="1"/>
    <col min="1742" max="1742" width="14.5546875" bestFit="1" customWidth="1"/>
    <col min="1743" max="1743" width="11.77734375" bestFit="1" customWidth="1"/>
    <col min="1744" max="1744" width="14.5546875" bestFit="1" customWidth="1"/>
    <col min="1745" max="1745" width="11.77734375" bestFit="1" customWidth="1"/>
    <col min="1746" max="1746" width="14.5546875" bestFit="1" customWidth="1"/>
    <col min="1747" max="1747" width="11.77734375" bestFit="1" customWidth="1"/>
    <col min="1748" max="1748" width="14.5546875" bestFit="1" customWidth="1"/>
    <col min="1749" max="1749" width="11.77734375" bestFit="1" customWidth="1"/>
    <col min="1750" max="1750" width="14.5546875" bestFit="1" customWidth="1"/>
    <col min="1751" max="1751" width="11.77734375" bestFit="1" customWidth="1"/>
    <col min="1752" max="1752" width="14.5546875" bestFit="1" customWidth="1"/>
    <col min="1753" max="1753" width="11.77734375" bestFit="1" customWidth="1"/>
    <col min="1754" max="1754" width="14.5546875" bestFit="1" customWidth="1"/>
    <col min="1755" max="1755" width="11.77734375" bestFit="1" customWidth="1"/>
    <col min="1756" max="1756" width="14.5546875" bestFit="1" customWidth="1"/>
    <col min="1757" max="1757" width="11.77734375" bestFit="1" customWidth="1"/>
    <col min="1758" max="1758" width="14.5546875" bestFit="1" customWidth="1"/>
    <col min="1759" max="1759" width="11.77734375" bestFit="1" customWidth="1"/>
    <col min="1760" max="1760" width="14.5546875" bestFit="1" customWidth="1"/>
    <col min="1761" max="1761" width="11.77734375" bestFit="1" customWidth="1"/>
    <col min="1762" max="1762" width="14.5546875" bestFit="1" customWidth="1"/>
    <col min="1763" max="1763" width="11.77734375" bestFit="1" customWidth="1"/>
    <col min="1764" max="1764" width="14.5546875" bestFit="1" customWidth="1"/>
    <col min="1765" max="1765" width="11.77734375" bestFit="1" customWidth="1"/>
    <col min="1766" max="1766" width="14.5546875" bestFit="1" customWidth="1"/>
    <col min="1767" max="1767" width="11.77734375" bestFit="1" customWidth="1"/>
    <col min="1768" max="1768" width="14.5546875" bestFit="1" customWidth="1"/>
    <col min="1769" max="1769" width="11.77734375" bestFit="1" customWidth="1"/>
    <col min="1770" max="1770" width="14.5546875" bestFit="1" customWidth="1"/>
    <col min="1771" max="1771" width="11.77734375" bestFit="1" customWidth="1"/>
    <col min="1772" max="1772" width="14.5546875" bestFit="1" customWidth="1"/>
    <col min="1773" max="1773" width="11.77734375" bestFit="1" customWidth="1"/>
    <col min="1774" max="1774" width="14.5546875" bestFit="1" customWidth="1"/>
    <col min="1775" max="1775" width="11.77734375" bestFit="1" customWidth="1"/>
    <col min="1776" max="1776" width="14.5546875" bestFit="1" customWidth="1"/>
    <col min="1777" max="1777" width="11.77734375" bestFit="1" customWidth="1"/>
    <col min="1778" max="1778" width="14.5546875" bestFit="1" customWidth="1"/>
    <col min="1779" max="1779" width="11.77734375" bestFit="1" customWidth="1"/>
    <col min="1780" max="1780" width="14.5546875" bestFit="1" customWidth="1"/>
    <col min="1781" max="1781" width="11.77734375" bestFit="1" customWidth="1"/>
    <col min="1782" max="1782" width="14.5546875" bestFit="1" customWidth="1"/>
    <col min="1783" max="1783" width="10.77734375" bestFit="1" customWidth="1"/>
    <col min="1784" max="1784" width="13.5546875" bestFit="1" customWidth="1"/>
    <col min="1785" max="1785" width="10.77734375" bestFit="1" customWidth="1"/>
    <col min="1786" max="1786" width="13.5546875" bestFit="1" customWidth="1"/>
    <col min="1787" max="1787" width="10.77734375" bestFit="1" customWidth="1"/>
    <col min="1788" max="1788" width="13.5546875" bestFit="1" customWidth="1"/>
    <col min="1789" max="1789" width="10.77734375" bestFit="1" customWidth="1"/>
    <col min="1790" max="1790" width="13.5546875" bestFit="1" customWidth="1"/>
    <col min="1791" max="1791" width="10.77734375" bestFit="1" customWidth="1"/>
    <col min="1792" max="1792" width="13.5546875" bestFit="1" customWidth="1"/>
    <col min="1793" max="1793" width="10.77734375" bestFit="1" customWidth="1"/>
    <col min="1794" max="1794" width="13.5546875" bestFit="1" customWidth="1"/>
    <col min="1795" max="1795" width="10.77734375" bestFit="1" customWidth="1"/>
    <col min="1796" max="1796" width="13.5546875" bestFit="1" customWidth="1"/>
    <col min="1797" max="1797" width="10.77734375" bestFit="1" customWidth="1"/>
    <col min="1798" max="1798" width="13.5546875" bestFit="1" customWidth="1"/>
    <col min="1799" max="1799" width="10.77734375" bestFit="1" customWidth="1"/>
    <col min="1800" max="1800" width="13.5546875" bestFit="1" customWidth="1"/>
    <col min="1801" max="1801" width="11.77734375" bestFit="1" customWidth="1"/>
    <col min="1802" max="1802" width="14.5546875" bestFit="1" customWidth="1"/>
    <col min="1803" max="1803" width="11.77734375" bestFit="1" customWidth="1"/>
    <col min="1804" max="1804" width="14.5546875" bestFit="1" customWidth="1"/>
    <col min="1805" max="1805" width="11.77734375" bestFit="1" customWidth="1"/>
    <col min="1806" max="1806" width="14.5546875" bestFit="1" customWidth="1"/>
    <col min="1807" max="1807" width="11.77734375" bestFit="1" customWidth="1"/>
    <col min="1808" max="1808" width="14.5546875" bestFit="1" customWidth="1"/>
    <col min="1809" max="1809" width="11.77734375" bestFit="1" customWidth="1"/>
    <col min="1810" max="1810" width="14.5546875" bestFit="1" customWidth="1"/>
    <col min="1811" max="1811" width="11.77734375" bestFit="1" customWidth="1"/>
    <col min="1812" max="1812" width="14.5546875" bestFit="1" customWidth="1"/>
    <col min="1813" max="1813" width="11.77734375" bestFit="1" customWidth="1"/>
    <col min="1814" max="1814" width="14.5546875" bestFit="1" customWidth="1"/>
    <col min="1815" max="1815" width="11.77734375" bestFit="1" customWidth="1"/>
    <col min="1816" max="1816" width="14.5546875" bestFit="1" customWidth="1"/>
    <col min="1817" max="1817" width="11.77734375" bestFit="1" customWidth="1"/>
    <col min="1818" max="1818" width="14.5546875" bestFit="1" customWidth="1"/>
    <col min="1819" max="1819" width="11.77734375" bestFit="1" customWidth="1"/>
    <col min="1820" max="1820" width="14.5546875" bestFit="1" customWidth="1"/>
    <col min="1821" max="1821" width="11.77734375" bestFit="1" customWidth="1"/>
    <col min="1822" max="1822" width="14.5546875" bestFit="1" customWidth="1"/>
    <col min="1823" max="1823" width="11.77734375" bestFit="1" customWidth="1"/>
    <col min="1824" max="1824" width="14.5546875" bestFit="1" customWidth="1"/>
    <col min="1825" max="1825" width="11.77734375" bestFit="1" customWidth="1"/>
    <col min="1826" max="1826" width="14.5546875" bestFit="1" customWidth="1"/>
    <col min="1827" max="1827" width="11.77734375" bestFit="1" customWidth="1"/>
    <col min="1828" max="1828" width="14.5546875" bestFit="1" customWidth="1"/>
    <col min="1829" max="1829" width="11.77734375" bestFit="1" customWidth="1"/>
    <col min="1830" max="1830" width="14.5546875" bestFit="1" customWidth="1"/>
    <col min="1831" max="1831" width="11.77734375" bestFit="1" customWidth="1"/>
    <col min="1832" max="1832" width="14.5546875" bestFit="1" customWidth="1"/>
    <col min="1833" max="1833" width="11.77734375" bestFit="1" customWidth="1"/>
    <col min="1834" max="1834" width="14.5546875" bestFit="1" customWidth="1"/>
    <col min="1835" max="1835" width="11.77734375" bestFit="1" customWidth="1"/>
    <col min="1836" max="1836" width="14.5546875" bestFit="1" customWidth="1"/>
    <col min="1837" max="1837" width="11.77734375" bestFit="1" customWidth="1"/>
    <col min="1838" max="1838" width="14.5546875" bestFit="1" customWidth="1"/>
    <col min="1839" max="1839" width="10.77734375" bestFit="1" customWidth="1"/>
    <col min="1840" max="1840" width="13.5546875" bestFit="1" customWidth="1"/>
    <col min="1841" max="1841" width="10.77734375" bestFit="1" customWidth="1"/>
    <col min="1842" max="1842" width="13.5546875" bestFit="1" customWidth="1"/>
    <col min="1843" max="1843" width="10.77734375" bestFit="1" customWidth="1"/>
    <col min="1844" max="1844" width="13.5546875" bestFit="1" customWidth="1"/>
    <col min="1845" max="1845" width="10.77734375" bestFit="1" customWidth="1"/>
    <col min="1846" max="1846" width="13.5546875" bestFit="1" customWidth="1"/>
    <col min="1847" max="1847" width="10.77734375" bestFit="1" customWidth="1"/>
    <col min="1848" max="1848" width="13.5546875" bestFit="1" customWidth="1"/>
    <col min="1849" max="1849" width="10.77734375" bestFit="1" customWidth="1"/>
    <col min="1850" max="1850" width="13.5546875" bestFit="1" customWidth="1"/>
    <col min="1851" max="1851" width="10.77734375" bestFit="1" customWidth="1"/>
    <col min="1852" max="1852" width="13.5546875" bestFit="1" customWidth="1"/>
    <col min="1853" max="1853" width="10.77734375" bestFit="1" customWidth="1"/>
    <col min="1854" max="1854" width="13.5546875" bestFit="1" customWidth="1"/>
    <col min="1855" max="1855" width="10.77734375" bestFit="1" customWidth="1"/>
    <col min="1856" max="1856" width="13.5546875" bestFit="1" customWidth="1"/>
    <col min="1857" max="1857" width="11.77734375" bestFit="1" customWidth="1"/>
    <col min="1858" max="1858" width="14.5546875" bestFit="1" customWidth="1"/>
    <col min="1859" max="1859" width="11.77734375" bestFit="1" customWidth="1"/>
    <col min="1860" max="1860" width="14.5546875" bestFit="1" customWidth="1"/>
    <col min="1861" max="1861" width="11.77734375" bestFit="1" customWidth="1"/>
    <col min="1862" max="1862" width="14.5546875" bestFit="1" customWidth="1"/>
    <col min="1863" max="1863" width="11.77734375" bestFit="1" customWidth="1"/>
    <col min="1864" max="1864" width="14.5546875" bestFit="1" customWidth="1"/>
    <col min="1865" max="1865" width="11.77734375" bestFit="1" customWidth="1"/>
    <col min="1866" max="1866" width="14.5546875" bestFit="1" customWidth="1"/>
    <col min="1867" max="1867" width="11.77734375" bestFit="1" customWidth="1"/>
    <col min="1868" max="1868" width="14.5546875" bestFit="1" customWidth="1"/>
    <col min="1869" max="1869" width="11.77734375" bestFit="1" customWidth="1"/>
    <col min="1870" max="1870" width="14.5546875" bestFit="1" customWidth="1"/>
    <col min="1871" max="1871" width="11.77734375" bestFit="1" customWidth="1"/>
    <col min="1872" max="1872" width="14.5546875" bestFit="1" customWidth="1"/>
    <col min="1873" max="1873" width="11.77734375" bestFit="1" customWidth="1"/>
    <col min="1874" max="1874" width="14.5546875" bestFit="1" customWidth="1"/>
    <col min="1875" max="1875" width="11.77734375" bestFit="1" customWidth="1"/>
    <col min="1876" max="1876" width="14.5546875" bestFit="1" customWidth="1"/>
    <col min="1877" max="1877" width="11.77734375" bestFit="1" customWidth="1"/>
    <col min="1878" max="1878" width="14.5546875" bestFit="1" customWidth="1"/>
    <col min="1879" max="1879" width="11.77734375" bestFit="1" customWidth="1"/>
    <col min="1880" max="1880" width="14.5546875" bestFit="1" customWidth="1"/>
    <col min="1881" max="1881" width="11.77734375" bestFit="1" customWidth="1"/>
    <col min="1882" max="1882" width="14.5546875" bestFit="1" customWidth="1"/>
    <col min="1883" max="1883" width="11.77734375" bestFit="1" customWidth="1"/>
    <col min="1884" max="1884" width="14.5546875" bestFit="1" customWidth="1"/>
    <col min="1885" max="1885" width="11.77734375" bestFit="1" customWidth="1"/>
    <col min="1886" max="1886" width="14.5546875" bestFit="1" customWidth="1"/>
    <col min="1887" max="1887" width="11.77734375" bestFit="1" customWidth="1"/>
    <col min="1888" max="1888" width="14.5546875" bestFit="1" customWidth="1"/>
    <col min="1889" max="1889" width="11.77734375" bestFit="1" customWidth="1"/>
    <col min="1890" max="1890" width="14.5546875" bestFit="1" customWidth="1"/>
    <col min="1891" max="1891" width="11.77734375" bestFit="1" customWidth="1"/>
    <col min="1892" max="1892" width="14.5546875" bestFit="1" customWidth="1"/>
    <col min="1893" max="1893" width="11.77734375" bestFit="1" customWidth="1"/>
    <col min="1894" max="1894" width="14.5546875" bestFit="1" customWidth="1"/>
    <col min="1895" max="1895" width="11.77734375" bestFit="1" customWidth="1"/>
    <col min="1896" max="1896" width="14.5546875" bestFit="1" customWidth="1"/>
    <col min="1897" max="1897" width="11.77734375" bestFit="1" customWidth="1"/>
    <col min="1898" max="1898" width="14.5546875" bestFit="1" customWidth="1"/>
    <col min="1899" max="1899" width="11.77734375" bestFit="1" customWidth="1"/>
    <col min="1900" max="1900" width="14.5546875" bestFit="1" customWidth="1"/>
    <col min="1901" max="1901" width="10.77734375" bestFit="1" customWidth="1"/>
    <col min="1902" max="1902" width="13.5546875" bestFit="1" customWidth="1"/>
    <col min="1903" max="1903" width="10.77734375" bestFit="1" customWidth="1"/>
    <col min="1904" max="1904" width="13.5546875" bestFit="1" customWidth="1"/>
    <col min="1905" max="1905" width="10.77734375" bestFit="1" customWidth="1"/>
    <col min="1906" max="1906" width="13.5546875" bestFit="1" customWidth="1"/>
    <col min="1907" max="1907" width="10.77734375" bestFit="1" customWidth="1"/>
    <col min="1908" max="1908" width="13.5546875" bestFit="1" customWidth="1"/>
    <col min="1909" max="1909" width="10.77734375" bestFit="1" customWidth="1"/>
    <col min="1910" max="1910" width="13.5546875" bestFit="1" customWidth="1"/>
    <col min="1911" max="1911" width="10.77734375" bestFit="1" customWidth="1"/>
    <col min="1912" max="1912" width="13.5546875" bestFit="1" customWidth="1"/>
    <col min="1913" max="1913" width="10.77734375" bestFit="1" customWidth="1"/>
    <col min="1914" max="1914" width="13.5546875" bestFit="1" customWidth="1"/>
    <col min="1915" max="1915" width="10.77734375" bestFit="1" customWidth="1"/>
    <col min="1916" max="1916" width="13.5546875" bestFit="1" customWidth="1"/>
    <col min="1917" max="1917" width="10.77734375" bestFit="1" customWidth="1"/>
    <col min="1918" max="1918" width="13.5546875" bestFit="1" customWidth="1"/>
    <col min="1919" max="1919" width="11.77734375" bestFit="1" customWidth="1"/>
    <col min="1920" max="1920" width="14.5546875" bestFit="1" customWidth="1"/>
    <col min="1921" max="1921" width="11.77734375" bestFit="1" customWidth="1"/>
    <col min="1922" max="1922" width="14.5546875" bestFit="1" customWidth="1"/>
    <col min="1923" max="1923" width="11.77734375" bestFit="1" customWidth="1"/>
    <col min="1924" max="1924" width="14.5546875" bestFit="1" customWidth="1"/>
    <col min="1925" max="1925" width="11.77734375" bestFit="1" customWidth="1"/>
    <col min="1926" max="1926" width="14.5546875" bestFit="1" customWidth="1"/>
    <col min="1927" max="1927" width="11.77734375" bestFit="1" customWidth="1"/>
    <col min="1928" max="1928" width="14.5546875" bestFit="1" customWidth="1"/>
    <col min="1929" max="1929" width="11.77734375" bestFit="1" customWidth="1"/>
    <col min="1930" max="1930" width="14.5546875" bestFit="1" customWidth="1"/>
    <col min="1931" max="1931" width="11.77734375" bestFit="1" customWidth="1"/>
    <col min="1932" max="1932" width="14.5546875" bestFit="1" customWidth="1"/>
    <col min="1933" max="1933" width="11.77734375" bestFit="1" customWidth="1"/>
    <col min="1934" max="1934" width="14.5546875" bestFit="1" customWidth="1"/>
    <col min="1935" max="1935" width="11.77734375" bestFit="1" customWidth="1"/>
    <col min="1936" max="1936" width="14.5546875" bestFit="1" customWidth="1"/>
    <col min="1937" max="1937" width="11.77734375" bestFit="1" customWidth="1"/>
    <col min="1938" max="1938" width="14.5546875" bestFit="1" customWidth="1"/>
    <col min="1939" max="1939" width="11.77734375" bestFit="1" customWidth="1"/>
    <col min="1940" max="1940" width="14.5546875" bestFit="1" customWidth="1"/>
    <col min="1941" max="1941" width="11.77734375" bestFit="1" customWidth="1"/>
    <col min="1942" max="1942" width="14.5546875" bestFit="1" customWidth="1"/>
    <col min="1943" max="1943" width="11.77734375" bestFit="1" customWidth="1"/>
    <col min="1944" max="1944" width="14.5546875" bestFit="1" customWidth="1"/>
    <col min="1945" max="1945" width="11.77734375" bestFit="1" customWidth="1"/>
    <col min="1946" max="1946" width="14.5546875" bestFit="1" customWidth="1"/>
    <col min="1947" max="1947" width="11.77734375" bestFit="1" customWidth="1"/>
    <col min="1948" max="1948" width="14.5546875" bestFit="1" customWidth="1"/>
    <col min="1949" max="1949" width="11.77734375" bestFit="1" customWidth="1"/>
    <col min="1950" max="1950" width="14.5546875" bestFit="1" customWidth="1"/>
    <col min="1951" max="1951" width="11.77734375" bestFit="1" customWidth="1"/>
    <col min="1952" max="1952" width="14.5546875" bestFit="1" customWidth="1"/>
    <col min="1953" max="1953" width="11.77734375" bestFit="1" customWidth="1"/>
    <col min="1954" max="1954" width="14.5546875" bestFit="1" customWidth="1"/>
    <col min="1955" max="1955" width="11.77734375" bestFit="1" customWidth="1"/>
    <col min="1956" max="1956" width="14.5546875" bestFit="1" customWidth="1"/>
    <col min="1957" max="1957" width="11.77734375" bestFit="1" customWidth="1"/>
    <col min="1958" max="1958" width="14.5546875" bestFit="1" customWidth="1"/>
    <col min="1959" max="1959" width="11.77734375" bestFit="1" customWidth="1"/>
    <col min="1960" max="1960" width="14.5546875" bestFit="1" customWidth="1"/>
    <col min="1961" max="1961" width="10.77734375" bestFit="1" customWidth="1"/>
    <col min="1962" max="1962" width="13.5546875" bestFit="1" customWidth="1"/>
    <col min="1963" max="1963" width="10.77734375" bestFit="1" customWidth="1"/>
    <col min="1964" max="1964" width="13.5546875" bestFit="1" customWidth="1"/>
    <col min="1965" max="1965" width="10.77734375" bestFit="1" customWidth="1"/>
    <col min="1966" max="1966" width="13.5546875" bestFit="1" customWidth="1"/>
    <col min="1967" max="1967" width="10.77734375" bestFit="1" customWidth="1"/>
    <col min="1968" max="1968" width="13.5546875" bestFit="1" customWidth="1"/>
    <col min="1969" max="1969" width="10.77734375" bestFit="1" customWidth="1"/>
    <col min="1970" max="1970" width="13.5546875" bestFit="1" customWidth="1"/>
    <col min="1971" max="1971" width="10.77734375" bestFit="1" customWidth="1"/>
    <col min="1972" max="1972" width="13.5546875" bestFit="1" customWidth="1"/>
    <col min="1973" max="1973" width="10.77734375" bestFit="1" customWidth="1"/>
    <col min="1974" max="1974" width="13.5546875" bestFit="1" customWidth="1"/>
    <col min="1975" max="1975" width="10.77734375" bestFit="1" customWidth="1"/>
    <col min="1976" max="1976" width="13.5546875" bestFit="1" customWidth="1"/>
    <col min="1977" max="1977" width="10.77734375" bestFit="1" customWidth="1"/>
    <col min="1978" max="1978" width="13.5546875" bestFit="1" customWidth="1"/>
    <col min="1979" max="1979" width="11.77734375" bestFit="1" customWidth="1"/>
    <col min="1980" max="1980" width="14.5546875" bestFit="1" customWidth="1"/>
    <col min="1981" max="1981" width="11.77734375" bestFit="1" customWidth="1"/>
    <col min="1982" max="1982" width="14.5546875" bestFit="1" customWidth="1"/>
    <col min="1983" max="1983" width="11.77734375" bestFit="1" customWidth="1"/>
    <col min="1984" max="1984" width="14.5546875" bestFit="1" customWidth="1"/>
    <col min="1985" max="1985" width="11.77734375" bestFit="1" customWidth="1"/>
    <col min="1986" max="1986" width="14.5546875" bestFit="1" customWidth="1"/>
    <col min="1987" max="1987" width="11.77734375" bestFit="1" customWidth="1"/>
    <col min="1988" max="1988" width="14.5546875" bestFit="1" customWidth="1"/>
    <col min="1989" max="1989" width="11.77734375" bestFit="1" customWidth="1"/>
    <col min="1990" max="1990" width="14.5546875" bestFit="1" customWidth="1"/>
    <col min="1991" max="1991" width="11.77734375" bestFit="1" customWidth="1"/>
    <col min="1992" max="1992" width="14.5546875" bestFit="1" customWidth="1"/>
    <col min="1993" max="1993" width="11.77734375" bestFit="1" customWidth="1"/>
    <col min="1994" max="1994" width="14.5546875" bestFit="1" customWidth="1"/>
    <col min="1995" max="1995" width="11.77734375" bestFit="1" customWidth="1"/>
    <col min="1996" max="1996" width="14.5546875" bestFit="1" customWidth="1"/>
    <col min="1997" max="1997" width="11.77734375" bestFit="1" customWidth="1"/>
    <col min="1998" max="1998" width="14.5546875" bestFit="1" customWidth="1"/>
    <col min="1999" max="1999" width="11.77734375" bestFit="1" customWidth="1"/>
    <col min="2000" max="2000" width="14.5546875" bestFit="1" customWidth="1"/>
    <col min="2001" max="2001" width="11.77734375" bestFit="1" customWidth="1"/>
    <col min="2002" max="2002" width="14.5546875" bestFit="1" customWidth="1"/>
    <col min="2003" max="2003" width="11.77734375" bestFit="1" customWidth="1"/>
    <col min="2004" max="2004" width="14.5546875" bestFit="1" customWidth="1"/>
    <col min="2005" max="2005" width="11.77734375" bestFit="1" customWidth="1"/>
    <col min="2006" max="2006" width="14.5546875" bestFit="1" customWidth="1"/>
    <col min="2007" max="2007" width="11.77734375" bestFit="1" customWidth="1"/>
    <col min="2008" max="2008" width="14.5546875" bestFit="1" customWidth="1"/>
    <col min="2009" max="2009" width="11.77734375" bestFit="1" customWidth="1"/>
    <col min="2010" max="2010" width="14.5546875" bestFit="1" customWidth="1"/>
    <col min="2011" max="2011" width="11.77734375" bestFit="1" customWidth="1"/>
    <col min="2012" max="2012" width="14.5546875" bestFit="1" customWidth="1"/>
    <col min="2013" max="2013" width="11.77734375" bestFit="1" customWidth="1"/>
    <col min="2014" max="2014" width="14.5546875" bestFit="1" customWidth="1"/>
    <col min="2015" max="2015" width="11.77734375" bestFit="1" customWidth="1"/>
    <col min="2016" max="2016" width="14.5546875" bestFit="1" customWidth="1"/>
    <col min="2017" max="2017" width="11.77734375" bestFit="1" customWidth="1"/>
    <col min="2018" max="2018" width="14.5546875" bestFit="1" customWidth="1"/>
    <col min="2019" max="2019" width="11.77734375" bestFit="1" customWidth="1"/>
    <col min="2020" max="2020" width="14.5546875" bestFit="1" customWidth="1"/>
    <col min="2021" max="2021" width="11.77734375" bestFit="1" customWidth="1"/>
    <col min="2022" max="2022" width="14.5546875" bestFit="1" customWidth="1"/>
    <col min="2023" max="2023" width="10.77734375" bestFit="1" customWidth="1"/>
    <col min="2024" max="2024" width="13.5546875" bestFit="1" customWidth="1"/>
    <col min="2025" max="2025" width="10.77734375" bestFit="1" customWidth="1"/>
    <col min="2026" max="2026" width="13.5546875" bestFit="1" customWidth="1"/>
    <col min="2027" max="2027" width="10.77734375" bestFit="1" customWidth="1"/>
    <col min="2028" max="2028" width="13.5546875" bestFit="1" customWidth="1"/>
    <col min="2029" max="2029" width="10.77734375" bestFit="1" customWidth="1"/>
    <col min="2030" max="2030" width="13.5546875" bestFit="1" customWidth="1"/>
    <col min="2031" max="2031" width="10.77734375" bestFit="1" customWidth="1"/>
    <col min="2032" max="2032" width="13.5546875" bestFit="1" customWidth="1"/>
    <col min="2033" max="2033" width="10.77734375" bestFit="1" customWidth="1"/>
    <col min="2034" max="2034" width="13.5546875" bestFit="1" customWidth="1"/>
    <col min="2035" max="2035" width="10.77734375" bestFit="1" customWidth="1"/>
    <col min="2036" max="2036" width="13.5546875" bestFit="1" customWidth="1"/>
    <col min="2037" max="2037" width="10.77734375" bestFit="1" customWidth="1"/>
    <col min="2038" max="2038" width="13.5546875" bestFit="1" customWidth="1"/>
    <col min="2039" max="2039" width="10.77734375" bestFit="1" customWidth="1"/>
    <col min="2040" max="2040" width="13.5546875" bestFit="1" customWidth="1"/>
    <col min="2041" max="2041" width="11.77734375" bestFit="1" customWidth="1"/>
    <col min="2042" max="2042" width="14.5546875" bestFit="1" customWidth="1"/>
    <col min="2043" max="2043" width="11.77734375" bestFit="1" customWidth="1"/>
    <col min="2044" max="2044" width="14.5546875" bestFit="1" customWidth="1"/>
    <col min="2045" max="2045" width="11.77734375" bestFit="1" customWidth="1"/>
    <col min="2046" max="2046" width="14.5546875" bestFit="1" customWidth="1"/>
    <col min="2047" max="2047" width="11.77734375" bestFit="1" customWidth="1"/>
    <col min="2048" max="2048" width="14.5546875" bestFit="1" customWidth="1"/>
    <col min="2049" max="2049" width="11.77734375" bestFit="1" customWidth="1"/>
    <col min="2050" max="2050" width="14.5546875" bestFit="1" customWidth="1"/>
    <col min="2051" max="2051" width="11.77734375" bestFit="1" customWidth="1"/>
    <col min="2052" max="2052" width="14.5546875" bestFit="1" customWidth="1"/>
    <col min="2053" max="2053" width="11.77734375" bestFit="1" customWidth="1"/>
    <col min="2054" max="2054" width="14.5546875" bestFit="1" customWidth="1"/>
    <col min="2055" max="2055" width="11.77734375" bestFit="1" customWidth="1"/>
    <col min="2056" max="2056" width="14.5546875" bestFit="1" customWidth="1"/>
    <col min="2057" max="2057" width="11.77734375" bestFit="1" customWidth="1"/>
    <col min="2058" max="2058" width="14.5546875" bestFit="1" customWidth="1"/>
    <col min="2059" max="2059" width="11.77734375" bestFit="1" customWidth="1"/>
    <col min="2060" max="2060" width="14.5546875" bestFit="1" customWidth="1"/>
    <col min="2061" max="2061" width="11.77734375" bestFit="1" customWidth="1"/>
    <col min="2062" max="2062" width="14.5546875" bestFit="1" customWidth="1"/>
    <col min="2063" max="2063" width="11.77734375" bestFit="1" customWidth="1"/>
    <col min="2064" max="2064" width="14.5546875" bestFit="1" customWidth="1"/>
    <col min="2065" max="2065" width="11.77734375" bestFit="1" customWidth="1"/>
    <col min="2066" max="2066" width="14.5546875" bestFit="1" customWidth="1"/>
    <col min="2067" max="2067" width="11.77734375" bestFit="1" customWidth="1"/>
    <col min="2068" max="2068" width="14.5546875" bestFit="1" customWidth="1"/>
    <col min="2069" max="2069" width="11.77734375" bestFit="1" customWidth="1"/>
    <col min="2070" max="2070" width="14.5546875" bestFit="1" customWidth="1"/>
    <col min="2071" max="2071" width="11.77734375" bestFit="1" customWidth="1"/>
    <col min="2072" max="2072" width="14.5546875" bestFit="1" customWidth="1"/>
    <col min="2073" max="2073" width="11.77734375" bestFit="1" customWidth="1"/>
    <col min="2074" max="2074" width="14.5546875" bestFit="1" customWidth="1"/>
    <col min="2075" max="2075" width="11.77734375" bestFit="1" customWidth="1"/>
    <col min="2076" max="2076" width="14.5546875" bestFit="1" customWidth="1"/>
    <col min="2077" max="2077" width="11.77734375" bestFit="1" customWidth="1"/>
    <col min="2078" max="2078" width="14.5546875" bestFit="1" customWidth="1"/>
    <col min="2079" max="2079" width="11.77734375" bestFit="1" customWidth="1"/>
    <col min="2080" max="2080" width="14.5546875" bestFit="1" customWidth="1"/>
    <col min="2081" max="2081" width="11.77734375" bestFit="1" customWidth="1"/>
    <col min="2082" max="2082" width="14.5546875" bestFit="1" customWidth="1"/>
    <col min="2083" max="2083" width="10.77734375" bestFit="1" customWidth="1"/>
    <col min="2084" max="2084" width="13.5546875" bestFit="1" customWidth="1"/>
    <col min="2085" max="2085" width="10.77734375" bestFit="1" customWidth="1"/>
    <col min="2086" max="2086" width="13.5546875" bestFit="1" customWidth="1"/>
    <col min="2087" max="2087" width="10.77734375" bestFit="1" customWidth="1"/>
    <col min="2088" max="2088" width="13.5546875" bestFit="1" customWidth="1"/>
    <col min="2089" max="2089" width="10.77734375" bestFit="1" customWidth="1"/>
    <col min="2090" max="2090" width="13.5546875" bestFit="1" customWidth="1"/>
    <col min="2091" max="2091" width="10.77734375" bestFit="1" customWidth="1"/>
    <col min="2092" max="2092" width="13.5546875" bestFit="1" customWidth="1"/>
    <col min="2093" max="2093" width="10.77734375" bestFit="1" customWidth="1"/>
    <col min="2094" max="2094" width="13.5546875" bestFit="1" customWidth="1"/>
    <col min="2095" max="2095" width="10.77734375" bestFit="1" customWidth="1"/>
    <col min="2096" max="2096" width="13.5546875" bestFit="1" customWidth="1"/>
    <col min="2097" max="2097" width="10.77734375" bestFit="1" customWidth="1"/>
    <col min="2098" max="2098" width="13.5546875" bestFit="1" customWidth="1"/>
    <col min="2099" max="2099" width="10.77734375" bestFit="1" customWidth="1"/>
    <col min="2100" max="2100" width="13.5546875" bestFit="1" customWidth="1"/>
    <col min="2101" max="2101" width="11.77734375" bestFit="1" customWidth="1"/>
    <col min="2102" max="2102" width="14.5546875" bestFit="1" customWidth="1"/>
    <col min="2103" max="2103" width="11.77734375" bestFit="1" customWidth="1"/>
    <col min="2104" max="2104" width="14.5546875" bestFit="1" customWidth="1"/>
    <col min="2105" max="2105" width="11.77734375" bestFit="1" customWidth="1"/>
    <col min="2106" max="2106" width="14.5546875" bestFit="1" customWidth="1"/>
    <col min="2107" max="2107" width="11.77734375" bestFit="1" customWidth="1"/>
    <col min="2108" max="2108" width="14.5546875" bestFit="1" customWidth="1"/>
    <col min="2109" max="2109" width="11.77734375" bestFit="1" customWidth="1"/>
    <col min="2110" max="2110" width="14.5546875" bestFit="1" customWidth="1"/>
    <col min="2111" max="2111" width="11.77734375" bestFit="1" customWidth="1"/>
    <col min="2112" max="2112" width="14.5546875" bestFit="1" customWidth="1"/>
    <col min="2113" max="2113" width="11.77734375" bestFit="1" customWidth="1"/>
    <col min="2114" max="2114" width="14.5546875" bestFit="1" customWidth="1"/>
    <col min="2115" max="2115" width="11.77734375" bestFit="1" customWidth="1"/>
    <col min="2116" max="2116" width="14.5546875" bestFit="1" customWidth="1"/>
    <col min="2117" max="2117" width="11.77734375" bestFit="1" customWidth="1"/>
    <col min="2118" max="2118" width="14.5546875" bestFit="1" customWidth="1"/>
    <col min="2119" max="2119" width="11.77734375" bestFit="1" customWidth="1"/>
    <col min="2120" max="2120" width="14.5546875" bestFit="1" customWidth="1"/>
    <col min="2121" max="2121" width="11.77734375" bestFit="1" customWidth="1"/>
    <col min="2122" max="2122" width="14.5546875" bestFit="1" customWidth="1"/>
    <col min="2123" max="2123" width="11.77734375" bestFit="1" customWidth="1"/>
    <col min="2124" max="2124" width="14.5546875" bestFit="1" customWidth="1"/>
    <col min="2125" max="2125" width="11.77734375" bestFit="1" customWidth="1"/>
    <col min="2126" max="2126" width="14.5546875" bestFit="1" customWidth="1"/>
    <col min="2127" max="2127" width="11.77734375" bestFit="1" customWidth="1"/>
    <col min="2128" max="2128" width="14.5546875" bestFit="1" customWidth="1"/>
    <col min="2129" max="2129" width="11.77734375" bestFit="1" customWidth="1"/>
    <col min="2130" max="2130" width="14.5546875" bestFit="1" customWidth="1"/>
    <col min="2131" max="2131" width="11.77734375" bestFit="1" customWidth="1"/>
    <col min="2132" max="2132" width="14.5546875" bestFit="1" customWidth="1"/>
    <col min="2133" max="2133" width="11.77734375" bestFit="1" customWidth="1"/>
    <col min="2134" max="2134" width="14.5546875" bestFit="1" customWidth="1"/>
    <col min="2135" max="2135" width="11.77734375" bestFit="1" customWidth="1"/>
    <col min="2136" max="2136" width="14.5546875" bestFit="1" customWidth="1"/>
    <col min="2137" max="2137" width="11.77734375" bestFit="1" customWidth="1"/>
    <col min="2138" max="2138" width="14.5546875" bestFit="1" customWidth="1"/>
    <col min="2139" max="2139" width="11.77734375" bestFit="1" customWidth="1"/>
    <col min="2140" max="2140" width="14.5546875" bestFit="1" customWidth="1"/>
    <col min="2141" max="2141" width="11.77734375" bestFit="1" customWidth="1"/>
    <col min="2142" max="2142" width="14.5546875" bestFit="1" customWidth="1"/>
    <col min="2143" max="2143" width="11.77734375" bestFit="1" customWidth="1"/>
    <col min="2144" max="2144" width="14.5546875" bestFit="1" customWidth="1"/>
    <col min="2145" max="2145" width="10.77734375" bestFit="1" customWidth="1"/>
    <col min="2146" max="2146" width="13.5546875" bestFit="1" customWidth="1"/>
    <col min="2147" max="2147" width="10.77734375" bestFit="1" customWidth="1"/>
    <col min="2148" max="2148" width="13.5546875" bestFit="1" customWidth="1"/>
    <col min="2149" max="2149" width="10.77734375" bestFit="1" customWidth="1"/>
    <col min="2150" max="2150" width="13.5546875" bestFit="1" customWidth="1"/>
    <col min="2151" max="2151" width="10.77734375" bestFit="1" customWidth="1"/>
    <col min="2152" max="2152" width="13.5546875" bestFit="1" customWidth="1"/>
    <col min="2153" max="2153" width="10.77734375" bestFit="1" customWidth="1"/>
    <col min="2154" max="2154" width="13.5546875" bestFit="1" customWidth="1"/>
    <col min="2155" max="2155" width="10.77734375" bestFit="1" customWidth="1"/>
    <col min="2156" max="2156" width="13.5546875" bestFit="1" customWidth="1"/>
    <col min="2157" max="2157" width="10.77734375" bestFit="1" customWidth="1"/>
    <col min="2158" max="2158" width="13.5546875" bestFit="1" customWidth="1"/>
    <col min="2159" max="2159" width="10.77734375" bestFit="1" customWidth="1"/>
    <col min="2160" max="2160" width="13.5546875" bestFit="1" customWidth="1"/>
    <col min="2161" max="2161" width="10.77734375" bestFit="1" customWidth="1"/>
    <col min="2162" max="2162" width="13.5546875" bestFit="1" customWidth="1"/>
    <col min="2163" max="2163" width="11.77734375" bestFit="1" customWidth="1"/>
    <col min="2164" max="2164" width="14.5546875" bestFit="1" customWidth="1"/>
    <col min="2165" max="2165" width="11.77734375" bestFit="1" customWidth="1"/>
    <col min="2166" max="2166" width="14.5546875" bestFit="1" customWidth="1"/>
    <col min="2167" max="2167" width="11.77734375" bestFit="1" customWidth="1"/>
    <col min="2168" max="2168" width="14.5546875" bestFit="1" customWidth="1"/>
    <col min="2169" max="2169" width="11.77734375" bestFit="1" customWidth="1"/>
    <col min="2170" max="2170" width="14.5546875" bestFit="1" customWidth="1"/>
    <col min="2171" max="2171" width="11.77734375" bestFit="1" customWidth="1"/>
    <col min="2172" max="2172" width="14.5546875" bestFit="1" customWidth="1"/>
    <col min="2173" max="2173" width="11.77734375" bestFit="1" customWidth="1"/>
    <col min="2174" max="2174" width="14.5546875" bestFit="1" customWidth="1"/>
    <col min="2175" max="2175" width="11.77734375" bestFit="1" customWidth="1"/>
    <col min="2176" max="2176" width="14.5546875" bestFit="1" customWidth="1"/>
    <col min="2177" max="2177" width="11.77734375" bestFit="1" customWidth="1"/>
    <col min="2178" max="2178" width="14.5546875" bestFit="1" customWidth="1"/>
    <col min="2179" max="2179" width="11.77734375" bestFit="1" customWidth="1"/>
    <col min="2180" max="2180" width="14.5546875" bestFit="1" customWidth="1"/>
    <col min="2181" max="2181" width="11.77734375" bestFit="1" customWidth="1"/>
    <col min="2182" max="2182" width="14.5546875" bestFit="1" customWidth="1"/>
    <col min="2183" max="2183" width="11.77734375" bestFit="1" customWidth="1"/>
    <col min="2184" max="2184" width="14.5546875" bestFit="1" customWidth="1"/>
    <col min="2185" max="2185" width="11.77734375" bestFit="1" customWidth="1"/>
    <col min="2186" max="2186" width="14.5546875" bestFit="1" customWidth="1"/>
    <col min="2187" max="2187" width="11.77734375" bestFit="1" customWidth="1"/>
    <col min="2188" max="2188" width="14.5546875" bestFit="1" customWidth="1"/>
    <col min="2189" max="2189" width="11.77734375" bestFit="1" customWidth="1"/>
    <col min="2190" max="2190" width="14.5546875" bestFit="1" customWidth="1"/>
    <col min="2191" max="2191" width="11.77734375" bestFit="1" customWidth="1"/>
    <col min="2192" max="2192" width="14.5546875" bestFit="1" customWidth="1"/>
    <col min="2193" max="2193" width="11.77734375" bestFit="1" customWidth="1"/>
    <col min="2194" max="2194" width="14.5546875" bestFit="1" customWidth="1"/>
    <col min="2195" max="2195" width="11.77734375" bestFit="1" customWidth="1"/>
    <col min="2196" max="2196" width="14.5546875" bestFit="1" customWidth="1"/>
    <col min="2197" max="2197" width="11.77734375" bestFit="1" customWidth="1"/>
    <col min="2198" max="2198" width="14.5546875" bestFit="1" customWidth="1"/>
    <col min="2199" max="2199" width="11.77734375" bestFit="1" customWidth="1"/>
    <col min="2200" max="2200" width="14.5546875" bestFit="1" customWidth="1"/>
    <col min="2201" max="2201" width="11.77734375" bestFit="1" customWidth="1"/>
    <col min="2202" max="2202" width="14.5546875" bestFit="1" customWidth="1"/>
    <col min="2203" max="2203" width="11.77734375" bestFit="1" customWidth="1"/>
    <col min="2204" max="2204" width="14.5546875" bestFit="1" customWidth="1"/>
    <col min="2205" max="2205" width="11.77734375" bestFit="1" customWidth="1"/>
    <col min="2206" max="2206" width="14.5546875" bestFit="1" customWidth="1"/>
    <col min="2207" max="2207" width="10.77734375" bestFit="1" customWidth="1"/>
    <col min="2208" max="2208" width="13.5546875" bestFit="1" customWidth="1"/>
    <col min="2209" max="2209" width="10.77734375" bestFit="1" customWidth="1"/>
    <col min="2210" max="2210" width="13.5546875" bestFit="1" customWidth="1"/>
    <col min="2211" max="2211" width="10.77734375" bestFit="1" customWidth="1"/>
    <col min="2212" max="2212" width="13.5546875" bestFit="1" customWidth="1"/>
    <col min="2213" max="2213" width="10.77734375" bestFit="1" customWidth="1"/>
    <col min="2214" max="2214" width="13.5546875" bestFit="1" customWidth="1"/>
    <col min="2215" max="2215" width="10.77734375" bestFit="1" customWidth="1"/>
    <col min="2216" max="2216" width="13.5546875" bestFit="1" customWidth="1"/>
    <col min="2217" max="2217" width="10.77734375" bestFit="1" customWidth="1"/>
    <col min="2218" max="2218" width="13.5546875" bestFit="1" customWidth="1"/>
    <col min="2219" max="2219" width="10.77734375" bestFit="1" customWidth="1"/>
    <col min="2220" max="2220" width="13.5546875" bestFit="1" customWidth="1"/>
    <col min="2221" max="2221" width="10.77734375" bestFit="1" customWidth="1"/>
    <col min="2222" max="2222" width="13.5546875" bestFit="1" customWidth="1"/>
    <col min="2223" max="2223" width="10.77734375" bestFit="1" customWidth="1"/>
    <col min="2224" max="2224" width="13.5546875" bestFit="1" customWidth="1"/>
    <col min="2225" max="2225" width="11.77734375" bestFit="1" customWidth="1"/>
    <col min="2226" max="2226" width="14.5546875" bestFit="1" customWidth="1"/>
    <col min="2227" max="2227" width="11.77734375" bestFit="1" customWidth="1"/>
    <col min="2228" max="2228" width="14.5546875" bestFit="1" customWidth="1"/>
    <col min="2229" max="2229" width="11.77734375" bestFit="1" customWidth="1"/>
    <col min="2230" max="2230" width="14.5546875" bestFit="1" customWidth="1"/>
    <col min="2231" max="2231" width="11.77734375" bestFit="1" customWidth="1"/>
    <col min="2232" max="2232" width="14.5546875" bestFit="1" customWidth="1"/>
    <col min="2233" max="2233" width="11.77734375" bestFit="1" customWidth="1"/>
    <col min="2234" max="2234" width="14.5546875" bestFit="1" customWidth="1"/>
    <col min="2235" max="2235" width="11.77734375" bestFit="1" customWidth="1"/>
    <col min="2236" max="2236" width="14.5546875" bestFit="1" customWidth="1"/>
    <col min="2237" max="2237" width="11.77734375" bestFit="1" customWidth="1"/>
    <col min="2238" max="2238" width="14.5546875" bestFit="1" customWidth="1"/>
    <col min="2239" max="2239" width="11.77734375" bestFit="1" customWidth="1"/>
    <col min="2240" max="2240" width="14.5546875" bestFit="1" customWidth="1"/>
    <col min="2241" max="2241" width="11.77734375" bestFit="1" customWidth="1"/>
    <col min="2242" max="2242" width="14.5546875" bestFit="1" customWidth="1"/>
    <col min="2243" max="2243" width="11.77734375" bestFit="1" customWidth="1"/>
    <col min="2244" max="2244" width="14.5546875" bestFit="1" customWidth="1"/>
    <col min="2245" max="2245" width="11.77734375" bestFit="1" customWidth="1"/>
    <col min="2246" max="2246" width="14.5546875" bestFit="1" customWidth="1"/>
    <col min="2247" max="2247" width="11.77734375" bestFit="1" customWidth="1"/>
    <col min="2248" max="2248" width="14.5546875" bestFit="1" customWidth="1"/>
    <col min="2249" max="2249" width="11.77734375" bestFit="1" customWidth="1"/>
    <col min="2250" max="2250" width="14.5546875" bestFit="1" customWidth="1"/>
    <col min="2251" max="2251" width="11.77734375" bestFit="1" customWidth="1"/>
    <col min="2252" max="2252" width="14.5546875" bestFit="1" customWidth="1"/>
    <col min="2253" max="2253" width="11.77734375" bestFit="1" customWidth="1"/>
    <col min="2254" max="2254" width="14.5546875" bestFit="1" customWidth="1"/>
    <col min="2255" max="2255" width="11.77734375" bestFit="1" customWidth="1"/>
    <col min="2256" max="2256" width="14.5546875" bestFit="1" customWidth="1"/>
    <col min="2257" max="2257" width="11.77734375" bestFit="1" customWidth="1"/>
    <col min="2258" max="2258" width="14.5546875" bestFit="1" customWidth="1"/>
    <col min="2259" max="2259" width="11.77734375" bestFit="1" customWidth="1"/>
    <col min="2260" max="2260" width="14.5546875" bestFit="1" customWidth="1"/>
    <col min="2261" max="2261" width="11.77734375" bestFit="1" customWidth="1"/>
    <col min="2262" max="2262" width="14.5546875" bestFit="1" customWidth="1"/>
    <col min="2263" max="2263" width="11.77734375" bestFit="1" customWidth="1"/>
    <col min="2264" max="2264" width="14.5546875" bestFit="1" customWidth="1"/>
    <col min="2265" max="2265" width="11.77734375" bestFit="1" customWidth="1"/>
    <col min="2266" max="2266" width="14.5546875" bestFit="1" customWidth="1"/>
    <col min="2267" max="2267" width="11.77734375" bestFit="1" customWidth="1"/>
    <col min="2268" max="2268" width="14.5546875" bestFit="1" customWidth="1"/>
    <col min="2269" max="2269" width="11.77734375" bestFit="1" customWidth="1"/>
    <col min="2270" max="2270" width="14.5546875" bestFit="1" customWidth="1"/>
    <col min="2271" max="2271" width="11.77734375" bestFit="1" customWidth="1"/>
    <col min="2272" max="2272" width="14.5546875" bestFit="1" customWidth="1"/>
    <col min="2273" max="2273" width="11.77734375" bestFit="1" customWidth="1"/>
    <col min="2274" max="2274" width="14.5546875" bestFit="1" customWidth="1"/>
    <col min="2275" max="2275" width="11.77734375" bestFit="1" customWidth="1"/>
    <col min="2276" max="2276" width="14.5546875" bestFit="1" customWidth="1"/>
    <col min="2277" max="2277" width="11.77734375" bestFit="1" customWidth="1"/>
    <col min="2278" max="2278" width="14.5546875" bestFit="1" customWidth="1"/>
    <col min="2279" max="2279" width="11.77734375" bestFit="1" customWidth="1"/>
    <col min="2280" max="2280" width="14.5546875" bestFit="1" customWidth="1"/>
    <col min="2281" max="2281" width="11.77734375" bestFit="1" customWidth="1"/>
    <col min="2282" max="2282" width="14.5546875" bestFit="1" customWidth="1"/>
    <col min="2283" max="2283" width="11.77734375" bestFit="1" customWidth="1"/>
    <col min="2284" max="2284" width="14.5546875" bestFit="1" customWidth="1"/>
    <col min="2285" max="2285" width="12.77734375" bestFit="1" customWidth="1"/>
    <col min="2286" max="2286" width="15.5546875" bestFit="1" customWidth="1"/>
    <col min="2287" max="2287" width="12.77734375" bestFit="1" customWidth="1"/>
    <col min="2288" max="2288" width="15.5546875" bestFit="1" customWidth="1"/>
    <col min="2289" max="2289" width="12.77734375" bestFit="1" customWidth="1"/>
    <col min="2290" max="2290" width="15.5546875" bestFit="1" customWidth="1"/>
    <col min="2291" max="2291" width="12.77734375" bestFit="1" customWidth="1"/>
    <col min="2292" max="2292" width="15.5546875" bestFit="1" customWidth="1"/>
    <col min="2293" max="2293" width="12.77734375" bestFit="1" customWidth="1"/>
    <col min="2294" max="2294" width="15.5546875" bestFit="1" customWidth="1"/>
    <col min="2295" max="2295" width="12.77734375" bestFit="1" customWidth="1"/>
    <col min="2296" max="2296" width="15.5546875" bestFit="1" customWidth="1"/>
    <col min="2297" max="2297" width="12.77734375" bestFit="1" customWidth="1"/>
    <col min="2298" max="2298" width="15.5546875" bestFit="1" customWidth="1"/>
    <col min="2299" max="2299" width="12.77734375" bestFit="1" customWidth="1"/>
    <col min="2300" max="2300" width="15.5546875" bestFit="1" customWidth="1"/>
    <col min="2301" max="2301" width="12.77734375" bestFit="1" customWidth="1"/>
    <col min="2302" max="2302" width="15.5546875" bestFit="1" customWidth="1"/>
    <col min="2303" max="2303" width="12.77734375" bestFit="1" customWidth="1"/>
    <col min="2304" max="2304" width="15.5546875" bestFit="1" customWidth="1"/>
    <col min="2305" max="2305" width="12.77734375" bestFit="1" customWidth="1"/>
    <col min="2306" max="2306" width="15.5546875" bestFit="1" customWidth="1"/>
    <col min="2307" max="2307" width="12.77734375" bestFit="1" customWidth="1"/>
    <col min="2308" max="2308" width="15.5546875" bestFit="1" customWidth="1"/>
    <col min="2309" max="2309" width="12.77734375" bestFit="1" customWidth="1"/>
    <col min="2310" max="2310" width="15.5546875" bestFit="1" customWidth="1"/>
    <col min="2311" max="2311" width="12.77734375" bestFit="1" customWidth="1"/>
    <col min="2312" max="2312" width="15.5546875" bestFit="1" customWidth="1"/>
    <col min="2313" max="2313" width="12.77734375" bestFit="1" customWidth="1"/>
    <col min="2314" max="2314" width="15.5546875" bestFit="1" customWidth="1"/>
    <col min="2315" max="2315" width="12.77734375" bestFit="1" customWidth="1"/>
    <col min="2316" max="2316" width="15.5546875" bestFit="1" customWidth="1"/>
    <col min="2317" max="2317" width="12.77734375" bestFit="1" customWidth="1"/>
    <col min="2318" max="2318" width="15.5546875" bestFit="1" customWidth="1"/>
    <col min="2319" max="2319" width="12.77734375" bestFit="1" customWidth="1"/>
    <col min="2320" max="2320" width="15.5546875" bestFit="1" customWidth="1"/>
    <col min="2321" max="2321" width="12.77734375" bestFit="1" customWidth="1"/>
    <col min="2322" max="2322" width="15.5546875" bestFit="1" customWidth="1"/>
    <col min="2323" max="2323" width="12.77734375" bestFit="1" customWidth="1"/>
    <col min="2324" max="2324" width="15.5546875" bestFit="1" customWidth="1"/>
    <col min="2325" max="2325" width="12.77734375" bestFit="1" customWidth="1"/>
    <col min="2326" max="2326" width="15.5546875" bestFit="1" customWidth="1"/>
    <col min="2327" max="2327" width="12.77734375" bestFit="1" customWidth="1"/>
    <col min="2328" max="2328" width="15.5546875" bestFit="1" customWidth="1"/>
    <col min="2329" max="2329" width="11.77734375" bestFit="1" customWidth="1"/>
    <col min="2330" max="2330" width="14.5546875" bestFit="1" customWidth="1"/>
    <col min="2331" max="2331" width="11.77734375" bestFit="1" customWidth="1"/>
    <col min="2332" max="2332" width="14.5546875" bestFit="1" customWidth="1"/>
    <col min="2333" max="2333" width="11.77734375" bestFit="1" customWidth="1"/>
    <col min="2334" max="2334" width="14.5546875" bestFit="1" customWidth="1"/>
    <col min="2335" max="2335" width="11.77734375" bestFit="1" customWidth="1"/>
    <col min="2336" max="2336" width="14.5546875" bestFit="1" customWidth="1"/>
    <col min="2337" max="2337" width="11.77734375" bestFit="1" customWidth="1"/>
    <col min="2338" max="2338" width="14.5546875" bestFit="1" customWidth="1"/>
    <col min="2339" max="2339" width="11.77734375" bestFit="1" customWidth="1"/>
    <col min="2340" max="2340" width="14.5546875" bestFit="1" customWidth="1"/>
    <col min="2341" max="2341" width="11.77734375" bestFit="1" customWidth="1"/>
    <col min="2342" max="2342" width="14.5546875" bestFit="1" customWidth="1"/>
    <col min="2343" max="2343" width="11.77734375" bestFit="1" customWidth="1"/>
    <col min="2344" max="2344" width="14.5546875" bestFit="1" customWidth="1"/>
    <col min="2345" max="2345" width="11.77734375" bestFit="1" customWidth="1"/>
    <col min="2346" max="2346" width="14.5546875" bestFit="1" customWidth="1"/>
    <col min="2347" max="2347" width="12.77734375" bestFit="1" customWidth="1"/>
    <col min="2348" max="2348" width="15.5546875" bestFit="1" customWidth="1"/>
    <col min="2349" max="2349" width="12.77734375" bestFit="1" customWidth="1"/>
    <col min="2350" max="2350" width="15.5546875" bestFit="1" customWidth="1"/>
    <col min="2351" max="2351" width="12.77734375" bestFit="1" customWidth="1"/>
    <col min="2352" max="2352" width="15.5546875" bestFit="1" customWidth="1"/>
    <col min="2353" max="2353" width="12.77734375" bestFit="1" customWidth="1"/>
    <col min="2354" max="2354" width="15.5546875" bestFit="1" customWidth="1"/>
    <col min="2355" max="2355" width="12.77734375" bestFit="1" customWidth="1"/>
    <col min="2356" max="2356" width="15.5546875" bestFit="1" customWidth="1"/>
    <col min="2357" max="2357" width="12.77734375" bestFit="1" customWidth="1"/>
    <col min="2358" max="2358" width="15.5546875" bestFit="1" customWidth="1"/>
    <col min="2359" max="2359" width="12.77734375" bestFit="1" customWidth="1"/>
    <col min="2360" max="2360" width="15.5546875" bestFit="1" customWidth="1"/>
    <col min="2361" max="2361" width="12.77734375" bestFit="1" customWidth="1"/>
    <col min="2362" max="2362" width="15.5546875" bestFit="1" customWidth="1"/>
    <col min="2363" max="2363" width="12.77734375" bestFit="1" customWidth="1"/>
    <col min="2364" max="2364" width="15.5546875" bestFit="1" customWidth="1"/>
    <col min="2365" max="2365" width="12.77734375" bestFit="1" customWidth="1"/>
    <col min="2366" max="2366" width="15.5546875" bestFit="1" customWidth="1"/>
    <col min="2367" max="2367" width="12.77734375" bestFit="1" customWidth="1"/>
    <col min="2368" max="2368" width="15.5546875" bestFit="1" customWidth="1"/>
    <col min="2369" max="2369" width="12.77734375" bestFit="1" customWidth="1"/>
    <col min="2370" max="2370" width="15.5546875" bestFit="1" customWidth="1"/>
    <col min="2371" max="2371" width="12.77734375" bestFit="1" customWidth="1"/>
    <col min="2372" max="2372" width="15.5546875" bestFit="1" customWidth="1"/>
    <col min="2373" max="2373" width="12.77734375" bestFit="1" customWidth="1"/>
    <col min="2374" max="2374" width="15.5546875" bestFit="1" customWidth="1"/>
    <col min="2375" max="2375" width="12.77734375" bestFit="1" customWidth="1"/>
    <col min="2376" max="2376" width="15.5546875" bestFit="1" customWidth="1"/>
    <col min="2377" max="2377" width="12.77734375" bestFit="1" customWidth="1"/>
    <col min="2378" max="2378" width="15.5546875" bestFit="1" customWidth="1"/>
    <col min="2379" max="2379" width="12.77734375" bestFit="1" customWidth="1"/>
    <col min="2380" max="2380" width="15.5546875" bestFit="1" customWidth="1"/>
    <col min="2381" max="2381" width="12.77734375" bestFit="1" customWidth="1"/>
    <col min="2382" max="2382" width="15.5546875" bestFit="1" customWidth="1"/>
    <col min="2383" max="2383" width="12.77734375" bestFit="1" customWidth="1"/>
    <col min="2384" max="2384" width="15.5546875" bestFit="1" customWidth="1"/>
    <col min="2385" max="2385" width="12.77734375" bestFit="1" customWidth="1"/>
    <col min="2386" max="2386" width="15.5546875" bestFit="1" customWidth="1"/>
    <col min="2387" max="2387" width="12.77734375" bestFit="1" customWidth="1"/>
    <col min="2388" max="2388" width="15.5546875" bestFit="1" customWidth="1"/>
    <col min="2389" max="2389" width="11.77734375" bestFit="1" customWidth="1"/>
    <col min="2390" max="2390" width="14.5546875" bestFit="1" customWidth="1"/>
    <col min="2391" max="2391" width="11.77734375" bestFit="1" customWidth="1"/>
    <col min="2392" max="2392" width="14.5546875" bestFit="1" customWidth="1"/>
    <col min="2393" max="2393" width="11.77734375" bestFit="1" customWidth="1"/>
    <col min="2394" max="2394" width="14.5546875" bestFit="1" customWidth="1"/>
    <col min="2395" max="2395" width="11.77734375" bestFit="1" customWidth="1"/>
    <col min="2396" max="2396" width="14.5546875" bestFit="1" customWidth="1"/>
    <col min="2397" max="2397" width="11.77734375" bestFit="1" customWidth="1"/>
    <col min="2398" max="2398" width="14.5546875" bestFit="1" customWidth="1"/>
    <col min="2399" max="2399" width="11.77734375" bestFit="1" customWidth="1"/>
    <col min="2400" max="2400" width="14.5546875" bestFit="1" customWidth="1"/>
    <col min="2401" max="2401" width="11.77734375" bestFit="1" customWidth="1"/>
    <col min="2402" max="2402" width="14.5546875" bestFit="1" customWidth="1"/>
    <col min="2403" max="2403" width="11.77734375" bestFit="1" customWidth="1"/>
    <col min="2404" max="2404" width="14.5546875" bestFit="1" customWidth="1"/>
    <col min="2405" max="2405" width="11.77734375" bestFit="1" customWidth="1"/>
    <col min="2406" max="2406" width="14.5546875" bestFit="1" customWidth="1"/>
    <col min="2407" max="2407" width="12.77734375" bestFit="1" customWidth="1"/>
    <col min="2408" max="2408" width="15.5546875" bestFit="1" customWidth="1"/>
    <col min="2409" max="2409" width="12.77734375" bestFit="1" customWidth="1"/>
    <col min="2410" max="2410" width="15.5546875" bestFit="1" customWidth="1"/>
    <col min="2411" max="2411" width="12.77734375" bestFit="1" customWidth="1"/>
    <col min="2412" max="2412" width="15.5546875" bestFit="1" customWidth="1"/>
    <col min="2413" max="2413" width="12.77734375" bestFit="1" customWidth="1"/>
    <col min="2414" max="2414" width="15.5546875" bestFit="1" customWidth="1"/>
    <col min="2415" max="2415" width="12.77734375" bestFit="1" customWidth="1"/>
    <col min="2416" max="2416" width="15.5546875" bestFit="1" customWidth="1"/>
    <col min="2417" max="2417" width="12.77734375" bestFit="1" customWidth="1"/>
    <col min="2418" max="2418" width="15.5546875" bestFit="1" customWidth="1"/>
    <col min="2419" max="2419" width="12.77734375" bestFit="1" customWidth="1"/>
    <col min="2420" max="2420" width="15.5546875" bestFit="1" customWidth="1"/>
    <col min="2421" max="2421" width="12.77734375" bestFit="1" customWidth="1"/>
    <col min="2422" max="2422" width="15.5546875" bestFit="1" customWidth="1"/>
    <col min="2423" max="2423" width="12.77734375" bestFit="1" customWidth="1"/>
    <col min="2424" max="2424" width="15.5546875" bestFit="1" customWidth="1"/>
    <col min="2425" max="2425" width="12.77734375" bestFit="1" customWidth="1"/>
    <col min="2426" max="2426" width="15.5546875" bestFit="1" customWidth="1"/>
    <col min="2427" max="2427" width="12.77734375" bestFit="1" customWidth="1"/>
    <col min="2428" max="2428" width="15.5546875" bestFit="1" customWidth="1"/>
    <col min="2429" max="2429" width="12.77734375" bestFit="1" customWidth="1"/>
    <col min="2430" max="2430" width="15.5546875" bestFit="1" customWidth="1"/>
    <col min="2431" max="2431" width="12.77734375" bestFit="1" customWidth="1"/>
    <col min="2432" max="2432" width="15.5546875" bestFit="1" customWidth="1"/>
    <col min="2433" max="2433" width="12.77734375" bestFit="1" customWidth="1"/>
    <col min="2434" max="2434" width="15.5546875" bestFit="1" customWidth="1"/>
    <col min="2435" max="2435" width="12.77734375" bestFit="1" customWidth="1"/>
    <col min="2436" max="2436" width="15.5546875" bestFit="1" customWidth="1"/>
    <col min="2437" max="2437" width="12.77734375" bestFit="1" customWidth="1"/>
    <col min="2438" max="2438" width="15.5546875" bestFit="1" customWidth="1"/>
    <col min="2439" max="2439" width="12.77734375" bestFit="1" customWidth="1"/>
    <col min="2440" max="2440" width="15.5546875" bestFit="1" customWidth="1"/>
    <col min="2441" max="2441" width="12.77734375" bestFit="1" customWidth="1"/>
    <col min="2442" max="2442" width="15.5546875" bestFit="1" customWidth="1"/>
    <col min="2443" max="2443" width="12.77734375" bestFit="1" customWidth="1"/>
    <col min="2444" max="2444" width="15.5546875" bestFit="1" customWidth="1"/>
    <col min="2445" max="2445" width="12.77734375" bestFit="1" customWidth="1"/>
    <col min="2446" max="2446" width="15.5546875" bestFit="1" customWidth="1"/>
    <col min="2447" max="2447" width="12.77734375" bestFit="1" customWidth="1"/>
    <col min="2448" max="2448" width="15.5546875" bestFit="1" customWidth="1"/>
    <col min="2449" max="2449" width="12.77734375" bestFit="1" customWidth="1"/>
    <col min="2450" max="2450" width="15.5546875" bestFit="1" customWidth="1"/>
    <col min="2451" max="2451" width="10.77734375" bestFit="1" customWidth="1"/>
    <col min="2452" max="2452" width="13.5546875" bestFit="1" customWidth="1"/>
    <col min="2453" max="2453" width="10.77734375" bestFit="1" customWidth="1"/>
    <col min="2454" max="2454" width="13.5546875" bestFit="1" customWidth="1"/>
    <col min="2455" max="2455" width="10.77734375" bestFit="1" customWidth="1"/>
    <col min="2456" max="2456" width="13.5546875" bestFit="1" customWidth="1"/>
    <col min="2457" max="2457" width="10.77734375" bestFit="1" customWidth="1"/>
    <col min="2458" max="2458" width="13.5546875" bestFit="1" customWidth="1"/>
    <col min="2459" max="2459" width="10.77734375" bestFit="1" customWidth="1"/>
    <col min="2460" max="2460" width="13.5546875" bestFit="1" customWidth="1"/>
    <col min="2461" max="2461" width="10.77734375" bestFit="1" customWidth="1"/>
    <col min="2462" max="2462" width="13.5546875" bestFit="1" customWidth="1"/>
    <col min="2463" max="2463" width="10.77734375" bestFit="1" customWidth="1"/>
    <col min="2464" max="2464" width="13.5546875" bestFit="1" customWidth="1"/>
    <col min="2465" max="2465" width="10.77734375" bestFit="1" customWidth="1"/>
    <col min="2466" max="2466" width="13.5546875" bestFit="1" customWidth="1"/>
    <col min="2467" max="2467" width="10.77734375" bestFit="1" customWidth="1"/>
    <col min="2468" max="2468" width="13.5546875" bestFit="1" customWidth="1"/>
    <col min="2469" max="2469" width="11.77734375" bestFit="1" customWidth="1"/>
    <col min="2470" max="2470" width="14.5546875" bestFit="1" customWidth="1"/>
    <col min="2471" max="2471" width="11.77734375" bestFit="1" customWidth="1"/>
    <col min="2472" max="2472" width="14.5546875" bestFit="1" customWidth="1"/>
    <col min="2473" max="2473" width="11.77734375" bestFit="1" customWidth="1"/>
    <col min="2474" max="2474" width="14.5546875" bestFit="1" customWidth="1"/>
    <col min="2475" max="2475" width="11.77734375" bestFit="1" customWidth="1"/>
    <col min="2476" max="2476" width="14.5546875" bestFit="1" customWidth="1"/>
    <col min="2477" max="2477" width="11.77734375" bestFit="1" customWidth="1"/>
    <col min="2478" max="2478" width="14.5546875" bestFit="1" customWidth="1"/>
    <col min="2479" max="2479" width="11.77734375" bestFit="1" customWidth="1"/>
    <col min="2480" max="2480" width="14.5546875" bestFit="1" customWidth="1"/>
    <col min="2481" max="2481" width="11.77734375" bestFit="1" customWidth="1"/>
    <col min="2482" max="2482" width="14.5546875" bestFit="1" customWidth="1"/>
    <col min="2483" max="2483" width="11.77734375" bestFit="1" customWidth="1"/>
    <col min="2484" max="2484" width="14.5546875" bestFit="1" customWidth="1"/>
    <col min="2485" max="2485" width="11.77734375" bestFit="1" customWidth="1"/>
    <col min="2486" max="2486" width="14.5546875" bestFit="1" customWidth="1"/>
    <col min="2487" max="2487" width="11.77734375" bestFit="1" customWidth="1"/>
    <col min="2488" max="2488" width="14.5546875" bestFit="1" customWidth="1"/>
    <col min="2489" max="2489" width="11.77734375" bestFit="1" customWidth="1"/>
    <col min="2490" max="2490" width="14.5546875" bestFit="1" customWidth="1"/>
    <col min="2491" max="2491" width="11.77734375" bestFit="1" customWidth="1"/>
    <col min="2492" max="2492" width="14.5546875" bestFit="1" customWidth="1"/>
    <col min="2493" max="2493" width="11.77734375" bestFit="1" customWidth="1"/>
    <col min="2494" max="2494" width="14.5546875" bestFit="1" customWidth="1"/>
    <col min="2495" max="2495" width="11.77734375" bestFit="1" customWidth="1"/>
    <col min="2496" max="2496" width="14.5546875" bestFit="1" customWidth="1"/>
    <col min="2497" max="2497" width="11.77734375" bestFit="1" customWidth="1"/>
    <col min="2498" max="2498" width="14.5546875" bestFit="1" customWidth="1"/>
    <col min="2499" max="2499" width="11.77734375" bestFit="1" customWidth="1"/>
    <col min="2500" max="2500" width="14.5546875" bestFit="1" customWidth="1"/>
    <col min="2501" max="2501" width="11.77734375" bestFit="1" customWidth="1"/>
    <col min="2502" max="2502" width="14.5546875" bestFit="1" customWidth="1"/>
    <col min="2503" max="2503" width="11.77734375" bestFit="1" customWidth="1"/>
    <col min="2504" max="2504" width="14.5546875" bestFit="1" customWidth="1"/>
    <col min="2505" max="2505" width="11.77734375" bestFit="1" customWidth="1"/>
    <col min="2506" max="2506" width="14.5546875" bestFit="1" customWidth="1"/>
    <col min="2507" max="2507" width="11.77734375" bestFit="1" customWidth="1"/>
    <col min="2508" max="2508" width="14.5546875" bestFit="1" customWidth="1"/>
    <col min="2509" max="2509" width="11.77734375" bestFit="1" customWidth="1"/>
    <col min="2510" max="2510" width="14.5546875" bestFit="1" customWidth="1"/>
    <col min="2511" max="2511" width="11.77734375" bestFit="1" customWidth="1"/>
    <col min="2512" max="2512" width="14.5546875" bestFit="1" customWidth="1"/>
    <col min="2513" max="2513" width="10.77734375" bestFit="1" customWidth="1"/>
    <col min="2514" max="2514" width="13.5546875" bestFit="1" customWidth="1"/>
    <col min="2515" max="2515" width="10.77734375" bestFit="1" customWidth="1"/>
    <col min="2516" max="2516" width="13.5546875" bestFit="1" customWidth="1"/>
    <col min="2517" max="2517" width="10.77734375" bestFit="1" customWidth="1"/>
    <col min="2518" max="2518" width="13.5546875" bestFit="1" customWidth="1"/>
    <col min="2519" max="2519" width="10.77734375" bestFit="1" customWidth="1"/>
    <col min="2520" max="2520" width="13.5546875" bestFit="1" customWidth="1"/>
    <col min="2521" max="2521" width="10.77734375" bestFit="1" customWidth="1"/>
    <col min="2522" max="2522" width="13.5546875" bestFit="1" customWidth="1"/>
    <col min="2523" max="2523" width="10.77734375" bestFit="1" customWidth="1"/>
    <col min="2524" max="2524" width="13.5546875" bestFit="1" customWidth="1"/>
    <col min="2525" max="2525" width="10.77734375" bestFit="1" customWidth="1"/>
    <col min="2526" max="2526" width="13.5546875" bestFit="1" customWidth="1"/>
    <col min="2527" max="2527" width="10.77734375" bestFit="1" customWidth="1"/>
    <col min="2528" max="2528" width="13.5546875" bestFit="1" customWidth="1"/>
    <col min="2529" max="2529" width="10.77734375" bestFit="1" customWidth="1"/>
    <col min="2530" max="2530" width="13.5546875" bestFit="1" customWidth="1"/>
    <col min="2531" max="2531" width="11.77734375" bestFit="1" customWidth="1"/>
    <col min="2532" max="2532" width="14.5546875" bestFit="1" customWidth="1"/>
    <col min="2533" max="2533" width="11.77734375" bestFit="1" customWidth="1"/>
    <col min="2534" max="2534" width="14.5546875" bestFit="1" customWidth="1"/>
    <col min="2535" max="2535" width="11.77734375" bestFit="1" customWidth="1"/>
    <col min="2536" max="2536" width="14.5546875" bestFit="1" customWidth="1"/>
    <col min="2537" max="2537" width="11.77734375" bestFit="1" customWidth="1"/>
    <col min="2538" max="2538" width="14.5546875" bestFit="1" customWidth="1"/>
    <col min="2539" max="2539" width="11.77734375" bestFit="1" customWidth="1"/>
    <col min="2540" max="2540" width="14.5546875" bestFit="1" customWidth="1"/>
    <col min="2541" max="2541" width="11.77734375" bestFit="1" customWidth="1"/>
    <col min="2542" max="2542" width="14.5546875" bestFit="1" customWidth="1"/>
    <col min="2543" max="2543" width="11.77734375" bestFit="1" customWidth="1"/>
    <col min="2544" max="2544" width="14.5546875" bestFit="1" customWidth="1"/>
    <col min="2545" max="2545" width="11.77734375" bestFit="1" customWidth="1"/>
    <col min="2546" max="2546" width="14.5546875" bestFit="1" customWidth="1"/>
    <col min="2547" max="2547" width="11.77734375" bestFit="1" customWidth="1"/>
    <col min="2548" max="2548" width="14.5546875" bestFit="1" customWidth="1"/>
    <col min="2549" max="2549" width="11.77734375" bestFit="1" customWidth="1"/>
    <col min="2550" max="2550" width="14.5546875" bestFit="1" customWidth="1"/>
    <col min="2551" max="2551" width="11.77734375" bestFit="1" customWidth="1"/>
    <col min="2552" max="2552" width="14.5546875" bestFit="1" customWidth="1"/>
    <col min="2553" max="2553" width="11.77734375" bestFit="1" customWidth="1"/>
    <col min="2554" max="2554" width="14.5546875" bestFit="1" customWidth="1"/>
    <col min="2555" max="2555" width="11.77734375" bestFit="1" customWidth="1"/>
    <col min="2556" max="2556" width="14.5546875" bestFit="1" customWidth="1"/>
    <col min="2557" max="2557" width="11.77734375" bestFit="1" customWidth="1"/>
    <col min="2558" max="2558" width="14.5546875" bestFit="1" customWidth="1"/>
    <col min="2559" max="2559" width="11.77734375" bestFit="1" customWidth="1"/>
    <col min="2560" max="2560" width="14.5546875" bestFit="1" customWidth="1"/>
    <col min="2561" max="2561" width="11.77734375" bestFit="1" customWidth="1"/>
    <col min="2562" max="2562" width="14.5546875" bestFit="1" customWidth="1"/>
    <col min="2563" max="2563" width="11.77734375" bestFit="1" customWidth="1"/>
    <col min="2564" max="2564" width="14.5546875" bestFit="1" customWidth="1"/>
    <col min="2565" max="2565" width="11.77734375" bestFit="1" customWidth="1"/>
    <col min="2566" max="2566" width="14.5546875" bestFit="1" customWidth="1"/>
    <col min="2567" max="2567" width="11.77734375" bestFit="1" customWidth="1"/>
    <col min="2568" max="2568" width="14.5546875" bestFit="1" customWidth="1"/>
    <col min="2569" max="2569" width="10.77734375" bestFit="1" customWidth="1"/>
    <col min="2570" max="2570" width="13.5546875" bestFit="1" customWidth="1"/>
    <col min="2571" max="2571" width="10.77734375" bestFit="1" customWidth="1"/>
    <col min="2572" max="2572" width="13.5546875" bestFit="1" customWidth="1"/>
    <col min="2573" max="2573" width="10.77734375" bestFit="1" customWidth="1"/>
    <col min="2574" max="2574" width="13.5546875" bestFit="1" customWidth="1"/>
    <col min="2575" max="2575" width="10.77734375" bestFit="1" customWidth="1"/>
    <col min="2576" max="2576" width="13.5546875" bestFit="1" customWidth="1"/>
    <col min="2577" max="2577" width="10.77734375" bestFit="1" customWidth="1"/>
    <col min="2578" max="2578" width="13.5546875" bestFit="1" customWidth="1"/>
    <col min="2579" max="2579" width="10.77734375" bestFit="1" customWidth="1"/>
    <col min="2580" max="2580" width="13.5546875" bestFit="1" customWidth="1"/>
    <col min="2581" max="2581" width="10.77734375" bestFit="1" customWidth="1"/>
    <col min="2582" max="2582" width="13.5546875" bestFit="1" customWidth="1"/>
    <col min="2583" max="2583" width="10.77734375" bestFit="1" customWidth="1"/>
    <col min="2584" max="2584" width="13.5546875" bestFit="1" customWidth="1"/>
    <col min="2585" max="2585" width="10.77734375" bestFit="1" customWidth="1"/>
    <col min="2586" max="2586" width="13.5546875" bestFit="1" customWidth="1"/>
    <col min="2587" max="2587" width="11.77734375" bestFit="1" customWidth="1"/>
    <col min="2588" max="2588" width="14.5546875" bestFit="1" customWidth="1"/>
    <col min="2589" max="2589" width="11.77734375" bestFit="1" customWidth="1"/>
    <col min="2590" max="2590" width="14.5546875" bestFit="1" customWidth="1"/>
    <col min="2591" max="2591" width="11.77734375" bestFit="1" customWidth="1"/>
    <col min="2592" max="2592" width="14.5546875" bestFit="1" customWidth="1"/>
    <col min="2593" max="2593" width="11.77734375" bestFit="1" customWidth="1"/>
    <col min="2594" max="2594" width="14.5546875" bestFit="1" customWidth="1"/>
    <col min="2595" max="2595" width="11.77734375" bestFit="1" customWidth="1"/>
    <col min="2596" max="2596" width="14.5546875" bestFit="1" customWidth="1"/>
    <col min="2597" max="2597" width="11.77734375" bestFit="1" customWidth="1"/>
    <col min="2598" max="2598" width="14.5546875" bestFit="1" customWidth="1"/>
    <col min="2599" max="2599" width="11.77734375" bestFit="1" customWidth="1"/>
    <col min="2600" max="2600" width="14.5546875" bestFit="1" customWidth="1"/>
    <col min="2601" max="2601" width="11.77734375" bestFit="1" customWidth="1"/>
    <col min="2602" max="2602" width="14.5546875" bestFit="1" customWidth="1"/>
    <col min="2603" max="2603" width="11.77734375" bestFit="1" customWidth="1"/>
    <col min="2604" max="2604" width="14.5546875" bestFit="1" customWidth="1"/>
    <col min="2605" max="2605" width="11.77734375" bestFit="1" customWidth="1"/>
    <col min="2606" max="2606" width="14.5546875" bestFit="1" customWidth="1"/>
    <col min="2607" max="2607" width="11.77734375" bestFit="1" customWidth="1"/>
    <col min="2608" max="2608" width="14.5546875" bestFit="1" customWidth="1"/>
    <col min="2609" max="2609" width="11.77734375" bestFit="1" customWidth="1"/>
    <col min="2610" max="2610" width="14.5546875" bestFit="1" customWidth="1"/>
    <col min="2611" max="2611" width="11.77734375" bestFit="1" customWidth="1"/>
    <col min="2612" max="2612" width="14.5546875" bestFit="1" customWidth="1"/>
    <col min="2613" max="2613" width="11.77734375" bestFit="1" customWidth="1"/>
    <col min="2614" max="2614" width="14.5546875" bestFit="1" customWidth="1"/>
    <col min="2615" max="2615" width="11.77734375" bestFit="1" customWidth="1"/>
    <col min="2616" max="2616" width="14.5546875" bestFit="1" customWidth="1"/>
    <col min="2617" max="2617" width="11.77734375" bestFit="1" customWidth="1"/>
    <col min="2618" max="2618" width="14.5546875" bestFit="1" customWidth="1"/>
    <col min="2619" max="2619" width="11.77734375" bestFit="1" customWidth="1"/>
    <col min="2620" max="2620" width="14.5546875" bestFit="1" customWidth="1"/>
    <col min="2621" max="2621" width="11.77734375" bestFit="1" customWidth="1"/>
    <col min="2622" max="2622" width="14.5546875" bestFit="1" customWidth="1"/>
    <col min="2623" max="2623" width="11.77734375" bestFit="1" customWidth="1"/>
    <col min="2624" max="2624" width="14.5546875" bestFit="1" customWidth="1"/>
    <col min="2625" max="2625" width="11.77734375" bestFit="1" customWidth="1"/>
    <col min="2626" max="2626" width="14.5546875" bestFit="1" customWidth="1"/>
    <col min="2627" max="2627" width="11.77734375" bestFit="1" customWidth="1"/>
    <col min="2628" max="2628" width="14.5546875" bestFit="1" customWidth="1"/>
    <col min="2629" max="2629" width="11.77734375" bestFit="1" customWidth="1"/>
    <col min="2630" max="2630" width="14.5546875" bestFit="1" customWidth="1"/>
    <col min="2631" max="2631" width="10.77734375" bestFit="1" customWidth="1"/>
    <col min="2632" max="2632" width="13.5546875" bestFit="1" customWidth="1"/>
    <col min="2633" max="2633" width="10.77734375" bestFit="1" customWidth="1"/>
    <col min="2634" max="2634" width="13.5546875" bestFit="1" customWidth="1"/>
    <col min="2635" max="2635" width="10.77734375" bestFit="1" customWidth="1"/>
    <col min="2636" max="2636" width="13.5546875" bestFit="1" customWidth="1"/>
    <col min="2637" max="2637" width="10.77734375" bestFit="1" customWidth="1"/>
    <col min="2638" max="2638" width="13.5546875" bestFit="1" customWidth="1"/>
    <col min="2639" max="2639" width="10.77734375" bestFit="1" customWidth="1"/>
    <col min="2640" max="2640" width="13.5546875" bestFit="1" customWidth="1"/>
    <col min="2641" max="2641" width="10.77734375" bestFit="1" customWidth="1"/>
    <col min="2642" max="2642" width="13.5546875" bestFit="1" customWidth="1"/>
    <col min="2643" max="2643" width="10.77734375" bestFit="1" customWidth="1"/>
    <col min="2644" max="2644" width="13.5546875" bestFit="1" customWidth="1"/>
    <col min="2645" max="2645" width="10.77734375" bestFit="1" customWidth="1"/>
    <col min="2646" max="2646" width="13.5546875" bestFit="1" customWidth="1"/>
    <col min="2647" max="2647" width="10.77734375" bestFit="1" customWidth="1"/>
    <col min="2648" max="2648" width="13.5546875" bestFit="1" customWidth="1"/>
    <col min="2649" max="2649" width="11.77734375" bestFit="1" customWidth="1"/>
    <col min="2650" max="2650" width="14.5546875" bestFit="1" customWidth="1"/>
    <col min="2651" max="2651" width="11.77734375" bestFit="1" customWidth="1"/>
    <col min="2652" max="2652" width="14.5546875" bestFit="1" customWidth="1"/>
    <col min="2653" max="2653" width="11.77734375" bestFit="1" customWidth="1"/>
    <col min="2654" max="2654" width="14.5546875" bestFit="1" customWidth="1"/>
    <col min="2655" max="2655" width="11.77734375" bestFit="1" customWidth="1"/>
    <col min="2656" max="2656" width="14.5546875" bestFit="1" customWidth="1"/>
    <col min="2657" max="2657" width="11.77734375" bestFit="1" customWidth="1"/>
    <col min="2658" max="2658" width="14.5546875" bestFit="1" customWidth="1"/>
    <col min="2659" max="2659" width="11.77734375" bestFit="1" customWidth="1"/>
    <col min="2660" max="2660" width="14.5546875" bestFit="1" customWidth="1"/>
    <col min="2661" max="2661" width="11.77734375" bestFit="1" customWidth="1"/>
    <col min="2662" max="2662" width="14.5546875" bestFit="1" customWidth="1"/>
    <col min="2663" max="2663" width="11.77734375" bestFit="1" customWidth="1"/>
    <col min="2664" max="2664" width="14.5546875" bestFit="1" customWidth="1"/>
    <col min="2665" max="2665" width="11.77734375" bestFit="1" customWidth="1"/>
    <col min="2666" max="2666" width="14.5546875" bestFit="1" customWidth="1"/>
    <col min="2667" max="2667" width="11.77734375" bestFit="1" customWidth="1"/>
    <col min="2668" max="2668" width="14.5546875" bestFit="1" customWidth="1"/>
    <col min="2669" max="2669" width="11.77734375" bestFit="1" customWidth="1"/>
    <col min="2670" max="2670" width="14.5546875" bestFit="1" customWidth="1"/>
    <col min="2671" max="2671" width="11.77734375" bestFit="1" customWidth="1"/>
    <col min="2672" max="2672" width="14.5546875" bestFit="1" customWidth="1"/>
    <col min="2673" max="2673" width="11.77734375" bestFit="1" customWidth="1"/>
    <col min="2674" max="2674" width="14.5546875" bestFit="1" customWidth="1"/>
    <col min="2675" max="2675" width="11.77734375" bestFit="1" customWidth="1"/>
    <col min="2676" max="2676" width="14.5546875" bestFit="1" customWidth="1"/>
    <col min="2677" max="2677" width="11.77734375" bestFit="1" customWidth="1"/>
    <col min="2678" max="2678" width="14.5546875" bestFit="1" customWidth="1"/>
    <col min="2679" max="2679" width="11.77734375" bestFit="1" customWidth="1"/>
    <col min="2680" max="2680" width="14.5546875" bestFit="1" customWidth="1"/>
    <col min="2681" max="2681" width="11.77734375" bestFit="1" customWidth="1"/>
    <col min="2682" max="2682" width="14.5546875" bestFit="1" customWidth="1"/>
    <col min="2683" max="2683" width="11.77734375" bestFit="1" customWidth="1"/>
    <col min="2684" max="2684" width="14.5546875" bestFit="1" customWidth="1"/>
    <col min="2685" max="2685" width="11.77734375" bestFit="1" customWidth="1"/>
    <col min="2686" max="2686" width="14.5546875" bestFit="1" customWidth="1"/>
    <col min="2687" max="2687" width="11.77734375" bestFit="1" customWidth="1"/>
    <col min="2688" max="2688" width="14.5546875" bestFit="1" customWidth="1"/>
    <col min="2689" max="2689" width="11.77734375" bestFit="1" customWidth="1"/>
    <col min="2690" max="2690" width="14.5546875" bestFit="1" customWidth="1"/>
    <col min="2691" max="2691" width="10.77734375" bestFit="1" customWidth="1"/>
    <col min="2692" max="2692" width="13.5546875" bestFit="1" customWidth="1"/>
    <col min="2693" max="2693" width="10.77734375" bestFit="1" customWidth="1"/>
    <col min="2694" max="2694" width="13.5546875" bestFit="1" customWidth="1"/>
    <col min="2695" max="2695" width="10.77734375" bestFit="1" customWidth="1"/>
    <col min="2696" max="2696" width="13.5546875" bestFit="1" customWidth="1"/>
    <col min="2697" max="2697" width="10.77734375" bestFit="1" customWidth="1"/>
    <col min="2698" max="2698" width="13.5546875" bestFit="1" customWidth="1"/>
    <col min="2699" max="2699" width="10.77734375" bestFit="1" customWidth="1"/>
    <col min="2700" max="2700" width="13.5546875" bestFit="1" customWidth="1"/>
    <col min="2701" max="2701" width="10.77734375" bestFit="1" customWidth="1"/>
    <col min="2702" max="2702" width="13.5546875" bestFit="1" customWidth="1"/>
    <col min="2703" max="2703" width="10.77734375" bestFit="1" customWidth="1"/>
    <col min="2704" max="2704" width="13.5546875" bestFit="1" customWidth="1"/>
    <col min="2705" max="2705" width="10.77734375" bestFit="1" customWidth="1"/>
    <col min="2706" max="2706" width="13.5546875" bestFit="1" customWidth="1"/>
    <col min="2707" max="2707" width="10.77734375" bestFit="1" customWidth="1"/>
    <col min="2708" max="2708" width="13.5546875" bestFit="1" customWidth="1"/>
    <col min="2709" max="2709" width="11.77734375" bestFit="1" customWidth="1"/>
    <col min="2710" max="2710" width="14.5546875" bestFit="1" customWidth="1"/>
    <col min="2711" max="2711" width="11.77734375" bestFit="1" customWidth="1"/>
    <col min="2712" max="2712" width="14.5546875" bestFit="1" customWidth="1"/>
    <col min="2713" max="2713" width="11.77734375" bestFit="1" customWidth="1"/>
    <col min="2714" max="2714" width="14.5546875" bestFit="1" customWidth="1"/>
    <col min="2715" max="2715" width="11.77734375" bestFit="1" customWidth="1"/>
    <col min="2716" max="2716" width="14.5546875" bestFit="1" customWidth="1"/>
    <col min="2717" max="2717" width="11.77734375" bestFit="1" customWidth="1"/>
    <col min="2718" max="2718" width="14.5546875" bestFit="1" customWidth="1"/>
    <col min="2719" max="2719" width="11.77734375" bestFit="1" customWidth="1"/>
    <col min="2720" max="2720" width="14.5546875" bestFit="1" customWidth="1"/>
    <col min="2721" max="2721" width="11.77734375" bestFit="1" customWidth="1"/>
    <col min="2722" max="2722" width="14.5546875" bestFit="1" customWidth="1"/>
    <col min="2723" max="2723" width="11.77734375" bestFit="1" customWidth="1"/>
    <col min="2724" max="2724" width="14.5546875" bestFit="1" customWidth="1"/>
    <col min="2725" max="2725" width="11.77734375" bestFit="1" customWidth="1"/>
    <col min="2726" max="2726" width="14.5546875" bestFit="1" customWidth="1"/>
    <col min="2727" max="2727" width="11.77734375" bestFit="1" customWidth="1"/>
    <col min="2728" max="2728" width="14.5546875" bestFit="1" customWidth="1"/>
    <col min="2729" max="2729" width="11.77734375" bestFit="1" customWidth="1"/>
    <col min="2730" max="2730" width="14.5546875" bestFit="1" customWidth="1"/>
    <col min="2731" max="2731" width="11.77734375" bestFit="1" customWidth="1"/>
    <col min="2732" max="2732" width="14.5546875" bestFit="1" customWidth="1"/>
    <col min="2733" max="2733" width="11.77734375" bestFit="1" customWidth="1"/>
    <col min="2734" max="2734" width="14.5546875" bestFit="1" customWidth="1"/>
    <col min="2735" max="2735" width="11.77734375" bestFit="1" customWidth="1"/>
    <col min="2736" max="2736" width="14.5546875" bestFit="1" customWidth="1"/>
    <col min="2737" max="2737" width="11.77734375" bestFit="1" customWidth="1"/>
    <col min="2738" max="2738" width="14.5546875" bestFit="1" customWidth="1"/>
    <col min="2739" max="2739" width="11.77734375" bestFit="1" customWidth="1"/>
    <col min="2740" max="2740" width="14.5546875" bestFit="1" customWidth="1"/>
    <col min="2741" max="2741" width="11.77734375" bestFit="1" customWidth="1"/>
    <col min="2742" max="2742" width="14.5546875" bestFit="1" customWidth="1"/>
    <col min="2743" max="2743" width="11.77734375" bestFit="1" customWidth="1"/>
    <col min="2744" max="2744" width="14.5546875" bestFit="1" customWidth="1"/>
    <col min="2745" max="2745" width="11.77734375" bestFit="1" customWidth="1"/>
    <col min="2746" max="2746" width="14.5546875" bestFit="1" customWidth="1"/>
    <col min="2747" max="2747" width="11.77734375" bestFit="1" customWidth="1"/>
    <col min="2748" max="2748" width="14.5546875" bestFit="1" customWidth="1"/>
    <col min="2749" max="2749" width="11.77734375" bestFit="1" customWidth="1"/>
    <col min="2750" max="2750" width="14.5546875" bestFit="1" customWidth="1"/>
    <col min="2751" max="2751" width="11.77734375" bestFit="1" customWidth="1"/>
    <col min="2752" max="2752" width="14.5546875" bestFit="1" customWidth="1"/>
    <col min="2753" max="2753" width="10.77734375" bestFit="1" customWidth="1"/>
    <col min="2754" max="2754" width="13.5546875" bestFit="1" customWidth="1"/>
    <col min="2755" max="2755" width="10.77734375" bestFit="1" customWidth="1"/>
    <col min="2756" max="2756" width="13.5546875" bestFit="1" customWidth="1"/>
    <col min="2757" max="2757" width="10.77734375" bestFit="1" customWidth="1"/>
    <col min="2758" max="2758" width="13.5546875" bestFit="1" customWidth="1"/>
    <col min="2759" max="2759" width="10.77734375" bestFit="1" customWidth="1"/>
    <col min="2760" max="2760" width="13.5546875" bestFit="1" customWidth="1"/>
    <col min="2761" max="2761" width="10.77734375" bestFit="1" customWidth="1"/>
    <col min="2762" max="2762" width="13.5546875" bestFit="1" customWidth="1"/>
    <col min="2763" max="2763" width="10.77734375" bestFit="1" customWidth="1"/>
    <col min="2764" max="2764" width="13.5546875" bestFit="1" customWidth="1"/>
    <col min="2765" max="2765" width="10.77734375" bestFit="1" customWidth="1"/>
    <col min="2766" max="2766" width="13.5546875" bestFit="1" customWidth="1"/>
    <col min="2767" max="2767" width="10.77734375" bestFit="1" customWidth="1"/>
    <col min="2768" max="2768" width="13.5546875" bestFit="1" customWidth="1"/>
    <col min="2769" max="2769" width="10.77734375" bestFit="1" customWidth="1"/>
    <col min="2770" max="2770" width="13.5546875" bestFit="1" customWidth="1"/>
    <col min="2771" max="2771" width="11.77734375" bestFit="1" customWidth="1"/>
    <col min="2772" max="2772" width="14.5546875" bestFit="1" customWidth="1"/>
    <col min="2773" max="2773" width="11.77734375" bestFit="1" customWidth="1"/>
    <col min="2774" max="2774" width="14.5546875" bestFit="1" customWidth="1"/>
    <col min="2775" max="2775" width="11.77734375" bestFit="1" customWidth="1"/>
    <col min="2776" max="2776" width="14.5546875" bestFit="1" customWidth="1"/>
    <col min="2777" max="2777" width="11.77734375" bestFit="1" customWidth="1"/>
    <col min="2778" max="2778" width="14.5546875" bestFit="1" customWidth="1"/>
    <col min="2779" max="2779" width="11.77734375" bestFit="1" customWidth="1"/>
    <col min="2780" max="2780" width="14.5546875" bestFit="1" customWidth="1"/>
    <col min="2781" max="2781" width="11.77734375" bestFit="1" customWidth="1"/>
    <col min="2782" max="2782" width="14.5546875" bestFit="1" customWidth="1"/>
    <col min="2783" max="2783" width="11.77734375" bestFit="1" customWidth="1"/>
    <col min="2784" max="2784" width="14.5546875" bestFit="1" customWidth="1"/>
    <col min="2785" max="2785" width="11.77734375" bestFit="1" customWidth="1"/>
    <col min="2786" max="2786" width="14.5546875" bestFit="1" customWidth="1"/>
    <col min="2787" max="2787" width="11.77734375" bestFit="1" customWidth="1"/>
    <col min="2788" max="2788" width="14.5546875" bestFit="1" customWidth="1"/>
    <col min="2789" max="2789" width="11.77734375" bestFit="1" customWidth="1"/>
    <col min="2790" max="2790" width="14.5546875" bestFit="1" customWidth="1"/>
    <col min="2791" max="2791" width="11.77734375" bestFit="1" customWidth="1"/>
    <col min="2792" max="2792" width="14.5546875" bestFit="1" customWidth="1"/>
    <col min="2793" max="2793" width="11.77734375" bestFit="1" customWidth="1"/>
    <col min="2794" max="2794" width="14.5546875" bestFit="1" customWidth="1"/>
    <col min="2795" max="2795" width="11.77734375" bestFit="1" customWidth="1"/>
    <col min="2796" max="2796" width="14.5546875" bestFit="1" customWidth="1"/>
    <col min="2797" max="2797" width="11.77734375" bestFit="1" customWidth="1"/>
    <col min="2798" max="2798" width="14.5546875" bestFit="1" customWidth="1"/>
    <col min="2799" max="2799" width="11.77734375" bestFit="1" customWidth="1"/>
    <col min="2800" max="2800" width="14.5546875" bestFit="1" customWidth="1"/>
    <col min="2801" max="2801" width="11.77734375" bestFit="1" customWidth="1"/>
    <col min="2802" max="2802" width="14.5546875" bestFit="1" customWidth="1"/>
    <col min="2803" max="2803" width="11.77734375" bestFit="1" customWidth="1"/>
    <col min="2804" max="2804" width="14.5546875" bestFit="1" customWidth="1"/>
    <col min="2805" max="2805" width="11.77734375" bestFit="1" customWidth="1"/>
    <col min="2806" max="2806" width="14.5546875" bestFit="1" customWidth="1"/>
    <col min="2807" max="2807" width="11.77734375" bestFit="1" customWidth="1"/>
    <col min="2808" max="2808" width="14.5546875" bestFit="1" customWidth="1"/>
    <col min="2809" max="2809" width="11.77734375" bestFit="1" customWidth="1"/>
    <col min="2810" max="2810" width="14.5546875" bestFit="1" customWidth="1"/>
    <col min="2811" max="2811" width="11.77734375" bestFit="1" customWidth="1"/>
    <col min="2812" max="2812" width="14.5546875" bestFit="1" customWidth="1"/>
    <col min="2813" max="2813" width="10.77734375" bestFit="1" customWidth="1"/>
    <col min="2814" max="2814" width="13.5546875" bestFit="1" customWidth="1"/>
    <col min="2815" max="2815" width="10.77734375" bestFit="1" customWidth="1"/>
    <col min="2816" max="2816" width="13.5546875" bestFit="1" customWidth="1"/>
    <col min="2817" max="2817" width="10.77734375" bestFit="1" customWidth="1"/>
    <col min="2818" max="2818" width="13.5546875" bestFit="1" customWidth="1"/>
    <col min="2819" max="2819" width="10.77734375" bestFit="1" customWidth="1"/>
    <col min="2820" max="2820" width="13.5546875" bestFit="1" customWidth="1"/>
    <col min="2821" max="2821" width="10.77734375" bestFit="1" customWidth="1"/>
    <col min="2822" max="2822" width="13.5546875" bestFit="1" customWidth="1"/>
    <col min="2823" max="2823" width="10.77734375" bestFit="1" customWidth="1"/>
    <col min="2824" max="2824" width="13.5546875" bestFit="1" customWidth="1"/>
    <col min="2825" max="2825" width="10.77734375" bestFit="1" customWidth="1"/>
    <col min="2826" max="2826" width="13.5546875" bestFit="1" customWidth="1"/>
    <col min="2827" max="2827" width="10.77734375" bestFit="1" customWidth="1"/>
    <col min="2828" max="2828" width="13.5546875" bestFit="1" customWidth="1"/>
    <col min="2829" max="2829" width="10.77734375" bestFit="1" customWidth="1"/>
    <col min="2830" max="2830" width="13.5546875" bestFit="1" customWidth="1"/>
    <col min="2831" max="2831" width="11.77734375" bestFit="1" customWidth="1"/>
    <col min="2832" max="2832" width="14.5546875" bestFit="1" customWidth="1"/>
    <col min="2833" max="2833" width="11.77734375" bestFit="1" customWidth="1"/>
    <col min="2834" max="2834" width="14.5546875" bestFit="1" customWidth="1"/>
    <col min="2835" max="2835" width="11.77734375" bestFit="1" customWidth="1"/>
    <col min="2836" max="2836" width="14.5546875" bestFit="1" customWidth="1"/>
    <col min="2837" max="2837" width="11.77734375" bestFit="1" customWidth="1"/>
    <col min="2838" max="2838" width="14.5546875" bestFit="1" customWidth="1"/>
    <col min="2839" max="2839" width="11.77734375" bestFit="1" customWidth="1"/>
    <col min="2840" max="2840" width="14.5546875" bestFit="1" customWidth="1"/>
    <col min="2841" max="2841" width="11.77734375" bestFit="1" customWidth="1"/>
    <col min="2842" max="2842" width="14.5546875" bestFit="1" customWidth="1"/>
    <col min="2843" max="2843" width="11.77734375" bestFit="1" customWidth="1"/>
    <col min="2844" max="2844" width="14.5546875" bestFit="1" customWidth="1"/>
    <col min="2845" max="2845" width="11.77734375" bestFit="1" customWidth="1"/>
    <col min="2846" max="2846" width="14.5546875" bestFit="1" customWidth="1"/>
    <col min="2847" max="2847" width="11.77734375" bestFit="1" customWidth="1"/>
    <col min="2848" max="2848" width="14.5546875" bestFit="1" customWidth="1"/>
    <col min="2849" max="2849" width="11.77734375" bestFit="1" customWidth="1"/>
    <col min="2850" max="2850" width="14.5546875" bestFit="1" customWidth="1"/>
    <col min="2851" max="2851" width="11.77734375" bestFit="1" customWidth="1"/>
    <col min="2852" max="2852" width="14.5546875" bestFit="1" customWidth="1"/>
    <col min="2853" max="2853" width="11.77734375" bestFit="1" customWidth="1"/>
    <col min="2854" max="2854" width="14.5546875" bestFit="1" customWidth="1"/>
    <col min="2855" max="2855" width="11.77734375" bestFit="1" customWidth="1"/>
    <col min="2856" max="2856" width="14.5546875" bestFit="1" customWidth="1"/>
    <col min="2857" max="2857" width="11.77734375" bestFit="1" customWidth="1"/>
    <col min="2858" max="2858" width="14.5546875" bestFit="1" customWidth="1"/>
    <col min="2859" max="2859" width="11.77734375" bestFit="1" customWidth="1"/>
    <col min="2860" max="2860" width="14.5546875" bestFit="1" customWidth="1"/>
    <col min="2861" max="2861" width="11.77734375" bestFit="1" customWidth="1"/>
    <col min="2862" max="2862" width="14.5546875" bestFit="1" customWidth="1"/>
    <col min="2863" max="2863" width="11.77734375" bestFit="1" customWidth="1"/>
    <col min="2864" max="2864" width="14.5546875" bestFit="1" customWidth="1"/>
    <col min="2865" max="2865" width="11.77734375" bestFit="1" customWidth="1"/>
    <col min="2866" max="2866" width="14.5546875" bestFit="1" customWidth="1"/>
    <col min="2867" max="2867" width="11.77734375" bestFit="1" customWidth="1"/>
    <col min="2868" max="2868" width="14.5546875" bestFit="1" customWidth="1"/>
    <col min="2869" max="2869" width="11.77734375" bestFit="1" customWidth="1"/>
    <col min="2870" max="2870" width="14.5546875" bestFit="1" customWidth="1"/>
    <col min="2871" max="2871" width="11.77734375" bestFit="1" customWidth="1"/>
    <col min="2872" max="2872" width="14.5546875" bestFit="1" customWidth="1"/>
    <col min="2873" max="2873" width="11.77734375" bestFit="1" customWidth="1"/>
    <col min="2874" max="2874" width="14.5546875" bestFit="1" customWidth="1"/>
    <col min="2875" max="2875" width="10.77734375" bestFit="1" customWidth="1"/>
    <col min="2876" max="2876" width="13.5546875" bestFit="1" customWidth="1"/>
    <col min="2877" max="2877" width="10.77734375" bestFit="1" customWidth="1"/>
    <col min="2878" max="2878" width="13.5546875" bestFit="1" customWidth="1"/>
    <col min="2879" max="2879" width="10.77734375" bestFit="1" customWidth="1"/>
    <col min="2880" max="2880" width="13.5546875" bestFit="1" customWidth="1"/>
    <col min="2881" max="2881" width="10.77734375" bestFit="1" customWidth="1"/>
    <col min="2882" max="2882" width="13.5546875" bestFit="1" customWidth="1"/>
    <col min="2883" max="2883" width="10.77734375" bestFit="1" customWidth="1"/>
    <col min="2884" max="2884" width="13.5546875" bestFit="1" customWidth="1"/>
    <col min="2885" max="2885" width="10.77734375" bestFit="1" customWidth="1"/>
    <col min="2886" max="2886" width="13.5546875" bestFit="1" customWidth="1"/>
    <col min="2887" max="2887" width="10.77734375" bestFit="1" customWidth="1"/>
    <col min="2888" max="2888" width="13.5546875" bestFit="1" customWidth="1"/>
    <col min="2889" max="2889" width="10.77734375" bestFit="1" customWidth="1"/>
    <col min="2890" max="2890" width="13.5546875" bestFit="1" customWidth="1"/>
    <col min="2891" max="2891" width="10.77734375" bestFit="1" customWidth="1"/>
    <col min="2892" max="2892" width="13.5546875" bestFit="1" customWidth="1"/>
    <col min="2893" max="2893" width="11.77734375" bestFit="1" customWidth="1"/>
    <col min="2894" max="2894" width="14.5546875" bestFit="1" customWidth="1"/>
    <col min="2895" max="2895" width="11.77734375" bestFit="1" customWidth="1"/>
    <col min="2896" max="2896" width="14.5546875" bestFit="1" customWidth="1"/>
    <col min="2897" max="2897" width="11.77734375" bestFit="1" customWidth="1"/>
    <col min="2898" max="2898" width="14.5546875" bestFit="1" customWidth="1"/>
    <col min="2899" max="2899" width="11.77734375" bestFit="1" customWidth="1"/>
    <col min="2900" max="2900" width="14.5546875" bestFit="1" customWidth="1"/>
    <col min="2901" max="2901" width="11.77734375" bestFit="1" customWidth="1"/>
    <col min="2902" max="2902" width="14.5546875" bestFit="1" customWidth="1"/>
    <col min="2903" max="2903" width="11.77734375" bestFit="1" customWidth="1"/>
    <col min="2904" max="2904" width="14.5546875" bestFit="1" customWidth="1"/>
    <col min="2905" max="2905" width="11.77734375" bestFit="1" customWidth="1"/>
    <col min="2906" max="2906" width="14.5546875" bestFit="1" customWidth="1"/>
    <col min="2907" max="2907" width="11.77734375" bestFit="1" customWidth="1"/>
    <col min="2908" max="2908" width="14.5546875" bestFit="1" customWidth="1"/>
    <col min="2909" max="2909" width="11.77734375" bestFit="1" customWidth="1"/>
    <col min="2910" max="2910" width="14.5546875" bestFit="1" customWidth="1"/>
    <col min="2911" max="2911" width="11.77734375" bestFit="1" customWidth="1"/>
    <col min="2912" max="2912" width="14.5546875" bestFit="1" customWidth="1"/>
    <col min="2913" max="2913" width="11.77734375" bestFit="1" customWidth="1"/>
    <col min="2914" max="2914" width="14.5546875" bestFit="1" customWidth="1"/>
    <col min="2915" max="2915" width="11.77734375" bestFit="1" customWidth="1"/>
    <col min="2916" max="2916" width="14.5546875" bestFit="1" customWidth="1"/>
    <col min="2917" max="2917" width="11.77734375" bestFit="1" customWidth="1"/>
    <col min="2918" max="2918" width="14.5546875" bestFit="1" customWidth="1"/>
    <col min="2919" max="2919" width="11.77734375" bestFit="1" customWidth="1"/>
    <col min="2920" max="2920" width="14.5546875" bestFit="1" customWidth="1"/>
    <col min="2921" max="2921" width="11.77734375" bestFit="1" customWidth="1"/>
    <col min="2922" max="2922" width="14.5546875" bestFit="1" customWidth="1"/>
    <col min="2923" max="2923" width="11.77734375" bestFit="1" customWidth="1"/>
    <col min="2924" max="2924" width="14.5546875" bestFit="1" customWidth="1"/>
    <col min="2925" max="2925" width="11.77734375" bestFit="1" customWidth="1"/>
    <col min="2926" max="2926" width="14.5546875" bestFit="1" customWidth="1"/>
    <col min="2927" max="2927" width="11.77734375" bestFit="1" customWidth="1"/>
    <col min="2928" max="2928" width="14.5546875" bestFit="1" customWidth="1"/>
    <col min="2929" max="2929" width="11.77734375" bestFit="1" customWidth="1"/>
    <col min="2930" max="2930" width="14.5546875" bestFit="1" customWidth="1"/>
    <col min="2931" max="2931" width="11.77734375" bestFit="1" customWidth="1"/>
    <col min="2932" max="2932" width="14.5546875" bestFit="1" customWidth="1"/>
    <col min="2933" max="2933" width="11.77734375" bestFit="1" customWidth="1"/>
    <col min="2934" max="2934" width="14.5546875" bestFit="1" customWidth="1"/>
    <col min="2935" max="2935" width="11.77734375" bestFit="1" customWidth="1"/>
    <col min="2936" max="2936" width="14.5546875" bestFit="1" customWidth="1"/>
    <col min="2937" max="2937" width="10.77734375" bestFit="1" customWidth="1"/>
    <col min="2938" max="2938" width="13.5546875" bestFit="1" customWidth="1"/>
    <col min="2939" max="2939" width="10.77734375" bestFit="1" customWidth="1"/>
    <col min="2940" max="2940" width="13.5546875" bestFit="1" customWidth="1"/>
    <col min="2941" max="2941" width="10.77734375" bestFit="1" customWidth="1"/>
    <col min="2942" max="2942" width="13.5546875" bestFit="1" customWidth="1"/>
    <col min="2943" max="2943" width="10.77734375" bestFit="1" customWidth="1"/>
    <col min="2944" max="2944" width="13.5546875" bestFit="1" customWidth="1"/>
    <col min="2945" max="2945" width="10.77734375" bestFit="1" customWidth="1"/>
    <col min="2946" max="2946" width="13.5546875" bestFit="1" customWidth="1"/>
    <col min="2947" max="2947" width="10.77734375" bestFit="1" customWidth="1"/>
    <col min="2948" max="2948" width="13.5546875" bestFit="1" customWidth="1"/>
    <col min="2949" max="2949" width="10.77734375" bestFit="1" customWidth="1"/>
    <col min="2950" max="2950" width="13.5546875" bestFit="1" customWidth="1"/>
    <col min="2951" max="2951" width="10.77734375" bestFit="1" customWidth="1"/>
    <col min="2952" max="2952" width="13.5546875" bestFit="1" customWidth="1"/>
    <col min="2953" max="2953" width="10.77734375" bestFit="1" customWidth="1"/>
    <col min="2954" max="2954" width="13.5546875" bestFit="1" customWidth="1"/>
    <col min="2955" max="2955" width="11.77734375" bestFit="1" customWidth="1"/>
    <col min="2956" max="2956" width="14.5546875" bestFit="1" customWidth="1"/>
    <col min="2957" max="2957" width="11.77734375" bestFit="1" customWidth="1"/>
    <col min="2958" max="2958" width="14.5546875" bestFit="1" customWidth="1"/>
    <col min="2959" max="2959" width="11.77734375" bestFit="1" customWidth="1"/>
    <col min="2960" max="2960" width="14.5546875" bestFit="1" customWidth="1"/>
    <col min="2961" max="2961" width="11.77734375" bestFit="1" customWidth="1"/>
    <col min="2962" max="2962" width="14.5546875" bestFit="1" customWidth="1"/>
    <col min="2963" max="2963" width="11.77734375" bestFit="1" customWidth="1"/>
    <col min="2964" max="2964" width="14.5546875" bestFit="1" customWidth="1"/>
    <col min="2965" max="2965" width="11.77734375" bestFit="1" customWidth="1"/>
    <col min="2966" max="2966" width="14.5546875" bestFit="1" customWidth="1"/>
    <col min="2967" max="2967" width="11.77734375" bestFit="1" customWidth="1"/>
    <col min="2968" max="2968" width="14.5546875" bestFit="1" customWidth="1"/>
    <col min="2969" max="2969" width="11.77734375" bestFit="1" customWidth="1"/>
    <col min="2970" max="2970" width="14.5546875" bestFit="1" customWidth="1"/>
    <col min="2971" max="2971" width="11.77734375" bestFit="1" customWidth="1"/>
    <col min="2972" max="2972" width="14.5546875" bestFit="1" customWidth="1"/>
    <col min="2973" max="2973" width="11.77734375" bestFit="1" customWidth="1"/>
    <col min="2974" max="2974" width="14.5546875" bestFit="1" customWidth="1"/>
    <col min="2975" max="2975" width="11.77734375" bestFit="1" customWidth="1"/>
    <col min="2976" max="2976" width="14.5546875" bestFit="1" customWidth="1"/>
    <col min="2977" max="2977" width="11.77734375" bestFit="1" customWidth="1"/>
    <col min="2978" max="2978" width="14.5546875" bestFit="1" customWidth="1"/>
    <col min="2979" max="2979" width="11.77734375" bestFit="1" customWidth="1"/>
    <col min="2980" max="2980" width="14.5546875" bestFit="1" customWidth="1"/>
    <col min="2981" max="2981" width="11.77734375" bestFit="1" customWidth="1"/>
    <col min="2982" max="2982" width="14.5546875" bestFit="1" customWidth="1"/>
    <col min="2983" max="2983" width="11.77734375" bestFit="1" customWidth="1"/>
    <col min="2984" max="2984" width="14.5546875" bestFit="1" customWidth="1"/>
    <col min="2985" max="2985" width="11.77734375" bestFit="1" customWidth="1"/>
    <col min="2986" max="2986" width="14.5546875" bestFit="1" customWidth="1"/>
    <col min="2987" max="2987" width="11.77734375" bestFit="1" customWidth="1"/>
    <col min="2988" max="2988" width="14.5546875" bestFit="1" customWidth="1"/>
    <col min="2989" max="2989" width="11.77734375" bestFit="1" customWidth="1"/>
    <col min="2990" max="2990" width="14.5546875" bestFit="1" customWidth="1"/>
    <col min="2991" max="2991" width="11.77734375" bestFit="1" customWidth="1"/>
    <col min="2992" max="2992" width="14.5546875" bestFit="1" customWidth="1"/>
    <col min="2993" max="2993" width="11.77734375" bestFit="1" customWidth="1"/>
    <col min="2994" max="2994" width="14.5546875" bestFit="1" customWidth="1"/>
    <col min="2995" max="2995" width="11.77734375" bestFit="1" customWidth="1"/>
    <col min="2996" max="2996" width="14.5546875" bestFit="1" customWidth="1"/>
    <col min="2997" max="2997" width="11.77734375" bestFit="1" customWidth="1"/>
    <col min="2998" max="2998" width="14.5546875" bestFit="1" customWidth="1"/>
    <col min="2999" max="2999" width="11.77734375" bestFit="1" customWidth="1"/>
    <col min="3000" max="3000" width="14.5546875" bestFit="1" customWidth="1"/>
    <col min="3001" max="3001" width="11.77734375" bestFit="1" customWidth="1"/>
    <col min="3002" max="3002" width="14.5546875" bestFit="1" customWidth="1"/>
    <col min="3003" max="3003" width="11.77734375" bestFit="1" customWidth="1"/>
    <col min="3004" max="3004" width="14.5546875" bestFit="1" customWidth="1"/>
    <col min="3005" max="3005" width="11.77734375" bestFit="1" customWidth="1"/>
    <col min="3006" max="3006" width="14.5546875" bestFit="1" customWidth="1"/>
    <col min="3007" max="3007" width="11.77734375" bestFit="1" customWidth="1"/>
    <col min="3008" max="3008" width="14.5546875" bestFit="1" customWidth="1"/>
    <col min="3009" max="3009" width="11.77734375" bestFit="1" customWidth="1"/>
    <col min="3010" max="3010" width="14.5546875" bestFit="1" customWidth="1"/>
    <col min="3011" max="3011" width="11.77734375" bestFit="1" customWidth="1"/>
    <col min="3012" max="3012" width="14.5546875" bestFit="1" customWidth="1"/>
    <col min="3013" max="3013" width="11.77734375" bestFit="1" customWidth="1"/>
    <col min="3014" max="3014" width="14.5546875" bestFit="1" customWidth="1"/>
    <col min="3015" max="3015" width="12.77734375" bestFit="1" customWidth="1"/>
    <col min="3016" max="3016" width="15.5546875" bestFit="1" customWidth="1"/>
    <col min="3017" max="3017" width="12.77734375" bestFit="1" customWidth="1"/>
    <col min="3018" max="3018" width="15.5546875" bestFit="1" customWidth="1"/>
    <col min="3019" max="3019" width="12.77734375" bestFit="1" customWidth="1"/>
    <col min="3020" max="3020" width="15.5546875" bestFit="1" customWidth="1"/>
    <col min="3021" max="3021" width="12.77734375" bestFit="1" customWidth="1"/>
    <col min="3022" max="3022" width="15.5546875" bestFit="1" customWidth="1"/>
    <col min="3023" max="3023" width="12.77734375" bestFit="1" customWidth="1"/>
    <col min="3024" max="3024" width="15.5546875" bestFit="1" customWidth="1"/>
    <col min="3025" max="3025" width="12.77734375" bestFit="1" customWidth="1"/>
    <col min="3026" max="3026" width="15.5546875" bestFit="1" customWidth="1"/>
    <col min="3027" max="3027" width="12.77734375" bestFit="1" customWidth="1"/>
    <col min="3028" max="3028" width="15.5546875" bestFit="1" customWidth="1"/>
    <col min="3029" max="3029" width="12.77734375" bestFit="1" customWidth="1"/>
    <col min="3030" max="3030" width="15.5546875" bestFit="1" customWidth="1"/>
    <col min="3031" max="3031" width="12.77734375" bestFit="1" customWidth="1"/>
    <col min="3032" max="3032" width="15.5546875" bestFit="1" customWidth="1"/>
    <col min="3033" max="3033" width="12.77734375" bestFit="1" customWidth="1"/>
    <col min="3034" max="3034" width="15.5546875" bestFit="1" customWidth="1"/>
    <col min="3035" max="3035" width="12.77734375" bestFit="1" customWidth="1"/>
    <col min="3036" max="3036" width="15.5546875" bestFit="1" customWidth="1"/>
    <col min="3037" max="3037" width="12.77734375" bestFit="1" customWidth="1"/>
    <col min="3038" max="3038" width="15.5546875" bestFit="1" customWidth="1"/>
    <col min="3039" max="3039" width="12.77734375" bestFit="1" customWidth="1"/>
    <col min="3040" max="3040" width="15.5546875" bestFit="1" customWidth="1"/>
    <col min="3041" max="3041" width="12.77734375" bestFit="1" customWidth="1"/>
    <col min="3042" max="3042" width="15.5546875" bestFit="1" customWidth="1"/>
    <col min="3043" max="3043" width="12.77734375" bestFit="1" customWidth="1"/>
    <col min="3044" max="3044" width="15.5546875" bestFit="1" customWidth="1"/>
    <col min="3045" max="3045" width="12.77734375" bestFit="1" customWidth="1"/>
    <col min="3046" max="3046" width="15.5546875" bestFit="1" customWidth="1"/>
    <col min="3047" max="3047" width="12.77734375" bestFit="1" customWidth="1"/>
    <col min="3048" max="3048" width="15.5546875" bestFit="1" customWidth="1"/>
    <col min="3049" max="3049" width="12.77734375" bestFit="1" customWidth="1"/>
    <col min="3050" max="3050" width="15.5546875" bestFit="1" customWidth="1"/>
    <col min="3051" max="3051" width="12.77734375" bestFit="1" customWidth="1"/>
    <col min="3052" max="3052" width="15.5546875" bestFit="1" customWidth="1"/>
    <col min="3053" max="3053" width="12.77734375" bestFit="1" customWidth="1"/>
    <col min="3054" max="3054" width="15.5546875" bestFit="1" customWidth="1"/>
    <col min="3055" max="3055" width="12.77734375" bestFit="1" customWidth="1"/>
    <col min="3056" max="3056" width="15.5546875" bestFit="1" customWidth="1"/>
    <col min="3057" max="3057" width="12.77734375" bestFit="1" customWidth="1"/>
    <col min="3058" max="3058" width="15.5546875" bestFit="1" customWidth="1"/>
    <col min="3059" max="3059" width="11.77734375" bestFit="1" customWidth="1"/>
    <col min="3060" max="3060" width="14.5546875" bestFit="1" customWidth="1"/>
    <col min="3061" max="3061" width="11.77734375" bestFit="1" customWidth="1"/>
    <col min="3062" max="3062" width="14.5546875" bestFit="1" customWidth="1"/>
    <col min="3063" max="3063" width="11.77734375" bestFit="1" customWidth="1"/>
    <col min="3064" max="3064" width="14.5546875" bestFit="1" customWidth="1"/>
    <col min="3065" max="3065" width="11.77734375" bestFit="1" customWidth="1"/>
    <col min="3066" max="3066" width="14.5546875" bestFit="1" customWidth="1"/>
    <col min="3067" max="3067" width="11.77734375" bestFit="1" customWidth="1"/>
    <col min="3068" max="3068" width="14.5546875" bestFit="1" customWidth="1"/>
    <col min="3069" max="3069" width="11.77734375" bestFit="1" customWidth="1"/>
    <col min="3070" max="3070" width="14.5546875" bestFit="1" customWidth="1"/>
    <col min="3071" max="3071" width="11.77734375" bestFit="1" customWidth="1"/>
    <col min="3072" max="3072" width="14.5546875" bestFit="1" customWidth="1"/>
    <col min="3073" max="3073" width="11.77734375" bestFit="1" customWidth="1"/>
    <col min="3074" max="3074" width="14.5546875" bestFit="1" customWidth="1"/>
    <col min="3075" max="3075" width="11.77734375" bestFit="1" customWidth="1"/>
    <col min="3076" max="3076" width="14.5546875" bestFit="1" customWidth="1"/>
    <col min="3077" max="3077" width="12.77734375" bestFit="1" customWidth="1"/>
    <col min="3078" max="3078" width="15.5546875" bestFit="1" customWidth="1"/>
    <col min="3079" max="3079" width="12.77734375" bestFit="1" customWidth="1"/>
    <col min="3080" max="3080" width="15.5546875" bestFit="1" customWidth="1"/>
    <col min="3081" max="3081" width="12.77734375" bestFit="1" customWidth="1"/>
    <col min="3082" max="3082" width="15.5546875" bestFit="1" customWidth="1"/>
    <col min="3083" max="3083" width="12.77734375" bestFit="1" customWidth="1"/>
    <col min="3084" max="3084" width="15.5546875" bestFit="1" customWidth="1"/>
    <col min="3085" max="3085" width="12.77734375" bestFit="1" customWidth="1"/>
    <col min="3086" max="3086" width="15.5546875" bestFit="1" customWidth="1"/>
    <col min="3087" max="3087" width="12.77734375" bestFit="1" customWidth="1"/>
    <col min="3088" max="3088" width="15.5546875" bestFit="1" customWidth="1"/>
    <col min="3089" max="3089" width="12.77734375" bestFit="1" customWidth="1"/>
    <col min="3090" max="3090" width="15.5546875" bestFit="1" customWidth="1"/>
    <col min="3091" max="3091" width="12.77734375" bestFit="1" customWidth="1"/>
    <col min="3092" max="3092" width="15.5546875" bestFit="1" customWidth="1"/>
    <col min="3093" max="3093" width="12.77734375" bestFit="1" customWidth="1"/>
    <col min="3094" max="3094" width="15.5546875" bestFit="1" customWidth="1"/>
    <col min="3095" max="3095" width="12.77734375" bestFit="1" customWidth="1"/>
    <col min="3096" max="3096" width="15.5546875" bestFit="1" customWidth="1"/>
    <col min="3097" max="3097" width="12.77734375" bestFit="1" customWidth="1"/>
    <col min="3098" max="3098" width="15.5546875" bestFit="1" customWidth="1"/>
    <col min="3099" max="3099" width="12.77734375" bestFit="1" customWidth="1"/>
    <col min="3100" max="3100" width="15.5546875" bestFit="1" customWidth="1"/>
    <col min="3101" max="3101" width="12.77734375" bestFit="1" customWidth="1"/>
    <col min="3102" max="3102" width="15.5546875" bestFit="1" customWidth="1"/>
    <col min="3103" max="3103" width="12.77734375" bestFit="1" customWidth="1"/>
    <col min="3104" max="3104" width="15.5546875" bestFit="1" customWidth="1"/>
    <col min="3105" max="3105" width="12.77734375" bestFit="1" customWidth="1"/>
    <col min="3106" max="3106" width="15.5546875" bestFit="1" customWidth="1"/>
    <col min="3107" max="3107" width="12.77734375" bestFit="1" customWidth="1"/>
    <col min="3108" max="3108" width="15.5546875" bestFit="1" customWidth="1"/>
    <col min="3109" max="3109" width="12.77734375" bestFit="1" customWidth="1"/>
    <col min="3110" max="3110" width="15.5546875" bestFit="1" customWidth="1"/>
    <col min="3111" max="3111" width="12.77734375" bestFit="1" customWidth="1"/>
    <col min="3112" max="3112" width="15.5546875" bestFit="1" customWidth="1"/>
    <col min="3113" max="3113" width="12.77734375" bestFit="1" customWidth="1"/>
    <col min="3114" max="3114" width="15.5546875" bestFit="1" customWidth="1"/>
    <col min="3115" max="3115" width="12.77734375" bestFit="1" customWidth="1"/>
    <col min="3116" max="3116" width="15.5546875" bestFit="1" customWidth="1"/>
    <col min="3117" max="3117" width="12.77734375" bestFit="1" customWidth="1"/>
    <col min="3118" max="3118" width="15.5546875" bestFit="1" customWidth="1"/>
    <col min="3119" max="3119" width="11.77734375" bestFit="1" customWidth="1"/>
    <col min="3120" max="3120" width="14.5546875" bestFit="1" customWidth="1"/>
    <col min="3121" max="3121" width="11.77734375" bestFit="1" customWidth="1"/>
    <col min="3122" max="3122" width="14.5546875" bestFit="1" customWidth="1"/>
    <col min="3123" max="3123" width="11.77734375" bestFit="1" customWidth="1"/>
    <col min="3124" max="3124" width="14.5546875" bestFit="1" customWidth="1"/>
    <col min="3125" max="3125" width="11.77734375" bestFit="1" customWidth="1"/>
    <col min="3126" max="3126" width="14.5546875" bestFit="1" customWidth="1"/>
    <col min="3127" max="3127" width="11.77734375" bestFit="1" customWidth="1"/>
    <col min="3128" max="3128" width="14.5546875" bestFit="1" customWidth="1"/>
    <col min="3129" max="3129" width="11.77734375" bestFit="1" customWidth="1"/>
    <col min="3130" max="3130" width="14.5546875" bestFit="1" customWidth="1"/>
    <col min="3131" max="3131" width="11.77734375" bestFit="1" customWidth="1"/>
    <col min="3132" max="3132" width="14.5546875" bestFit="1" customWidth="1"/>
    <col min="3133" max="3133" width="11.77734375" bestFit="1" customWidth="1"/>
    <col min="3134" max="3134" width="14.5546875" bestFit="1" customWidth="1"/>
    <col min="3135" max="3135" width="11.77734375" bestFit="1" customWidth="1"/>
    <col min="3136" max="3136" width="14.5546875" bestFit="1" customWidth="1"/>
    <col min="3137" max="3137" width="12.77734375" bestFit="1" customWidth="1"/>
    <col min="3138" max="3138" width="15.5546875" bestFit="1" customWidth="1"/>
    <col min="3139" max="3139" width="12.77734375" bestFit="1" customWidth="1"/>
    <col min="3140" max="3140" width="15.5546875" bestFit="1" customWidth="1"/>
    <col min="3141" max="3141" width="12.77734375" bestFit="1" customWidth="1"/>
    <col min="3142" max="3142" width="15.5546875" bestFit="1" customWidth="1"/>
    <col min="3143" max="3143" width="12.77734375" bestFit="1" customWidth="1"/>
    <col min="3144" max="3144" width="15.5546875" bestFit="1" customWidth="1"/>
    <col min="3145" max="3145" width="12.77734375" bestFit="1" customWidth="1"/>
    <col min="3146" max="3146" width="15.5546875" bestFit="1" customWidth="1"/>
    <col min="3147" max="3147" width="12.77734375" bestFit="1" customWidth="1"/>
    <col min="3148" max="3148" width="15.5546875" bestFit="1" customWidth="1"/>
    <col min="3149" max="3149" width="12.77734375" bestFit="1" customWidth="1"/>
    <col min="3150" max="3150" width="15.5546875" bestFit="1" customWidth="1"/>
    <col min="3151" max="3151" width="12.77734375" bestFit="1" customWidth="1"/>
    <col min="3152" max="3152" width="15.5546875" bestFit="1" customWidth="1"/>
    <col min="3153" max="3153" width="12.77734375" bestFit="1" customWidth="1"/>
    <col min="3154" max="3154" width="15.5546875" bestFit="1" customWidth="1"/>
    <col min="3155" max="3155" width="12.77734375" bestFit="1" customWidth="1"/>
    <col min="3156" max="3156" width="15.5546875" bestFit="1" customWidth="1"/>
    <col min="3157" max="3157" width="12.77734375" bestFit="1" customWidth="1"/>
    <col min="3158" max="3158" width="15.5546875" bestFit="1" customWidth="1"/>
    <col min="3159" max="3159" width="12.77734375" bestFit="1" customWidth="1"/>
    <col min="3160" max="3160" width="15.5546875" bestFit="1" customWidth="1"/>
    <col min="3161" max="3161" width="12.77734375" bestFit="1" customWidth="1"/>
    <col min="3162" max="3162" width="15.5546875" bestFit="1" customWidth="1"/>
    <col min="3163" max="3163" width="12.77734375" bestFit="1" customWidth="1"/>
    <col min="3164" max="3164" width="15.5546875" bestFit="1" customWidth="1"/>
    <col min="3165" max="3165" width="12.77734375" bestFit="1" customWidth="1"/>
    <col min="3166" max="3166" width="15.5546875" bestFit="1" customWidth="1"/>
    <col min="3167" max="3167" width="12.77734375" bestFit="1" customWidth="1"/>
    <col min="3168" max="3168" width="15.5546875" bestFit="1" customWidth="1"/>
    <col min="3169" max="3169" width="12.77734375" bestFit="1" customWidth="1"/>
    <col min="3170" max="3170" width="15.5546875" bestFit="1" customWidth="1"/>
    <col min="3171" max="3171" width="12.77734375" bestFit="1" customWidth="1"/>
    <col min="3172" max="3172" width="15.5546875" bestFit="1" customWidth="1"/>
    <col min="3173" max="3173" width="12.77734375" bestFit="1" customWidth="1"/>
    <col min="3174" max="3174" width="15.5546875" bestFit="1" customWidth="1"/>
    <col min="3175" max="3175" width="12.77734375" bestFit="1" customWidth="1"/>
    <col min="3176" max="3176" width="15.5546875" bestFit="1" customWidth="1"/>
    <col min="3177" max="3177" width="12.77734375" bestFit="1" customWidth="1"/>
    <col min="3178" max="3178" width="15.5546875" bestFit="1" customWidth="1"/>
    <col min="3179" max="3179" width="12.77734375" bestFit="1" customWidth="1"/>
    <col min="3180" max="3180" width="15.5546875" bestFit="1" customWidth="1"/>
    <col min="3181" max="3181" width="10.77734375" bestFit="1" customWidth="1"/>
    <col min="3182" max="3182" width="13.5546875" bestFit="1" customWidth="1"/>
    <col min="3183" max="3183" width="10.77734375" bestFit="1" customWidth="1"/>
    <col min="3184" max="3184" width="13.5546875" bestFit="1" customWidth="1"/>
    <col min="3185" max="3185" width="10.77734375" bestFit="1" customWidth="1"/>
    <col min="3186" max="3186" width="13.5546875" bestFit="1" customWidth="1"/>
    <col min="3187" max="3187" width="10.77734375" bestFit="1" customWidth="1"/>
    <col min="3188" max="3188" width="13.5546875" bestFit="1" customWidth="1"/>
    <col min="3189" max="3189" width="10.77734375" bestFit="1" customWidth="1"/>
    <col min="3190" max="3190" width="13.5546875" bestFit="1" customWidth="1"/>
    <col min="3191" max="3191" width="10.77734375" bestFit="1" customWidth="1"/>
    <col min="3192" max="3192" width="13.5546875" bestFit="1" customWidth="1"/>
    <col min="3193" max="3193" width="10.77734375" bestFit="1" customWidth="1"/>
    <col min="3194" max="3194" width="13.5546875" bestFit="1" customWidth="1"/>
    <col min="3195" max="3195" width="10.77734375" bestFit="1" customWidth="1"/>
    <col min="3196" max="3196" width="13.5546875" bestFit="1" customWidth="1"/>
    <col min="3197" max="3197" width="10.77734375" bestFit="1" customWidth="1"/>
    <col min="3198" max="3198" width="13.5546875" bestFit="1" customWidth="1"/>
    <col min="3199" max="3199" width="11.77734375" bestFit="1" customWidth="1"/>
    <col min="3200" max="3200" width="14.5546875" bestFit="1" customWidth="1"/>
    <col min="3201" max="3201" width="11.77734375" bestFit="1" customWidth="1"/>
    <col min="3202" max="3202" width="14.5546875" bestFit="1" customWidth="1"/>
    <col min="3203" max="3203" width="11.77734375" bestFit="1" customWidth="1"/>
    <col min="3204" max="3204" width="14.5546875" bestFit="1" customWidth="1"/>
    <col min="3205" max="3205" width="11.77734375" bestFit="1" customWidth="1"/>
    <col min="3206" max="3206" width="14.5546875" bestFit="1" customWidth="1"/>
    <col min="3207" max="3207" width="11.77734375" bestFit="1" customWidth="1"/>
    <col min="3208" max="3208" width="14.5546875" bestFit="1" customWidth="1"/>
    <col min="3209" max="3209" width="11.77734375" bestFit="1" customWidth="1"/>
    <col min="3210" max="3210" width="14.5546875" bestFit="1" customWidth="1"/>
    <col min="3211" max="3211" width="11.77734375" bestFit="1" customWidth="1"/>
    <col min="3212" max="3212" width="14.5546875" bestFit="1" customWidth="1"/>
    <col min="3213" max="3213" width="11.77734375" bestFit="1" customWidth="1"/>
    <col min="3214" max="3214" width="14.5546875" bestFit="1" customWidth="1"/>
    <col min="3215" max="3215" width="11.77734375" bestFit="1" customWidth="1"/>
    <col min="3216" max="3216" width="14.5546875" bestFit="1" customWidth="1"/>
    <col min="3217" max="3217" width="11.77734375" bestFit="1" customWidth="1"/>
    <col min="3218" max="3218" width="14.5546875" bestFit="1" customWidth="1"/>
    <col min="3219" max="3219" width="11.77734375" bestFit="1" customWidth="1"/>
    <col min="3220" max="3220" width="14.5546875" bestFit="1" customWidth="1"/>
    <col min="3221" max="3221" width="11.77734375" bestFit="1" customWidth="1"/>
    <col min="3222" max="3222" width="14.5546875" bestFit="1" customWidth="1"/>
    <col min="3223" max="3223" width="11.77734375" bestFit="1" customWidth="1"/>
    <col min="3224" max="3224" width="14.5546875" bestFit="1" customWidth="1"/>
    <col min="3225" max="3225" width="11.77734375" bestFit="1" customWidth="1"/>
    <col min="3226" max="3226" width="14.5546875" bestFit="1" customWidth="1"/>
    <col min="3227" max="3227" width="11.77734375" bestFit="1" customWidth="1"/>
    <col min="3228" max="3228" width="14.5546875" bestFit="1" customWidth="1"/>
    <col min="3229" max="3229" width="11.77734375" bestFit="1" customWidth="1"/>
    <col min="3230" max="3230" width="14.5546875" bestFit="1" customWidth="1"/>
    <col min="3231" max="3231" width="11.77734375" bestFit="1" customWidth="1"/>
    <col min="3232" max="3232" width="14.5546875" bestFit="1" customWidth="1"/>
    <col min="3233" max="3233" width="11.77734375" bestFit="1" customWidth="1"/>
    <col min="3234" max="3234" width="14.5546875" bestFit="1" customWidth="1"/>
    <col min="3235" max="3235" width="11.77734375" bestFit="1" customWidth="1"/>
    <col min="3236" max="3236" width="14.5546875" bestFit="1" customWidth="1"/>
    <col min="3237" max="3237" width="11.77734375" bestFit="1" customWidth="1"/>
    <col min="3238" max="3238" width="14.5546875" bestFit="1" customWidth="1"/>
    <col min="3239" max="3239" width="11.77734375" bestFit="1" customWidth="1"/>
    <col min="3240" max="3240" width="14.5546875" bestFit="1" customWidth="1"/>
    <col min="3241" max="3241" width="11.77734375" bestFit="1" customWidth="1"/>
    <col min="3242" max="3242" width="14.5546875" bestFit="1" customWidth="1"/>
    <col min="3243" max="3243" width="10.77734375" bestFit="1" customWidth="1"/>
    <col min="3244" max="3244" width="13.5546875" bestFit="1" customWidth="1"/>
    <col min="3245" max="3245" width="10.77734375" bestFit="1" customWidth="1"/>
    <col min="3246" max="3246" width="13.5546875" bestFit="1" customWidth="1"/>
    <col min="3247" max="3247" width="10.77734375" bestFit="1" customWidth="1"/>
    <col min="3248" max="3248" width="13.5546875" bestFit="1" customWidth="1"/>
    <col min="3249" max="3249" width="10.77734375" bestFit="1" customWidth="1"/>
    <col min="3250" max="3250" width="13.5546875" bestFit="1" customWidth="1"/>
    <col min="3251" max="3251" width="10.77734375" bestFit="1" customWidth="1"/>
    <col min="3252" max="3252" width="13.5546875" bestFit="1" customWidth="1"/>
    <col min="3253" max="3253" width="10.77734375" bestFit="1" customWidth="1"/>
    <col min="3254" max="3254" width="13.5546875" bestFit="1" customWidth="1"/>
    <col min="3255" max="3255" width="10.77734375" bestFit="1" customWidth="1"/>
    <col min="3256" max="3256" width="13.5546875" bestFit="1" customWidth="1"/>
    <col min="3257" max="3257" width="10.77734375" bestFit="1" customWidth="1"/>
    <col min="3258" max="3258" width="13.5546875" bestFit="1" customWidth="1"/>
    <col min="3259" max="3259" width="10.77734375" bestFit="1" customWidth="1"/>
    <col min="3260" max="3260" width="13.5546875" bestFit="1" customWidth="1"/>
    <col min="3261" max="3261" width="11.77734375" bestFit="1" customWidth="1"/>
    <col min="3262" max="3262" width="14.5546875" bestFit="1" customWidth="1"/>
    <col min="3263" max="3263" width="11.77734375" bestFit="1" customWidth="1"/>
    <col min="3264" max="3264" width="14.5546875" bestFit="1" customWidth="1"/>
    <col min="3265" max="3265" width="11.77734375" bestFit="1" customWidth="1"/>
    <col min="3266" max="3266" width="14.5546875" bestFit="1" customWidth="1"/>
    <col min="3267" max="3267" width="11.77734375" bestFit="1" customWidth="1"/>
    <col min="3268" max="3268" width="14.5546875" bestFit="1" customWidth="1"/>
    <col min="3269" max="3269" width="11.77734375" bestFit="1" customWidth="1"/>
    <col min="3270" max="3270" width="14.5546875" bestFit="1" customWidth="1"/>
    <col min="3271" max="3271" width="11.77734375" bestFit="1" customWidth="1"/>
    <col min="3272" max="3272" width="14.5546875" bestFit="1" customWidth="1"/>
    <col min="3273" max="3273" width="11.77734375" bestFit="1" customWidth="1"/>
    <col min="3274" max="3274" width="14.5546875" bestFit="1" customWidth="1"/>
    <col min="3275" max="3275" width="11.77734375" bestFit="1" customWidth="1"/>
    <col min="3276" max="3276" width="14.5546875" bestFit="1" customWidth="1"/>
    <col min="3277" max="3277" width="11.77734375" bestFit="1" customWidth="1"/>
    <col min="3278" max="3278" width="14.5546875" bestFit="1" customWidth="1"/>
    <col min="3279" max="3279" width="11.77734375" bestFit="1" customWidth="1"/>
    <col min="3280" max="3280" width="14.5546875" bestFit="1" customWidth="1"/>
    <col min="3281" max="3281" width="11.77734375" bestFit="1" customWidth="1"/>
    <col min="3282" max="3282" width="14.5546875" bestFit="1" customWidth="1"/>
    <col min="3283" max="3283" width="11.77734375" bestFit="1" customWidth="1"/>
    <col min="3284" max="3284" width="14.5546875" bestFit="1" customWidth="1"/>
    <col min="3285" max="3285" width="11.77734375" bestFit="1" customWidth="1"/>
    <col min="3286" max="3286" width="14.5546875" bestFit="1" customWidth="1"/>
    <col min="3287" max="3287" width="11.77734375" bestFit="1" customWidth="1"/>
    <col min="3288" max="3288" width="14.5546875" bestFit="1" customWidth="1"/>
    <col min="3289" max="3289" width="11.77734375" bestFit="1" customWidth="1"/>
    <col min="3290" max="3290" width="14.5546875" bestFit="1" customWidth="1"/>
    <col min="3291" max="3291" width="11.77734375" bestFit="1" customWidth="1"/>
    <col min="3292" max="3292" width="14.5546875" bestFit="1" customWidth="1"/>
    <col min="3293" max="3293" width="11.77734375" bestFit="1" customWidth="1"/>
    <col min="3294" max="3294" width="14.5546875" bestFit="1" customWidth="1"/>
    <col min="3295" max="3295" width="11.77734375" bestFit="1" customWidth="1"/>
    <col min="3296" max="3296" width="14.5546875" bestFit="1" customWidth="1"/>
    <col min="3297" max="3297" width="11.77734375" bestFit="1" customWidth="1"/>
    <col min="3298" max="3298" width="14.5546875" bestFit="1" customWidth="1"/>
    <col min="3299" max="3299" width="10.77734375" bestFit="1" customWidth="1"/>
    <col min="3300" max="3300" width="13.5546875" bestFit="1" customWidth="1"/>
    <col min="3301" max="3301" width="10.77734375" bestFit="1" customWidth="1"/>
    <col min="3302" max="3302" width="13.5546875" bestFit="1" customWidth="1"/>
    <col min="3303" max="3303" width="10.77734375" bestFit="1" customWidth="1"/>
    <col min="3304" max="3304" width="13.5546875" bestFit="1" customWidth="1"/>
    <col min="3305" max="3305" width="10.77734375" bestFit="1" customWidth="1"/>
    <col min="3306" max="3306" width="13.5546875" bestFit="1" customWidth="1"/>
    <col min="3307" max="3307" width="10.77734375" bestFit="1" customWidth="1"/>
    <col min="3308" max="3308" width="13.5546875" bestFit="1" customWidth="1"/>
    <col min="3309" max="3309" width="10.77734375" bestFit="1" customWidth="1"/>
    <col min="3310" max="3310" width="13.5546875" bestFit="1" customWidth="1"/>
    <col min="3311" max="3311" width="10.77734375" bestFit="1" customWidth="1"/>
    <col min="3312" max="3312" width="13.5546875" bestFit="1" customWidth="1"/>
    <col min="3313" max="3313" width="10.77734375" bestFit="1" customWidth="1"/>
    <col min="3314" max="3314" width="13.5546875" bestFit="1" customWidth="1"/>
    <col min="3315" max="3315" width="10.77734375" bestFit="1" customWidth="1"/>
    <col min="3316" max="3316" width="13.5546875" bestFit="1" customWidth="1"/>
    <col min="3317" max="3317" width="11.77734375" bestFit="1" customWidth="1"/>
    <col min="3318" max="3318" width="14.5546875" bestFit="1" customWidth="1"/>
    <col min="3319" max="3319" width="10.77734375" bestFit="1" customWidth="1"/>
  </cols>
  <sheetData>
    <row r="1" spans="1:1" x14ac:dyDescent="0.3">
      <c r="A1" s="23" t="s">
        <v>16</v>
      </c>
    </row>
    <row r="2" spans="1:1" x14ac:dyDescent="0.3">
      <c r="A2" s="24">
        <v>36526</v>
      </c>
    </row>
    <row r="3" spans="1:1" x14ac:dyDescent="0.3">
      <c r="A3" s="24">
        <v>36527</v>
      </c>
    </row>
    <row r="4" spans="1:1" x14ac:dyDescent="0.3">
      <c r="A4" s="24">
        <v>36528</v>
      </c>
    </row>
    <row r="5" spans="1:1" x14ac:dyDescent="0.3">
      <c r="A5" s="24">
        <v>36529</v>
      </c>
    </row>
    <row r="6" spans="1:1" x14ac:dyDescent="0.3">
      <c r="A6" s="24">
        <v>36530</v>
      </c>
    </row>
    <row r="7" spans="1:1" x14ac:dyDescent="0.3">
      <c r="A7" s="24">
        <v>36531</v>
      </c>
    </row>
    <row r="8" spans="1:1" x14ac:dyDescent="0.3">
      <c r="A8" s="24">
        <v>36532</v>
      </c>
    </row>
    <row r="9" spans="1:1" x14ac:dyDescent="0.3">
      <c r="A9" s="24">
        <v>36533</v>
      </c>
    </row>
    <row r="10" spans="1:1" x14ac:dyDescent="0.3">
      <c r="A10" s="24">
        <v>36534</v>
      </c>
    </row>
    <row r="11" spans="1:1" x14ac:dyDescent="0.3">
      <c r="A11" s="24">
        <v>36535</v>
      </c>
    </row>
    <row r="12" spans="1:1" x14ac:dyDescent="0.3">
      <c r="A12" s="24">
        <v>36536</v>
      </c>
    </row>
    <row r="13" spans="1:1" x14ac:dyDescent="0.3">
      <c r="A13" s="24">
        <v>36537</v>
      </c>
    </row>
    <row r="14" spans="1:1" x14ac:dyDescent="0.3">
      <c r="A14" s="24">
        <v>36538</v>
      </c>
    </row>
    <row r="15" spans="1:1" x14ac:dyDescent="0.3">
      <c r="A15" s="24">
        <v>36539</v>
      </c>
    </row>
    <row r="16" spans="1:1" x14ac:dyDescent="0.3">
      <c r="A16" s="24">
        <v>36540</v>
      </c>
    </row>
    <row r="17" spans="1:1" x14ac:dyDescent="0.3">
      <c r="A17" s="24">
        <v>36541</v>
      </c>
    </row>
    <row r="18" spans="1:1" x14ac:dyDescent="0.3">
      <c r="A18" s="24">
        <v>36542</v>
      </c>
    </row>
    <row r="19" spans="1:1" x14ac:dyDescent="0.3">
      <c r="A19" s="24">
        <v>36543</v>
      </c>
    </row>
    <row r="20" spans="1:1" x14ac:dyDescent="0.3">
      <c r="A20" s="24">
        <v>36544</v>
      </c>
    </row>
    <row r="21" spans="1:1" x14ac:dyDescent="0.3">
      <c r="A21" s="24">
        <v>36545</v>
      </c>
    </row>
    <row r="22" spans="1:1" x14ac:dyDescent="0.3">
      <c r="A22" s="24">
        <v>36546</v>
      </c>
    </row>
    <row r="23" spans="1:1" x14ac:dyDescent="0.3">
      <c r="A23" s="24">
        <v>36547</v>
      </c>
    </row>
    <row r="24" spans="1:1" x14ac:dyDescent="0.3">
      <c r="A24" s="24">
        <v>36548</v>
      </c>
    </row>
    <row r="25" spans="1:1" x14ac:dyDescent="0.3">
      <c r="A25" s="24">
        <v>36549</v>
      </c>
    </row>
    <row r="26" spans="1:1" x14ac:dyDescent="0.3">
      <c r="A26" s="24">
        <v>36550</v>
      </c>
    </row>
    <row r="27" spans="1:1" x14ac:dyDescent="0.3">
      <c r="A27" s="24">
        <v>36551</v>
      </c>
    </row>
    <row r="28" spans="1:1" x14ac:dyDescent="0.3">
      <c r="A28" s="24">
        <v>36552</v>
      </c>
    </row>
    <row r="29" spans="1:1" x14ac:dyDescent="0.3">
      <c r="A29" s="24">
        <v>36553</v>
      </c>
    </row>
    <row r="30" spans="1:1" x14ac:dyDescent="0.3">
      <c r="A30" s="24">
        <v>36554</v>
      </c>
    </row>
    <row r="31" spans="1:1" x14ac:dyDescent="0.3">
      <c r="A31" s="24">
        <v>36555</v>
      </c>
    </row>
    <row r="32" spans="1:1" x14ac:dyDescent="0.3">
      <c r="A32" s="24">
        <v>36556</v>
      </c>
    </row>
    <row r="33" spans="1:1" x14ac:dyDescent="0.3">
      <c r="A33" s="24">
        <v>36557</v>
      </c>
    </row>
    <row r="34" spans="1:1" x14ac:dyDescent="0.3">
      <c r="A34" s="24">
        <v>36558</v>
      </c>
    </row>
    <row r="35" spans="1:1" x14ac:dyDescent="0.3">
      <c r="A35" s="24">
        <v>36559</v>
      </c>
    </row>
    <row r="36" spans="1:1" x14ac:dyDescent="0.3">
      <c r="A36" s="24">
        <v>36560</v>
      </c>
    </row>
    <row r="37" spans="1:1" x14ac:dyDescent="0.3">
      <c r="A37" s="24">
        <v>36561</v>
      </c>
    </row>
    <row r="38" spans="1:1" x14ac:dyDescent="0.3">
      <c r="A38" s="24">
        <v>36562</v>
      </c>
    </row>
    <row r="39" spans="1:1" x14ac:dyDescent="0.3">
      <c r="A39" s="24">
        <v>36563</v>
      </c>
    </row>
    <row r="40" spans="1:1" x14ac:dyDescent="0.3">
      <c r="A40" s="24">
        <v>36564</v>
      </c>
    </row>
    <row r="41" spans="1:1" x14ac:dyDescent="0.3">
      <c r="A41" s="24">
        <v>36565</v>
      </c>
    </row>
    <row r="42" spans="1:1" x14ac:dyDescent="0.3">
      <c r="A42" s="24">
        <v>36566</v>
      </c>
    </row>
    <row r="43" spans="1:1" x14ac:dyDescent="0.3">
      <c r="A43" s="24">
        <v>36567</v>
      </c>
    </row>
    <row r="44" spans="1:1" x14ac:dyDescent="0.3">
      <c r="A44" s="24">
        <v>36568</v>
      </c>
    </row>
    <row r="45" spans="1:1" x14ac:dyDescent="0.3">
      <c r="A45" s="24">
        <v>36569</v>
      </c>
    </row>
    <row r="46" spans="1:1" x14ac:dyDescent="0.3">
      <c r="A46" s="24">
        <v>36570</v>
      </c>
    </row>
    <row r="47" spans="1:1" x14ac:dyDescent="0.3">
      <c r="A47" s="24">
        <v>36571</v>
      </c>
    </row>
    <row r="48" spans="1:1" x14ac:dyDescent="0.3">
      <c r="A48" s="24">
        <v>36572</v>
      </c>
    </row>
    <row r="49" spans="1:1" x14ac:dyDescent="0.3">
      <c r="A49" s="24">
        <v>36573</v>
      </c>
    </row>
    <row r="50" spans="1:1" x14ac:dyDescent="0.3">
      <c r="A50" s="24">
        <v>36574</v>
      </c>
    </row>
    <row r="51" spans="1:1" x14ac:dyDescent="0.3">
      <c r="A51" s="24">
        <v>36575</v>
      </c>
    </row>
    <row r="52" spans="1:1" x14ac:dyDescent="0.3">
      <c r="A52" s="24">
        <v>36576</v>
      </c>
    </row>
    <row r="53" spans="1:1" x14ac:dyDescent="0.3">
      <c r="A53" s="24">
        <v>36577</v>
      </c>
    </row>
    <row r="54" spans="1:1" x14ac:dyDescent="0.3">
      <c r="A54" s="24">
        <v>36578</v>
      </c>
    </row>
    <row r="55" spans="1:1" x14ac:dyDescent="0.3">
      <c r="A55" s="24">
        <v>36579</v>
      </c>
    </row>
    <row r="56" spans="1:1" x14ac:dyDescent="0.3">
      <c r="A56" s="24">
        <v>36580</v>
      </c>
    </row>
    <row r="57" spans="1:1" x14ac:dyDescent="0.3">
      <c r="A57" s="24">
        <v>36581</v>
      </c>
    </row>
    <row r="58" spans="1:1" x14ac:dyDescent="0.3">
      <c r="A58" s="24">
        <v>36582</v>
      </c>
    </row>
    <row r="59" spans="1:1" x14ac:dyDescent="0.3">
      <c r="A59" s="24">
        <v>36583</v>
      </c>
    </row>
    <row r="60" spans="1:1" x14ac:dyDescent="0.3">
      <c r="A60" s="24">
        <v>36584</v>
      </c>
    </row>
    <row r="61" spans="1:1" x14ac:dyDescent="0.3">
      <c r="A61" s="24">
        <v>36585</v>
      </c>
    </row>
    <row r="62" spans="1:1" x14ac:dyDescent="0.3">
      <c r="A62" s="24">
        <v>36586</v>
      </c>
    </row>
    <row r="63" spans="1:1" x14ac:dyDescent="0.3">
      <c r="A63" s="24">
        <v>36587</v>
      </c>
    </row>
    <row r="64" spans="1:1" x14ac:dyDescent="0.3">
      <c r="A64" s="24">
        <v>36588</v>
      </c>
    </row>
    <row r="65" spans="1:1" x14ac:dyDescent="0.3">
      <c r="A65" s="24">
        <v>36589</v>
      </c>
    </row>
    <row r="66" spans="1:1" x14ac:dyDescent="0.3">
      <c r="A66" s="24">
        <v>36590</v>
      </c>
    </row>
    <row r="67" spans="1:1" x14ac:dyDescent="0.3">
      <c r="A67" s="24">
        <v>36591</v>
      </c>
    </row>
    <row r="68" spans="1:1" x14ac:dyDescent="0.3">
      <c r="A68" s="24">
        <v>36592</v>
      </c>
    </row>
    <row r="69" spans="1:1" x14ac:dyDescent="0.3">
      <c r="A69" s="24">
        <v>36593</v>
      </c>
    </row>
    <row r="70" spans="1:1" x14ac:dyDescent="0.3">
      <c r="A70" s="24">
        <v>36594</v>
      </c>
    </row>
    <row r="71" spans="1:1" x14ac:dyDescent="0.3">
      <c r="A71" s="24">
        <v>36595</v>
      </c>
    </row>
    <row r="72" spans="1:1" x14ac:dyDescent="0.3">
      <c r="A72" s="24">
        <v>36596</v>
      </c>
    </row>
    <row r="73" spans="1:1" x14ac:dyDescent="0.3">
      <c r="A73" s="24">
        <v>36597</v>
      </c>
    </row>
    <row r="74" spans="1:1" x14ac:dyDescent="0.3">
      <c r="A74" s="24">
        <v>36598</v>
      </c>
    </row>
    <row r="75" spans="1:1" x14ac:dyDescent="0.3">
      <c r="A75" s="24">
        <v>36599</v>
      </c>
    </row>
    <row r="76" spans="1:1" x14ac:dyDescent="0.3">
      <c r="A76" s="24">
        <v>36600</v>
      </c>
    </row>
    <row r="77" spans="1:1" x14ac:dyDescent="0.3">
      <c r="A77" s="24">
        <v>36601</v>
      </c>
    </row>
    <row r="78" spans="1:1" x14ac:dyDescent="0.3">
      <c r="A78" s="24">
        <v>36602</v>
      </c>
    </row>
    <row r="79" spans="1:1" x14ac:dyDescent="0.3">
      <c r="A79" s="24">
        <v>36603</v>
      </c>
    </row>
    <row r="80" spans="1:1" x14ac:dyDescent="0.3">
      <c r="A80" s="24">
        <v>36604</v>
      </c>
    </row>
    <row r="81" spans="1:1" x14ac:dyDescent="0.3">
      <c r="A81" s="24">
        <v>36605</v>
      </c>
    </row>
    <row r="82" spans="1:1" x14ac:dyDescent="0.3">
      <c r="A82" s="24">
        <v>36606</v>
      </c>
    </row>
    <row r="83" spans="1:1" x14ac:dyDescent="0.3">
      <c r="A83" s="24">
        <v>36607</v>
      </c>
    </row>
    <row r="84" spans="1:1" x14ac:dyDescent="0.3">
      <c r="A84" s="24">
        <v>36608</v>
      </c>
    </row>
    <row r="85" spans="1:1" x14ac:dyDescent="0.3">
      <c r="A85" s="24" t="s">
        <v>17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3:AEO8"/>
  <sheetViews>
    <sheetView workbookViewId="0"/>
  </sheetViews>
  <sheetFormatPr defaultRowHeight="14.4" x14ac:dyDescent="0.3"/>
  <cols>
    <col min="1" max="1" width="14.44140625" customWidth="1"/>
    <col min="2" max="2" width="15.5546875" bestFit="1" customWidth="1"/>
    <col min="3" max="4" width="12" bestFit="1" customWidth="1"/>
    <col min="5" max="13" width="12" customWidth="1"/>
    <col min="14" max="14" width="11" customWidth="1"/>
    <col min="15" max="32" width="12" customWidth="1"/>
    <col min="33" max="33" width="11" customWidth="1"/>
    <col min="34" max="49" width="12" customWidth="1"/>
    <col min="50" max="50" width="11" customWidth="1"/>
    <col min="51" max="52" width="12" customWidth="1"/>
    <col min="53" max="53" width="11" customWidth="1"/>
    <col min="54" max="55" width="12" customWidth="1"/>
    <col min="56" max="56" width="10" customWidth="1"/>
    <col min="57" max="66" width="12" customWidth="1"/>
    <col min="67" max="67" width="11" customWidth="1"/>
    <col min="68" max="70" width="12" customWidth="1"/>
    <col min="71" max="72" width="11" customWidth="1"/>
    <col min="73" max="74" width="12" customWidth="1"/>
    <col min="75" max="75" width="10" customWidth="1"/>
    <col min="76" max="79" width="12" customWidth="1"/>
    <col min="80" max="80" width="10.77734375" customWidth="1"/>
    <col min="81" max="82" width="12" customWidth="1"/>
    <col min="83" max="83" width="11" customWidth="1"/>
    <col min="84" max="100" width="12" customWidth="1"/>
    <col min="101" max="101" width="11" customWidth="1"/>
    <col min="102" max="113" width="12" customWidth="1"/>
    <col min="114" max="114" width="11" customWidth="1"/>
    <col min="115" max="130" width="12" customWidth="1"/>
    <col min="131" max="132" width="11" customWidth="1"/>
    <col min="133" max="144" width="12" customWidth="1"/>
    <col min="145" max="145" width="11" customWidth="1"/>
    <col min="146" max="146" width="12" customWidth="1"/>
    <col min="147" max="147" width="11" customWidth="1"/>
    <col min="148" max="151" width="12" customWidth="1"/>
    <col min="152" max="152" width="11" customWidth="1"/>
    <col min="153" max="155" width="12" customWidth="1"/>
    <col min="156" max="156" width="11" customWidth="1"/>
    <col min="157" max="157" width="12" customWidth="1"/>
    <col min="158" max="158" width="10" customWidth="1"/>
    <col min="159" max="165" width="12" customWidth="1"/>
    <col min="166" max="166" width="11" customWidth="1"/>
    <col min="167" max="172" width="12" customWidth="1"/>
    <col min="173" max="173" width="11" customWidth="1"/>
    <col min="174" max="225" width="12" customWidth="1"/>
    <col min="226" max="226" width="11" customWidth="1"/>
    <col min="227" max="240" width="12" customWidth="1"/>
    <col min="241" max="241" width="11" customWidth="1"/>
    <col min="242" max="251" width="12" customWidth="1"/>
    <col min="252" max="253" width="11" customWidth="1"/>
    <col min="254" max="255" width="12" customWidth="1"/>
    <col min="256" max="256" width="11" customWidth="1"/>
    <col min="257" max="276" width="12" customWidth="1"/>
    <col min="277" max="278" width="11" customWidth="1"/>
    <col min="279" max="282" width="12" customWidth="1"/>
    <col min="283" max="283" width="11" customWidth="1"/>
    <col min="284" max="287" width="12" customWidth="1"/>
    <col min="288" max="288" width="10" customWidth="1"/>
    <col min="289" max="301" width="12" customWidth="1"/>
    <col min="302" max="302" width="11" customWidth="1"/>
    <col min="303" max="337" width="12" customWidth="1"/>
    <col min="338" max="338" width="11" customWidth="1"/>
    <col min="339" max="359" width="12" customWidth="1"/>
    <col min="360" max="360" width="11" customWidth="1"/>
    <col min="361" max="363" width="12" customWidth="1"/>
    <col min="364" max="364" width="11" customWidth="1"/>
    <col min="365" max="365" width="12" customWidth="1"/>
    <col min="366" max="366" width="11" customWidth="1"/>
    <col min="367" max="378" width="12" customWidth="1"/>
    <col min="379" max="379" width="11" customWidth="1"/>
    <col min="380" max="386" width="12" customWidth="1"/>
    <col min="387" max="387" width="11" customWidth="1"/>
    <col min="388" max="388" width="12" customWidth="1"/>
    <col min="389" max="389" width="11" customWidth="1"/>
    <col min="390" max="390" width="12" customWidth="1"/>
    <col min="391" max="391" width="11" customWidth="1"/>
    <col min="392" max="398" width="12" customWidth="1"/>
    <col min="399" max="399" width="10" customWidth="1"/>
    <col min="400" max="403" width="12" customWidth="1"/>
    <col min="404" max="404" width="10.77734375" customWidth="1"/>
    <col min="405" max="417" width="12" customWidth="1"/>
    <col min="418" max="418" width="11" customWidth="1"/>
    <col min="419" max="422" width="12" customWidth="1"/>
    <col min="423" max="423" width="11" customWidth="1"/>
    <col min="424" max="432" width="12" customWidth="1"/>
    <col min="433" max="433" width="11" customWidth="1"/>
    <col min="434" max="446" width="12" customWidth="1"/>
    <col min="447" max="447" width="11" customWidth="1"/>
    <col min="448" max="463" width="12" customWidth="1"/>
    <col min="464" max="464" width="11" customWidth="1"/>
    <col min="465" max="474" width="12" customWidth="1"/>
    <col min="475" max="475" width="11" customWidth="1"/>
    <col min="476" max="477" width="12" customWidth="1"/>
    <col min="478" max="478" width="11" customWidth="1"/>
    <col min="479" max="524" width="12" customWidth="1"/>
    <col min="525" max="525" width="11" customWidth="1"/>
    <col min="526" max="534" width="12" customWidth="1"/>
    <col min="535" max="535" width="11" customWidth="1"/>
    <col min="536" max="553" width="12" customWidth="1"/>
    <col min="554" max="554" width="10.77734375" customWidth="1"/>
    <col min="555" max="556" width="12" customWidth="1"/>
    <col min="557" max="557" width="11" customWidth="1"/>
    <col min="558" max="564" width="12" customWidth="1"/>
    <col min="565" max="565" width="11" customWidth="1"/>
    <col min="566" max="573" width="12" customWidth="1"/>
    <col min="574" max="574" width="11" customWidth="1"/>
    <col min="575" max="575" width="12" customWidth="1"/>
    <col min="576" max="576" width="11" customWidth="1"/>
    <col min="577" max="584" width="12" customWidth="1"/>
    <col min="585" max="585" width="11" customWidth="1"/>
    <col min="586" max="597" width="12" customWidth="1"/>
    <col min="598" max="598" width="11" customWidth="1"/>
    <col min="599" max="600" width="12" customWidth="1"/>
    <col min="601" max="601" width="11" customWidth="1"/>
    <col min="602" max="603" width="12" customWidth="1"/>
    <col min="604" max="604" width="11" customWidth="1"/>
    <col min="605" max="627" width="12" customWidth="1"/>
    <col min="628" max="628" width="11" customWidth="1"/>
    <col min="629" max="660" width="12" customWidth="1"/>
    <col min="661" max="661" width="11" customWidth="1"/>
    <col min="662" max="662" width="12" customWidth="1"/>
    <col min="663" max="663" width="11" customWidth="1"/>
    <col min="664" max="681" width="12" customWidth="1"/>
    <col min="682" max="682" width="11" customWidth="1"/>
    <col min="683" max="687" width="12" customWidth="1"/>
    <col min="688" max="688" width="11" customWidth="1"/>
    <col min="689" max="710" width="12" customWidth="1"/>
    <col min="711" max="711" width="11" customWidth="1"/>
    <col min="712" max="714" width="12" customWidth="1"/>
    <col min="715" max="715" width="11" customWidth="1"/>
    <col min="716" max="723" width="12" customWidth="1"/>
    <col min="724" max="724" width="11" customWidth="1"/>
    <col min="725" max="728" width="12" customWidth="1"/>
    <col min="729" max="729" width="11" customWidth="1"/>
    <col min="730" max="738" width="12" customWidth="1"/>
    <col min="739" max="739" width="11" customWidth="1"/>
    <col min="740" max="745" width="12" customWidth="1"/>
    <col min="746" max="746" width="10" customWidth="1"/>
    <col min="747" max="791" width="12" customWidth="1"/>
    <col min="792" max="792" width="11" customWidth="1"/>
    <col min="793" max="795" width="12" customWidth="1"/>
    <col min="796" max="796" width="10" customWidth="1"/>
    <col min="797" max="798" width="12" customWidth="1"/>
    <col min="799" max="799" width="11" customWidth="1"/>
    <col min="800" max="806" width="12" customWidth="1"/>
    <col min="807" max="807" width="10" customWidth="1"/>
    <col min="808" max="808" width="12" customWidth="1"/>
    <col min="809" max="809" width="11" customWidth="1"/>
    <col min="810" max="821" width="12" customWidth="1"/>
    <col min="822" max="1185" width="15.5546875" bestFit="1" customWidth="1"/>
    <col min="1186" max="1186" width="10.77734375" bestFit="1" customWidth="1"/>
  </cols>
  <sheetData>
    <row r="3" spans="1:821" x14ac:dyDescent="0.3">
      <c r="B3" s="23" t="s">
        <v>19</v>
      </c>
    </row>
    <row r="4" spans="1:821" x14ac:dyDescent="0.3">
      <c r="B4" t="s">
        <v>17</v>
      </c>
    </row>
    <row r="8" spans="1:821" s="25" customFormat="1" x14ac:dyDescent="0.3">
      <c r="A8" t="s">
        <v>30</v>
      </c>
      <c r="B8" s="9"/>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Sheet1</vt:lpstr>
      <vt:lpstr>Sheet2</vt:lpstr>
      <vt:lpstr>Sheet3</vt:lpstr>
      <vt:lpstr>Sheet4</vt:lpstr>
      <vt:lpstr>Sheet5</vt:lpstr>
      <vt:lpstr>Graphic</vt:lpstr>
      <vt:lpstr>Table</vt:lpstr>
      <vt:lpstr>Plan</vt:lpstr>
      <vt:lpstr>Browser</vt:lpstr>
      <vt:lpstr>Sheet9</vt:lpstr>
      <vt:lpstr>Sheet10</vt:lpstr>
      <vt:lpstr>datatable</vt:lpstr>
      <vt:lpstr>date</vt:lpstr>
      <vt:lpstr>date2</vt:lpstr>
      <vt:lpstr>days</vt:lpstr>
      <vt:lpstr>start</vt:lpstr>
      <vt:lpstr>start2</vt:lpstr>
      <vt:lpstr>tree01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Bravo, Juan Carlos</dc:creator>
  <cp:lastModifiedBy>Bravo, Juan Carlos</cp:lastModifiedBy>
  <dcterms:created xsi:type="dcterms:W3CDTF">2019-03-14T01:12:21Z</dcterms:created>
  <dcterms:modified xsi:type="dcterms:W3CDTF">2019-03-21T02:05:46Z</dcterms:modified>
</cp:coreProperties>
</file>