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480" yWindow="45" windowWidth="22995" windowHeight="10035" firstSheet="4" activeTab="15"/>
  </bookViews>
  <sheets>
    <sheet name="Detail" sheetId="1" r:id="rId1"/>
    <sheet name="SIE" sheetId="2" r:id="rId2"/>
    <sheet name="Lists" sheetId="3" r:id="rId3"/>
    <sheet name="Template01" sheetId="4" r:id="rId4"/>
    <sheet name="Template01 (2)" sheetId="5" r:id="rId5"/>
    <sheet name="Detail (2)" sheetId="6" r:id="rId6"/>
    <sheet name="Sheet7" sheetId="7" r:id="rId7"/>
    <sheet name="Sheet8" sheetId="8" r:id="rId8"/>
    <sheet name="Sheet9" sheetId="9" r:id="rId9"/>
    <sheet name="Sheet10" sheetId="10" r:id="rId10"/>
    <sheet name="db01" sheetId="11" r:id="rId11"/>
    <sheet name="Sheet12" sheetId="12" r:id="rId12"/>
    <sheet name="command" sheetId="13" r:id="rId13"/>
    <sheet name="DataBase" sheetId="14" r:id="rId14"/>
    <sheet name="ProjectList" sheetId="15" r:id="rId15"/>
    <sheet name="ProjectDetail" sheetId="16" r:id="rId16"/>
  </sheets>
  <definedNames>
    <definedName name="_xlnm._FilterDatabase" localSheetId="5" hidden="1">'Detail (2)'!$G$1:$N$5</definedName>
    <definedName name="active01">ProjectList!$A$2:$B$15</definedName>
    <definedName name="Amount">command!$C$5</definedName>
    <definedName name="Desv.">command!$C$10</definedName>
    <definedName name="detail01">ProjectDetail!$B$6:$F$19</definedName>
    <definedName name="Months">command!$C$6</definedName>
    <definedName name="Project">command!$C$4</definedName>
    <definedName name="select0">'db01'!$A$1:$Q$6</definedName>
  </definedNames>
  <calcPr calcId="145621"/>
  <fileRecoveryPr repairLoad="1"/>
</workbook>
</file>

<file path=xl/calcChain.xml><?xml version="1.0" encoding="utf-8"?>
<calcChain xmlns="http://schemas.openxmlformats.org/spreadsheetml/2006/main">
  <c r="C7" i="10" l="1"/>
  <c r="Y5" i="10"/>
  <c r="Y6" i="10" s="1"/>
  <c r="T6" i="11"/>
  <c r="T5" i="11"/>
  <c r="X5" i="10"/>
  <c r="X6" i="10" s="1"/>
  <c r="C9" i="13"/>
  <c r="S6" i="11" l="1"/>
  <c r="W5" i="10"/>
  <c r="W6" i="10" s="1"/>
  <c r="S5" i="11"/>
  <c r="Q6" i="11"/>
  <c r="U5" i="10"/>
  <c r="U6" i="10" s="1"/>
  <c r="V5" i="10"/>
  <c r="V6" i="10" s="1"/>
  <c r="R6" i="11"/>
  <c r="Q5" i="11"/>
  <c r="R5" i="11"/>
  <c r="P6" i="11"/>
  <c r="T5" i="10"/>
  <c r="T6" i="10" s="1"/>
  <c r="P5" i="11"/>
  <c r="N6" i="11"/>
  <c r="O6" i="11"/>
  <c r="R5" i="10"/>
  <c r="R6" i="10" s="1"/>
  <c r="N5" i="11"/>
  <c r="S5" i="10"/>
  <c r="S6" i="10" s="1"/>
  <c r="O5" i="11"/>
  <c r="P5" i="10"/>
  <c r="P6" i="10" s="1"/>
  <c r="Q5" i="10"/>
  <c r="Q6" i="10" s="1"/>
  <c r="M6" i="11"/>
  <c r="L5" i="11"/>
  <c r="K5" i="11"/>
  <c r="L6" i="11"/>
  <c r="M5" i="11"/>
  <c r="K6" i="11"/>
  <c r="O5" i="10"/>
  <c r="O6" i="10" s="1"/>
  <c r="N5" i="10"/>
  <c r="N6" i="10" s="1"/>
  <c r="J6" i="11"/>
  <c r="J5" i="11"/>
  <c r="I6" i="11"/>
  <c r="M5" i="10"/>
  <c r="M6" i="10" s="1"/>
  <c r="I5" i="11"/>
  <c r="H6" i="11"/>
  <c r="L5" i="10"/>
  <c r="L6" i="10" s="1"/>
  <c r="H5" i="11"/>
  <c r="G6" i="11"/>
  <c r="K5" i="10"/>
  <c r="K6" i="10" s="1"/>
  <c r="G5" i="11"/>
  <c r="F6" i="11"/>
  <c r="J5" i="10"/>
  <c r="J6" i="10" s="1"/>
  <c r="F5" i="11"/>
  <c r="E6" i="11"/>
  <c r="I5" i="10"/>
  <c r="I6" i="10" s="1"/>
  <c r="E5" i="11"/>
  <c r="H5" i="10"/>
  <c r="H6" i="10" s="1"/>
  <c r="D6" i="11"/>
  <c r="D5" i="11"/>
  <c r="B6" i="11"/>
  <c r="B5" i="11"/>
  <c r="G5" i="10"/>
  <c r="G6" i="10" s="1"/>
  <c r="C6" i="11"/>
  <c r="F5" i="10"/>
  <c r="F6" i="10" s="1"/>
  <c r="C5" i="11"/>
  <c r="E5" i="10"/>
  <c r="E6" i="10" s="1"/>
  <c r="A6" i="11"/>
  <c r="A5" i="11"/>
  <c r="B25" i="8"/>
  <c r="E5" i="8" s="1"/>
  <c r="C6" i="9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3" i="8"/>
  <c r="E25" i="8"/>
  <c r="E26" i="8"/>
  <c r="C3" i="8"/>
  <c r="D3" i="8" s="1"/>
  <c r="D27" i="8" s="1"/>
  <c r="C25" i="8"/>
  <c r="D25" i="8" s="1"/>
  <c r="C26" i="8"/>
  <c r="D26" i="8" s="1"/>
  <c r="C5" i="8"/>
  <c r="D5" i="8" s="1"/>
  <c r="C4" i="8"/>
  <c r="D4" i="8" s="1"/>
  <c r="C6" i="8"/>
  <c r="D6" i="8" s="1"/>
  <c r="C7" i="8"/>
  <c r="D7" i="8" s="1"/>
  <c r="C8" i="8"/>
  <c r="D8" i="8" s="1"/>
  <c r="C9" i="8"/>
  <c r="D9" i="8" s="1"/>
  <c r="C10" i="8"/>
  <c r="D10" i="8" s="1"/>
  <c r="C11" i="8"/>
  <c r="D11" i="8" s="1"/>
  <c r="C12" i="8"/>
  <c r="D12" i="8" s="1"/>
  <c r="C13" i="8"/>
  <c r="D13" i="8" s="1"/>
  <c r="C14" i="8"/>
  <c r="D14" i="8" s="1"/>
  <c r="C15" i="8"/>
  <c r="D15" i="8" s="1"/>
  <c r="C16" i="8"/>
  <c r="D16" i="8" s="1"/>
  <c r="C17" i="8"/>
  <c r="D17" i="8" s="1"/>
  <c r="C18" i="8"/>
  <c r="D18" i="8" s="1"/>
  <c r="C19" i="8"/>
  <c r="D19" i="8" s="1"/>
  <c r="C20" i="8"/>
  <c r="D20" i="8" s="1"/>
  <c r="C21" i="8"/>
  <c r="D21" i="8" s="1"/>
  <c r="C22" i="8"/>
  <c r="D22" i="8" s="1"/>
  <c r="C23" i="8"/>
  <c r="D23" i="8" s="1"/>
  <c r="A1" i="7"/>
  <c r="I49" i="6"/>
  <c r="Q44" i="6"/>
  <c r="P28" i="6"/>
  <c r="N28" i="6"/>
  <c r="N13" i="6" s="1"/>
  <c r="N16" i="6" s="1"/>
  <c r="M28" i="6"/>
  <c r="L28" i="6"/>
  <c r="K28" i="6"/>
  <c r="J28" i="6"/>
  <c r="J13" i="6" s="1"/>
  <c r="J16" i="6" s="1"/>
  <c r="I28" i="6"/>
  <c r="Q27" i="6"/>
  <c r="Q28" i="6" s="1"/>
  <c r="Q26" i="6"/>
  <c r="Q49" i="6" s="1"/>
  <c r="H26" i="6"/>
  <c r="Q25" i="6"/>
  <c r="Q48" i="6" s="1"/>
  <c r="H25" i="6"/>
  <c r="Q24" i="6"/>
  <c r="P23" i="6"/>
  <c r="O23" i="6"/>
  <c r="N23" i="6"/>
  <c r="M23" i="6"/>
  <c r="L23" i="6"/>
  <c r="K23" i="6"/>
  <c r="J23" i="6"/>
  <c r="I23" i="6"/>
  <c r="Q22" i="6"/>
  <c r="Q21" i="6"/>
  <c r="Q23" i="6" s="1"/>
  <c r="Q20" i="6"/>
  <c r="Q47" i="6" s="1"/>
  <c r="Q19" i="6"/>
  <c r="P19" i="6"/>
  <c r="O19" i="6"/>
  <c r="N19" i="6"/>
  <c r="M19" i="6"/>
  <c r="L19" i="6"/>
  <c r="K19" i="6"/>
  <c r="J19" i="6"/>
  <c r="I19" i="6"/>
  <c r="Q18" i="6"/>
  <c r="Q17" i="6"/>
  <c r="M16" i="6"/>
  <c r="L16" i="6"/>
  <c r="Q15" i="6"/>
  <c r="Q14" i="6"/>
  <c r="P13" i="6"/>
  <c r="P16" i="6" s="1"/>
  <c r="K13" i="6"/>
  <c r="K16" i="6" s="1"/>
  <c r="I13" i="6"/>
  <c r="Q13" i="6" s="1"/>
  <c r="Q16" i="6" s="1"/>
  <c r="P12" i="6"/>
  <c r="J12" i="6"/>
  <c r="Q11" i="6"/>
  <c r="Q10" i="6"/>
  <c r="P9" i="6"/>
  <c r="N9" i="6"/>
  <c r="L9" i="6"/>
  <c r="K9" i="6"/>
  <c r="K12" i="6" s="1"/>
  <c r="J9" i="6"/>
  <c r="I9" i="6"/>
  <c r="Q9" i="6" s="1"/>
  <c r="Q12" i="6" s="1"/>
  <c r="J1" i="6"/>
  <c r="AP8" i="5"/>
  <c r="AP9" i="5"/>
  <c r="AP7" i="5"/>
  <c r="BIL5" i="5"/>
  <c r="BID4" i="4"/>
  <c r="Q10" i="1"/>
  <c r="Q21" i="1"/>
  <c r="H26" i="1"/>
  <c r="L23" i="1"/>
  <c r="L9" i="1" s="1"/>
  <c r="M23" i="1"/>
  <c r="N23" i="1"/>
  <c r="N9" i="1" s="1"/>
  <c r="O23" i="1"/>
  <c r="L19" i="1"/>
  <c r="M19" i="1"/>
  <c r="N19" i="1"/>
  <c r="O19" i="1"/>
  <c r="M28" i="1"/>
  <c r="M16" i="1" s="1"/>
  <c r="H25" i="1"/>
  <c r="Q14" i="1"/>
  <c r="Q15" i="1"/>
  <c r="L28" i="1"/>
  <c r="L16" i="1" s="1"/>
  <c r="N28" i="1"/>
  <c r="N13" i="1" s="1"/>
  <c r="N16" i="1" s="1"/>
  <c r="Q26" i="1"/>
  <c r="I49" i="1" s="1"/>
  <c r="J1" i="1"/>
  <c r="Q25" i="1"/>
  <c r="I28" i="1"/>
  <c r="I13" i="1" s="1"/>
  <c r="I16" i="1" s="1"/>
  <c r="J28" i="1"/>
  <c r="J13" i="1" s="1"/>
  <c r="J16" i="1" s="1"/>
  <c r="K28" i="1"/>
  <c r="K13" i="1" s="1"/>
  <c r="K16" i="1" s="1"/>
  <c r="P28" i="1"/>
  <c r="P13" i="1" s="1"/>
  <c r="P16" i="1" s="1"/>
  <c r="I23" i="1"/>
  <c r="I9" i="1" s="1"/>
  <c r="I12" i="1" s="1"/>
  <c r="J23" i="1"/>
  <c r="J9" i="1" s="1"/>
  <c r="J12" i="1" s="1"/>
  <c r="K23" i="1"/>
  <c r="K9" i="1" s="1"/>
  <c r="K12" i="1" s="1"/>
  <c r="P23" i="1"/>
  <c r="P9" i="1" s="1"/>
  <c r="P12" i="1" s="1"/>
  <c r="I19" i="1"/>
  <c r="J19" i="1"/>
  <c r="K19" i="1"/>
  <c r="P19" i="1"/>
  <c r="Q27" i="1"/>
  <c r="Q48" i="1" s="1"/>
  <c r="Q24" i="1"/>
  <c r="Q22" i="1"/>
  <c r="Q20" i="1"/>
  <c r="Q44" i="1" s="1"/>
  <c r="Q18" i="1"/>
  <c r="Q17" i="1"/>
  <c r="Q11" i="1"/>
  <c r="C27" i="8" l="1"/>
  <c r="B29" i="6"/>
  <c r="D29" i="6"/>
  <c r="Q32" i="6"/>
  <c r="I48" i="6"/>
  <c r="I12" i="6"/>
  <c r="I16" i="6"/>
  <c r="Q47" i="1"/>
  <c r="Q49" i="1"/>
  <c r="I48" i="1"/>
  <c r="Q9" i="1"/>
  <c r="Q12" i="1" s="1"/>
  <c r="Q13" i="1"/>
  <c r="Q16" i="1" s="1"/>
  <c r="Q19" i="1"/>
  <c r="Q23" i="1"/>
  <c r="Q28" i="1"/>
  <c r="Q32" i="1" s="1"/>
  <c r="D29" i="1" l="1"/>
  <c r="B29" i="1"/>
</calcChain>
</file>

<file path=xl/sharedStrings.xml><?xml version="1.0" encoding="utf-8"?>
<sst xmlns="http://schemas.openxmlformats.org/spreadsheetml/2006/main" count="562" uniqueCount="103">
  <si>
    <t>TB</t>
  </si>
  <si>
    <t>BS</t>
  </si>
  <si>
    <t>P&amp;L</t>
  </si>
  <si>
    <t>AS</t>
  </si>
  <si>
    <t>LI</t>
  </si>
  <si>
    <t>OE</t>
  </si>
  <si>
    <t>I</t>
  </si>
  <si>
    <t>C</t>
  </si>
  <si>
    <t>Month</t>
  </si>
  <si>
    <t>Year</t>
  </si>
  <si>
    <t>Date</t>
  </si>
  <si>
    <t>Number</t>
  </si>
  <si>
    <t>Total Assets</t>
  </si>
  <si>
    <t>Total Liabilities</t>
  </si>
  <si>
    <t>Total Owner Equity</t>
  </si>
  <si>
    <t>Total Income</t>
  </si>
  <si>
    <t>Total Cost</t>
  </si>
  <si>
    <t>Control</t>
  </si>
  <si>
    <t>Description</t>
  </si>
  <si>
    <t>Cost Provision</t>
  </si>
  <si>
    <t>Profit</t>
  </si>
  <si>
    <t>SIE</t>
  </si>
  <si>
    <t>Revenue</t>
  </si>
  <si>
    <t>Subcontractor Cost</t>
  </si>
  <si>
    <t>Other Indirect Cost</t>
  </si>
  <si>
    <t>Code</t>
  </si>
  <si>
    <t>S</t>
  </si>
  <si>
    <t>O</t>
  </si>
  <si>
    <t>Income</t>
  </si>
  <si>
    <t>Amount</t>
  </si>
  <si>
    <t>Total</t>
  </si>
  <si>
    <t>Hooja C</t>
  </si>
  <si>
    <t>Hoja B</t>
  </si>
  <si>
    <t>Calculations</t>
  </si>
  <si>
    <t>test</t>
  </si>
  <si>
    <t xml:space="preserve"> </t>
  </si>
  <si>
    <t>Trial Balance</t>
  </si>
  <si>
    <t>Billings</t>
  </si>
  <si>
    <t>Retention</t>
  </si>
  <si>
    <t>BIC</t>
  </si>
  <si>
    <t>Liabilities</t>
  </si>
  <si>
    <t>Payable</t>
  </si>
  <si>
    <t>Assets</t>
  </si>
  <si>
    <t>Receivables</t>
  </si>
  <si>
    <t>CIB</t>
  </si>
  <si>
    <t>PROJECT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</si>
  <si>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</si>
  <si>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</si>
  <si>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</si>
  <si>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</si>
  <si>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</si>
  <si>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</si>
  <si>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</si>
  <si>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</si>
  <si>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</si>
  <si>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</si>
  <si>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</si>
  <si>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</si>
  <si>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JULY</t>
  </si>
  <si>
    <t>AUGUST</t>
  </si>
  <si>
    <t>SEPTEMBER</t>
  </si>
  <si>
    <t>OCTOBER</t>
  </si>
  <si>
    <t>NOVEMBER</t>
  </si>
  <si>
    <t>DECEMBER</t>
  </si>
  <si>
    <t>JANUARY</t>
  </si>
  <si>
    <t>Desc</t>
  </si>
  <si>
    <t>Button 1</t>
  </si>
  <si>
    <t>i</t>
  </si>
  <si>
    <t>mes</t>
  </si>
  <si>
    <t>amount</t>
  </si>
  <si>
    <t>Project:</t>
  </si>
  <si>
    <t>Dollar Amount:</t>
  </si>
  <si>
    <t>Months:</t>
  </si>
  <si>
    <t>Starting Month:</t>
  </si>
  <si>
    <t>Finishing Month:</t>
  </si>
  <si>
    <t>Test 001</t>
  </si>
  <si>
    <t>Month Number</t>
  </si>
  <si>
    <t>Test</t>
  </si>
  <si>
    <t>Project</t>
  </si>
  <si>
    <t>Months</t>
  </si>
  <si>
    <t>Start</t>
  </si>
  <si>
    <t>End</t>
  </si>
  <si>
    <t>Create</t>
  </si>
  <si>
    <t>Avergage</t>
  </si>
  <si>
    <t>Desv.</t>
  </si>
  <si>
    <t>Period Number</t>
  </si>
  <si>
    <t>Last Day Month</t>
  </si>
  <si>
    <t>Ratio</t>
  </si>
  <si>
    <t>project0</t>
  </si>
  <si>
    <t>Project001</t>
  </si>
  <si>
    <t>Project002</t>
  </si>
  <si>
    <t>-</t>
  </si>
  <si>
    <t>pepito</t>
  </si>
  <si>
    <t>jopsito</t>
  </si>
  <si>
    <t>test006</t>
  </si>
  <si>
    <t>test0066</t>
  </si>
  <si>
    <t>teeeetrttt77</t>
  </si>
  <si>
    <t>test8</t>
  </si>
  <si>
    <t>test999</t>
  </si>
  <si>
    <t>estee1110</t>
  </si>
  <si>
    <t>estee1110111</t>
  </si>
  <si>
    <t>test12</t>
  </si>
  <si>
    <t>test2013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</si>
</sst>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0.0000"/>
    <numFmt numFmtId="165" formatCode="0.00000"/>
    <numFmt numFmtId="166" formatCode="0.0000000"/>
    <numFmt numFmtId="167" formatCode="[$-409]mmm\-yy;@"/>
    <numFmt numFmtId="168" formatCode="[$-409]d\-mmm\-yy;@"/>
    <numFmt numFmtId="169" formatCode="_(* #,##0.00000_);_(* \(#,##0.0000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vertical="center"/>
    </xf>
    <xf numFmtId="43" fontId="0" fillId="0" borderId="1" xfId="1" applyFont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3" fontId="0" fillId="0" borderId="0" xfId="0" applyNumberFormat="1"/>
    <xf numFmtId="0" fontId="0" fillId="0" borderId="0" xfId="0" applyBorder="1"/>
    <xf numFmtId="43" fontId="0" fillId="0" borderId="0" xfId="1" applyFont="1"/>
    <xf numFmtId="43" fontId="0" fillId="2" borderId="5" xfId="1" applyFont="1" applyFill="1" applyBorder="1"/>
    <xf numFmtId="43" fontId="0" fillId="2" borderId="0" xfId="1" applyFont="1" applyFill="1" applyBorder="1"/>
    <xf numFmtId="43" fontId="0" fillId="2" borderId="8" xfId="1" applyFont="1" applyFill="1" applyBorder="1"/>
    <xf numFmtId="43" fontId="0" fillId="2" borderId="9" xfId="1" applyFont="1" applyFill="1" applyBorder="1"/>
    <xf numFmtId="43" fontId="0" fillId="2" borderId="10" xfId="1" applyFont="1" applyFill="1" applyBorder="1"/>
    <xf numFmtId="43" fontId="0" fillId="2" borderId="11" xfId="1" applyFont="1" applyFill="1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8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center"/>
    </xf>
    <xf numFmtId="43" fontId="2" fillId="2" borderId="4" xfId="1" applyFont="1" applyFill="1" applyBorder="1"/>
    <xf numFmtId="43" fontId="0" fillId="0" borderId="4" xfId="1" applyFont="1" applyBorder="1"/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4" fillId="2" borderId="5" xfId="0" applyFont="1" applyFill="1" applyBorder="1"/>
    <xf numFmtId="0" fontId="4" fillId="2" borderId="9" xfId="0" applyFont="1" applyFill="1" applyBorder="1"/>
    <xf numFmtId="0" fontId="0" fillId="0" borderId="1" xfId="0" applyBorder="1" applyAlignment="1">
      <alignment horizontal="center" vertical="center"/>
    </xf>
    <xf numFmtId="43" fontId="0" fillId="0" borderId="0" xfId="0" applyNumberFormat="1" applyBorder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/>
    <xf numFmtId="0" fontId="0" fillId="0" borderId="1" xfId="0" applyBorder="1" applyAlignment="1">
      <alignment horizontal="left" indent="1"/>
    </xf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/>
    <xf numFmtId="49" fontId="3" fillId="0" borderId="8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43" fontId="0" fillId="0" borderId="13" xfId="0" applyNumberFormat="1" applyBorder="1"/>
    <xf numFmtId="49" fontId="0" fillId="0" borderId="0" xfId="0" applyNumberFormat="1" applyBorder="1" applyAlignment="1">
      <alignment vertical="top" wrapText="1"/>
    </xf>
    <xf numFmtId="49" fontId="0" fillId="0" borderId="0" xfId="0" applyNumberFormat="1" applyBorder="1"/>
    <xf numFmtId="0" fontId="4" fillId="0" borderId="13" xfId="0" applyFont="1" applyFill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left" indent="1"/>
    </xf>
    <xf numFmtId="2" fontId="0" fillId="0" borderId="13" xfId="0" applyNumberFormat="1" applyBorder="1"/>
    <xf numFmtId="0" fontId="0" fillId="0" borderId="12" xfId="0" applyBorder="1"/>
    <xf numFmtId="0" fontId="0" fillId="0" borderId="14" xfId="0" applyBorder="1"/>
    <xf numFmtId="0" fontId="0" fillId="2" borderId="1" xfId="0" applyFill="1" applyBorder="1"/>
    <xf numFmtId="0" fontId="0" fillId="0" borderId="8" xfId="0" applyBorder="1"/>
    <xf numFmtId="0" fontId="0" fillId="0" borderId="8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0" xfId="0" applyFont="1" applyBorder="1"/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Font="1" applyBorder="1"/>
    <xf numFmtId="0" fontId="0" fillId="0" borderId="1" xfId="0" applyFont="1" applyBorder="1" applyAlignment="1">
      <alignment horizontal="center" vertical="center"/>
    </xf>
    <xf numFmtId="0" fontId="0" fillId="0" borderId="1" xfId="0" applyFont="1" applyBorder="1"/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0" xfId="0" applyFont="1"/>
    <xf numFmtId="0" fontId="9" fillId="5" borderId="1" xfId="0" applyFont="1" applyFill="1" applyBorder="1"/>
    <xf numFmtId="0" fontId="10" fillId="0" borderId="0" xfId="0" applyFont="1"/>
    <xf numFmtId="164" fontId="10" fillId="0" borderId="0" xfId="0" applyNumberFormat="1" applyFont="1"/>
    <xf numFmtId="43" fontId="10" fillId="0" borderId="0" xfId="1" applyFont="1"/>
    <xf numFmtId="17" fontId="0" fillId="0" borderId="0" xfId="0" applyNumberFormat="1"/>
    <xf numFmtId="167" fontId="0" fillId="0" borderId="0" xfId="0" applyNumberFormat="1"/>
    <xf numFmtId="0" fontId="1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right" indent="1"/>
    </xf>
    <xf numFmtId="1" fontId="0" fillId="0" borderId="0" xfId="0" applyNumberFormat="1"/>
    <xf numFmtId="1" fontId="0" fillId="0" borderId="0" xfId="0" applyNumberFormat="1" applyAlignment="1">
      <alignment horizontal="right" indent="1"/>
    </xf>
    <xf numFmtId="165" fontId="0" fillId="0" borderId="0" xfId="0" applyNumberFormat="1"/>
    <xf numFmtId="165" fontId="0" fillId="0" borderId="0" xfId="0" applyNumberFormat="1" applyAlignment="1">
      <alignment horizontal="right" indent="1"/>
    </xf>
    <xf numFmtId="43" fontId="0" fillId="0" borderId="0" xfId="1" applyFont="1" applyAlignment="1">
      <alignment horizontal="right" indent="1"/>
    </xf>
    <xf numFmtId="1" fontId="0" fillId="0" borderId="2" xfId="0" applyNumberFormat="1" applyBorder="1"/>
    <xf numFmtId="43" fontId="0" fillId="0" borderId="2" xfId="1" applyFont="1" applyBorder="1"/>
    <xf numFmtId="0" fontId="0" fillId="0" borderId="1" xfId="0" applyBorder="1" applyAlignment="1">
      <alignment horizontal="right" indent="1"/>
    </xf>
    <xf numFmtId="1" fontId="0" fillId="0" borderId="1" xfId="0" applyNumberFormat="1" applyBorder="1" applyAlignment="1">
      <alignment horizontal="right" indent="1"/>
    </xf>
    <xf numFmtId="165" fontId="0" fillId="0" borderId="1" xfId="0" applyNumberFormat="1" applyBorder="1" applyAlignment="1">
      <alignment horizontal="right" indent="1"/>
    </xf>
    <xf numFmtId="43" fontId="0" fillId="0" borderId="1" xfId="1" applyFont="1" applyBorder="1" applyAlignment="1">
      <alignment horizontal="right" indent="1"/>
    </xf>
    <xf numFmtId="0" fontId="0" fillId="0" borderId="0" xfId="0" applyFill="1" applyBorder="1" applyAlignment="1">
      <alignment horizontal="right" vertical="center" indent="4"/>
    </xf>
    <xf numFmtId="0" fontId="0" fillId="0" borderId="0" xfId="0" applyAlignment="1">
      <alignment horizontal="right" vertical="center" indent="1"/>
    </xf>
    <xf numFmtId="168" fontId="0" fillId="0" borderId="2" xfId="0" applyNumberFormat="1" applyBorder="1" applyAlignment="1">
      <alignment horizontal="center" vertical="center"/>
    </xf>
    <xf numFmtId="14" fontId="0" fillId="0" borderId="2" xfId="1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right" vertical="center" indent="3"/>
    </xf>
    <xf numFmtId="167" fontId="0" fillId="0" borderId="1" xfId="0" applyNumberFormat="1" applyBorder="1" applyAlignment="1">
      <alignment horizontal="right" vertical="center"/>
    </xf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 vertical="center" indent="3"/>
    </xf>
    <xf numFmtId="166" fontId="0" fillId="0" borderId="0" xfId="0" applyNumberFormat="1"/>
    <xf numFmtId="169" fontId="0" fillId="0" borderId="0" xfId="0" applyNumberFormat="1"/>
    <xf numFmtId="0" fontId="13" fillId="0" borderId="15" xfId="0" applyFont="1" applyBorder="1" applyAlignment="1">
      <alignment horizontal="center" vertical="center"/>
    </xf>
    <xf numFmtId="43" fontId="13" fillId="0" borderId="15" xfId="1" applyFont="1" applyBorder="1" applyAlignment="1">
      <alignment horizontal="center" vertical="center"/>
    </xf>
    <xf numFmtId="0" fontId="13" fillId="0" borderId="15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13" xfId="0" applyBorder="1" applyAlignment="1">
      <alignment horizontal="center"/>
    </xf>
    <xf numFmtId="43" fontId="0" fillId="0" borderId="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3" fontId="0" fillId="0" borderId="12" xfId="0" applyNumberFormat="1" applyBorder="1" applyAlignment="1">
      <alignment horizontal="center" vertical="center"/>
    </xf>
    <xf numFmtId="43" fontId="0" fillId="0" borderId="14" xfId="0" applyNumberFormat="1" applyBorder="1" applyAlignment="1">
      <alignment horizontal="center" vertical="center"/>
    </xf>
    <xf numFmtId="43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Sheet8!$B$3:$B$23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Sheet8!$D$3:$D$23</c:f>
              <c:numCache>
                <c:formatCode>_(* #,##0.00_);_(* \(#,##0.00\);_(* "-"??_);_(@_)</c:formatCode>
                <c:ptCount val="21"/>
                <c:pt idx="0">
                  <c:v>9253.6739777466319</c:v>
                </c:pt>
                <c:pt idx="1">
                  <c:v>26591.090471628042</c:v>
                </c:pt>
                <c:pt idx="2">
                  <c:v>68375.916142784656</c:v>
                </c:pt>
                <c:pt idx="3">
                  <c:v>157331.33456225687</c:v>
                </c:pt>
                <c:pt idx="4">
                  <c:v>323945.79907912837</c:v>
                </c:pt>
                <c:pt idx="5">
                  <c:v>596862.83275649208</c:v>
                </c:pt>
                <c:pt idx="6">
                  <c:v>984060.44805596175</c:v>
                </c:pt>
                <c:pt idx="7">
                  <c:v>1451824.3471148603</c:v>
                </c:pt>
                <c:pt idx="8">
                  <c:v>1916688.0331341133</c:v>
                </c:pt>
                <c:pt idx="9">
                  <c:v>2264299.3661579587</c:v>
                </c:pt>
                <c:pt idx="10">
                  <c:v>2393653.6824085959</c:v>
                </c:pt>
                <c:pt idx="11">
                  <c:v>2264299.3661579587</c:v>
                </c:pt>
                <c:pt idx="12">
                  <c:v>1916688.0331341133</c:v>
                </c:pt>
                <c:pt idx="13">
                  <c:v>1451824.3471148603</c:v>
                </c:pt>
                <c:pt idx="14">
                  <c:v>984060.44805596175</c:v>
                </c:pt>
                <c:pt idx="15">
                  <c:v>596862.83275649208</c:v>
                </c:pt>
                <c:pt idx="16">
                  <c:v>323945.79907912837</c:v>
                </c:pt>
                <c:pt idx="17">
                  <c:v>157331.33456225687</c:v>
                </c:pt>
                <c:pt idx="18">
                  <c:v>68375.916142784656</c:v>
                </c:pt>
                <c:pt idx="19">
                  <c:v>26591.090471628042</c:v>
                </c:pt>
                <c:pt idx="20">
                  <c:v>9253.6739777466319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37760"/>
        <c:axId val="72439296"/>
      </c:scatterChart>
      <c:valAx>
        <c:axId val="7243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439296"/>
        <c:crosses val="autoZero"/>
        <c:crossBetween val="midCat"/>
      </c:valAx>
      <c:valAx>
        <c:axId val="72439296"/>
        <c:scaling>
          <c:orientation val="minMax"/>
          <c:max val="3000000"/>
          <c:min val="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7243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Sheet10!$E$4:$Y$4</c:f>
              <c:numCache>
                <c:formatCode>[$-409]mmm\-yy;@</c:formatCode>
                <c:ptCount val="21"/>
                <c:pt idx="0">
                  <c:v>43220</c:v>
                </c:pt>
                <c:pt idx="1">
                  <c:v>43251</c:v>
                </c:pt>
                <c:pt idx="2">
                  <c:v>43281</c:v>
                </c:pt>
                <c:pt idx="3">
                  <c:v>43312</c:v>
                </c:pt>
                <c:pt idx="4">
                  <c:v>43343</c:v>
                </c:pt>
                <c:pt idx="5">
                  <c:v>43373</c:v>
                </c:pt>
                <c:pt idx="6">
                  <c:v>43404</c:v>
                </c:pt>
                <c:pt idx="7">
                  <c:v>43434</c:v>
                </c:pt>
                <c:pt idx="8">
                  <c:v>43465</c:v>
                </c:pt>
                <c:pt idx="9">
                  <c:v>43496</c:v>
                </c:pt>
                <c:pt idx="10">
                  <c:v>43524</c:v>
                </c:pt>
                <c:pt idx="11">
                  <c:v>43555</c:v>
                </c:pt>
                <c:pt idx="12">
                  <c:v>43585</c:v>
                </c:pt>
                <c:pt idx="13">
                  <c:v>43616</c:v>
                </c:pt>
                <c:pt idx="14">
                  <c:v>43646</c:v>
                </c:pt>
                <c:pt idx="15">
                  <c:v>43677</c:v>
                </c:pt>
                <c:pt idx="16">
                  <c:v>43708</c:v>
                </c:pt>
                <c:pt idx="17">
                  <c:v>43738</c:v>
                </c:pt>
                <c:pt idx="18">
                  <c:v>43769</c:v>
                </c:pt>
                <c:pt idx="19">
                  <c:v>43799</c:v>
                </c:pt>
                <c:pt idx="20">
                  <c:v>43825</c:v>
                </c:pt>
              </c:numCache>
            </c:numRef>
          </c:xVal>
          <c:yVal>
            <c:numRef>
              <c:f>Sheet10!$E$6:$Y$6</c:f>
              <c:numCache>
                <c:formatCode>_(* #,##0.00_);_(* \(#,##0.00\);_(* "-"??_);_(@_)</c:formatCode>
                <c:ptCount val="21"/>
                <c:pt idx="0">
                  <c:v>97941.899577425196</c:v>
                </c:pt>
                <c:pt idx="1">
                  <c:v>177349.86879372565</c:v>
                </c:pt>
                <c:pt idx="2">
                  <c:v>301682.28929342289</c:v>
                </c:pt>
                <c:pt idx="3">
                  <c:v>482086.92562158039</c:v>
                </c:pt>
                <c:pt idx="4">
                  <c:v>723698.19041342684</c:v>
                </c:pt>
                <c:pt idx="5">
                  <c:v>1020578.0295496389</c:v>
                </c:pt>
                <c:pt idx="6">
                  <c:v>1352046.2186408993</c:v>
                </c:pt>
                <c:pt idx="7">
                  <c:v>1682648.7057277136</c:v>
                </c:pt>
                <c:pt idx="8">
                  <c:v>1967215.6402895122</c:v>
                </c:pt>
                <c:pt idx="9">
                  <c:v>2160563.7055111164</c:v>
                </c:pt>
                <c:pt idx="10">
                  <c:v>2229147.3596429271</c:v>
                </c:pt>
                <c:pt idx="11">
                  <c:v>2160563.7055111164</c:v>
                </c:pt>
                <c:pt idx="12">
                  <c:v>1967215.6402895122</c:v>
                </c:pt>
                <c:pt idx="13">
                  <c:v>1682648.7057277136</c:v>
                </c:pt>
                <c:pt idx="14">
                  <c:v>1352046.2186408993</c:v>
                </c:pt>
                <c:pt idx="15">
                  <c:v>1020578.0295496389</c:v>
                </c:pt>
                <c:pt idx="16">
                  <c:v>723698.19041342684</c:v>
                </c:pt>
                <c:pt idx="17">
                  <c:v>482086.92562158039</c:v>
                </c:pt>
                <c:pt idx="18">
                  <c:v>301682.28929342289</c:v>
                </c:pt>
                <c:pt idx="19">
                  <c:v>177349.86879372565</c:v>
                </c:pt>
                <c:pt idx="20">
                  <c:v>97941.899577425196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3856"/>
        <c:axId val="72395392"/>
      </c:scatterChart>
      <c:valAx>
        <c:axId val="7239385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crossAx val="72395392"/>
        <c:crosses val="autoZero"/>
        <c:crossBetween val="midCat"/>
      </c:valAx>
      <c:valAx>
        <c:axId val="723953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7239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</xdr:row>
          <xdr:rowOff>390525</xdr:rowOff>
        </xdr:from>
        <xdr:to>
          <xdr:col>6</xdr:col>
          <xdr:colOff>447675</xdr:colOff>
          <xdr:row>3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7169" name="Spin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152400</xdr:colOff>
      <xdr:row>2</xdr:row>
      <xdr:rowOff>57149</xdr:rowOff>
    </xdr:from>
    <xdr:to>
      <xdr:col>18</xdr:col>
      <xdr:colOff>0</xdr:colOff>
      <xdr:row>18</xdr:row>
      <xdr:rowOff>200024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1</xdr:rowOff>
    </xdr:to>
    <xdr:sp macro="[0]!Button1_Click" textlink="">
      <xdr:nvSpPr>
        <xdr:cNvPr id="2" name="Rectangle 1"/>
        <xdr:cNvSpPr/>
      </xdr:nvSpPr>
      <xdr:spPr>
        <a:xfrm>
          <a:off x="2171700" y="571500"/>
          <a:ext cx="714375" cy="323851"/>
        </a:xfrm>
        <a:prstGeom prst="rect">
          <a:avLst/>
        </a:prstGeom>
        <a:solidFill>
          <a:schemeClr val="accent1">
            <a:alpha val="3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</xdr:row>
          <xdr:rowOff>133350</xdr:rowOff>
        </xdr:from>
        <xdr:to>
          <xdr:col>4</xdr:col>
          <xdr:colOff>828675</xdr:colOff>
          <xdr:row>3</xdr:row>
          <xdr:rowOff>123825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0255" name="TextBox2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1</xdr:col>
      <xdr:colOff>0</xdr:colOff>
      <xdr:row>26</xdr:row>
      <xdr:rowOff>12354</xdr:rowOff>
    </xdr:from>
    <xdr:to>
      <xdr:col>2</xdr:col>
      <xdr:colOff>0</xdr:colOff>
      <xdr:row>27</xdr:row>
      <xdr:rowOff>0</xdr:rowOff>
    </xdr:to>
    <xdr:sp macro="" textlink="">
      <xdr:nvSpPr>
        <xdr:cNvPr id="27" name="Rectangle 26"/>
        <xdr:cNvSpPr/>
      </xdr:nvSpPr>
      <xdr:spPr>
        <a:xfrm>
          <a:off x="609600" y="841029"/>
          <a:ext cx="1200150" cy="24482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Project: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3</xdr:col>
      <xdr:colOff>0</xdr:colOff>
      <xdr:row>28</xdr:row>
      <xdr:rowOff>0</xdr:rowOff>
    </xdr:to>
    <xdr:grpSp>
      <xdr:nvGrpSpPr>
        <xdr:cNvPr id="11" name="Group 10"/>
        <xdr:cNvGrpSpPr/>
      </xdr:nvGrpSpPr>
      <xdr:grpSpPr>
        <a:xfrm>
          <a:off x="613833" y="6011333"/>
          <a:ext cx="2169584" cy="254000"/>
          <a:chOff x="609600" y="1152519"/>
          <a:chExt cx="2533650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7" name="TextBox3" hidden="1">
                <a:extLst>
                  <a:ext uri="{63B3BB69-23CF-44E3-9099-C40C66FF867C}">
                    <a14:compatExt spid="_x0000_s10257"/>
                  </a:ext>
                </a:extLst>
              </xdr:cNvPr>
              <xdr:cNvSpPr/>
            </xdr:nvSpPr>
            <xdr:spPr>
              <a:xfrm>
                <a:off x="1809750" y="1152519"/>
                <a:ext cx="1333500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31" name="Rectangle 30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Dollar</a:t>
            </a:r>
            <a:r>
              <a:rPr lang="en-US" sz="1400" b="1" cap="none" spc="50" baseline="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 Amt.:</a:t>
            </a:r>
            <a:endPara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1</xdr:col>
      <xdr:colOff>0</xdr:colOff>
      <xdr:row>32</xdr:row>
      <xdr:rowOff>77259</xdr:rowOff>
    </xdr:from>
    <xdr:to>
      <xdr:col>3</xdr:col>
      <xdr:colOff>0</xdr:colOff>
      <xdr:row>46</xdr:row>
      <xdr:rowOff>10584</xdr:rowOff>
    </xdr:to>
    <xdr:grpSp>
      <xdr:nvGrpSpPr>
        <xdr:cNvPr id="10" name="Group 9"/>
        <xdr:cNvGrpSpPr/>
      </xdr:nvGrpSpPr>
      <xdr:grpSpPr>
        <a:xfrm>
          <a:off x="613833" y="7358592"/>
          <a:ext cx="2169584" cy="3171825"/>
          <a:chOff x="4362450" y="638175"/>
          <a:chExt cx="3048000" cy="2724150"/>
        </a:xfrm>
      </xdr:grpSpPr>
      <xdr:sp macro="" textlink="">
        <xdr:nvSpPr>
          <xdr:cNvPr id="7" name="Rectangle 6"/>
          <xdr:cNvSpPr/>
        </xdr:nvSpPr>
        <xdr:spPr>
          <a:xfrm>
            <a:off x="4362450" y="638175"/>
            <a:ext cx="3048000" cy="272415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4533900" y="830873"/>
            <a:ext cx="2528632" cy="267331"/>
            <a:chOff x="609600" y="370844"/>
            <a:chExt cx="2528632" cy="267331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49" name="TextBox1" hidden="1">
                  <a:extLst>
                    <a:ext uri="{63B3BB69-23CF-44E3-9099-C40C66FF867C}">
                      <a14:compatExt spid="_x0000_s10249"/>
                    </a:ext>
                  </a:extLst>
                </xdr:cNvPr>
                <xdr:cNvSpPr/>
              </xdr:nvSpPr>
              <xdr:spPr>
                <a:xfrm>
                  <a:off x="1813468" y="370844"/>
                  <a:ext cx="1324764" cy="259053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" name="Rectangle 2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Project:</a:t>
              </a:r>
            </a:p>
          </xdr:txBody>
        </xdr:sp>
      </xdr:grpSp>
      <xdr:grpSp>
        <xdr:nvGrpSpPr>
          <xdr:cNvPr id="34" name="Group 33"/>
          <xdr:cNvGrpSpPr/>
        </xdr:nvGrpSpPr>
        <xdr:grpSpPr>
          <a:xfrm>
            <a:off x="4533900" y="1332619"/>
            <a:ext cx="2528632" cy="268996"/>
            <a:chOff x="609600" y="369179"/>
            <a:chExt cx="2528632" cy="26899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58" name="TextBox4" hidden="1">
                  <a:extLst>
                    <a:ext uri="{63B3BB69-23CF-44E3-9099-C40C66FF867C}">
                      <a14:compatExt spid="_x0000_s10258"/>
                    </a:ext>
                  </a:extLst>
                </xdr:cNvPr>
                <xdr:cNvSpPr/>
              </xdr:nvSpPr>
              <xdr:spPr>
                <a:xfrm>
                  <a:off x="1813468" y="369179"/>
                  <a:ext cx="1324764" cy="259054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6" name="Rectangle 35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Dollar</a:t>
              </a:r>
              <a:r>
                <a:rPr lang="en-US" sz="1400" b="1" cap="none" spc="50" baseline="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 Amt.</a:t>
              </a:r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:</a:t>
              </a:r>
            </a:p>
          </xdr:txBody>
        </xdr:sp>
      </xdr:grpSp>
      <xdr:grpSp>
        <xdr:nvGrpSpPr>
          <xdr:cNvPr id="37" name="Group 36"/>
          <xdr:cNvGrpSpPr/>
        </xdr:nvGrpSpPr>
        <xdr:grpSpPr>
          <a:xfrm>
            <a:off x="4533900" y="1842545"/>
            <a:ext cx="2528632" cy="262480"/>
            <a:chOff x="609600" y="375695"/>
            <a:chExt cx="2528632" cy="26248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59" name="TextBox5" hidden="1">
                  <a:extLst>
                    <a:ext uri="{63B3BB69-23CF-44E3-9099-C40C66FF867C}">
                      <a14:compatExt spid="_x0000_s10259"/>
                    </a:ext>
                  </a:extLst>
                </xdr:cNvPr>
                <xdr:cNvSpPr/>
              </xdr:nvSpPr>
              <xdr:spPr>
                <a:xfrm>
                  <a:off x="1813468" y="375695"/>
                  <a:ext cx="1324764" cy="250873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9" name="Rectangle 38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Months:</a:t>
              </a:r>
            </a:p>
          </xdr:txBody>
        </xdr:sp>
      </xdr:grpSp>
      <xdr:grpSp>
        <xdr:nvGrpSpPr>
          <xdr:cNvPr id="41" name="Group 40"/>
          <xdr:cNvGrpSpPr/>
        </xdr:nvGrpSpPr>
        <xdr:grpSpPr>
          <a:xfrm>
            <a:off x="4533900" y="2829675"/>
            <a:ext cx="2528632" cy="265950"/>
            <a:chOff x="609600" y="372225"/>
            <a:chExt cx="2528632" cy="26595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0" name="TextBox6" hidden="1">
                  <a:extLst>
                    <a:ext uri="{63B3BB69-23CF-44E3-9099-C40C66FF867C}">
                      <a14:compatExt spid="_x0000_s10260"/>
                    </a:ext>
                  </a:extLst>
                </xdr:cNvPr>
                <xdr:cNvSpPr/>
              </xdr:nvSpPr>
              <xdr:spPr>
                <a:xfrm>
                  <a:off x="1813468" y="372225"/>
                  <a:ext cx="1324764" cy="253599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43" name="Rectangle 42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End:</a:t>
              </a:r>
            </a:p>
          </xdr:txBody>
        </xdr:sp>
      </xdr:grpSp>
      <xdr:grpSp>
        <xdr:nvGrpSpPr>
          <xdr:cNvPr id="44" name="Group 43"/>
          <xdr:cNvGrpSpPr/>
        </xdr:nvGrpSpPr>
        <xdr:grpSpPr>
          <a:xfrm>
            <a:off x="4533900" y="2349744"/>
            <a:ext cx="2528632" cy="269631"/>
            <a:chOff x="609600" y="368544"/>
            <a:chExt cx="2528632" cy="269631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1" name="TextBox7" hidden="1">
                  <a:extLst>
                    <a:ext uri="{63B3BB69-23CF-44E3-9099-C40C66FF867C}">
                      <a14:compatExt spid="_x0000_s10261"/>
                    </a:ext>
                  </a:extLst>
                </xdr:cNvPr>
                <xdr:cNvSpPr/>
              </xdr:nvSpPr>
              <xdr:spPr>
                <a:xfrm>
                  <a:off x="1813468" y="368544"/>
                  <a:ext cx="1324764" cy="259053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46" name="Rectangle 45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Start:</a:t>
              </a:r>
            </a:p>
          </xdr:txBody>
        </xdr:sp>
      </xdr:grpSp>
    </xdr:grpSp>
    <xdr:clientData/>
  </xdr:twoCellAnchor>
  <xdr:twoCellAnchor>
    <xdr:from>
      <xdr:col>1</xdr:col>
      <xdr:colOff>0</xdr:colOff>
      <xdr:row>28</xdr:row>
      <xdr:rowOff>0</xdr:rowOff>
    </xdr:from>
    <xdr:to>
      <xdr:col>3</xdr:col>
      <xdr:colOff>0</xdr:colOff>
      <xdr:row>29</xdr:row>
      <xdr:rowOff>0</xdr:rowOff>
    </xdr:to>
    <xdr:grpSp>
      <xdr:nvGrpSpPr>
        <xdr:cNvPr id="49" name="Group 48"/>
        <xdr:cNvGrpSpPr/>
      </xdr:nvGrpSpPr>
      <xdr:grpSpPr>
        <a:xfrm>
          <a:off x="613833" y="6265333"/>
          <a:ext cx="2169584" cy="254000"/>
          <a:chOff x="609600" y="1152519"/>
          <a:chExt cx="2533650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2" name="TextBox8" hidden="1">
                <a:extLst>
                  <a:ext uri="{63B3BB69-23CF-44E3-9099-C40C66FF867C}">
                    <a14:compatExt spid="_x0000_s10262"/>
                  </a:ext>
                </a:extLst>
              </xdr:cNvPr>
              <xdr:cNvSpPr/>
            </xdr:nvSpPr>
            <xdr:spPr>
              <a:xfrm>
                <a:off x="1809750" y="1152519"/>
                <a:ext cx="1333500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1" name="Rectangle 50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 baseline="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Monts:</a:t>
            </a:r>
            <a:endPara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1</xdr:col>
      <xdr:colOff>0</xdr:colOff>
      <xdr:row>29</xdr:row>
      <xdr:rowOff>0</xdr:rowOff>
    </xdr:from>
    <xdr:to>
      <xdr:col>3</xdr:col>
      <xdr:colOff>0</xdr:colOff>
      <xdr:row>30</xdr:row>
      <xdr:rowOff>0</xdr:rowOff>
    </xdr:to>
    <xdr:grpSp>
      <xdr:nvGrpSpPr>
        <xdr:cNvPr id="52" name="Group 51"/>
        <xdr:cNvGrpSpPr/>
      </xdr:nvGrpSpPr>
      <xdr:grpSpPr>
        <a:xfrm>
          <a:off x="613833" y="6519333"/>
          <a:ext cx="2169584" cy="254000"/>
          <a:chOff x="609600" y="1152519"/>
          <a:chExt cx="2533650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3" name="TextBox9" hidden="1">
                <a:extLst>
                  <a:ext uri="{63B3BB69-23CF-44E3-9099-C40C66FF867C}">
                    <a14:compatExt spid="_x0000_s10263"/>
                  </a:ext>
                </a:extLst>
              </xdr:cNvPr>
              <xdr:cNvSpPr/>
            </xdr:nvSpPr>
            <xdr:spPr>
              <a:xfrm>
                <a:off x="1809750" y="1152519"/>
                <a:ext cx="1333500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4" name="Rectangle 53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Start: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3</xdr:col>
      <xdr:colOff>0</xdr:colOff>
      <xdr:row>31</xdr:row>
      <xdr:rowOff>0</xdr:rowOff>
    </xdr:to>
    <xdr:grpSp>
      <xdr:nvGrpSpPr>
        <xdr:cNvPr id="55" name="Group 54"/>
        <xdr:cNvGrpSpPr/>
      </xdr:nvGrpSpPr>
      <xdr:grpSpPr>
        <a:xfrm>
          <a:off x="613833" y="6773333"/>
          <a:ext cx="2169584" cy="254000"/>
          <a:chOff x="609600" y="1152519"/>
          <a:chExt cx="2533650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4" name="TextBox10" hidden="1">
                <a:extLst>
                  <a:ext uri="{63B3BB69-23CF-44E3-9099-C40C66FF867C}">
                    <a14:compatExt spid="_x0000_s10264"/>
                  </a:ext>
                </a:extLst>
              </xdr:cNvPr>
              <xdr:cNvSpPr/>
            </xdr:nvSpPr>
            <xdr:spPr>
              <a:xfrm>
                <a:off x="1809750" y="1152519"/>
                <a:ext cx="1333500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7" name="Rectangle 56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End:</a:t>
            </a:r>
          </a:p>
        </xdr:txBody>
      </xdr:sp>
    </xdr:grpSp>
    <xdr:clientData/>
  </xdr:twoCellAnchor>
  <xdr:twoCellAnchor>
    <xdr:from>
      <xdr:col>2</xdr:col>
      <xdr:colOff>9525</xdr:colOff>
      <xdr:row>9</xdr:row>
      <xdr:rowOff>28575</xdr:rowOff>
    </xdr:from>
    <xdr:to>
      <xdr:col>2</xdr:col>
      <xdr:colOff>371475</xdr:colOff>
      <xdr:row>11</xdr:row>
      <xdr:rowOff>9525</xdr:rowOff>
    </xdr:to>
    <xdr:sp macro="[0]!Button1_Click" textlink="">
      <xdr:nvSpPr>
        <xdr:cNvPr id="12" name="Rounded Rectangle 11"/>
        <xdr:cNvSpPr/>
      </xdr:nvSpPr>
      <xdr:spPr>
        <a:xfrm>
          <a:off x="1819275" y="1752600"/>
          <a:ext cx="361950" cy="3619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2</xdr:col>
          <xdr:colOff>514350</xdr:colOff>
          <xdr:row>4</xdr:row>
          <xdr:rowOff>0</xdr:rowOff>
        </xdr:to>
        <xdr:sp macro="" textlink="">
          <xdr:nvSpPr>
            <xdr:cNvPr id="10265" name="SpinButton1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15</xdr:row>
      <xdr:rowOff>0</xdr:rowOff>
    </xdr:from>
    <xdr:to>
      <xdr:col>16</xdr:col>
      <xdr:colOff>0</xdr:colOff>
      <xdr:row>24</xdr:row>
      <xdr:rowOff>71437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114300</xdr:rowOff>
        </xdr:from>
        <xdr:to>
          <xdr:col>16</xdr:col>
          <xdr:colOff>104775</xdr:colOff>
          <xdr:row>14</xdr:row>
          <xdr:rowOff>0</xdr:rowOff>
        </xdr:to>
        <xdr:sp macro="" textlink="">
          <xdr:nvSpPr>
            <xdr:cNvPr id="10266" name="ListBox1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</xdr:rowOff>
        </xdr:to>
        <xdr:sp macro="" textlink="">
          <xdr:nvSpPr>
            <xdr:cNvPr id="10268" name="SpinButton2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0</xdr:rowOff>
        </xdr:from>
        <xdr:to>
          <xdr:col>2</xdr:col>
          <xdr:colOff>466725</xdr:colOff>
          <xdr:row>8</xdr:row>
          <xdr:rowOff>0</xdr:rowOff>
        </xdr:to>
        <xdr:sp macro="" textlink="">
          <xdr:nvSpPr>
            <xdr:cNvPr id="10270" name="SpinButton3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12</xdr:row>
          <xdr:rowOff>95250</xdr:rowOff>
        </xdr:from>
        <xdr:to>
          <xdr:col>3</xdr:col>
          <xdr:colOff>590550</xdr:colOff>
          <xdr:row>14</xdr:row>
          <xdr:rowOff>19050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57150</xdr:rowOff>
        </xdr:from>
        <xdr:to>
          <xdr:col>6</xdr:col>
          <xdr:colOff>285750</xdr:colOff>
          <xdr:row>1</xdr:row>
          <xdr:rowOff>180975</xdr:rowOff>
        </xdr:to>
        <xdr:sp macro="" textlink="">
          <xdr:nvSpPr>
            <xdr:cNvPr id="22531" name="CommandButton1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123825</xdr:rowOff>
        </xdr:from>
        <xdr:to>
          <xdr:col>3</xdr:col>
          <xdr:colOff>0</xdr:colOff>
          <xdr:row>2</xdr:row>
          <xdr:rowOff>161925</xdr:rowOff>
        </xdr:to>
        <xdr:sp macro="" textlink="">
          <xdr:nvSpPr>
            <xdr:cNvPr id="22532" name="ComboBox1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123825</xdr:rowOff>
        </xdr:from>
        <xdr:to>
          <xdr:col>0</xdr:col>
          <xdr:colOff>1876425</xdr:colOff>
          <xdr:row>9</xdr:row>
          <xdr:rowOff>95250</xdr:rowOff>
        </xdr:to>
        <xdr:sp macro="" textlink="">
          <xdr:nvSpPr>
            <xdr:cNvPr id="22533" name="ListBox1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9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24" Type="http://schemas.openxmlformats.org/officeDocument/2006/relationships/control" Target="../activeX/activeX15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0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4.xml"/><Relationship Id="rId27" Type="http://schemas.openxmlformats.org/officeDocument/2006/relationships/image" Target="../media/image1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9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B1:Q51"/>
  <sheetViews>
    <sheetView showGridLines="0" workbookViewId="0">
      <pane xSplit="8" ySplit="8" topLeftCell="I9" activePane="bottomRight" state="frozen"/>
      <selection pane="topRight" activeCell="H1" sqref="H1"/>
      <selection pane="bottomLeft" activeCell="A8" sqref="A8"/>
      <selection pane="bottomRight" activeCell="J44" sqref="J44"/>
    </sheetView>
  </sheetViews>
  <sheetFormatPr defaultRowHeight="15" outlineLevelRow="1" x14ac:dyDescent="0.25"/>
  <cols>
    <col min="3" max="3" width="3.140625" style="2" hidden="1" customWidth="1"/>
    <col min="4" max="4" width="8.7109375" style="2" bestFit="1" customWidth="1"/>
    <col min="5" max="5" width="4.42578125" style="2" hidden="1" customWidth="1"/>
    <col min="6" max="6" width="4.42578125" style="2" customWidth="1"/>
    <col min="7" max="7" width="4.85546875" bestFit="1" customWidth="1"/>
    <col min="8" max="8" width="19.28515625" bestFit="1" customWidth="1"/>
    <col min="9" max="9" width="9.7109375" bestFit="1" customWidth="1"/>
    <col min="10" max="10" width="9.28515625" bestFit="1" customWidth="1"/>
    <col min="11" max="11" width="11.5703125" bestFit="1" customWidth="1"/>
    <col min="12" max="12" width="9.28515625" bestFit="1" customWidth="1"/>
    <col min="13" max="13" width="9.28515625" customWidth="1"/>
    <col min="14" max="14" width="9.28515625" bestFit="1" customWidth="1"/>
    <col min="15" max="15" width="9.28515625" customWidth="1"/>
    <col min="16" max="16" width="9.28515625" bestFit="1" customWidth="1"/>
    <col min="17" max="17" width="11.28515625" bestFit="1" customWidth="1"/>
  </cols>
  <sheetData>
    <row r="1" spans="2:17" ht="14.45" x14ac:dyDescent="0.3">
      <c r="G1" s="121" t="s">
        <v>11</v>
      </c>
      <c r="H1" s="122"/>
      <c r="I1" s="3">
        <v>1</v>
      </c>
      <c r="J1" s="3">
        <f>I1+1</f>
        <v>2</v>
      </c>
      <c r="K1" s="3">
        <v>4</v>
      </c>
      <c r="L1" s="3">
        <v>3</v>
      </c>
      <c r="M1" s="3"/>
      <c r="N1" s="3">
        <v>5</v>
      </c>
      <c r="O1" s="3"/>
      <c r="P1" s="3"/>
      <c r="Q1" s="2" t="s">
        <v>17</v>
      </c>
    </row>
    <row r="2" spans="2:17" ht="14.45" x14ac:dyDescent="0.3">
      <c r="G2" s="121" t="s">
        <v>8</v>
      </c>
      <c r="H2" s="122"/>
      <c r="I2" s="3">
        <v>2</v>
      </c>
      <c r="J2" s="3">
        <v>2</v>
      </c>
      <c r="K2" s="3">
        <v>2</v>
      </c>
      <c r="L2" s="3">
        <v>2</v>
      </c>
      <c r="M2" s="3"/>
      <c r="N2" s="3">
        <v>3</v>
      </c>
      <c r="O2" s="3"/>
      <c r="P2" s="3"/>
      <c r="Q2" s="3"/>
    </row>
    <row r="3" spans="2:17" ht="14.45" x14ac:dyDescent="0.3">
      <c r="G3" s="121" t="s">
        <v>9</v>
      </c>
      <c r="H3" s="122"/>
      <c r="I3" s="3">
        <v>2018</v>
      </c>
      <c r="J3" s="3">
        <v>2018</v>
      </c>
      <c r="K3" s="3">
        <v>2018</v>
      </c>
      <c r="L3" s="3">
        <v>2018</v>
      </c>
      <c r="M3" s="3"/>
      <c r="N3" s="3">
        <v>2018</v>
      </c>
      <c r="O3" s="3"/>
      <c r="P3" s="3"/>
      <c r="Q3" s="3"/>
    </row>
    <row r="4" spans="2:17" ht="14.45" x14ac:dyDescent="0.3">
      <c r="G4" s="121" t="s">
        <v>10</v>
      </c>
      <c r="H4" s="122"/>
      <c r="I4" s="3"/>
      <c r="J4" s="3"/>
      <c r="K4" s="3"/>
      <c r="L4" s="3"/>
      <c r="M4" s="3"/>
      <c r="N4" s="3"/>
      <c r="O4" s="3"/>
      <c r="P4" s="3"/>
      <c r="Q4" s="3"/>
    </row>
    <row r="5" spans="2:17" ht="28.9" x14ac:dyDescent="0.3">
      <c r="G5" s="123" t="s">
        <v>18</v>
      </c>
      <c r="H5" s="124"/>
      <c r="I5" s="36" t="s">
        <v>19</v>
      </c>
      <c r="J5" s="37"/>
      <c r="K5" s="37" t="s">
        <v>28</v>
      </c>
      <c r="L5" s="37" t="s">
        <v>35</v>
      </c>
      <c r="M5" s="37" t="s">
        <v>35</v>
      </c>
      <c r="N5" s="37" t="s">
        <v>34</v>
      </c>
      <c r="O5" s="37"/>
      <c r="P5" s="37"/>
      <c r="Q5" s="37"/>
    </row>
    <row r="6" spans="2:17" ht="14.45" x14ac:dyDescent="0.3">
      <c r="G6" s="22"/>
      <c r="H6" s="22"/>
      <c r="I6" s="44"/>
      <c r="J6" s="45"/>
      <c r="K6" s="45"/>
      <c r="L6" s="45"/>
      <c r="M6" s="45"/>
      <c r="N6" s="45"/>
      <c r="O6" s="45"/>
      <c r="P6" s="45"/>
      <c r="Q6" s="45"/>
    </row>
    <row r="7" spans="2:17" ht="14.45" x14ac:dyDescent="0.3">
      <c r="B7" s="118" t="s">
        <v>36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</row>
    <row r="8" spans="2:17" ht="14.25" customHeight="1" outlineLevel="1" x14ac:dyDescent="0.3">
      <c r="G8" s="46" t="s">
        <v>25</v>
      </c>
      <c r="H8" s="47" t="s">
        <v>18</v>
      </c>
      <c r="I8" s="125" t="s">
        <v>29</v>
      </c>
      <c r="J8" s="125"/>
      <c r="K8" s="125"/>
      <c r="L8" s="125"/>
      <c r="M8" s="125"/>
      <c r="N8" s="125"/>
      <c r="O8" s="125"/>
      <c r="P8" s="125"/>
      <c r="Q8" s="48" t="s">
        <v>30</v>
      </c>
    </row>
    <row r="9" spans="2:17" ht="15.75" outlineLevel="1" x14ac:dyDescent="0.25">
      <c r="B9" s="126" t="s">
        <v>0</v>
      </c>
      <c r="C9" s="6" t="s">
        <v>0</v>
      </c>
      <c r="D9" s="111" t="s">
        <v>1</v>
      </c>
      <c r="E9" s="6" t="s">
        <v>1</v>
      </c>
      <c r="F9" s="111" t="s">
        <v>3</v>
      </c>
      <c r="G9" s="26" t="s">
        <v>3</v>
      </c>
      <c r="H9" s="18" t="s">
        <v>43</v>
      </c>
      <c r="I9" s="5">
        <f>-I23</f>
        <v>0</v>
      </c>
      <c r="J9" s="5">
        <f t="shared" ref="J9:P9" si="0">-J23</f>
        <v>0</v>
      </c>
      <c r="K9" s="5">
        <f t="shared" si="0"/>
        <v>10000</v>
      </c>
      <c r="L9" s="5">
        <f t="shared" si="0"/>
        <v>0</v>
      </c>
      <c r="M9" s="5"/>
      <c r="N9" s="5">
        <f t="shared" si="0"/>
        <v>0</v>
      </c>
      <c r="O9" s="5"/>
      <c r="P9" s="5">
        <f t="shared" si="0"/>
        <v>0</v>
      </c>
      <c r="Q9" s="25">
        <f>SUM(I9:P9)</f>
        <v>10000</v>
      </c>
    </row>
    <row r="10" spans="2:17" ht="15.75" outlineLevel="1" x14ac:dyDescent="0.25">
      <c r="B10" s="126"/>
      <c r="C10" s="6" t="s">
        <v>0</v>
      </c>
      <c r="D10" s="111"/>
      <c r="E10" s="6" t="s">
        <v>1</v>
      </c>
      <c r="F10" s="111"/>
      <c r="G10" s="27" t="s">
        <v>3</v>
      </c>
      <c r="H10" s="19"/>
      <c r="I10" s="5"/>
      <c r="J10" s="5"/>
      <c r="K10" s="5"/>
      <c r="L10" s="5"/>
      <c r="M10" s="5"/>
      <c r="N10" s="5"/>
      <c r="O10" s="5"/>
      <c r="P10" s="5"/>
      <c r="Q10" s="25">
        <f>SUM(I10:P10)</f>
        <v>0</v>
      </c>
    </row>
    <row r="11" spans="2:17" ht="15.75" outlineLevel="1" x14ac:dyDescent="0.25">
      <c r="B11" s="111"/>
      <c r="C11" s="6" t="s">
        <v>0</v>
      </c>
      <c r="D11" s="111"/>
      <c r="E11" s="6" t="s">
        <v>1</v>
      </c>
      <c r="F11" s="111"/>
      <c r="G11" s="27" t="s">
        <v>3</v>
      </c>
      <c r="H11" s="19"/>
      <c r="I11" s="5"/>
      <c r="J11" s="5"/>
      <c r="K11" s="5"/>
      <c r="L11" s="5"/>
      <c r="M11" s="5"/>
      <c r="N11" s="5"/>
      <c r="O11" s="5"/>
      <c r="P11" s="5"/>
      <c r="Q11" s="25">
        <f>SUM(I11:P11)</f>
        <v>0</v>
      </c>
    </row>
    <row r="12" spans="2:17" outlineLevel="1" x14ac:dyDescent="0.25">
      <c r="B12" s="111"/>
      <c r="C12" s="6" t="s">
        <v>0</v>
      </c>
      <c r="D12" s="111"/>
      <c r="E12" s="6" t="s">
        <v>1</v>
      </c>
      <c r="F12" s="111"/>
      <c r="G12" s="28"/>
      <c r="H12" s="20" t="s">
        <v>12</v>
      </c>
      <c r="I12" s="12">
        <f t="shared" ref="I12:P12" si="1">SUM(I9:I11)</f>
        <v>0</v>
      </c>
      <c r="J12" s="13">
        <f t="shared" si="1"/>
        <v>0</v>
      </c>
      <c r="K12" s="13">
        <f t="shared" si="1"/>
        <v>10000</v>
      </c>
      <c r="L12" s="13"/>
      <c r="M12" s="13"/>
      <c r="N12" s="13"/>
      <c r="O12" s="13"/>
      <c r="P12" s="14">
        <f t="shared" si="1"/>
        <v>0</v>
      </c>
      <c r="Q12" s="24">
        <f>SUM(Q9:Q11)</f>
        <v>10000</v>
      </c>
    </row>
    <row r="13" spans="2:17" ht="15.75" outlineLevel="1" x14ac:dyDescent="0.25">
      <c r="B13" s="111"/>
      <c r="C13" s="6" t="s">
        <v>0</v>
      </c>
      <c r="D13" s="111"/>
      <c r="E13" s="6" t="s">
        <v>1</v>
      </c>
      <c r="F13" s="111" t="s">
        <v>4</v>
      </c>
      <c r="G13" s="27" t="s">
        <v>4</v>
      </c>
      <c r="H13" s="19" t="s">
        <v>41</v>
      </c>
      <c r="I13" s="5">
        <f>-I28</f>
        <v>-200</v>
      </c>
      <c r="J13" s="5">
        <f t="shared" ref="J13:P13" si="2">-J28</f>
        <v>0</v>
      </c>
      <c r="K13" s="5">
        <f t="shared" si="2"/>
        <v>0</v>
      </c>
      <c r="L13" s="5"/>
      <c r="M13" s="5"/>
      <c r="N13" s="5">
        <f t="shared" si="2"/>
        <v>0</v>
      </c>
      <c r="O13" s="5"/>
      <c r="P13" s="5">
        <f t="shared" si="2"/>
        <v>0</v>
      </c>
      <c r="Q13" s="25">
        <f>SUM(I13:P13)</f>
        <v>-200</v>
      </c>
    </row>
    <row r="14" spans="2:17" ht="15.75" outlineLevel="1" x14ac:dyDescent="0.25">
      <c r="B14" s="111"/>
      <c r="C14" s="6" t="s">
        <v>0</v>
      </c>
      <c r="D14" s="111"/>
      <c r="E14" s="6" t="s">
        <v>1</v>
      </c>
      <c r="F14" s="111"/>
      <c r="G14" s="27" t="s">
        <v>4</v>
      </c>
      <c r="H14" s="19" t="s">
        <v>41</v>
      </c>
      <c r="I14" s="5"/>
      <c r="J14" s="5"/>
      <c r="K14" s="5"/>
      <c r="L14" s="5">
        <v>-30</v>
      </c>
      <c r="M14" s="5"/>
      <c r="N14" s="5"/>
      <c r="O14" s="5"/>
      <c r="P14" s="5"/>
      <c r="Q14" s="25">
        <f>SUM(I14:P14)</f>
        <v>-30</v>
      </c>
    </row>
    <row r="15" spans="2:17" ht="15.75" outlineLevel="1" x14ac:dyDescent="0.25">
      <c r="B15" s="111"/>
      <c r="C15" s="6" t="s">
        <v>0</v>
      </c>
      <c r="D15" s="111"/>
      <c r="E15" s="6" t="s">
        <v>1</v>
      </c>
      <c r="F15" s="111"/>
      <c r="G15" s="27" t="s">
        <v>4</v>
      </c>
      <c r="H15" s="19" t="s">
        <v>39</v>
      </c>
      <c r="I15" s="5"/>
      <c r="J15" s="5"/>
      <c r="K15" s="5"/>
      <c r="L15" s="5"/>
      <c r="M15" s="5">
        <v>-100</v>
      </c>
      <c r="N15" s="5"/>
      <c r="O15" s="5"/>
      <c r="P15" s="5"/>
      <c r="Q15" s="25">
        <f>SUM(I15:P15)</f>
        <v>-100</v>
      </c>
    </row>
    <row r="16" spans="2:17" outlineLevel="1" x14ac:dyDescent="0.25">
      <c r="B16" s="111"/>
      <c r="C16" s="6" t="s">
        <v>0</v>
      </c>
      <c r="D16" s="111"/>
      <c r="E16" s="6" t="s">
        <v>1</v>
      </c>
      <c r="F16" s="111"/>
      <c r="G16" s="28"/>
      <c r="H16" s="20" t="s">
        <v>13</v>
      </c>
      <c r="I16" s="12">
        <f t="shared" ref="I16:K16" si="3">SUM(I13:I15)</f>
        <v>-200</v>
      </c>
      <c r="J16" s="13">
        <f t="shared" si="3"/>
        <v>0</v>
      </c>
      <c r="K16" s="13">
        <f t="shared" si="3"/>
        <v>0</v>
      </c>
      <c r="L16" s="13">
        <f t="shared" ref="L16:M16" si="4">SUM(L13:L15)</f>
        <v>-30</v>
      </c>
      <c r="M16" s="13">
        <f t="shared" si="4"/>
        <v>-100</v>
      </c>
      <c r="N16" s="13">
        <f t="shared" ref="N16" si="5">SUM(N13:N15)</f>
        <v>0</v>
      </c>
      <c r="O16" s="13"/>
      <c r="P16" s="14">
        <f t="shared" ref="P16" si="6">SUM(P13:P15)</f>
        <v>0</v>
      </c>
      <c r="Q16" s="24">
        <f>SUM(Q13:Q15)</f>
        <v>-330</v>
      </c>
    </row>
    <row r="17" spans="2:17" ht="15.75" outlineLevel="1" x14ac:dyDescent="0.25">
      <c r="B17" s="111"/>
      <c r="C17" s="6" t="s">
        <v>0</v>
      </c>
      <c r="D17" s="111"/>
      <c r="E17" s="6" t="s">
        <v>1</v>
      </c>
      <c r="F17" s="111" t="s">
        <v>5</v>
      </c>
      <c r="G17" s="27" t="s">
        <v>5</v>
      </c>
      <c r="H17" s="19"/>
      <c r="I17" s="5"/>
      <c r="J17" s="5"/>
      <c r="K17" s="5"/>
      <c r="L17" s="5"/>
      <c r="M17" s="5"/>
      <c r="N17" s="5"/>
      <c r="O17" s="5"/>
      <c r="P17" s="5"/>
      <c r="Q17" s="25">
        <f>SUM(I17:P17)</f>
        <v>0</v>
      </c>
    </row>
    <row r="18" spans="2:17" ht="15.75" outlineLevel="1" x14ac:dyDescent="0.25">
      <c r="B18" s="111"/>
      <c r="C18" s="6" t="s">
        <v>0</v>
      </c>
      <c r="D18" s="111"/>
      <c r="E18" s="6" t="s">
        <v>1</v>
      </c>
      <c r="F18" s="111"/>
      <c r="G18" s="27" t="s">
        <v>5</v>
      </c>
      <c r="H18" s="19"/>
      <c r="I18" s="5"/>
      <c r="J18" s="5"/>
      <c r="K18" s="5"/>
      <c r="L18" s="5"/>
      <c r="M18" s="5"/>
      <c r="N18" s="5"/>
      <c r="O18" s="5"/>
      <c r="P18" s="5"/>
      <c r="Q18" s="25">
        <f>SUM(I18:P18)</f>
        <v>0</v>
      </c>
    </row>
    <row r="19" spans="2:17" outlineLevel="1" x14ac:dyDescent="0.25">
      <c r="B19" s="111"/>
      <c r="C19" s="6" t="s">
        <v>0</v>
      </c>
      <c r="D19" s="111"/>
      <c r="E19" s="6" t="s">
        <v>1</v>
      </c>
      <c r="F19" s="111"/>
      <c r="G19" s="28"/>
      <c r="H19" s="20" t="s">
        <v>14</v>
      </c>
      <c r="I19" s="12">
        <f t="shared" ref="I19:P19" si="7">SUM(I17:I18)</f>
        <v>0</v>
      </c>
      <c r="J19" s="13">
        <f t="shared" si="7"/>
        <v>0</v>
      </c>
      <c r="K19" s="13">
        <f t="shared" si="7"/>
        <v>0</v>
      </c>
      <c r="L19" s="13">
        <f t="shared" ref="L19" si="8">SUM(L17:L18)</f>
        <v>0</v>
      </c>
      <c r="M19" s="13">
        <f t="shared" ref="M19" si="9">SUM(M17:M18)</f>
        <v>0</v>
      </c>
      <c r="N19" s="13">
        <f t="shared" ref="N19" si="10">SUM(N17:N18)</f>
        <v>0</v>
      </c>
      <c r="O19" s="13">
        <f t="shared" ref="O19" si="11">SUM(O17:O18)</f>
        <v>0</v>
      </c>
      <c r="P19" s="14">
        <f t="shared" si="7"/>
        <v>0</v>
      </c>
      <c r="Q19" s="24">
        <f t="shared" ref="Q19" si="12">SUM(Q17:Q18)</f>
        <v>0</v>
      </c>
    </row>
    <row r="20" spans="2:17" ht="15.75" outlineLevel="1" x14ac:dyDescent="0.25">
      <c r="B20" s="111"/>
      <c r="C20" s="6" t="s">
        <v>0</v>
      </c>
      <c r="D20" s="111" t="s">
        <v>2</v>
      </c>
      <c r="E20" s="6" t="s">
        <v>2</v>
      </c>
      <c r="F20" s="111" t="s">
        <v>6</v>
      </c>
      <c r="G20" s="27" t="s">
        <v>6</v>
      </c>
      <c r="H20" s="19" t="s">
        <v>37</v>
      </c>
      <c r="I20" s="5"/>
      <c r="J20" s="5"/>
      <c r="K20" s="5">
        <v>-10000</v>
      </c>
      <c r="L20" s="5"/>
      <c r="M20" s="5"/>
      <c r="N20" s="5"/>
      <c r="O20" s="5"/>
      <c r="P20" s="5"/>
      <c r="Q20" s="25">
        <f>SUM(I20:P20)</f>
        <v>-10000</v>
      </c>
    </row>
    <row r="21" spans="2:17" ht="15.75" outlineLevel="1" x14ac:dyDescent="0.25">
      <c r="B21" s="111"/>
      <c r="C21" s="6" t="s">
        <v>0</v>
      </c>
      <c r="D21" s="111"/>
      <c r="E21" s="6" t="s">
        <v>2</v>
      </c>
      <c r="F21" s="111"/>
      <c r="G21" s="27" t="s">
        <v>6</v>
      </c>
      <c r="H21" s="19"/>
      <c r="I21" s="5"/>
      <c r="J21" s="5"/>
      <c r="K21" s="5"/>
      <c r="L21" s="5"/>
      <c r="M21" s="5"/>
      <c r="N21" s="5"/>
      <c r="O21" s="5"/>
      <c r="P21" s="5"/>
      <c r="Q21" s="25">
        <f>SUM(I21:P21)</f>
        <v>0</v>
      </c>
    </row>
    <row r="22" spans="2:17" ht="15.75" outlineLevel="1" x14ac:dyDescent="0.25">
      <c r="B22" s="111"/>
      <c r="C22" s="6" t="s">
        <v>0</v>
      </c>
      <c r="D22" s="111"/>
      <c r="E22" s="6" t="s">
        <v>2</v>
      </c>
      <c r="F22" s="111"/>
      <c r="G22" s="27" t="s">
        <v>6</v>
      </c>
      <c r="H22" s="19"/>
      <c r="I22" s="5"/>
      <c r="J22" s="5"/>
      <c r="K22" s="5"/>
      <c r="L22" s="5"/>
      <c r="M22" s="5"/>
      <c r="N22" s="5"/>
      <c r="O22" s="5"/>
      <c r="P22" s="5"/>
      <c r="Q22" s="25">
        <f>SUM(I22:P22)</f>
        <v>0</v>
      </c>
    </row>
    <row r="23" spans="2:17" outlineLevel="1" x14ac:dyDescent="0.25">
      <c r="B23" s="111"/>
      <c r="C23" s="6" t="s">
        <v>0</v>
      </c>
      <c r="D23" s="111"/>
      <c r="E23" s="6" t="s">
        <v>2</v>
      </c>
      <c r="F23" s="111"/>
      <c r="G23" s="28"/>
      <c r="H23" s="20" t="s">
        <v>15</v>
      </c>
      <c r="I23" s="12">
        <f t="shared" ref="I23:P23" si="13">SUM(I20:I22)</f>
        <v>0</v>
      </c>
      <c r="J23" s="13">
        <f t="shared" si="13"/>
        <v>0</v>
      </c>
      <c r="K23" s="13">
        <f t="shared" si="13"/>
        <v>-10000</v>
      </c>
      <c r="L23" s="13">
        <f t="shared" ref="L23" si="14">SUM(L20:L22)</f>
        <v>0</v>
      </c>
      <c r="M23" s="13">
        <f t="shared" ref="M23" si="15">SUM(M20:M22)</f>
        <v>0</v>
      </c>
      <c r="N23" s="13">
        <f t="shared" ref="N23" si="16">SUM(N20:N22)</f>
        <v>0</v>
      </c>
      <c r="O23" s="13">
        <f t="shared" ref="O23" si="17">SUM(O20:O22)</f>
        <v>0</v>
      </c>
      <c r="P23" s="14">
        <f t="shared" si="13"/>
        <v>0</v>
      </c>
      <c r="Q23" s="24">
        <f t="shared" ref="Q23" si="18">SUM(Q20:Q22)</f>
        <v>-10000</v>
      </c>
    </row>
    <row r="24" spans="2:17" ht="15.75" outlineLevel="1" x14ac:dyDescent="0.25">
      <c r="B24" s="111"/>
      <c r="C24" s="6" t="s">
        <v>0</v>
      </c>
      <c r="D24" s="111"/>
      <c r="E24" s="6" t="s">
        <v>2</v>
      </c>
      <c r="F24" s="111" t="s">
        <v>7</v>
      </c>
      <c r="G24" s="27" t="s">
        <v>7</v>
      </c>
      <c r="H24" s="19"/>
      <c r="I24" s="5"/>
      <c r="J24" s="5"/>
      <c r="K24" s="5"/>
      <c r="L24" s="5"/>
      <c r="M24" s="5"/>
      <c r="N24" s="5"/>
      <c r="O24" s="5"/>
      <c r="P24" s="5"/>
      <c r="Q24" s="25">
        <f>SUM(I24:P24)</f>
        <v>0</v>
      </c>
    </row>
    <row r="25" spans="2:17" ht="15.75" outlineLevel="1" x14ac:dyDescent="0.25">
      <c r="B25" s="111"/>
      <c r="C25" s="6" t="s">
        <v>0</v>
      </c>
      <c r="D25" s="111"/>
      <c r="E25" s="6" t="s">
        <v>2</v>
      </c>
      <c r="F25" s="111"/>
      <c r="G25" s="27" t="s">
        <v>26</v>
      </c>
      <c r="H25" s="19" t="str">
        <f>I5</f>
        <v>Cost Provision</v>
      </c>
      <c r="I25" s="5">
        <v>200</v>
      </c>
      <c r="J25" s="5"/>
      <c r="K25" s="5"/>
      <c r="L25" s="5"/>
      <c r="M25" s="5"/>
      <c r="N25" s="5"/>
      <c r="O25" s="5"/>
      <c r="P25" s="5"/>
      <c r="Q25" s="25">
        <f>SUM(I25:P25)</f>
        <v>200</v>
      </c>
    </row>
    <row r="26" spans="2:17" ht="15.75" outlineLevel="1" x14ac:dyDescent="0.25">
      <c r="B26" s="111"/>
      <c r="C26" s="6" t="s">
        <v>0</v>
      </c>
      <c r="D26" s="111"/>
      <c r="E26" s="6" t="s">
        <v>2</v>
      </c>
      <c r="F26" s="111"/>
      <c r="G26" s="27" t="s">
        <v>27</v>
      </c>
      <c r="H26" s="38" t="str">
        <f>L5</f>
        <v xml:space="preserve"> </v>
      </c>
      <c r="I26" s="5"/>
      <c r="J26" s="5"/>
      <c r="K26" s="5"/>
      <c r="L26" s="5">
        <v>30</v>
      </c>
      <c r="M26" s="5"/>
      <c r="N26" s="5"/>
      <c r="O26" s="5"/>
      <c r="P26" s="5"/>
      <c r="Q26" s="25">
        <f>SUM(I26:P26)</f>
        <v>30</v>
      </c>
    </row>
    <row r="27" spans="2:17" ht="15.75" outlineLevel="1" x14ac:dyDescent="0.25">
      <c r="B27" s="111"/>
      <c r="C27" s="6" t="s">
        <v>0</v>
      </c>
      <c r="D27" s="111"/>
      <c r="E27" s="6" t="s">
        <v>2</v>
      </c>
      <c r="F27" s="111"/>
      <c r="G27" s="27" t="s">
        <v>26</v>
      </c>
      <c r="H27" s="19"/>
      <c r="I27" s="5"/>
      <c r="J27" s="5"/>
      <c r="K27" s="5"/>
      <c r="L27" s="5"/>
      <c r="M27" s="5">
        <v>100</v>
      </c>
      <c r="N27" s="5"/>
      <c r="O27" s="5"/>
      <c r="P27" s="5"/>
      <c r="Q27" s="25">
        <f>SUM(I27:P27)</f>
        <v>100</v>
      </c>
    </row>
    <row r="28" spans="2:17" outlineLevel="1" x14ac:dyDescent="0.25">
      <c r="B28" s="111"/>
      <c r="C28" s="6" t="s">
        <v>0</v>
      </c>
      <c r="D28" s="111"/>
      <c r="E28" s="6" t="s">
        <v>2</v>
      </c>
      <c r="F28" s="111"/>
      <c r="G28" s="29"/>
      <c r="H28" s="21" t="s">
        <v>16</v>
      </c>
      <c r="I28" s="15">
        <f>SUM(I24:I27)</f>
        <v>200</v>
      </c>
      <c r="J28" s="16">
        <f>SUM(J24:J27)</f>
        <v>0</v>
      </c>
      <c r="K28" s="16">
        <f>SUM(K24:K27)</f>
        <v>0</v>
      </c>
      <c r="L28" s="16">
        <f t="shared" ref="L28:N28" si="19">SUM(L24:L27)</f>
        <v>30</v>
      </c>
      <c r="M28" s="16">
        <f t="shared" si="19"/>
        <v>100</v>
      </c>
      <c r="N28" s="16">
        <f t="shared" si="19"/>
        <v>0</v>
      </c>
      <c r="O28" s="16"/>
      <c r="P28" s="17">
        <f>SUM(P24:P27)</f>
        <v>0</v>
      </c>
      <c r="Q28" s="24">
        <f>SUM(Q24:Q27)</f>
        <v>330</v>
      </c>
    </row>
    <row r="29" spans="2:17" s="6" customFormat="1" ht="14.45" outlineLevel="1" x14ac:dyDescent="0.3">
      <c r="B29" s="32">
        <f>Q12+Q16+Q19+Q23+Q28</f>
        <v>0</v>
      </c>
      <c r="C29" s="33"/>
      <c r="D29" s="32">
        <f>(-(Q12+Q16+Q19)-(Q23+Q28))</f>
        <v>0</v>
      </c>
    </row>
    <row r="30" spans="2:17" s="6" customFormat="1" ht="14.45" x14ac:dyDescent="0.3"/>
    <row r="31" spans="2:17" s="6" customFormat="1" ht="14.45" collapsed="1" x14ac:dyDescent="0.3">
      <c r="B31" s="115" t="s">
        <v>33</v>
      </c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7"/>
    </row>
    <row r="32" spans="2:17" ht="14.45" hidden="1" outlineLevel="1" x14ac:dyDescent="0.3">
      <c r="B32" s="113" t="s">
        <v>33</v>
      </c>
      <c r="D32" s="39" t="s">
        <v>20</v>
      </c>
      <c r="F32" s="40"/>
      <c r="G32" s="41"/>
      <c r="H32" s="41"/>
      <c r="I32" s="41"/>
      <c r="J32" s="41"/>
      <c r="K32" s="41"/>
      <c r="L32" s="41"/>
      <c r="M32" s="41"/>
      <c r="N32" s="41"/>
      <c r="O32" s="41"/>
      <c r="P32" s="42"/>
      <c r="Q32" s="43">
        <f>-Q23-Q28</f>
        <v>9670</v>
      </c>
    </row>
    <row r="33" spans="2:17" ht="14.45" hidden="1" outlineLevel="1" x14ac:dyDescent="0.3">
      <c r="B33" s="114"/>
      <c r="D33" s="23"/>
      <c r="F33" s="23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31"/>
    </row>
    <row r="34" spans="2:17" ht="14.45" hidden="1" outlineLevel="1" x14ac:dyDescent="0.3">
      <c r="B34" s="114"/>
      <c r="D34" s="23"/>
      <c r="F34" s="2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31"/>
    </row>
    <row r="35" spans="2:17" ht="14.45" hidden="1" outlineLevel="1" x14ac:dyDescent="0.3">
      <c r="B35" s="114"/>
      <c r="D35" s="23"/>
      <c r="F35" s="23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31"/>
    </row>
    <row r="36" spans="2:17" ht="14.45" hidden="1" outlineLevel="1" x14ac:dyDescent="0.3">
      <c r="B36" s="114"/>
      <c r="D36" s="23"/>
      <c r="F36" s="23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31"/>
    </row>
    <row r="37" spans="2:17" ht="14.45" hidden="1" outlineLevel="1" x14ac:dyDescent="0.3">
      <c r="B37" s="114"/>
      <c r="D37" s="23"/>
      <c r="F37" s="23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31"/>
    </row>
    <row r="38" spans="2:17" ht="14.45" hidden="1" outlineLevel="1" x14ac:dyDescent="0.3">
      <c r="B38" s="114"/>
      <c r="D38" s="23"/>
      <c r="F38" s="23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31"/>
    </row>
    <row r="39" spans="2:17" ht="14.45" hidden="1" outlineLevel="1" x14ac:dyDescent="0.3">
      <c r="B39" s="114"/>
      <c r="D39" s="23"/>
      <c r="F39" s="23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31"/>
    </row>
    <row r="40" spans="2:17" ht="14.45" hidden="1" outlineLevel="1" x14ac:dyDescent="0.3">
      <c r="B40" s="114"/>
      <c r="D40" s="23"/>
      <c r="F40" s="23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31"/>
    </row>
    <row r="41" spans="2:17" ht="14.45" hidden="1" outlineLevel="1" x14ac:dyDescent="0.3">
      <c r="B41" s="114"/>
      <c r="D41" s="23"/>
      <c r="F41" s="23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31"/>
    </row>
    <row r="43" spans="2:17" x14ac:dyDescent="0.25">
      <c r="B43" s="118" t="s">
        <v>21</v>
      </c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20"/>
    </row>
    <row r="44" spans="2:17" outlineLevel="1" x14ac:dyDescent="0.25">
      <c r="B44" s="112" t="s">
        <v>21</v>
      </c>
      <c r="D44" s="112" t="s">
        <v>32</v>
      </c>
      <c r="G44" s="48">
        <v>4</v>
      </c>
      <c r="H44" s="49" t="s">
        <v>37</v>
      </c>
      <c r="I44" s="50"/>
      <c r="J44" s="50"/>
      <c r="K44" s="50"/>
      <c r="L44" s="50"/>
      <c r="M44" s="50"/>
      <c r="N44" s="50"/>
      <c r="O44" s="50"/>
      <c r="P44" s="50"/>
      <c r="Q44" s="5">
        <f>-SUMIF($H$20:$H$22,"Billings",$Q$20:$Q$22)</f>
        <v>10000</v>
      </c>
    </row>
    <row r="45" spans="2:17" outlineLevel="1" x14ac:dyDescent="0.25">
      <c r="B45" s="111"/>
      <c r="D45" s="111"/>
      <c r="G45" s="3"/>
      <c r="H45" s="35"/>
      <c r="I45" s="34"/>
      <c r="J45" s="34"/>
      <c r="K45" s="34"/>
      <c r="L45" s="34"/>
      <c r="M45" s="34"/>
      <c r="N45" s="34"/>
      <c r="O45" s="34"/>
      <c r="P45" s="34"/>
    </row>
    <row r="46" spans="2:17" outlineLevel="1" x14ac:dyDescent="0.25">
      <c r="B46" s="111"/>
      <c r="D46" s="111"/>
      <c r="G46" s="3"/>
      <c r="H46" s="35"/>
      <c r="I46" s="34"/>
      <c r="J46" s="34"/>
      <c r="K46" s="34"/>
      <c r="L46" s="34"/>
      <c r="M46" s="34"/>
      <c r="N46" s="34"/>
      <c r="O46" s="34"/>
      <c r="P46" s="34"/>
    </row>
    <row r="47" spans="2:17" outlineLevel="1" x14ac:dyDescent="0.25">
      <c r="B47" s="111"/>
      <c r="D47" s="111" t="s">
        <v>31</v>
      </c>
      <c r="G47" s="8">
        <v>1</v>
      </c>
      <c r="H47" s="35" t="s">
        <v>22</v>
      </c>
      <c r="I47" s="34"/>
      <c r="J47" s="34"/>
      <c r="K47" s="34"/>
      <c r="L47" s="34"/>
      <c r="M47" s="34"/>
      <c r="N47" s="34"/>
      <c r="O47" s="34"/>
      <c r="P47" s="34"/>
      <c r="Q47" s="5">
        <f>-SUMIF($G$20:$G$22,"I",$Q$20:$Q$22)</f>
        <v>10000</v>
      </c>
    </row>
    <row r="48" spans="2:17" outlineLevel="1" x14ac:dyDescent="0.25">
      <c r="B48" s="111"/>
      <c r="D48" s="111"/>
      <c r="G48" s="8">
        <v>2.1</v>
      </c>
      <c r="H48" s="35" t="s">
        <v>23</v>
      </c>
      <c r="I48" s="34">
        <f>SUMIF($G$24:$G$27,"S",$Q$24:$Q$27)</f>
        <v>300</v>
      </c>
      <c r="J48" s="34"/>
      <c r="K48" s="34"/>
      <c r="L48" s="34"/>
      <c r="M48" s="34"/>
      <c r="N48" s="34"/>
      <c r="O48" s="34"/>
      <c r="P48" s="34"/>
      <c r="Q48" s="34">
        <f>SUMIF($G$24:$G$27,"S",$Q$24:$Q$27)</f>
        <v>300</v>
      </c>
    </row>
    <row r="49" spans="2:17" outlineLevel="1" x14ac:dyDescent="0.25">
      <c r="B49" s="111"/>
      <c r="D49" s="111"/>
      <c r="G49" s="8">
        <v>2.2000000000000002</v>
      </c>
      <c r="H49" s="35" t="s">
        <v>24</v>
      </c>
      <c r="I49" s="34">
        <f>SUMIF(G24:G27,"O",$Q$24:$Q$27)</f>
        <v>30</v>
      </c>
      <c r="J49" s="34"/>
      <c r="K49" s="34"/>
      <c r="L49" s="34"/>
      <c r="M49" s="34"/>
      <c r="N49" s="34"/>
      <c r="O49" s="34"/>
      <c r="P49" s="34"/>
      <c r="Q49" s="34">
        <f>SUMIF(G24:G27,"O",$Q$24:$Q$27)</f>
        <v>30</v>
      </c>
    </row>
    <row r="50" spans="2:17" outlineLevel="1" x14ac:dyDescent="0.25"/>
    <row r="51" spans="2:17" outlineLevel="1" x14ac:dyDescent="0.25"/>
  </sheetData>
  <mergeCells count="21">
    <mergeCell ref="B7:Q7"/>
    <mergeCell ref="B43:Q43"/>
    <mergeCell ref="G1:H1"/>
    <mergeCell ref="G2:H2"/>
    <mergeCell ref="G3:H3"/>
    <mergeCell ref="G4:H4"/>
    <mergeCell ref="G5:H5"/>
    <mergeCell ref="I8:P8"/>
    <mergeCell ref="B9:B28"/>
    <mergeCell ref="D9:D19"/>
    <mergeCell ref="D20:D28"/>
    <mergeCell ref="F9:F12"/>
    <mergeCell ref="F13:F16"/>
    <mergeCell ref="F17:F19"/>
    <mergeCell ref="F20:F23"/>
    <mergeCell ref="F24:F28"/>
    <mergeCell ref="D47:D49"/>
    <mergeCell ref="D44:D46"/>
    <mergeCell ref="B44:B49"/>
    <mergeCell ref="B32:B41"/>
    <mergeCell ref="B31:Q3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Lists!$A$2:$A$4</xm:f>
          </x14:formula1>
          <xm:sqref>H20:H22</xm:sqref>
        </x14:dataValidation>
        <x14:dataValidation type="list" allowBlank="1" showInputMessage="1" showErrorMessage="1">
          <x14:formula1>
            <xm:f>Lists!$C$2:$C$5</xm:f>
          </x14:formula1>
          <xm:sqref>H13:H15</xm:sqref>
        </x14:dataValidation>
        <x14:dataValidation type="list" allowBlank="1" showInputMessage="1" showErrorMessage="1">
          <x14:formula1>
            <xm:f>Lists!$E$2:$E$5</xm:f>
          </x14:formula1>
          <xm:sqref>H9:H11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"/>
  <sheetViews>
    <sheetView workbookViewId="0">
      <selection activeCell="E4" sqref="E4"/>
    </sheetView>
  </sheetViews>
  <sheetFormatPr defaultRowHeight="15" x14ac:dyDescent="0.25"/>
  <cols>
    <col min="3" max="3" width="15.85546875" customWidth="1"/>
    <col min="5" max="5" width="17.28515625" customWidth="1"/>
  </cols>
  <sheetData>
    <row r="1" spans="1:5" x14ac:dyDescent="0.3">
      <c r="A1" t="s">
        <v>28</v>
      </c>
      <c r="C1" s="51" t="s">
        <v>40</v>
      </c>
      <c r="E1" s="51" t="s">
        <v>42</v>
      </c>
    </row>
    <row r="2" spans="1:5" x14ac:dyDescent="0.3">
      <c r="A2" t="s">
        <v>37</v>
      </c>
      <c r="C2" s="52" t="s">
        <v>41</v>
      </c>
      <c r="E2" s="52" t="s">
        <v>43</v>
      </c>
    </row>
    <row r="3" spans="1:5" x14ac:dyDescent="0.3">
      <c r="A3" t="s">
        <v>39</v>
      </c>
      <c r="C3" s="52" t="s">
        <v>39</v>
      </c>
      <c r="E3" s="52" t="s">
        <v>44</v>
      </c>
    </row>
    <row r="4" spans="1:5" x14ac:dyDescent="0.3">
      <c r="A4" t="s">
        <v>38</v>
      </c>
      <c r="C4" s="52"/>
      <c r="E4" s="52"/>
    </row>
    <row r="5" spans="1:5" x14ac:dyDescent="0.3">
      <c r="C5" s="53"/>
      <c r="E5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ID22"/>
  <sheetViews>
    <sheetView zoomScale="60" zoomScaleNormal="60" workbookViewId="0">
      <selection activeCell="OI4" sqref="OI4"/>
    </sheetView>
  </sheetViews>
  <sheetFormatPr defaultRowHeight="15" outlineLevelCol="3" x14ac:dyDescent="0.25"/>
  <cols>
    <col min="2" max="33" width="3.5703125" hidden="1" customWidth="1" outlineLevel="2"/>
    <col min="34" max="34" width="3.5703125" customWidth="1" outlineLevel="1" collapsed="1"/>
    <col min="35" max="35" width="8.7109375" customWidth="1" outlineLevel="1" collapsed="1"/>
    <col min="36" max="67" width="3.5703125" hidden="1" customWidth="1" outlineLevel="2"/>
    <col min="68" max="68" width="9" customWidth="1" outlineLevel="1" collapsed="1"/>
    <col min="69" max="100" width="4.42578125" hidden="1" customWidth="1" outlineLevel="2"/>
    <col min="101" max="101" width="8" customWidth="1" outlineLevel="1" collapsed="1"/>
    <col min="102" max="133" width="9.140625" hidden="1" customWidth="1" outlineLevel="2"/>
    <col min="134" max="134" width="9.140625" customWidth="1" outlineLevel="1" collapsed="1"/>
    <col min="135" max="166" width="9.140625" hidden="1" customWidth="1" outlineLevel="2"/>
    <col min="167" max="167" width="9.140625" customWidth="1" outlineLevel="1" collapsed="1"/>
    <col min="168" max="199" width="9.140625" hidden="1" customWidth="1" outlineLevel="2"/>
    <col min="200" max="200" width="9.140625" customWidth="1" outlineLevel="1" collapsed="1"/>
    <col min="201" max="232" width="9.140625" hidden="1" customWidth="1" outlineLevel="2"/>
    <col min="233" max="233" width="9.140625" customWidth="1" outlineLevel="1" collapsed="1"/>
    <col min="234" max="265" width="9.140625" hidden="1" customWidth="1" outlineLevel="2"/>
    <col min="266" max="266" width="9.140625" customWidth="1" outlineLevel="1" collapsed="1"/>
    <col min="267" max="298" width="9.140625" hidden="1" customWidth="1" outlineLevel="2"/>
    <col min="299" max="299" width="9.140625" customWidth="1" outlineLevel="1" collapsed="1"/>
    <col min="300" max="331" width="9.140625" hidden="1" customWidth="1" outlineLevel="2"/>
    <col min="332" max="332" width="9.140625" customWidth="1" outlineLevel="1" collapsed="1"/>
    <col min="333" max="364" width="9.140625" hidden="1" customWidth="1" outlineLevel="2"/>
    <col min="365" max="365" width="9.140625" customWidth="1" outlineLevel="1" collapsed="1"/>
    <col min="366" max="397" width="9.140625" hidden="1" customWidth="1" outlineLevel="2"/>
    <col min="398" max="398" width="9.140625" customWidth="1" outlineLevel="1" collapsed="1"/>
    <col min="399" max="399" width="9.140625" customWidth="1"/>
    <col min="400" max="431" width="9.140625" hidden="1" customWidth="1" outlineLevel="2"/>
    <col min="432" max="432" width="9.140625" customWidth="1" outlineLevel="1" collapsed="1"/>
    <col min="433" max="464" width="3.5703125" hidden="1" customWidth="1" outlineLevel="2"/>
    <col min="465" max="465" width="9" customWidth="1" outlineLevel="1" collapsed="1"/>
    <col min="466" max="497" width="4.42578125" hidden="1" customWidth="1" outlineLevel="2"/>
    <col min="498" max="498" width="8" customWidth="1" outlineLevel="1" collapsed="1"/>
    <col min="499" max="530" width="9.140625" hidden="1" customWidth="1" outlineLevel="2"/>
    <col min="531" max="531" width="9.140625" customWidth="1" outlineLevel="1" collapsed="1"/>
    <col min="532" max="563" width="9.140625" hidden="1" customWidth="1" outlineLevel="2"/>
    <col min="564" max="564" width="9.140625" customWidth="1" outlineLevel="1" collapsed="1"/>
    <col min="565" max="596" width="9.140625" hidden="1" customWidth="1" outlineLevel="2"/>
    <col min="597" max="597" width="9.140625" customWidth="1" outlineLevel="1" collapsed="1"/>
    <col min="598" max="629" width="9.140625" hidden="1" customWidth="1" outlineLevel="2"/>
    <col min="630" max="630" width="9.140625" customWidth="1" outlineLevel="1" collapsed="1"/>
    <col min="631" max="662" width="9.140625" hidden="1" customWidth="1" outlineLevel="2"/>
    <col min="663" max="663" width="9.140625" customWidth="1" outlineLevel="1" collapsed="1"/>
    <col min="664" max="695" width="9.140625" hidden="1" customWidth="1" outlineLevel="2"/>
    <col min="696" max="696" width="9.140625" customWidth="1" outlineLevel="1" collapsed="1"/>
    <col min="697" max="728" width="9.140625" hidden="1" customWidth="1" outlineLevel="2"/>
    <col min="729" max="729" width="9.140625" customWidth="1" outlineLevel="1" collapsed="1"/>
    <col min="730" max="761" width="9.140625" hidden="1" customWidth="1" outlineLevel="2"/>
    <col min="762" max="762" width="9.140625" customWidth="1" outlineLevel="1" collapsed="1"/>
    <col min="763" max="794" width="9.140625" hidden="1" customWidth="1" outlineLevel="2"/>
    <col min="795" max="795" width="9.140625" customWidth="1" outlineLevel="1" collapsed="1"/>
    <col min="797" max="828" width="9.140625" hidden="1" customWidth="1" outlineLevel="2"/>
    <col min="829" max="829" width="9.140625" customWidth="1" outlineLevel="1" collapsed="1"/>
    <col min="830" max="861" width="3.5703125" hidden="1" customWidth="1" outlineLevel="2"/>
    <col min="862" max="862" width="9" customWidth="1" outlineLevel="1" collapsed="1"/>
    <col min="863" max="894" width="4.42578125" hidden="1" customWidth="1" outlineLevel="2"/>
    <col min="895" max="895" width="8" customWidth="1" outlineLevel="1" collapsed="1"/>
    <col min="896" max="927" width="9.140625" hidden="1" customWidth="1" outlineLevel="2"/>
    <col min="928" max="928" width="9.140625" customWidth="1" outlineLevel="1" collapsed="1"/>
    <col min="929" max="960" width="9.140625" hidden="1" customWidth="1" outlineLevel="3"/>
    <col min="961" max="961" width="9.140625" customWidth="1" outlineLevel="1" collapsed="1"/>
    <col min="962" max="993" width="9.140625" hidden="1" customWidth="1" outlineLevel="2"/>
    <col min="994" max="994" width="9.140625" customWidth="1" outlineLevel="1" collapsed="1"/>
    <col min="995" max="1026" width="9.140625" hidden="1" customWidth="1" outlineLevel="2"/>
    <col min="1027" max="1027" width="9.140625" customWidth="1" outlineLevel="1" collapsed="1"/>
    <col min="1028" max="1059" width="9.140625" hidden="1" customWidth="1" outlineLevel="2"/>
    <col min="1060" max="1060" width="9.140625" customWidth="1" outlineLevel="1" collapsed="1"/>
    <col min="1061" max="1092" width="9.140625" hidden="1" customWidth="1" outlineLevel="2"/>
    <col min="1093" max="1093" width="9.140625" customWidth="1" outlineLevel="1" collapsed="1"/>
    <col min="1094" max="1125" width="9.140625" hidden="1" customWidth="1" outlineLevel="2"/>
    <col min="1126" max="1126" width="9.140625" customWidth="1" outlineLevel="1" collapsed="1"/>
    <col min="1127" max="1158" width="9.140625" hidden="1" customWidth="1" outlineLevel="2"/>
    <col min="1159" max="1159" width="9.140625" customWidth="1" outlineLevel="1" collapsed="1"/>
    <col min="1160" max="1191" width="9.140625" hidden="1" customWidth="1" outlineLevel="2"/>
    <col min="1192" max="1192" width="9.140625" customWidth="1" outlineLevel="1" collapsed="1"/>
    <col min="1194" max="1225" width="9.140625" hidden="1" customWidth="1" outlineLevel="2"/>
    <col min="1226" max="1226" width="9.140625" customWidth="1" outlineLevel="1" collapsed="1"/>
    <col min="1227" max="1258" width="3.5703125" hidden="1" customWidth="1" outlineLevel="2"/>
    <col min="1259" max="1259" width="9" customWidth="1" outlineLevel="1" collapsed="1"/>
    <col min="1260" max="1291" width="4.42578125" hidden="1" customWidth="1" outlineLevel="2"/>
    <col min="1292" max="1292" width="8" customWidth="1" outlineLevel="1" collapsed="1"/>
    <col min="1293" max="1324" width="9.140625" hidden="1" customWidth="1" outlineLevel="2"/>
    <col min="1325" max="1325" width="9.140625" customWidth="1" outlineLevel="1" collapsed="1"/>
    <col min="1326" max="1357" width="9.140625" hidden="1" customWidth="1" outlineLevel="3"/>
    <col min="1358" max="1358" width="9.140625" customWidth="1" outlineLevel="1" collapsed="1"/>
    <col min="1359" max="1390" width="9.140625" hidden="1" customWidth="1" outlineLevel="2"/>
    <col min="1391" max="1391" width="9.140625" customWidth="1" outlineLevel="1" collapsed="1"/>
    <col min="1392" max="1423" width="9.140625" hidden="1" customWidth="1" outlineLevel="2"/>
    <col min="1424" max="1424" width="9.140625" customWidth="1" outlineLevel="1" collapsed="1"/>
    <col min="1425" max="1456" width="9.140625" hidden="1" customWidth="1" outlineLevel="2"/>
    <col min="1457" max="1457" width="9.140625" customWidth="1" outlineLevel="1" collapsed="1"/>
    <col min="1458" max="1489" width="9.140625" hidden="1" customWidth="1" outlineLevel="2"/>
    <col min="1490" max="1490" width="9.140625" customWidth="1" outlineLevel="1" collapsed="1"/>
    <col min="1491" max="1522" width="9.140625" hidden="1" customWidth="1" outlineLevel="2"/>
    <col min="1523" max="1523" width="9.140625" customWidth="1" outlineLevel="1" collapsed="1"/>
    <col min="1524" max="1555" width="9.140625" hidden="1" customWidth="1" outlineLevel="2"/>
    <col min="1556" max="1556" width="9.140625" customWidth="1" outlineLevel="1" collapsed="1"/>
    <col min="1557" max="1588" width="9.140625" hidden="1" customWidth="1" outlineLevel="2"/>
    <col min="1589" max="1589" width="9.140625" customWidth="1" outlineLevel="1" collapsed="1"/>
  </cols>
  <sheetData>
    <row r="2" spans="1:1590" ht="36" customHeight="1" x14ac:dyDescent="0.3">
      <c r="A2" s="54"/>
      <c r="B2" s="111" t="s">
        <v>45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1"/>
      <c r="GA2" s="111"/>
      <c r="GB2" s="111"/>
      <c r="GC2" s="111"/>
      <c r="GD2" s="111"/>
      <c r="GE2" s="111"/>
      <c r="GF2" s="111"/>
      <c r="GG2" s="111"/>
      <c r="GH2" s="111"/>
      <c r="GI2" s="111"/>
      <c r="GJ2" s="111"/>
      <c r="GK2" s="111"/>
      <c r="GL2" s="111"/>
      <c r="GM2" s="111"/>
      <c r="GN2" s="111"/>
      <c r="GO2" s="111"/>
      <c r="GP2" s="111"/>
      <c r="GQ2" s="111"/>
      <c r="GR2" s="111"/>
      <c r="GS2" s="111"/>
      <c r="GT2" s="111"/>
      <c r="GU2" s="111"/>
      <c r="GV2" s="111"/>
      <c r="GW2" s="111"/>
      <c r="GX2" s="111"/>
      <c r="GY2" s="111"/>
      <c r="GZ2" s="111"/>
      <c r="HA2" s="111"/>
      <c r="HB2" s="111"/>
      <c r="HC2" s="111"/>
      <c r="HD2" s="111"/>
      <c r="HE2" s="111"/>
      <c r="HF2" s="111"/>
      <c r="HG2" s="111"/>
      <c r="HH2" s="111"/>
      <c r="HI2" s="111"/>
      <c r="HJ2" s="111"/>
      <c r="HK2" s="111"/>
      <c r="HL2" s="111"/>
      <c r="HM2" s="111"/>
      <c r="HN2" s="111"/>
      <c r="HO2" s="111"/>
      <c r="HP2" s="111"/>
      <c r="HQ2" s="111"/>
      <c r="HR2" s="111"/>
      <c r="HS2" s="111"/>
      <c r="HT2" s="111"/>
      <c r="HU2" s="111"/>
      <c r="HV2" s="111"/>
      <c r="HW2" s="111"/>
      <c r="HX2" s="111"/>
      <c r="HY2" s="111"/>
      <c r="HZ2" s="111"/>
      <c r="IA2" s="111"/>
      <c r="IB2" s="111"/>
      <c r="IC2" s="111"/>
      <c r="ID2" s="111"/>
      <c r="IE2" s="111"/>
      <c r="IF2" s="111"/>
      <c r="IG2" s="111"/>
      <c r="IH2" s="111"/>
      <c r="II2" s="111"/>
      <c r="IJ2" s="111"/>
      <c r="IK2" s="111"/>
      <c r="IL2" s="111"/>
      <c r="IM2" s="111"/>
      <c r="IN2" s="111"/>
      <c r="IO2" s="111"/>
      <c r="IP2" s="111"/>
      <c r="IQ2" s="111"/>
      <c r="IR2" s="111"/>
      <c r="IS2" s="111"/>
      <c r="IT2" s="111"/>
      <c r="IU2" s="111"/>
      <c r="IV2" s="111"/>
      <c r="IW2" s="111"/>
      <c r="IX2" s="111"/>
      <c r="IY2" s="111"/>
      <c r="IZ2" s="111"/>
      <c r="JA2" s="111"/>
      <c r="JB2" s="111"/>
      <c r="JC2" s="111"/>
      <c r="JD2" s="111"/>
      <c r="JE2" s="111"/>
      <c r="JF2" s="111"/>
      <c r="JG2" s="111"/>
      <c r="JH2" s="111"/>
      <c r="JI2" s="111"/>
      <c r="JJ2" s="111"/>
      <c r="JK2" s="111"/>
      <c r="JL2" s="111"/>
      <c r="JM2" s="111"/>
      <c r="JN2" s="111"/>
      <c r="JO2" s="111"/>
      <c r="JP2" s="111"/>
      <c r="JQ2" s="111"/>
      <c r="JR2" s="111"/>
      <c r="JS2" s="111"/>
      <c r="JT2" s="111"/>
      <c r="JU2" s="111"/>
      <c r="JV2" s="111"/>
      <c r="JW2" s="111"/>
      <c r="JX2" s="111"/>
      <c r="JY2" s="111"/>
      <c r="JZ2" s="111"/>
      <c r="KA2" s="111"/>
      <c r="KB2" s="111"/>
      <c r="KC2" s="111"/>
      <c r="KD2" s="111"/>
      <c r="KE2" s="111"/>
      <c r="KF2" s="111"/>
      <c r="KG2" s="111"/>
      <c r="KH2" s="111"/>
      <c r="KI2" s="111"/>
      <c r="KJ2" s="111"/>
      <c r="KK2" s="111"/>
      <c r="KL2" s="111"/>
      <c r="KM2" s="111"/>
      <c r="KN2" s="111"/>
      <c r="KO2" s="111"/>
      <c r="KP2" s="111"/>
      <c r="KQ2" s="111"/>
      <c r="KR2" s="111"/>
      <c r="KS2" s="111"/>
      <c r="KT2" s="111"/>
      <c r="KU2" s="111"/>
      <c r="KV2" s="111"/>
      <c r="KW2" s="111"/>
      <c r="KX2" s="111"/>
      <c r="KY2" s="111"/>
      <c r="KZ2" s="111"/>
      <c r="LA2" s="111"/>
      <c r="LB2" s="111"/>
      <c r="LC2" s="111"/>
      <c r="LD2" s="111"/>
      <c r="LE2" s="111"/>
      <c r="LF2" s="111"/>
      <c r="LG2" s="111"/>
      <c r="LH2" s="111"/>
      <c r="LI2" s="111"/>
      <c r="LJ2" s="111"/>
      <c r="LK2" s="111"/>
      <c r="LL2" s="111"/>
      <c r="LM2" s="111"/>
      <c r="LN2" s="111"/>
      <c r="LO2" s="111"/>
      <c r="LP2" s="111"/>
      <c r="LQ2" s="111"/>
      <c r="LR2" s="111"/>
      <c r="LS2" s="111"/>
      <c r="LT2" s="111"/>
      <c r="LU2" s="111"/>
      <c r="LV2" s="111"/>
      <c r="LW2" s="111"/>
      <c r="LX2" s="111"/>
      <c r="LY2" s="111"/>
      <c r="LZ2" s="111"/>
      <c r="MA2" s="111"/>
      <c r="MB2" s="111"/>
      <c r="MC2" s="111"/>
      <c r="MD2" s="111"/>
      <c r="ME2" s="111"/>
      <c r="MF2" s="111"/>
      <c r="MG2" s="111"/>
      <c r="MH2" s="111"/>
      <c r="MI2" s="111"/>
      <c r="MJ2" s="111"/>
      <c r="MK2" s="111"/>
      <c r="ML2" s="111"/>
      <c r="MM2" s="111"/>
      <c r="MN2" s="111"/>
      <c r="MO2" s="111"/>
      <c r="MP2" s="111"/>
      <c r="MQ2" s="111"/>
      <c r="MR2" s="111"/>
      <c r="MS2" s="111"/>
      <c r="MT2" s="111"/>
      <c r="MU2" s="111"/>
      <c r="MV2" s="111"/>
      <c r="MW2" s="111"/>
      <c r="MX2" s="111"/>
      <c r="MY2" s="111"/>
      <c r="MZ2" s="111"/>
      <c r="NA2" s="111"/>
      <c r="NB2" s="111"/>
      <c r="NC2" s="111"/>
      <c r="ND2" s="111"/>
      <c r="NE2" s="111"/>
      <c r="NF2" s="111"/>
      <c r="NG2" s="111"/>
      <c r="NH2" s="111"/>
      <c r="NI2" s="111"/>
      <c r="NJ2" s="111"/>
      <c r="NK2" s="111"/>
      <c r="NL2" s="111"/>
      <c r="NM2" s="111"/>
      <c r="NN2" s="111"/>
      <c r="NO2" s="111"/>
      <c r="NP2" s="111"/>
      <c r="NQ2" s="111"/>
      <c r="NR2" s="111"/>
      <c r="NS2" s="111"/>
      <c r="NT2" s="111"/>
      <c r="NU2" s="111"/>
      <c r="NV2" s="111"/>
      <c r="NW2" s="111"/>
      <c r="NX2" s="111"/>
      <c r="NY2" s="111"/>
      <c r="NZ2" s="111"/>
      <c r="OA2" s="111"/>
      <c r="OB2" s="111"/>
      <c r="OC2" s="111"/>
      <c r="OD2" s="111"/>
      <c r="OE2" s="111"/>
      <c r="OF2" s="111"/>
      <c r="OG2" s="111"/>
      <c r="OH2" s="111"/>
      <c r="OI2" s="111"/>
      <c r="OJ2" s="111"/>
      <c r="OK2" s="111"/>
      <c r="OL2" s="111"/>
      <c r="OM2" s="111"/>
      <c r="ON2" s="111"/>
      <c r="OO2" s="111"/>
      <c r="OP2" s="111"/>
      <c r="OQ2" s="111"/>
      <c r="OR2" s="111"/>
      <c r="OS2" s="111"/>
      <c r="OT2" s="111"/>
      <c r="OU2" s="111"/>
      <c r="OV2" s="111"/>
      <c r="OW2" s="111"/>
      <c r="OX2" s="111"/>
      <c r="OY2" s="111"/>
      <c r="OZ2" s="111"/>
      <c r="PA2" s="111"/>
      <c r="PB2" s="111"/>
      <c r="PC2" s="111"/>
      <c r="PD2" s="111"/>
      <c r="PE2" s="111"/>
      <c r="PF2" s="111"/>
      <c r="PG2" s="111"/>
      <c r="PH2" s="111"/>
      <c r="PI2" s="111"/>
      <c r="PJ2" s="111"/>
      <c r="PK2" s="111"/>
      <c r="PL2" s="111"/>
      <c r="PM2" s="111"/>
      <c r="PN2" s="111"/>
      <c r="PO2" s="111"/>
      <c r="PP2" s="111"/>
      <c r="PQ2" s="111"/>
      <c r="PR2" s="111"/>
      <c r="PS2" s="111"/>
      <c r="PT2" s="111"/>
      <c r="PU2" s="111"/>
      <c r="PV2" s="111"/>
      <c r="PW2" s="111"/>
      <c r="PX2" s="111"/>
      <c r="PY2" s="111"/>
      <c r="PZ2" s="111"/>
      <c r="QA2" s="111"/>
      <c r="QB2" s="111"/>
      <c r="QC2" s="111"/>
      <c r="QD2" s="111"/>
      <c r="QE2" s="111"/>
      <c r="QF2" s="111"/>
      <c r="QG2" s="111"/>
      <c r="QH2" s="111"/>
      <c r="QI2" s="111"/>
      <c r="QJ2" s="111"/>
      <c r="QK2" s="111"/>
      <c r="QL2" s="111"/>
      <c r="QM2" s="111"/>
      <c r="QN2" s="111"/>
      <c r="QO2" s="111"/>
      <c r="QP2" s="111"/>
      <c r="QQ2" s="111"/>
      <c r="QR2" s="111"/>
      <c r="QS2" s="111"/>
      <c r="QT2" s="111"/>
      <c r="QU2" s="111"/>
      <c r="QV2" s="111"/>
      <c r="QW2" s="111"/>
      <c r="QX2" s="111"/>
      <c r="QY2" s="111"/>
      <c r="QZ2" s="111"/>
      <c r="RA2" s="111"/>
      <c r="RB2" s="111"/>
      <c r="RC2" s="111"/>
      <c r="RD2" s="111"/>
      <c r="RE2" s="111"/>
      <c r="RF2" s="111"/>
      <c r="RG2" s="111"/>
      <c r="RH2" s="111"/>
      <c r="RI2" s="111"/>
      <c r="RJ2" s="111"/>
      <c r="RK2" s="111"/>
      <c r="RL2" s="111"/>
      <c r="RM2" s="111"/>
      <c r="RN2" s="111"/>
      <c r="RO2" s="111"/>
      <c r="RP2" s="111"/>
      <c r="RQ2" s="111"/>
      <c r="RR2" s="111"/>
      <c r="RS2" s="111"/>
      <c r="RT2" s="111"/>
      <c r="RU2" s="111"/>
      <c r="RV2" s="111"/>
      <c r="RW2" s="111"/>
      <c r="RX2" s="111"/>
      <c r="RY2" s="111"/>
      <c r="RZ2" s="111"/>
      <c r="SA2" s="111"/>
      <c r="SB2" s="111"/>
      <c r="SC2" s="111"/>
      <c r="SD2" s="111"/>
      <c r="SE2" s="111"/>
      <c r="SF2" s="111"/>
      <c r="SG2" s="111"/>
      <c r="SH2" s="111"/>
      <c r="SI2" s="111"/>
      <c r="SJ2" s="111"/>
      <c r="SK2" s="111"/>
      <c r="SL2" s="111"/>
      <c r="SM2" s="111"/>
      <c r="SN2" s="111"/>
      <c r="SO2" s="111"/>
      <c r="SP2" s="111"/>
      <c r="SQ2" s="111"/>
      <c r="SR2" s="111"/>
      <c r="SS2" s="111"/>
      <c r="ST2" s="111"/>
      <c r="SU2" s="111"/>
      <c r="SV2" s="111"/>
      <c r="SW2" s="111"/>
      <c r="SX2" s="111"/>
      <c r="SY2" s="111"/>
      <c r="SZ2" s="111"/>
      <c r="TA2" s="111"/>
      <c r="TB2" s="111"/>
      <c r="TC2" s="111"/>
      <c r="TD2" s="111"/>
      <c r="TE2" s="111"/>
      <c r="TF2" s="111"/>
      <c r="TG2" s="111"/>
      <c r="TH2" s="111"/>
      <c r="TI2" s="111"/>
      <c r="TJ2" s="111"/>
      <c r="TK2" s="111"/>
      <c r="TL2" s="111"/>
      <c r="TM2" s="111"/>
      <c r="TN2" s="111"/>
      <c r="TO2" s="111"/>
      <c r="TP2" s="111"/>
      <c r="TQ2" s="111"/>
      <c r="TR2" s="111"/>
      <c r="TS2" s="111"/>
      <c r="TT2" s="111"/>
      <c r="TU2" s="111"/>
      <c r="TV2" s="111"/>
      <c r="TW2" s="111"/>
      <c r="TX2" s="111"/>
      <c r="TY2" s="111"/>
      <c r="TZ2" s="111"/>
      <c r="UA2" s="111"/>
      <c r="UB2" s="111"/>
      <c r="UC2" s="111"/>
      <c r="UD2" s="111"/>
      <c r="UE2" s="111"/>
      <c r="UF2" s="111"/>
      <c r="UG2" s="111"/>
      <c r="UH2" s="111"/>
      <c r="UI2" s="111"/>
      <c r="UJ2" s="111"/>
      <c r="UK2" s="111"/>
      <c r="UL2" s="111"/>
      <c r="UM2" s="111"/>
      <c r="UN2" s="111"/>
      <c r="UO2" s="111"/>
      <c r="UP2" s="111"/>
      <c r="UQ2" s="111"/>
      <c r="UR2" s="111"/>
      <c r="US2" s="111"/>
      <c r="UT2" s="111"/>
      <c r="UU2" s="111"/>
      <c r="UV2" s="111"/>
      <c r="UW2" s="111"/>
      <c r="UX2" s="111"/>
      <c r="UY2" s="111"/>
      <c r="UZ2" s="111"/>
      <c r="VA2" s="111"/>
      <c r="VB2" s="111"/>
      <c r="VC2" s="111"/>
      <c r="VD2" s="111"/>
      <c r="VE2" s="111"/>
      <c r="VF2" s="111"/>
      <c r="VG2" s="111"/>
      <c r="VH2" s="111"/>
      <c r="VI2" s="111"/>
      <c r="VJ2" s="111"/>
      <c r="VK2" s="111"/>
      <c r="VL2" s="111"/>
      <c r="VM2" s="111"/>
      <c r="VN2" s="111"/>
      <c r="VO2" s="111"/>
      <c r="VP2" s="111"/>
      <c r="VQ2" s="111"/>
      <c r="VR2" s="111"/>
      <c r="VS2" s="111"/>
      <c r="VT2" s="111"/>
      <c r="VU2" s="111"/>
      <c r="VV2" s="111"/>
      <c r="VW2" s="111"/>
      <c r="VX2" s="111"/>
      <c r="VY2" s="111"/>
      <c r="VZ2" s="111"/>
      <c r="WA2" s="111"/>
      <c r="WB2" s="111"/>
      <c r="WC2" s="111"/>
      <c r="WD2" s="111"/>
      <c r="WE2" s="111"/>
      <c r="WF2" s="111"/>
      <c r="WG2" s="111"/>
      <c r="WH2" s="111"/>
      <c r="WI2" s="111"/>
      <c r="WJ2" s="111"/>
      <c r="WK2" s="111"/>
      <c r="WL2" s="111"/>
      <c r="WM2" s="111"/>
      <c r="WN2" s="111"/>
      <c r="WO2" s="111"/>
      <c r="WP2" s="111"/>
      <c r="WQ2" s="111"/>
      <c r="WR2" s="111"/>
      <c r="WS2" s="111"/>
      <c r="WT2" s="111"/>
      <c r="WU2" s="111"/>
      <c r="WV2" s="111"/>
      <c r="WW2" s="111"/>
      <c r="WX2" s="111"/>
      <c r="WY2" s="111"/>
      <c r="WZ2" s="111"/>
      <c r="XA2" s="111"/>
      <c r="XB2" s="111"/>
      <c r="XC2" s="111"/>
      <c r="XD2" s="111"/>
      <c r="XE2" s="111"/>
      <c r="XF2" s="111"/>
      <c r="XG2" s="111"/>
      <c r="XH2" s="111"/>
      <c r="XI2" s="111"/>
      <c r="XJ2" s="111"/>
      <c r="XK2" s="111"/>
      <c r="XL2" s="111"/>
      <c r="XM2" s="111"/>
      <c r="XN2" s="111"/>
      <c r="XO2" s="111"/>
      <c r="XP2" s="111"/>
      <c r="XQ2" s="111"/>
      <c r="XR2" s="111"/>
      <c r="XS2" s="111"/>
      <c r="XT2" s="111"/>
      <c r="XU2" s="111"/>
      <c r="XV2" s="111"/>
      <c r="XW2" s="111"/>
      <c r="XX2" s="111"/>
      <c r="XY2" s="111"/>
      <c r="XZ2" s="111"/>
      <c r="YA2" s="111"/>
      <c r="YB2" s="111"/>
      <c r="YC2" s="111"/>
      <c r="YD2" s="111"/>
      <c r="YE2" s="111"/>
      <c r="YF2" s="111"/>
      <c r="YG2" s="111"/>
      <c r="YH2" s="111"/>
      <c r="YI2" s="111"/>
      <c r="YJ2" s="111"/>
      <c r="YK2" s="111"/>
      <c r="YL2" s="111"/>
      <c r="YM2" s="111"/>
      <c r="YN2" s="111"/>
      <c r="YO2" s="111"/>
      <c r="YP2" s="111"/>
      <c r="YQ2" s="111"/>
      <c r="YR2" s="111"/>
      <c r="YS2" s="111"/>
      <c r="YT2" s="111"/>
      <c r="YU2" s="111"/>
      <c r="YV2" s="111"/>
      <c r="YW2" s="111"/>
      <c r="YX2" s="111"/>
      <c r="YY2" s="111"/>
      <c r="YZ2" s="111"/>
      <c r="ZA2" s="111"/>
      <c r="ZB2" s="111"/>
      <c r="ZC2" s="111"/>
      <c r="ZD2" s="111"/>
      <c r="ZE2" s="111"/>
      <c r="ZF2" s="111"/>
      <c r="ZG2" s="111"/>
      <c r="ZH2" s="111"/>
      <c r="ZI2" s="111"/>
      <c r="ZJ2" s="111"/>
      <c r="ZK2" s="111"/>
      <c r="ZL2" s="111"/>
      <c r="ZM2" s="111"/>
      <c r="ZN2" s="111"/>
      <c r="ZO2" s="111"/>
      <c r="ZP2" s="111"/>
      <c r="ZQ2" s="111"/>
      <c r="ZR2" s="111"/>
      <c r="ZS2" s="111"/>
      <c r="ZT2" s="111"/>
      <c r="ZU2" s="111"/>
      <c r="ZV2" s="111"/>
      <c r="ZW2" s="111"/>
      <c r="ZX2" s="111"/>
      <c r="ZY2" s="111"/>
      <c r="ZZ2" s="111"/>
      <c r="AAA2" s="111"/>
      <c r="AAB2" s="111"/>
      <c r="AAC2" s="111"/>
      <c r="AAD2" s="111"/>
      <c r="AAE2" s="111"/>
      <c r="AAF2" s="111"/>
      <c r="AAG2" s="111"/>
      <c r="AAH2" s="111"/>
      <c r="AAI2" s="111"/>
      <c r="AAJ2" s="111"/>
      <c r="AAK2" s="111"/>
      <c r="AAL2" s="111"/>
      <c r="AAM2" s="111"/>
      <c r="AAN2" s="111"/>
      <c r="AAO2" s="111"/>
      <c r="AAP2" s="111"/>
      <c r="AAQ2" s="111"/>
      <c r="AAR2" s="111"/>
      <c r="AAS2" s="111"/>
      <c r="AAT2" s="111"/>
      <c r="AAU2" s="111"/>
      <c r="AAV2" s="111"/>
      <c r="AAW2" s="111"/>
      <c r="AAX2" s="111"/>
      <c r="AAY2" s="111"/>
      <c r="AAZ2" s="111"/>
      <c r="ABA2" s="111"/>
      <c r="ABB2" s="111"/>
      <c r="ABC2" s="111"/>
      <c r="ABD2" s="111"/>
      <c r="ABE2" s="111"/>
      <c r="ABF2" s="111"/>
      <c r="ABG2" s="111"/>
      <c r="ABH2" s="111"/>
      <c r="ABI2" s="111"/>
      <c r="ABJ2" s="111"/>
      <c r="ABK2" s="111"/>
      <c r="ABL2" s="111"/>
      <c r="ABM2" s="111"/>
      <c r="ABN2" s="111"/>
      <c r="ABO2" s="111"/>
      <c r="ABP2" s="111"/>
      <c r="ABQ2" s="111"/>
      <c r="ABR2" s="111"/>
      <c r="ABS2" s="111"/>
      <c r="ABT2" s="111"/>
      <c r="ABU2" s="111"/>
      <c r="ABV2" s="111"/>
      <c r="ABW2" s="111"/>
      <c r="ABX2" s="111"/>
      <c r="ABY2" s="111"/>
      <c r="ABZ2" s="111"/>
      <c r="ACA2" s="111"/>
      <c r="ACB2" s="111"/>
      <c r="ACC2" s="111"/>
      <c r="ACD2" s="111"/>
      <c r="ACE2" s="111"/>
      <c r="ACF2" s="111"/>
      <c r="ACG2" s="111"/>
      <c r="ACH2" s="111"/>
      <c r="ACI2" s="111"/>
      <c r="ACJ2" s="111"/>
      <c r="ACK2" s="111"/>
      <c r="ACL2" s="111"/>
      <c r="ACM2" s="111"/>
      <c r="ACN2" s="111"/>
      <c r="ACO2" s="111"/>
      <c r="ACP2" s="111"/>
      <c r="ACQ2" s="111"/>
      <c r="ACR2" s="111"/>
      <c r="ACS2" s="111"/>
      <c r="ACT2" s="111"/>
      <c r="ACU2" s="111"/>
      <c r="ACV2" s="111"/>
      <c r="ACW2" s="111"/>
      <c r="ACX2" s="111"/>
      <c r="ACY2" s="111"/>
      <c r="ACZ2" s="111"/>
      <c r="ADA2" s="111"/>
      <c r="ADB2" s="111"/>
      <c r="ADC2" s="111"/>
      <c r="ADD2" s="111"/>
      <c r="ADE2" s="111"/>
      <c r="ADF2" s="111"/>
      <c r="ADG2" s="111"/>
      <c r="ADH2" s="111"/>
      <c r="ADI2" s="111"/>
      <c r="ADJ2" s="111"/>
      <c r="ADK2" s="111"/>
      <c r="ADL2" s="111"/>
      <c r="ADM2" s="111"/>
      <c r="ADN2" s="111"/>
      <c r="ADO2" s="111"/>
      <c r="ADP2" s="111"/>
      <c r="ADQ2" s="111"/>
      <c r="ADR2" s="111"/>
      <c r="ADS2" s="111"/>
      <c r="ADT2" s="111"/>
      <c r="ADU2" s="111"/>
      <c r="ADV2" s="111"/>
      <c r="ADW2" s="111"/>
      <c r="ADX2" s="111"/>
      <c r="ADY2" s="111"/>
      <c r="ADZ2" s="111"/>
      <c r="AEA2" s="111"/>
      <c r="AEB2" s="111"/>
      <c r="AEC2" s="111"/>
      <c r="AED2" s="111"/>
      <c r="AEE2" s="111"/>
      <c r="AEF2" s="111"/>
      <c r="AEG2" s="111"/>
      <c r="AEH2" s="111"/>
      <c r="AEI2" s="111"/>
      <c r="AEJ2" s="111"/>
      <c r="AEK2" s="111"/>
      <c r="AEL2" s="111"/>
      <c r="AEM2" s="111"/>
      <c r="AEN2" s="111"/>
      <c r="AEO2" s="111"/>
      <c r="AEP2" s="111"/>
      <c r="AEQ2" s="111"/>
      <c r="AER2" s="111"/>
      <c r="AES2" s="111"/>
      <c r="AET2" s="111"/>
      <c r="AEU2" s="111"/>
      <c r="AEV2" s="111"/>
      <c r="AEW2" s="111"/>
      <c r="AEX2" s="111"/>
      <c r="AEY2" s="111"/>
      <c r="AEZ2" s="111"/>
      <c r="AFA2" s="111"/>
      <c r="AFB2" s="111"/>
      <c r="AFC2" s="111"/>
      <c r="AFD2" s="111"/>
      <c r="AFE2" s="111"/>
      <c r="AFF2" s="111"/>
      <c r="AFG2" s="111"/>
      <c r="AFH2" s="111"/>
      <c r="AFI2" s="111"/>
      <c r="AFJ2" s="111"/>
      <c r="AFK2" s="111"/>
      <c r="AFL2" s="111"/>
      <c r="AFM2" s="111"/>
      <c r="AFN2" s="111"/>
      <c r="AFO2" s="111"/>
      <c r="AFP2" s="111"/>
      <c r="AFQ2" s="111"/>
      <c r="AFR2" s="111"/>
      <c r="AFS2" s="111"/>
      <c r="AFT2" s="111"/>
      <c r="AFU2" s="111"/>
      <c r="AFV2" s="111"/>
      <c r="AFW2" s="111"/>
      <c r="AFX2" s="111"/>
      <c r="AFY2" s="111"/>
      <c r="AFZ2" s="111"/>
      <c r="AGA2" s="111"/>
      <c r="AGB2" s="111"/>
      <c r="AGC2" s="111"/>
      <c r="AGD2" s="111"/>
      <c r="AGE2" s="111"/>
      <c r="AGF2" s="111"/>
      <c r="AGG2" s="111"/>
      <c r="AGH2" s="111"/>
      <c r="AGI2" s="111"/>
      <c r="AGJ2" s="111"/>
      <c r="AGK2" s="111"/>
      <c r="AGL2" s="111"/>
      <c r="AGM2" s="111"/>
      <c r="AGN2" s="111"/>
      <c r="AGO2" s="111"/>
      <c r="AGP2" s="111"/>
      <c r="AGQ2" s="111"/>
      <c r="AGR2" s="111"/>
      <c r="AGS2" s="111"/>
      <c r="AGT2" s="111"/>
      <c r="AGU2" s="111"/>
      <c r="AGV2" s="111"/>
      <c r="AGW2" s="111"/>
      <c r="AGX2" s="111"/>
      <c r="AGY2" s="111"/>
      <c r="AGZ2" s="111"/>
      <c r="AHA2" s="111"/>
      <c r="AHB2" s="111"/>
      <c r="AHC2" s="111"/>
      <c r="AHD2" s="111"/>
      <c r="AHE2" s="111"/>
      <c r="AHF2" s="111"/>
      <c r="AHG2" s="111"/>
      <c r="AHH2" s="111"/>
      <c r="AHI2" s="111"/>
      <c r="AHJ2" s="111"/>
      <c r="AHK2" s="111"/>
      <c r="AHL2" s="111"/>
      <c r="AHM2" s="111"/>
      <c r="AHN2" s="111"/>
      <c r="AHO2" s="111"/>
      <c r="AHP2" s="111"/>
      <c r="AHQ2" s="111"/>
      <c r="AHR2" s="111"/>
      <c r="AHS2" s="111"/>
      <c r="AHT2" s="111"/>
      <c r="AHU2" s="111"/>
      <c r="AHV2" s="111"/>
      <c r="AHW2" s="111"/>
      <c r="AHX2" s="111"/>
      <c r="AHY2" s="111"/>
      <c r="AHZ2" s="111"/>
      <c r="AIA2" s="111"/>
      <c r="AIB2" s="111"/>
      <c r="AIC2" s="111"/>
      <c r="AID2" s="111"/>
      <c r="AIE2" s="111"/>
      <c r="AIF2" s="111"/>
      <c r="AIG2" s="111"/>
      <c r="AIH2" s="111"/>
      <c r="AII2" s="111"/>
      <c r="AIJ2" s="111"/>
      <c r="AIK2" s="111"/>
      <c r="AIL2" s="111"/>
      <c r="AIM2" s="111"/>
      <c r="AIN2" s="111"/>
      <c r="AIO2" s="111"/>
      <c r="AIP2" s="111"/>
      <c r="AIQ2" s="111"/>
      <c r="AIR2" s="111"/>
      <c r="AIS2" s="111"/>
      <c r="AIT2" s="111"/>
      <c r="AIU2" s="111"/>
      <c r="AIV2" s="111"/>
      <c r="AIW2" s="111"/>
      <c r="AIX2" s="111"/>
      <c r="AIY2" s="111"/>
      <c r="AIZ2" s="111"/>
      <c r="AJA2" s="111"/>
      <c r="AJB2" s="111"/>
      <c r="AJC2" s="111"/>
      <c r="AJD2" s="111"/>
      <c r="AJE2" s="111"/>
      <c r="AJF2" s="111"/>
      <c r="AJG2" s="111"/>
      <c r="AJH2" s="111"/>
      <c r="AJI2" s="111"/>
      <c r="AJJ2" s="111"/>
      <c r="AJK2" s="111"/>
      <c r="AJL2" s="111"/>
      <c r="AJM2" s="111"/>
      <c r="AJN2" s="111"/>
      <c r="AJO2" s="111"/>
      <c r="AJP2" s="111"/>
      <c r="AJQ2" s="111"/>
      <c r="AJR2" s="111"/>
      <c r="AJS2" s="111"/>
      <c r="AJT2" s="111"/>
      <c r="AJU2" s="111"/>
      <c r="AJV2" s="111"/>
      <c r="AJW2" s="111"/>
      <c r="AJX2" s="111"/>
      <c r="AJY2" s="111"/>
      <c r="AJZ2" s="111"/>
      <c r="AKA2" s="111"/>
      <c r="AKB2" s="111"/>
      <c r="AKC2" s="111"/>
      <c r="AKD2" s="111"/>
      <c r="AKE2" s="111"/>
      <c r="AKF2" s="111"/>
      <c r="AKG2" s="111"/>
      <c r="AKH2" s="111"/>
      <c r="AKI2" s="111"/>
      <c r="AKJ2" s="111"/>
      <c r="AKK2" s="111"/>
      <c r="AKL2" s="111"/>
      <c r="AKM2" s="111"/>
      <c r="AKN2" s="111"/>
      <c r="AKO2" s="111"/>
      <c r="AKP2" s="111"/>
      <c r="AKQ2" s="111"/>
      <c r="AKR2" s="111"/>
      <c r="AKS2" s="111"/>
      <c r="AKT2" s="111"/>
      <c r="AKU2" s="111"/>
      <c r="AKV2" s="111"/>
      <c r="AKW2" s="111"/>
      <c r="AKX2" s="111"/>
      <c r="AKY2" s="111"/>
      <c r="AKZ2" s="111"/>
      <c r="ALA2" s="111"/>
      <c r="ALB2" s="111"/>
      <c r="ALC2" s="111"/>
      <c r="ALD2" s="111"/>
      <c r="ALE2" s="111"/>
      <c r="ALF2" s="111"/>
      <c r="ALG2" s="111"/>
      <c r="ALH2" s="111"/>
      <c r="ALI2" s="111"/>
      <c r="ALJ2" s="111"/>
      <c r="ALK2" s="111"/>
      <c r="ALL2" s="111"/>
      <c r="ALM2" s="111"/>
      <c r="ALN2" s="111"/>
      <c r="ALO2" s="111"/>
      <c r="ALP2" s="111"/>
      <c r="ALQ2" s="111"/>
      <c r="ALR2" s="111"/>
      <c r="ALS2" s="111"/>
      <c r="ALT2" s="111"/>
      <c r="ALU2" s="111"/>
      <c r="ALV2" s="111"/>
      <c r="ALW2" s="111"/>
      <c r="ALX2" s="111"/>
      <c r="ALY2" s="111"/>
      <c r="ALZ2" s="111"/>
      <c r="AMA2" s="111"/>
      <c r="AMB2" s="111"/>
      <c r="AMC2" s="111"/>
      <c r="AMD2" s="111"/>
      <c r="AME2" s="111"/>
      <c r="AMF2" s="111"/>
      <c r="AMG2" s="111"/>
      <c r="AMH2" s="111"/>
      <c r="AMI2" s="111"/>
      <c r="AMJ2" s="111"/>
      <c r="AMK2" s="111"/>
      <c r="AML2" s="111"/>
      <c r="AMM2" s="111"/>
      <c r="AMN2" s="111"/>
      <c r="AMO2" s="111"/>
      <c r="AMP2" s="111"/>
      <c r="AMQ2" s="111"/>
      <c r="AMR2" s="111"/>
      <c r="AMS2" s="111"/>
      <c r="AMT2" s="111"/>
      <c r="AMU2" s="111"/>
      <c r="AMV2" s="111"/>
      <c r="AMW2" s="111"/>
      <c r="AMX2" s="111"/>
      <c r="AMY2" s="111"/>
      <c r="AMZ2" s="111"/>
      <c r="ANA2" s="111"/>
      <c r="ANB2" s="111"/>
      <c r="ANC2" s="111"/>
      <c r="AND2" s="111"/>
      <c r="ANE2" s="111"/>
      <c r="ANF2" s="111"/>
      <c r="ANG2" s="111"/>
      <c r="ANH2" s="111"/>
      <c r="ANI2" s="111"/>
      <c r="ANJ2" s="111"/>
      <c r="ANK2" s="111"/>
      <c r="ANL2" s="111"/>
      <c r="ANM2" s="111"/>
      <c r="ANN2" s="111"/>
      <c r="ANO2" s="111"/>
      <c r="ANP2" s="111"/>
      <c r="ANQ2" s="111"/>
      <c r="ANR2" s="111"/>
      <c r="ANS2" s="111"/>
      <c r="ANT2" s="111"/>
      <c r="ANU2" s="111"/>
      <c r="ANV2" s="111"/>
      <c r="ANW2" s="111"/>
      <c r="ANX2" s="111"/>
      <c r="ANY2" s="111"/>
      <c r="ANZ2" s="111"/>
      <c r="AOA2" s="111"/>
      <c r="AOB2" s="111"/>
      <c r="AOC2" s="111"/>
      <c r="AOD2" s="111"/>
      <c r="AOE2" s="111"/>
      <c r="AOF2" s="111"/>
      <c r="AOG2" s="111"/>
      <c r="AOH2" s="111"/>
      <c r="AOI2" s="111"/>
      <c r="AOJ2" s="111"/>
      <c r="AOK2" s="111"/>
      <c r="AOL2" s="111"/>
      <c r="AOM2" s="111"/>
      <c r="AON2" s="111"/>
      <c r="AOO2" s="111"/>
      <c r="AOP2" s="111"/>
      <c r="AOQ2" s="111"/>
      <c r="AOR2" s="111"/>
      <c r="AOS2" s="111"/>
      <c r="AOT2" s="111"/>
      <c r="AOU2" s="111"/>
      <c r="AOV2" s="111"/>
      <c r="AOW2" s="111"/>
      <c r="AOX2" s="111"/>
      <c r="AOY2" s="111"/>
      <c r="AOZ2" s="111"/>
      <c r="APA2" s="111"/>
      <c r="APB2" s="111"/>
      <c r="APC2" s="111"/>
      <c r="APD2" s="111"/>
      <c r="APE2" s="111"/>
      <c r="APF2" s="111"/>
      <c r="APG2" s="111"/>
      <c r="APH2" s="111"/>
      <c r="API2" s="111"/>
      <c r="APJ2" s="111"/>
      <c r="APK2" s="111"/>
      <c r="APL2" s="111"/>
      <c r="APM2" s="111"/>
      <c r="APN2" s="111"/>
      <c r="APO2" s="111"/>
      <c r="APP2" s="111"/>
      <c r="APQ2" s="111"/>
      <c r="APR2" s="111"/>
      <c r="APS2" s="111"/>
      <c r="APT2" s="111"/>
      <c r="APU2" s="111"/>
      <c r="APV2" s="111"/>
      <c r="APW2" s="111"/>
      <c r="APX2" s="111"/>
      <c r="APY2" s="111"/>
      <c r="APZ2" s="111"/>
      <c r="AQA2" s="111"/>
      <c r="AQB2" s="111"/>
      <c r="AQC2" s="111"/>
      <c r="AQD2" s="111"/>
      <c r="AQE2" s="111"/>
      <c r="AQF2" s="111"/>
      <c r="AQG2" s="111"/>
      <c r="AQH2" s="111"/>
      <c r="AQI2" s="111"/>
      <c r="AQJ2" s="111"/>
      <c r="AQK2" s="111"/>
      <c r="AQL2" s="111"/>
      <c r="AQM2" s="111"/>
      <c r="AQN2" s="111"/>
      <c r="AQO2" s="111"/>
      <c r="AQP2" s="111"/>
      <c r="AQQ2" s="111"/>
      <c r="AQR2" s="111"/>
      <c r="AQS2" s="111"/>
      <c r="AQT2" s="111"/>
      <c r="AQU2" s="111"/>
      <c r="AQV2" s="111"/>
      <c r="AQW2" s="111"/>
      <c r="AQX2" s="111"/>
      <c r="AQY2" s="111"/>
      <c r="AQZ2" s="111"/>
      <c r="ARA2" s="111"/>
      <c r="ARB2" s="111"/>
      <c r="ARC2" s="111"/>
      <c r="ARD2" s="111"/>
      <c r="ARE2" s="111"/>
      <c r="ARF2" s="111"/>
      <c r="ARG2" s="111"/>
      <c r="ARH2" s="111"/>
      <c r="ARI2" s="111"/>
      <c r="ARJ2" s="111"/>
      <c r="ARK2" s="111"/>
      <c r="ARL2" s="111"/>
      <c r="ARM2" s="111"/>
      <c r="ARN2" s="111"/>
      <c r="ARO2" s="111"/>
      <c r="ARP2" s="111"/>
      <c r="ARQ2" s="111"/>
      <c r="ARR2" s="111"/>
      <c r="ARS2" s="111"/>
      <c r="ART2" s="111"/>
      <c r="ARU2" s="111"/>
      <c r="ARV2" s="111"/>
      <c r="ARW2" s="111"/>
      <c r="ARX2" s="111"/>
      <c r="ARY2" s="111"/>
      <c r="ARZ2" s="111"/>
      <c r="ASA2" s="111"/>
      <c r="ASB2" s="111"/>
      <c r="ASC2" s="111"/>
      <c r="ASD2" s="111"/>
      <c r="ASE2" s="111"/>
      <c r="ASF2" s="111"/>
      <c r="ASG2" s="111"/>
      <c r="ASH2" s="111"/>
      <c r="ASI2" s="111"/>
      <c r="ASJ2" s="111"/>
      <c r="ASK2" s="111"/>
      <c r="ASL2" s="111"/>
      <c r="ASM2" s="111"/>
      <c r="ASN2" s="111"/>
      <c r="ASO2" s="111"/>
      <c r="ASP2" s="111"/>
      <c r="ASQ2" s="111"/>
      <c r="ASR2" s="111"/>
      <c r="ASS2" s="111"/>
      <c r="AST2" s="111"/>
      <c r="ASU2" s="111"/>
      <c r="ASV2" s="111"/>
      <c r="ASW2" s="111"/>
      <c r="ASX2" s="111"/>
      <c r="ASY2" s="111"/>
      <c r="ASZ2" s="111"/>
      <c r="ATA2" s="111"/>
      <c r="ATB2" s="111"/>
      <c r="ATC2" s="111"/>
      <c r="ATD2" s="111"/>
      <c r="ATE2" s="111"/>
      <c r="ATF2" s="111"/>
      <c r="ATG2" s="111"/>
      <c r="ATH2" s="111"/>
      <c r="ATI2" s="111"/>
      <c r="ATJ2" s="111"/>
      <c r="ATK2" s="111"/>
      <c r="ATL2" s="111"/>
      <c r="ATM2" s="111"/>
      <c r="ATN2" s="111"/>
      <c r="ATO2" s="111"/>
      <c r="ATP2" s="111"/>
      <c r="ATQ2" s="111"/>
      <c r="ATR2" s="111"/>
      <c r="ATS2" s="111"/>
      <c r="ATT2" s="111"/>
      <c r="ATU2" s="111"/>
      <c r="ATV2" s="111"/>
      <c r="ATW2" s="111"/>
      <c r="ATX2" s="111"/>
      <c r="ATY2" s="111"/>
      <c r="ATZ2" s="111"/>
      <c r="AUA2" s="111"/>
      <c r="AUB2" s="111"/>
      <c r="AUC2" s="111"/>
      <c r="AUD2" s="111"/>
      <c r="AUE2" s="111"/>
      <c r="AUF2" s="111"/>
      <c r="AUG2" s="111"/>
      <c r="AUH2" s="111"/>
      <c r="AUI2" s="111"/>
      <c r="AUJ2" s="111"/>
      <c r="AUK2" s="111"/>
      <c r="AUL2" s="111"/>
      <c r="AUM2" s="111"/>
      <c r="AUN2" s="111"/>
      <c r="AUO2" s="111"/>
      <c r="AUP2" s="111"/>
      <c r="AUQ2" s="111"/>
      <c r="AUR2" s="111"/>
      <c r="AUS2" s="111"/>
      <c r="AUT2" s="111"/>
      <c r="AUU2" s="111"/>
      <c r="AUV2" s="111"/>
      <c r="AUW2" s="111"/>
      <c r="AUX2" s="111"/>
      <c r="AUY2" s="111"/>
      <c r="AUZ2" s="111"/>
      <c r="AVA2" s="111"/>
      <c r="AVB2" s="111"/>
      <c r="AVC2" s="111"/>
      <c r="AVD2" s="111"/>
      <c r="AVE2" s="111"/>
      <c r="AVF2" s="111"/>
      <c r="AVG2" s="111"/>
      <c r="AVH2" s="111"/>
      <c r="AVI2" s="111"/>
      <c r="AVJ2" s="111"/>
      <c r="AVK2" s="111"/>
      <c r="AVL2" s="111"/>
      <c r="AVM2" s="111"/>
      <c r="AVN2" s="111"/>
      <c r="AVO2" s="111"/>
      <c r="AVP2" s="111"/>
      <c r="AVQ2" s="111"/>
      <c r="AVR2" s="111"/>
      <c r="AVS2" s="111"/>
      <c r="AVT2" s="111"/>
      <c r="AVU2" s="111"/>
      <c r="AVV2" s="111"/>
      <c r="AVW2" s="111"/>
      <c r="AVX2" s="111"/>
      <c r="AVY2" s="111"/>
      <c r="AVZ2" s="111"/>
      <c r="AWA2" s="111"/>
      <c r="AWB2" s="111"/>
      <c r="AWC2" s="111"/>
      <c r="AWD2" s="111"/>
      <c r="AWE2" s="111"/>
      <c r="AWF2" s="111"/>
      <c r="AWG2" s="111"/>
      <c r="AWH2" s="111"/>
      <c r="AWI2" s="111"/>
      <c r="AWJ2" s="111"/>
      <c r="AWK2" s="111"/>
      <c r="AWL2" s="111"/>
      <c r="AWM2" s="111"/>
      <c r="AWN2" s="111"/>
      <c r="AWO2" s="111"/>
      <c r="AWP2" s="111"/>
      <c r="AWQ2" s="111"/>
      <c r="AWR2" s="111"/>
      <c r="AWS2" s="111"/>
      <c r="AWT2" s="111"/>
      <c r="AWU2" s="111"/>
      <c r="AWV2" s="111"/>
      <c r="AWW2" s="111"/>
      <c r="AWX2" s="111"/>
      <c r="AWY2" s="111"/>
      <c r="AWZ2" s="111"/>
      <c r="AXA2" s="111"/>
      <c r="AXB2" s="111"/>
      <c r="AXC2" s="111"/>
      <c r="AXD2" s="111"/>
      <c r="AXE2" s="111"/>
      <c r="AXF2" s="111"/>
      <c r="AXG2" s="111"/>
      <c r="AXH2" s="111"/>
      <c r="AXI2" s="111"/>
      <c r="AXJ2" s="111"/>
      <c r="AXK2" s="111"/>
      <c r="AXL2" s="111"/>
      <c r="AXM2" s="111"/>
      <c r="AXN2" s="111"/>
      <c r="AXO2" s="111"/>
      <c r="AXP2" s="111"/>
      <c r="AXQ2" s="111"/>
      <c r="AXR2" s="111"/>
      <c r="AXS2" s="111"/>
      <c r="AXT2" s="111"/>
      <c r="AXU2" s="111"/>
      <c r="AXV2" s="111"/>
      <c r="AXW2" s="111"/>
      <c r="AXX2" s="111"/>
      <c r="AXY2" s="111"/>
      <c r="AXZ2" s="111"/>
      <c r="AYA2" s="111"/>
      <c r="AYB2" s="111"/>
      <c r="AYC2" s="111"/>
      <c r="AYD2" s="111"/>
      <c r="AYE2" s="111"/>
      <c r="AYF2" s="111"/>
      <c r="AYG2" s="111"/>
      <c r="AYH2" s="111"/>
      <c r="AYI2" s="111"/>
      <c r="AYJ2" s="111"/>
      <c r="AYK2" s="111"/>
      <c r="AYL2" s="111"/>
      <c r="AYM2" s="111"/>
      <c r="AYN2" s="111"/>
      <c r="AYO2" s="111"/>
      <c r="AYP2" s="111"/>
      <c r="AYQ2" s="111"/>
      <c r="AYR2" s="111"/>
      <c r="AYS2" s="111"/>
      <c r="AYT2" s="111"/>
      <c r="AYU2" s="111"/>
      <c r="AYV2" s="111"/>
      <c r="AYW2" s="111"/>
      <c r="AYX2" s="111"/>
      <c r="AYY2" s="111"/>
      <c r="AYZ2" s="111"/>
      <c r="AZA2" s="111"/>
      <c r="AZB2" s="111"/>
      <c r="AZC2" s="111"/>
      <c r="AZD2" s="111"/>
      <c r="AZE2" s="111"/>
      <c r="AZF2" s="111"/>
      <c r="AZG2" s="111"/>
      <c r="AZH2" s="111"/>
      <c r="AZI2" s="111"/>
      <c r="AZJ2" s="111"/>
      <c r="AZK2" s="111"/>
      <c r="AZL2" s="111"/>
      <c r="AZM2" s="111"/>
      <c r="AZN2" s="111"/>
      <c r="AZO2" s="111"/>
      <c r="AZP2" s="111"/>
      <c r="AZQ2" s="111"/>
      <c r="AZR2" s="111"/>
      <c r="AZS2" s="111"/>
      <c r="AZT2" s="111"/>
      <c r="AZU2" s="111"/>
      <c r="AZV2" s="111"/>
      <c r="AZW2" s="111"/>
      <c r="AZX2" s="111"/>
      <c r="AZY2" s="111"/>
      <c r="AZZ2" s="111"/>
      <c r="BAA2" s="111"/>
      <c r="BAB2" s="111"/>
      <c r="BAC2" s="111"/>
      <c r="BAD2" s="111"/>
      <c r="BAE2" s="111"/>
      <c r="BAF2" s="111"/>
      <c r="BAG2" s="111"/>
      <c r="BAH2" s="111"/>
      <c r="BAI2" s="111"/>
      <c r="BAJ2" s="111"/>
      <c r="BAK2" s="111"/>
      <c r="BAL2" s="111"/>
      <c r="BAM2" s="111"/>
      <c r="BAN2" s="111"/>
      <c r="BAO2" s="111"/>
      <c r="BAP2" s="111"/>
      <c r="BAQ2" s="111"/>
      <c r="BAR2" s="111"/>
      <c r="BAS2" s="111"/>
      <c r="BAT2" s="111"/>
      <c r="BAU2" s="111"/>
      <c r="BAV2" s="111"/>
      <c r="BAW2" s="111"/>
      <c r="BAX2" s="111"/>
      <c r="BAY2" s="111"/>
      <c r="BAZ2" s="111"/>
      <c r="BBA2" s="111"/>
      <c r="BBB2" s="111"/>
      <c r="BBC2" s="111"/>
      <c r="BBD2" s="111"/>
      <c r="BBE2" s="111"/>
      <c r="BBF2" s="111"/>
      <c r="BBG2" s="111"/>
      <c r="BBH2" s="111"/>
      <c r="BBI2" s="111"/>
      <c r="BBJ2" s="111"/>
      <c r="BBK2" s="111"/>
      <c r="BBL2" s="111"/>
      <c r="BBM2" s="111"/>
      <c r="BBN2" s="111"/>
      <c r="BBO2" s="111"/>
      <c r="BBP2" s="111"/>
      <c r="BBQ2" s="111"/>
      <c r="BBR2" s="111"/>
      <c r="BBS2" s="111"/>
      <c r="BBT2" s="111"/>
      <c r="BBU2" s="111"/>
      <c r="BBV2" s="111"/>
      <c r="BBW2" s="111"/>
      <c r="BBX2" s="111"/>
      <c r="BBY2" s="111"/>
      <c r="BBZ2" s="111"/>
      <c r="BCA2" s="111"/>
      <c r="BCB2" s="111"/>
      <c r="BCC2" s="111"/>
      <c r="BCD2" s="111"/>
      <c r="BCE2" s="111"/>
      <c r="BCF2" s="111"/>
      <c r="BCG2" s="111"/>
      <c r="BCH2" s="111"/>
      <c r="BCI2" s="111"/>
      <c r="BCJ2" s="111"/>
      <c r="BCK2" s="111"/>
      <c r="BCL2" s="111"/>
      <c r="BCM2" s="111"/>
      <c r="BCN2" s="111"/>
      <c r="BCO2" s="111"/>
      <c r="BCP2" s="111"/>
      <c r="BCQ2" s="111"/>
      <c r="BCR2" s="111"/>
      <c r="BCS2" s="111"/>
      <c r="BCT2" s="111"/>
      <c r="BCU2" s="111"/>
      <c r="BCV2" s="111"/>
      <c r="BCW2" s="111"/>
      <c r="BCX2" s="111"/>
      <c r="BCY2" s="111"/>
      <c r="BCZ2" s="111"/>
      <c r="BDA2" s="111"/>
      <c r="BDB2" s="111"/>
      <c r="BDC2" s="111"/>
      <c r="BDD2" s="111"/>
      <c r="BDE2" s="111"/>
      <c r="BDF2" s="111"/>
      <c r="BDG2" s="111"/>
      <c r="BDH2" s="111"/>
      <c r="BDI2" s="111"/>
      <c r="BDJ2" s="111"/>
      <c r="BDK2" s="111"/>
      <c r="BDL2" s="111"/>
      <c r="BDM2" s="111"/>
      <c r="BDN2" s="111"/>
      <c r="BDO2" s="111"/>
      <c r="BDP2" s="111"/>
      <c r="BDQ2" s="111"/>
      <c r="BDR2" s="111"/>
      <c r="BDS2" s="111"/>
      <c r="BDT2" s="111"/>
      <c r="BDU2" s="111"/>
      <c r="BDV2" s="111"/>
      <c r="BDW2" s="111"/>
      <c r="BDX2" s="111"/>
      <c r="BDY2" s="111"/>
      <c r="BDZ2" s="111"/>
      <c r="BEA2" s="111"/>
      <c r="BEB2" s="111"/>
      <c r="BEC2" s="111"/>
      <c r="BED2" s="111"/>
      <c r="BEE2" s="111"/>
      <c r="BEF2" s="111"/>
      <c r="BEG2" s="111"/>
      <c r="BEH2" s="111"/>
      <c r="BEI2" s="111"/>
      <c r="BEJ2" s="111"/>
      <c r="BEK2" s="111"/>
      <c r="BEL2" s="111"/>
      <c r="BEM2" s="111"/>
      <c r="BEN2" s="111"/>
      <c r="BEO2" s="111"/>
      <c r="BEP2" s="111"/>
      <c r="BEQ2" s="111"/>
      <c r="BER2" s="111"/>
      <c r="BES2" s="111"/>
      <c r="BET2" s="111"/>
      <c r="BEU2" s="111"/>
      <c r="BEV2" s="111"/>
      <c r="BEW2" s="111"/>
      <c r="BEX2" s="111"/>
      <c r="BEY2" s="111"/>
      <c r="BEZ2" s="111"/>
      <c r="BFA2" s="111"/>
      <c r="BFB2" s="111"/>
      <c r="BFC2" s="111"/>
      <c r="BFD2" s="111"/>
      <c r="BFE2" s="111"/>
      <c r="BFF2" s="111"/>
      <c r="BFG2" s="111"/>
      <c r="BFH2" s="111"/>
      <c r="BFI2" s="111"/>
      <c r="BFJ2" s="111"/>
      <c r="BFK2" s="111"/>
      <c r="BFL2" s="111"/>
      <c r="BFM2" s="111"/>
      <c r="BFN2" s="111"/>
      <c r="BFO2" s="111"/>
      <c r="BFP2" s="111"/>
      <c r="BFQ2" s="111"/>
      <c r="BFR2" s="111"/>
      <c r="BFS2" s="111"/>
      <c r="BFT2" s="111"/>
      <c r="BFU2" s="111"/>
      <c r="BFV2" s="111"/>
      <c r="BFW2" s="111"/>
      <c r="BFX2" s="111"/>
      <c r="BFY2" s="111"/>
      <c r="BFZ2" s="111"/>
      <c r="BGA2" s="111"/>
      <c r="BGB2" s="111"/>
      <c r="BGC2" s="111"/>
      <c r="BGD2" s="111"/>
      <c r="BGE2" s="111"/>
      <c r="BGF2" s="111"/>
      <c r="BGG2" s="111"/>
      <c r="BGH2" s="111"/>
      <c r="BGI2" s="111"/>
      <c r="BGJ2" s="111"/>
      <c r="BGK2" s="111"/>
      <c r="BGL2" s="111"/>
      <c r="BGM2" s="111"/>
      <c r="BGN2" s="111"/>
      <c r="BGO2" s="111"/>
      <c r="BGP2" s="111"/>
      <c r="BGQ2" s="111"/>
      <c r="BGR2" s="111"/>
      <c r="BGS2" s="111"/>
      <c r="BGT2" s="111"/>
      <c r="BGU2" s="111"/>
      <c r="BGV2" s="111"/>
      <c r="BGW2" s="111"/>
      <c r="BGX2" s="111"/>
      <c r="BGY2" s="111"/>
      <c r="BGZ2" s="111"/>
      <c r="BHA2" s="111"/>
      <c r="BHB2" s="111"/>
      <c r="BHC2" s="111"/>
      <c r="BHD2" s="111"/>
      <c r="BHE2" s="111"/>
      <c r="BHF2" s="111"/>
      <c r="BHG2" s="111"/>
      <c r="BHH2" s="111"/>
      <c r="BHI2" s="111"/>
      <c r="BHJ2" s="111"/>
      <c r="BHK2" s="111"/>
      <c r="BHL2" s="111"/>
      <c r="BHM2" s="111"/>
      <c r="BHN2" s="111"/>
      <c r="BHO2" s="111"/>
      <c r="BHP2" s="111"/>
      <c r="BHQ2" s="111"/>
      <c r="BHR2" s="111"/>
      <c r="BHS2" s="111"/>
      <c r="BHT2" s="111"/>
      <c r="BHU2" s="111"/>
      <c r="BHV2" s="111"/>
      <c r="BHW2" s="111"/>
      <c r="BHX2" s="111"/>
      <c r="BHY2" s="111"/>
      <c r="BHZ2" s="111"/>
      <c r="BIA2" s="111"/>
      <c r="BIB2" s="111"/>
      <c r="BIC2" s="111"/>
      <c r="BID2" s="111"/>
    </row>
    <row r="3" spans="1:1590" s="4" customFormat="1" ht="30" customHeight="1" x14ac:dyDescent="0.3">
      <c r="A3" s="55"/>
      <c r="B3" s="112">
        <v>2019</v>
      </c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112"/>
      <c r="AT3" s="112"/>
      <c r="AU3" s="112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  <c r="BL3" s="112"/>
      <c r="BM3" s="112"/>
      <c r="BN3" s="112"/>
      <c r="BO3" s="112"/>
      <c r="BP3" s="112"/>
      <c r="BQ3" s="112"/>
      <c r="BR3" s="112"/>
      <c r="BS3" s="112"/>
      <c r="BT3" s="112"/>
      <c r="BU3" s="112"/>
      <c r="BV3" s="112"/>
      <c r="BW3" s="112"/>
      <c r="BX3" s="112"/>
      <c r="BY3" s="112"/>
      <c r="BZ3" s="112"/>
      <c r="CA3" s="112"/>
      <c r="CB3" s="112"/>
      <c r="CC3" s="112"/>
      <c r="CD3" s="112"/>
      <c r="CE3" s="112"/>
      <c r="CF3" s="112"/>
      <c r="CG3" s="112"/>
      <c r="CH3" s="112"/>
      <c r="CI3" s="112"/>
      <c r="CJ3" s="112"/>
      <c r="CK3" s="112"/>
      <c r="CL3" s="112"/>
      <c r="CM3" s="112"/>
      <c r="CN3" s="112"/>
      <c r="CO3" s="112"/>
      <c r="CP3" s="112"/>
      <c r="CQ3" s="112"/>
      <c r="CR3" s="112"/>
      <c r="CS3" s="112"/>
      <c r="CT3" s="112"/>
      <c r="CU3" s="112"/>
      <c r="CV3" s="112"/>
      <c r="CW3" s="112"/>
      <c r="CX3" s="112"/>
      <c r="CY3" s="112"/>
      <c r="CZ3" s="112"/>
      <c r="DA3" s="112"/>
      <c r="DB3" s="112"/>
      <c r="DC3" s="112"/>
      <c r="DD3" s="112"/>
      <c r="DE3" s="112"/>
      <c r="DF3" s="112"/>
      <c r="DG3" s="112"/>
      <c r="DH3" s="112"/>
      <c r="DI3" s="112"/>
      <c r="DJ3" s="112"/>
      <c r="DK3" s="112"/>
      <c r="DL3" s="112"/>
      <c r="DM3" s="112"/>
      <c r="DN3" s="112"/>
      <c r="DO3" s="112"/>
      <c r="DP3" s="112"/>
      <c r="DQ3" s="112"/>
      <c r="DR3" s="112"/>
      <c r="DS3" s="112"/>
      <c r="DT3" s="112"/>
      <c r="DU3" s="112"/>
      <c r="DV3" s="112"/>
      <c r="DW3" s="112"/>
      <c r="DX3" s="112"/>
      <c r="DY3" s="112"/>
      <c r="DZ3" s="112"/>
      <c r="EA3" s="112"/>
      <c r="EB3" s="112"/>
      <c r="EC3" s="112"/>
      <c r="ED3" s="112"/>
      <c r="EE3" s="112"/>
      <c r="EF3" s="112"/>
      <c r="EG3" s="112"/>
      <c r="EH3" s="112"/>
      <c r="EI3" s="112"/>
      <c r="EJ3" s="112"/>
      <c r="EK3" s="112"/>
      <c r="EL3" s="112"/>
      <c r="EM3" s="112"/>
      <c r="EN3" s="112"/>
      <c r="EO3" s="112"/>
      <c r="EP3" s="112"/>
      <c r="EQ3" s="112"/>
      <c r="ER3" s="112"/>
      <c r="ES3" s="112"/>
      <c r="ET3" s="112"/>
      <c r="EU3" s="112"/>
      <c r="EV3" s="112"/>
      <c r="EW3" s="112"/>
      <c r="EX3" s="112"/>
      <c r="EY3" s="112"/>
      <c r="EZ3" s="112"/>
      <c r="FA3" s="112"/>
      <c r="FB3" s="112"/>
      <c r="FC3" s="112"/>
      <c r="FD3" s="112"/>
      <c r="FE3" s="112"/>
      <c r="FF3" s="112"/>
      <c r="FG3" s="112"/>
      <c r="FH3" s="112"/>
      <c r="FI3" s="112"/>
      <c r="FJ3" s="112"/>
      <c r="FK3" s="112"/>
      <c r="FL3" s="112"/>
      <c r="FM3" s="112"/>
      <c r="FN3" s="112"/>
      <c r="FO3" s="112"/>
      <c r="FP3" s="112"/>
      <c r="FQ3" s="112"/>
      <c r="FR3" s="112"/>
      <c r="FS3" s="112"/>
      <c r="FT3" s="112"/>
      <c r="FU3" s="112"/>
      <c r="FV3" s="112"/>
      <c r="FW3" s="112"/>
      <c r="FX3" s="112"/>
      <c r="FY3" s="112"/>
      <c r="FZ3" s="112"/>
      <c r="GA3" s="112"/>
      <c r="GB3" s="112"/>
      <c r="GC3" s="112"/>
      <c r="GD3" s="112"/>
      <c r="GE3" s="112"/>
      <c r="GF3" s="112"/>
      <c r="GG3" s="112"/>
      <c r="GH3" s="112"/>
      <c r="GI3" s="112"/>
      <c r="GJ3" s="112"/>
      <c r="GK3" s="112"/>
      <c r="GL3" s="112"/>
      <c r="GM3" s="112"/>
      <c r="GN3" s="112"/>
      <c r="GO3" s="112"/>
      <c r="GP3" s="112"/>
      <c r="GQ3" s="112"/>
      <c r="GR3" s="112"/>
      <c r="GS3" s="112"/>
      <c r="GT3" s="112"/>
      <c r="GU3" s="112"/>
      <c r="GV3" s="112"/>
      <c r="GW3" s="112"/>
      <c r="GX3" s="112"/>
      <c r="GY3" s="112"/>
      <c r="GZ3" s="112"/>
      <c r="HA3" s="112"/>
      <c r="HB3" s="112"/>
      <c r="HC3" s="112"/>
      <c r="HD3" s="112"/>
      <c r="HE3" s="112"/>
      <c r="HF3" s="112"/>
      <c r="HG3" s="112"/>
      <c r="HH3" s="112"/>
      <c r="HI3" s="112"/>
      <c r="HJ3" s="112"/>
      <c r="HK3" s="112"/>
      <c r="HL3" s="112"/>
      <c r="HM3" s="112"/>
      <c r="HN3" s="112"/>
      <c r="HO3" s="112"/>
      <c r="HP3" s="112"/>
      <c r="HQ3" s="112"/>
      <c r="HR3" s="112"/>
      <c r="HS3" s="112"/>
      <c r="HT3" s="112"/>
      <c r="HU3" s="112"/>
      <c r="HV3" s="112"/>
      <c r="HW3" s="112"/>
      <c r="HX3" s="112"/>
      <c r="HY3" s="112"/>
      <c r="HZ3" s="112"/>
      <c r="IA3" s="112"/>
      <c r="IB3" s="112"/>
      <c r="IC3" s="112"/>
      <c r="ID3" s="112"/>
      <c r="IE3" s="112"/>
      <c r="IF3" s="112"/>
      <c r="IG3" s="112"/>
      <c r="IH3" s="112"/>
      <c r="II3" s="112"/>
      <c r="IJ3" s="112"/>
      <c r="IK3" s="112"/>
      <c r="IL3" s="112"/>
      <c r="IM3" s="112"/>
      <c r="IN3" s="112"/>
      <c r="IO3" s="112"/>
      <c r="IP3" s="112"/>
      <c r="IQ3" s="112"/>
      <c r="IR3" s="112"/>
      <c r="IS3" s="112"/>
      <c r="IT3" s="112"/>
      <c r="IU3" s="112"/>
      <c r="IV3" s="112"/>
      <c r="IW3" s="112"/>
      <c r="IX3" s="112"/>
      <c r="IY3" s="112"/>
      <c r="IZ3" s="112"/>
      <c r="JA3" s="112"/>
      <c r="JB3" s="112"/>
      <c r="JC3" s="112"/>
      <c r="JD3" s="112"/>
      <c r="JE3" s="112"/>
      <c r="JF3" s="112"/>
      <c r="JG3" s="112"/>
      <c r="JH3" s="112"/>
      <c r="JI3" s="112"/>
      <c r="JJ3" s="112"/>
      <c r="JK3" s="112"/>
      <c r="JL3" s="112"/>
      <c r="JM3" s="112"/>
      <c r="JN3" s="112"/>
      <c r="JO3" s="112"/>
      <c r="JP3" s="112"/>
      <c r="JQ3" s="112"/>
      <c r="JR3" s="112"/>
      <c r="JS3" s="112"/>
      <c r="JT3" s="112"/>
      <c r="JU3" s="112"/>
      <c r="JV3" s="112"/>
      <c r="JW3" s="112"/>
      <c r="JX3" s="112"/>
      <c r="JY3" s="112"/>
      <c r="JZ3" s="112"/>
      <c r="KA3" s="112"/>
      <c r="KB3" s="112"/>
      <c r="KC3" s="112"/>
      <c r="KD3" s="112"/>
      <c r="KE3" s="112"/>
      <c r="KF3" s="112"/>
      <c r="KG3" s="112"/>
      <c r="KH3" s="112"/>
      <c r="KI3" s="112"/>
      <c r="KJ3" s="112"/>
      <c r="KK3" s="112"/>
      <c r="KL3" s="112"/>
      <c r="KM3" s="112"/>
      <c r="KN3" s="112"/>
      <c r="KO3" s="112"/>
      <c r="KP3" s="112"/>
      <c r="KQ3" s="112"/>
      <c r="KR3" s="112"/>
      <c r="KS3" s="112"/>
      <c r="KT3" s="112"/>
      <c r="KU3" s="112"/>
      <c r="KV3" s="112"/>
      <c r="KW3" s="112"/>
      <c r="KX3" s="112"/>
      <c r="KY3" s="112"/>
      <c r="KZ3" s="112"/>
      <c r="LA3" s="112"/>
      <c r="LB3" s="112"/>
      <c r="LC3" s="112"/>
      <c r="LD3" s="112"/>
      <c r="LE3" s="112"/>
      <c r="LF3" s="112"/>
      <c r="LG3" s="112"/>
      <c r="LH3" s="112"/>
      <c r="LI3" s="112"/>
      <c r="LJ3" s="112"/>
      <c r="LK3" s="112"/>
      <c r="LL3" s="112"/>
      <c r="LM3" s="112"/>
      <c r="LN3" s="112"/>
      <c r="LO3" s="112"/>
      <c r="LP3" s="112"/>
      <c r="LQ3" s="112"/>
      <c r="LR3" s="112"/>
      <c r="LS3" s="112"/>
      <c r="LT3" s="112"/>
      <c r="LU3" s="112"/>
      <c r="LV3" s="112"/>
      <c r="LW3" s="112"/>
      <c r="LX3" s="112"/>
      <c r="LY3" s="112"/>
      <c r="LZ3" s="112"/>
      <c r="MA3" s="112"/>
      <c r="MB3" s="112"/>
      <c r="MC3" s="112"/>
      <c r="MD3" s="112"/>
      <c r="ME3" s="112"/>
      <c r="MF3" s="112"/>
      <c r="MG3" s="112"/>
      <c r="MH3" s="112"/>
      <c r="MI3" s="112"/>
      <c r="MJ3" s="112"/>
      <c r="MK3" s="112"/>
      <c r="ML3" s="112"/>
      <c r="MM3" s="112"/>
      <c r="MN3" s="112"/>
      <c r="MO3" s="112"/>
      <c r="MP3" s="112"/>
      <c r="MQ3" s="112"/>
      <c r="MR3" s="112"/>
      <c r="MS3" s="112"/>
      <c r="MT3" s="112"/>
      <c r="MU3" s="112"/>
      <c r="MV3" s="112"/>
      <c r="MW3" s="112"/>
      <c r="MX3" s="112"/>
      <c r="MY3" s="112"/>
      <c r="MZ3" s="112"/>
      <c r="NA3" s="112"/>
      <c r="NB3" s="112"/>
      <c r="NC3" s="112"/>
      <c r="ND3" s="112"/>
      <c r="NE3" s="112"/>
      <c r="NF3" s="112"/>
      <c r="NG3" s="112"/>
      <c r="NH3" s="112"/>
      <c r="NI3" s="112"/>
      <c r="NJ3" s="112"/>
      <c r="NK3" s="112"/>
      <c r="NL3" s="112"/>
      <c r="NM3" s="112"/>
      <c r="NN3" s="112"/>
      <c r="NO3" s="112"/>
      <c r="NP3" s="112"/>
      <c r="NQ3" s="112"/>
      <c r="NR3" s="112"/>
      <c r="NS3" s="112"/>
      <c r="NT3" s="112"/>
      <c r="NU3" s="112"/>
      <c r="NV3" s="112"/>
      <c r="NW3" s="112"/>
      <c r="NX3" s="112"/>
      <c r="NY3" s="112"/>
      <c r="NZ3" s="112"/>
      <c r="OA3" s="112"/>
      <c r="OB3" s="112"/>
      <c r="OC3" s="112"/>
      <c r="OD3" s="112"/>
      <c r="OE3" s="112"/>
      <c r="OF3" s="112"/>
      <c r="OG3" s="112"/>
      <c r="OH3" s="112"/>
      <c r="OI3" s="112"/>
      <c r="OJ3" s="112">
        <v>2020</v>
      </c>
      <c r="OK3" s="112"/>
      <c r="OL3" s="112"/>
      <c r="OM3" s="112"/>
      <c r="ON3" s="112"/>
      <c r="OO3" s="112"/>
      <c r="OP3" s="112"/>
      <c r="OQ3" s="112"/>
      <c r="OR3" s="112"/>
      <c r="OS3" s="112"/>
      <c r="OT3" s="112"/>
      <c r="OU3" s="112"/>
      <c r="OV3" s="112"/>
      <c r="OW3" s="112"/>
      <c r="OX3" s="112"/>
      <c r="OY3" s="112"/>
      <c r="OZ3" s="112"/>
      <c r="PA3" s="112"/>
      <c r="PB3" s="112"/>
      <c r="PC3" s="112"/>
      <c r="PD3" s="112"/>
      <c r="PE3" s="112"/>
      <c r="PF3" s="112"/>
      <c r="PG3" s="112"/>
      <c r="PH3" s="112"/>
      <c r="PI3" s="112"/>
      <c r="PJ3" s="112"/>
      <c r="PK3" s="112"/>
      <c r="PL3" s="112"/>
      <c r="PM3" s="112"/>
      <c r="PN3" s="112"/>
      <c r="PO3" s="112"/>
      <c r="PP3" s="112"/>
      <c r="PQ3" s="112"/>
      <c r="PR3" s="112"/>
      <c r="PS3" s="112"/>
      <c r="PT3" s="112"/>
      <c r="PU3" s="112"/>
      <c r="PV3" s="112"/>
      <c r="PW3" s="112"/>
      <c r="PX3" s="112"/>
      <c r="PY3" s="112"/>
      <c r="PZ3" s="112"/>
      <c r="QA3" s="112"/>
      <c r="QB3" s="112"/>
      <c r="QC3" s="112"/>
      <c r="QD3" s="112"/>
      <c r="QE3" s="112"/>
      <c r="QF3" s="112"/>
      <c r="QG3" s="112"/>
      <c r="QH3" s="112"/>
      <c r="QI3" s="112"/>
      <c r="QJ3" s="112"/>
      <c r="QK3" s="112"/>
      <c r="QL3" s="112"/>
      <c r="QM3" s="112"/>
      <c r="QN3" s="112"/>
      <c r="QO3" s="112"/>
      <c r="QP3" s="112"/>
      <c r="QQ3" s="112"/>
      <c r="QR3" s="112"/>
      <c r="QS3" s="112"/>
      <c r="QT3" s="112"/>
      <c r="QU3" s="112"/>
      <c r="QV3" s="112"/>
      <c r="QW3" s="112"/>
      <c r="QX3" s="112"/>
      <c r="QY3" s="112"/>
      <c r="QZ3" s="112"/>
      <c r="RA3" s="112"/>
      <c r="RB3" s="112"/>
      <c r="RC3" s="112"/>
      <c r="RD3" s="112"/>
      <c r="RE3" s="112"/>
      <c r="RF3" s="112"/>
      <c r="RG3" s="112"/>
      <c r="RH3" s="112"/>
      <c r="RI3" s="112"/>
      <c r="RJ3" s="112"/>
      <c r="RK3" s="112"/>
      <c r="RL3" s="112"/>
      <c r="RM3" s="112"/>
      <c r="RN3" s="112"/>
      <c r="RO3" s="112"/>
      <c r="RP3" s="112"/>
      <c r="RQ3" s="112"/>
      <c r="RR3" s="112"/>
      <c r="RS3" s="112"/>
      <c r="RT3" s="112"/>
      <c r="RU3" s="112"/>
      <c r="RV3" s="112"/>
      <c r="RW3" s="112"/>
      <c r="RX3" s="112"/>
      <c r="RY3" s="112"/>
      <c r="RZ3" s="112"/>
      <c r="SA3" s="112"/>
      <c r="SB3" s="112"/>
      <c r="SC3" s="112"/>
      <c r="SD3" s="112"/>
      <c r="SE3" s="112"/>
      <c r="SF3" s="112"/>
      <c r="SG3" s="112"/>
      <c r="SH3" s="112"/>
      <c r="SI3" s="112"/>
      <c r="SJ3" s="112"/>
      <c r="SK3" s="112"/>
      <c r="SL3" s="112"/>
      <c r="SM3" s="112"/>
      <c r="SN3" s="112"/>
      <c r="SO3" s="112"/>
      <c r="SP3" s="112"/>
      <c r="SQ3" s="112"/>
      <c r="SR3" s="112"/>
      <c r="SS3" s="112"/>
      <c r="ST3" s="112"/>
      <c r="SU3" s="112"/>
      <c r="SV3" s="112"/>
      <c r="SW3" s="112"/>
      <c r="SX3" s="112"/>
      <c r="SY3" s="112"/>
      <c r="SZ3" s="112"/>
      <c r="TA3" s="112"/>
      <c r="TB3" s="112"/>
      <c r="TC3" s="112"/>
      <c r="TD3" s="112"/>
      <c r="TE3" s="112"/>
      <c r="TF3" s="112"/>
      <c r="TG3" s="112"/>
      <c r="TH3" s="112"/>
      <c r="TI3" s="112"/>
      <c r="TJ3" s="112"/>
      <c r="TK3" s="112"/>
      <c r="TL3" s="112"/>
      <c r="TM3" s="112"/>
      <c r="TN3" s="112"/>
      <c r="TO3" s="112"/>
      <c r="TP3" s="112"/>
      <c r="TQ3" s="112"/>
      <c r="TR3" s="112"/>
      <c r="TS3" s="112"/>
      <c r="TT3" s="112"/>
      <c r="TU3" s="112"/>
      <c r="TV3" s="112"/>
      <c r="TW3" s="112"/>
      <c r="TX3" s="112"/>
      <c r="TY3" s="112"/>
      <c r="TZ3" s="112"/>
      <c r="UA3" s="112"/>
      <c r="UB3" s="112"/>
      <c r="UC3" s="112"/>
      <c r="UD3" s="112"/>
      <c r="UE3" s="112"/>
      <c r="UF3" s="112"/>
      <c r="UG3" s="112"/>
      <c r="UH3" s="112"/>
      <c r="UI3" s="112"/>
      <c r="UJ3" s="112"/>
      <c r="UK3" s="112"/>
      <c r="UL3" s="112"/>
      <c r="UM3" s="112"/>
      <c r="UN3" s="112"/>
      <c r="UO3" s="112"/>
      <c r="UP3" s="112"/>
      <c r="UQ3" s="112"/>
      <c r="UR3" s="112"/>
      <c r="US3" s="112"/>
      <c r="UT3" s="112"/>
      <c r="UU3" s="112"/>
      <c r="UV3" s="112"/>
      <c r="UW3" s="112"/>
      <c r="UX3" s="112"/>
      <c r="UY3" s="112"/>
      <c r="UZ3" s="112"/>
      <c r="VA3" s="112"/>
      <c r="VB3" s="112"/>
      <c r="VC3" s="112"/>
      <c r="VD3" s="112"/>
      <c r="VE3" s="112"/>
      <c r="VF3" s="112"/>
      <c r="VG3" s="112"/>
      <c r="VH3" s="112"/>
      <c r="VI3" s="112"/>
      <c r="VJ3" s="112"/>
      <c r="VK3" s="112"/>
      <c r="VL3" s="112"/>
      <c r="VM3" s="112"/>
      <c r="VN3" s="112"/>
      <c r="VO3" s="112"/>
      <c r="VP3" s="112"/>
      <c r="VQ3" s="112"/>
      <c r="VR3" s="112"/>
      <c r="VS3" s="112"/>
      <c r="VT3" s="112"/>
      <c r="VU3" s="112"/>
      <c r="VV3" s="112"/>
      <c r="VW3" s="112"/>
      <c r="VX3" s="112"/>
      <c r="VY3" s="112"/>
      <c r="VZ3" s="112"/>
      <c r="WA3" s="112"/>
      <c r="WB3" s="112"/>
      <c r="WC3" s="112"/>
      <c r="WD3" s="112"/>
      <c r="WE3" s="112"/>
      <c r="WF3" s="112"/>
      <c r="WG3" s="112"/>
      <c r="WH3" s="112"/>
      <c r="WI3" s="112"/>
      <c r="WJ3" s="112"/>
      <c r="WK3" s="112"/>
      <c r="WL3" s="112"/>
      <c r="WM3" s="112"/>
      <c r="WN3" s="112"/>
      <c r="WO3" s="112"/>
      <c r="WP3" s="112"/>
      <c r="WQ3" s="112"/>
      <c r="WR3" s="112"/>
      <c r="WS3" s="112"/>
      <c r="WT3" s="112"/>
      <c r="WU3" s="112"/>
      <c r="WV3" s="112"/>
      <c r="WW3" s="112"/>
      <c r="WX3" s="112"/>
      <c r="WY3" s="112"/>
      <c r="WZ3" s="112"/>
      <c r="XA3" s="112"/>
      <c r="XB3" s="112"/>
      <c r="XC3" s="112"/>
      <c r="XD3" s="112"/>
      <c r="XE3" s="112"/>
      <c r="XF3" s="112"/>
      <c r="XG3" s="112"/>
      <c r="XH3" s="112"/>
      <c r="XI3" s="112"/>
      <c r="XJ3" s="112"/>
      <c r="XK3" s="112"/>
      <c r="XL3" s="112"/>
      <c r="XM3" s="112"/>
      <c r="XN3" s="112"/>
      <c r="XO3" s="112"/>
      <c r="XP3" s="112"/>
      <c r="XQ3" s="112"/>
      <c r="XR3" s="112"/>
      <c r="XS3" s="112"/>
      <c r="XT3" s="112"/>
      <c r="XU3" s="112"/>
      <c r="XV3" s="112"/>
      <c r="XW3" s="112"/>
      <c r="XX3" s="112"/>
      <c r="XY3" s="112"/>
      <c r="XZ3" s="112"/>
      <c r="YA3" s="112"/>
      <c r="YB3" s="112"/>
      <c r="YC3" s="112"/>
      <c r="YD3" s="112"/>
      <c r="YE3" s="112"/>
      <c r="YF3" s="112"/>
      <c r="YG3" s="112"/>
      <c r="YH3" s="112"/>
      <c r="YI3" s="112"/>
      <c r="YJ3" s="112"/>
      <c r="YK3" s="112"/>
      <c r="YL3" s="112"/>
      <c r="YM3" s="112"/>
      <c r="YN3" s="112"/>
      <c r="YO3" s="112"/>
      <c r="YP3" s="112"/>
      <c r="YQ3" s="112"/>
      <c r="YR3" s="112"/>
      <c r="YS3" s="112"/>
      <c r="YT3" s="112"/>
      <c r="YU3" s="112"/>
      <c r="YV3" s="112"/>
      <c r="YW3" s="112"/>
      <c r="YX3" s="112"/>
      <c r="YY3" s="112"/>
      <c r="YZ3" s="112"/>
      <c r="ZA3" s="112"/>
      <c r="ZB3" s="112"/>
      <c r="ZC3" s="112"/>
      <c r="ZD3" s="112"/>
      <c r="ZE3" s="112"/>
      <c r="ZF3" s="112"/>
      <c r="ZG3" s="112"/>
      <c r="ZH3" s="112"/>
      <c r="ZI3" s="112"/>
      <c r="ZJ3" s="112"/>
      <c r="ZK3" s="112"/>
      <c r="ZL3" s="112"/>
      <c r="ZM3" s="112"/>
      <c r="ZN3" s="112"/>
      <c r="ZO3" s="112"/>
      <c r="ZP3" s="112"/>
      <c r="ZQ3" s="112"/>
      <c r="ZR3" s="112"/>
      <c r="ZS3" s="112"/>
      <c r="ZT3" s="112"/>
      <c r="ZU3" s="112"/>
      <c r="ZV3" s="112"/>
      <c r="ZW3" s="112"/>
      <c r="ZX3" s="112"/>
      <c r="ZY3" s="112"/>
      <c r="ZZ3" s="112"/>
      <c r="AAA3" s="112"/>
      <c r="AAB3" s="112"/>
      <c r="AAC3" s="112"/>
      <c r="AAD3" s="112"/>
      <c r="AAE3" s="112"/>
      <c r="AAF3" s="112"/>
      <c r="AAG3" s="112"/>
      <c r="AAH3" s="112"/>
      <c r="AAI3" s="112"/>
      <c r="AAJ3" s="112"/>
      <c r="AAK3" s="112"/>
      <c r="AAL3" s="112"/>
      <c r="AAM3" s="112"/>
      <c r="AAN3" s="112"/>
      <c r="AAO3" s="112"/>
      <c r="AAP3" s="112"/>
      <c r="AAQ3" s="112"/>
      <c r="AAR3" s="112"/>
      <c r="AAS3" s="112"/>
      <c r="AAT3" s="112"/>
      <c r="AAU3" s="112"/>
      <c r="AAV3" s="112"/>
      <c r="AAW3" s="112"/>
      <c r="AAX3" s="112"/>
      <c r="AAY3" s="112"/>
      <c r="AAZ3" s="112"/>
      <c r="ABA3" s="112"/>
      <c r="ABB3" s="112"/>
      <c r="ABC3" s="112"/>
      <c r="ABD3" s="112"/>
      <c r="ABE3" s="112"/>
      <c r="ABF3" s="112"/>
      <c r="ABG3" s="112"/>
      <c r="ABH3" s="112"/>
      <c r="ABI3" s="112"/>
      <c r="ABJ3" s="112"/>
      <c r="ABK3" s="112"/>
      <c r="ABL3" s="112"/>
      <c r="ABM3" s="112"/>
      <c r="ABN3" s="112"/>
      <c r="ABO3" s="112"/>
      <c r="ABP3" s="112"/>
      <c r="ABQ3" s="112"/>
      <c r="ABR3" s="112"/>
      <c r="ABS3" s="112"/>
      <c r="ABT3" s="112"/>
      <c r="ABU3" s="112"/>
      <c r="ABV3" s="112"/>
      <c r="ABW3" s="112"/>
      <c r="ABX3" s="112"/>
      <c r="ABY3" s="112"/>
      <c r="ABZ3" s="112"/>
      <c r="ACA3" s="112"/>
      <c r="ACB3" s="112"/>
      <c r="ACC3" s="112"/>
      <c r="ACD3" s="112"/>
      <c r="ACE3" s="112"/>
      <c r="ACF3" s="112"/>
      <c r="ACG3" s="112"/>
      <c r="ACH3" s="112"/>
      <c r="ACI3" s="112"/>
      <c r="ACJ3" s="112"/>
      <c r="ACK3" s="112"/>
      <c r="ACL3" s="112"/>
      <c r="ACM3" s="112"/>
      <c r="ACN3" s="112"/>
      <c r="ACO3" s="112"/>
      <c r="ACP3" s="112"/>
      <c r="ACQ3" s="112"/>
      <c r="ACR3" s="112"/>
      <c r="ACS3" s="112"/>
      <c r="ACT3" s="112"/>
      <c r="ACU3" s="112"/>
      <c r="ACV3" s="112"/>
      <c r="ACW3" s="112"/>
      <c r="ACX3" s="112"/>
      <c r="ACY3" s="112"/>
      <c r="ACZ3" s="112"/>
      <c r="ADA3" s="112"/>
      <c r="ADB3" s="112"/>
      <c r="ADC3" s="112"/>
      <c r="ADD3" s="112"/>
      <c r="ADE3" s="112"/>
      <c r="ADF3" s="112"/>
      <c r="ADG3" s="112"/>
      <c r="ADH3" s="112"/>
      <c r="ADI3" s="112"/>
      <c r="ADJ3" s="112"/>
      <c r="ADK3" s="112"/>
      <c r="ADL3" s="112"/>
      <c r="ADM3" s="112"/>
      <c r="ADN3" s="112"/>
      <c r="ADO3" s="112"/>
      <c r="ADP3" s="112"/>
      <c r="ADQ3" s="112">
        <v>2021</v>
      </c>
      <c r="ADR3" s="112"/>
      <c r="ADS3" s="112"/>
      <c r="ADT3" s="112"/>
      <c r="ADU3" s="112"/>
      <c r="ADV3" s="112"/>
      <c r="ADW3" s="112"/>
      <c r="ADX3" s="112"/>
      <c r="ADY3" s="112"/>
      <c r="ADZ3" s="112"/>
      <c r="AEA3" s="112"/>
      <c r="AEB3" s="112"/>
      <c r="AEC3" s="112"/>
      <c r="AED3" s="112"/>
      <c r="AEE3" s="112"/>
      <c r="AEF3" s="112"/>
      <c r="AEG3" s="112"/>
      <c r="AEH3" s="112"/>
      <c r="AEI3" s="112"/>
      <c r="AEJ3" s="112"/>
      <c r="AEK3" s="112"/>
      <c r="AEL3" s="112"/>
      <c r="AEM3" s="112"/>
      <c r="AEN3" s="112"/>
      <c r="AEO3" s="112"/>
      <c r="AEP3" s="112"/>
      <c r="AEQ3" s="112"/>
      <c r="AER3" s="112"/>
      <c r="AES3" s="112"/>
      <c r="AET3" s="112"/>
      <c r="AEU3" s="112"/>
      <c r="AEV3" s="112"/>
      <c r="AEW3" s="112"/>
      <c r="AEX3" s="112"/>
      <c r="AEY3" s="112"/>
      <c r="AEZ3" s="112"/>
      <c r="AFA3" s="112"/>
      <c r="AFB3" s="112"/>
      <c r="AFC3" s="112"/>
      <c r="AFD3" s="112"/>
      <c r="AFE3" s="112"/>
      <c r="AFF3" s="112"/>
      <c r="AFG3" s="112"/>
      <c r="AFH3" s="112"/>
      <c r="AFI3" s="112"/>
      <c r="AFJ3" s="112"/>
      <c r="AFK3" s="112"/>
      <c r="AFL3" s="112"/>
      <c r="AFM3" s="112"/>
      <c r="AFN3" s="112"/>
      <c r="AFO3" s="112"/>
      <c r="AFP3" s="112"/>
      <c r="AFQ3" s="112"/>
      <c r="AFR3" s="112"/>
      <c r="AFS3" s="112"/>
      <c r="AFT3" s="112"/>
      <c r="AFU3" s="112"/>
      <c r="AFV3" s="112"/>
      <c r="AFW3" s="112"/>
      <c r="AFX3" s="112"/>
      <c r="AFY3" s="112"/>
      <c r="AFZ3" s="112"/>
      <c r="AGA3" s="112"/>
      <c r="AGB3" s="112"/>
      <c r="AGC3" s="112"/>
      <c r="AGD3" s="112"/>
      <c r="AGE3" s="112"/>
      <c r="AGF3" s="112"/>
      <c r="AGG3" s="112"/>
      <c r="AGH3" s="112"/>
      <c r="AGI3" s="112"/>
      <c r="AGJ3" s="112"/>
      <c r="AGK3" s="112"/>
      <c r="AGL3" s="112"/>
      <c r="AGM3" s="112"/>
      <c r="AGN3" s="112"/>
      <c r="AGO3" s="112"/>
      <c r="AGP3" s="112"/>
      <c r="AGQ3" s="112"/>
      <c r="AGR3" s="112"/>
      <c r="AGS3" s="112"/>
      <c r="AGT3" s="112"/>
      <c r="AGU3" s="112"/>
      <c r="AGV3" s="112"/>
      <c r="AGW3" s="112"/>
      <c r="AGX3" s="112"/>
      <c r="AGY3" s="112"/>
      <c r="AGZ3" s="112"/>
      <c r="AHA3" s="112"/>
      <c r="AHB3" s="112"/>
      <c r="AHC3" s="112"/>
      <c r="AHD3" s="112"/>
      <c r="AHE3" s="112"/>
      <c r="AHF3" s="112"/>
      <c r="AHG3" s="112"/>
      <c r="AHH3" s="112"/>
      <c r="AHI3" s="112"/>
      <c r="AHJ3" s="112"/>
      <c r="AHK3" s="112"/>
      <c r="AHL3" s="112"/>
      <c r="AHM3" s="112"/>
      <c r="AHN3" s="112"/>
      <c r="AHO3" s="112"/>
      <c r="AHP3" s="112"/>
      <c r="AHQ3" s="112"/>
      <c r="AHR3" s="112"/>
      <c r="AHS3" s="112"/>
      <c r="AHT3" s="112"/>
      <c r="AHU3" s="112"/>
      <c r="AHV3" s="112"/>
      <c r="AHW3" s="112"/>
      <c r="AHX3" s="112"/>
      <c r="AHY3" s="112"/>
      <c r="AHZ3" s="112"/>
      <c r="AIA3" s="112"/>
      <c r="AIB3" s="112"/>
      <c r="AIC3" s="112"/>
      <c r="AID3" s="112"/>
      <c r="AIE3" s="112"/>
      <c r="AIF3" s="112"/>
      <c r="AIG3" s="112"/>
      <c r="AIH3" s="112"/>
      <c r="AII3" s="112"/>
      <c r="AIJ3" s="112"/>
      <c r="AIK3" s="112"/>
      <c r="AIL3" s="112"/>
      <c r="AIM3" s="112"/>
      <c r="AIN3" s="112"/>
      <c r="AIO3" s="112"/>
      <c r="AIP3" s="112"/>
      <c r="AIQ3" s="112"/>
      <c r="AIR3" s="112"/>
      <c r="AIS3" s="112"/>
      <c r="AIT3" s="112"/>
      <c r="AIU3" s="112"/>
      <c r="AIV3" s="112"/>
      <c r="AIW3" s="112"/>
      <c r="AIX3" s="112"/>
      <c r="AIY3" s="112"/>
      <c r="AIZ3" s="112"/>
      <c r="AJA3" s="112"/>
      <c r="AJB3" s="112"/>
      <c r="AJC3" s="112"/>
      <c r="AJD3" s="112"/>
      <c r="AJE3" s="112"/>
      <c r="AJF3" s="112"/>
      <c r="AJG3" s="112"/>
      <c r="AJH3" s="112"/>
      <c r="AJI3" s="112"/>
      <c r="AJJ3" s="112"/>
      <c r="AJK3" s="112"/>
      <c r="AJL3" s="112"/>
      <c r="AJM3" s="112"/>
      <c r="AJN3" s="112"/>
      <c r="AJO3" s="112"/>
      <c r="AJP3" s="112"/>
      <c r="AJQ3" s="112"/>
      <c r="AJR3" s="112"/>
      <c r="AJS3" s="112"/>
      <c r="AJT3" s="112"/>
      <c r="AJU3" s="112"/>
      <c r="AJV3" s="112"/>
      <c r="AJW3" s="112"/>
      <c r="AJX3" s="112"/>
      <c r="AJY3" s="112"/>
      <c r="AJZ3" s="112"/>
      <c r="AKA3" s="112"/>
      <c r="AKB3" s="112"/>
      <c r="AKC3" s="112"/>
      <c r="AKD3" s="112"/>
      <c r="AKE3" s="112"/>
      <c r="AKF3" s="112"/>
      <c r="AKG3" s="112"/>
      <c r="AKH3" s="112"/>
      <c r="AKI3" s="112"/>
      <c r="AKJ3" s="112"/>
      <c r="AKK3" s="112"/>
      <c r="AKL3" s="112"/>
      <c r="AKM3" s="112"/>
      <c r="AKN3" s="112"/>
      <c r="AKO3" s="112"/>
      <c r="AKP3" s="112"/>
      <c r="AKQ3" s="112"/>
      <c r="AKR3" s="112"/>
      <c r="AKS3" s="112"/>
      <c r="AKT3" s="112"/>
      <c r="AKU3" s="112"/>
      <c r="AKV3" s="112"/>
      <c r="AKW3" s="112"/>
      <c r="AKX3" s="112"/>
      <c r="AKY3" s="112"/>
      <c r="AKZ3" s="112"/>
      <c r="ALA3" s="112"/>
      <c r="ALB3" s="112"/>
      <c r="ALC3" s="112"/>
      <c r="ALD3" s="112"/>
      <c r="ALE3" s="112"/>
      <c r="ALF3" s="112"/>
      <c r="ALG3" s="112"/>
      <c r="ALH3" s="112"/>
      <c r="ALI3" s="112"/>
      <c r="ALJ3" s="112"/>
      <c r="ALK3" s="112"/>
      <c r="ALL3" s="112"/>
      <c r="ALM3" s="112"/>
      <c r="ALN3" s="112"/>
      <c r="ALO3" s="112"/>
      <c r="ALP3" s="112"/>
      <c r="ALQ3" s="112"/>
      <c r="ALR3" s="112"/>
      <c r="ALS3" s="112"/>
      <c r="ALT3" s="112"/>
      <c r="ALU3" s="112"/>
      <c r="ALV3" s="112"/>
      <c r="ALW3" s="112"/>
      <c r="ALX3" s="112"/>
      <c r="ALY3" s="112"/>
      <c r="ALZ3" s="112"/>
      <c r="AMA3" s="112"/>
      <c r="AMB3" s="112"/>
      <c r="AMC3" s="112"/>
      <c r="AMD3" s="112"/>
      <c r="AME3" s="112"/>
      <c r="AMF3" s="112"/>
      <c r="AMG3" s="112"/>
      <c r="AMH3" s="112"/>
      <c r="AMI3" s="112"/>
      <c r="AMJ3" s="112"/>
      <c r="AMK3" s="112"/>
      <c r="AML3" s="112"/>
      <c r="AMM3" s="112"/>
      <c r="AMN3" s="112"/>
      <c r="AMO3" s="112"/>
      <c r="AMP3" s="112"/>
      <c r="AMQ3" s="112"/>
      <c r="AMR3" s="112"/>
      <c r="AMS3" s="112"/>
      <c r="AMT3" s="112"/>
      <c r="AMU3" s="112"/>
      <c r="AMV3" s="112"/>
      <c r="AMW3" s="112"/>
      <c r="AMX3" s="112"/>
      <c r="AMY3" s="112"/>
      <c r="AMZ3" s="112"/>
      <c r="ANA3" s="112"/>
      <c r="ANB3" s="112"/>
      <c r="ANC3" s="112"/>
      <c r="AND3" s="112"/>
      <c r="ANE3" s="112"/>
      <c r="ANF3" s="112"/>
      <c r="ANG3" s="112"/>
      <c r="ANH3" s="112"/>
      <c r="ANI3" s="112"/>
      <c r="ANJ3" s="112"/>
      <c r="ANK3" s="112"/>
      <c r="ANL3" s="112"/>
      <c r="ANM3" s="112"/>
      <c r="ANN3" s="112"/>
      <c r="ANO3" s="112"/>
      <c r="ANP3" s="112"/>
      <c r="ANQ3" s="112"/>
      <c r="ANR3" s="112"/>
      <c r="ANS3" s="112"/>
      <c r="ANT3" s="112"/>
      <c r="ANU3" s="112"/>
      <c r="ANV3" s="112"/>
      <c r="ANW3" s="112"/>
      <c r="ANX3" s="112"/>
      <c r="ANY3" s="112"/>
      <c r="ANZ3" s="112"/>
      <c r="AOA3" s="112"/>
      <c r="AOB3" s="112"/>
      <c r="AOC3" s="112"/>
      <c r="AOD3" s="112"/>
      <c r="AOE3" s="112"/>
      <c r="AOF3" s="112"/>
      <c r="AOG3" s="112"/>
      <c r="AOH3" s="112"/>
      <c r="AOI3" s="112"/>
      <c r="AOJ3" s="112"/>
      <c r="AOK3" s="112"/>
      <c r="AOL3" s="112"/>
      <c r="AOM3" s="112"/>
      <c r="AON3" s="112"/>
      <c r="AOO3" s="112"/>
      <c r="AOP3" s="112"/>
      <c r="AOQ3" s="112"/>
      <c r="AOR3" s="112"/>
      <c r="AOS3" s="112"/>
      <c r="AOT3" s="112"/>
      <c r="AOU3" s="112"/>
      <c r="AOV3" s="112"/>
      <c r="AOW3" s="112"/>
      <c r="AOX3" s="112"/>
      <c r="AOY3" s="112"/>
      <c r="AOZ3" s="112"/>
      <c r="APA3" s="112"/>
      <c r="APB3" s="112"/>
      <c r="APC3" s="112"/>
      <c r="APD3" s="112"/>
      <c r="APE3" s="112"/>
      <c r="APF3" s="112"/>
      <c r="APG3" s="112"/>
      <c r="APH3" s="112"/>
      <c r="API3" s="112"/>
      <c r="APJ3" s="112"/>
      <c r="APK3" s="112"/>
      <c r="APL3" s="112"/>
      <c r="APM3" s="112"/>
      <c r="APN3" s="112"/>
      <c r="APO3" s="112"/>
      <c r="APP3" s="112"/>
      <c r="APQ3" s="112"/>
      <c r="APR3" s="112"/>
      <c r="APS3" s="112"/>
      <c r="APT3" s="112"/>
      <c r="APU3" s="112"/>
      <c r="APV3" s="112"/>
      <c r="APW3" s="112"/>
      <c r="APX3" s="112"/>
      <c r="APY3" s="112"/>
      <c r="APZ3" s="112"/>
      <c r="AQA3" s="112"/>
      <c r="AQB3" s="112"/>
      <c r="AQC3" s="112"/>
      <c r="AQD3" s="112"/>
      <c r="AQE3" s="112"/>
      <c r="AQF3" s="112"/>
      <c r="AQG3" s="112"/>
      <c r="AQH3" s="112"/>
      <c r="AQI3" s="112"/>
      <c r="AQJ3" s="112"/>
      <c r="AQK3" s="112"/>
      <c r="AQL3" s="112"/>
      <c r="AQM3" s="112"/>
      <c r="AQN3" s="112"/>
      <c r="AQO3" s="112"/>
      <c r="AQP3" s="112"/>
      <c r="AQQ3" s="112"/>
      <c r="AQR3" s="112"/>
      <c r="AQS3" s="112"/>
      <c r="AQT3" s="112"/>
      <c r="AQU3" s="112"/>
      <c r="AQV3" s="112"/>
      <c r="AQW3" s="112"/>
      <c r="AQX3" s="112"/>
      <c r="AQY3" s="112"/>
      <c r="AQZ3" s="112"/>
      <c r="ARA3" s="112"/>
      <c r="ARB3" s="112"/>
      <c r="ARC3" s="112"/>
      <c r="ARD3" s="112"/>
      <c r="ARE3" s="112"/>
      <c r="ARF3" s="112"/>
      <c r="ARG3" s="112"/>
      <c r="ARH3" s="112"/>
      <c r="ARI3" s="112"/>
      <c r="ARJ3" s="112"/>
      <c r="ARK3" s="112"/>
      <c r="ARL3" s="112"/>
      <c r="ARM3" s="112"/>
      <c r="ARN3" s="112"/>
      <c r="ARO3" s="112"/>
      <c r="ARP3" s="112"/>
      <c r="ARQ3" s="112"/>
      <c r="ARR3" s="112"/>
      <c r="ARS3" s="112"/>
      <c r="ART3" s="112"/>
      <c r="ARU3" s="112"/>
      <c r="ARV3" s="112"/>
      <c r="ARW3" s="112"/>
      <c r="ARX3" s="112"/>
      <c r="ARY3" s="112"/>
      <c r="ARZ3" s="112"/>
      <c r="ASA3" s="112"/>
      <c r="ASB3" s="112"/>
      <c r="ASC3" s="112"/>
      <c r="ASD3" s="112"/>
      <c r="ASE3" s="112"/>
      <c r="ASF3" s="112"/>
      <c r="ASG3" s="112"/>
      <c r="ASH3" s="112"/>
      <c r="ASI3" s="112"/>
      <c r="ASJ3" s="112"/>
      <c r="ASK3" s="112"/>
      <c r="ASL3" s="112"/>
      <c r="ASM3" s="112"/>
      <c r="ASN3" s="112"/>
      <c r="ASO3" s="112"/>
      <c r="ASP3" s="112"/>
      <c r="ASQ3" s="112"/>
      <c r="ASR3" s="112"/>
      <c r="ASS3" s="112"/>
      <c r="AST3" s="112"/>
      <c r="ASU3" s="112"/>
      <c r="ASV3" s="112"/>
      <c r="ASW3" s="112"/>
      <c r="ASX3" s="7"/>
      <c r="ASY3" s="7"/>
      <c r="ASZ3" s="7"/>
      <c r="ATA3" s="7"/>
      <c r="ATB3" s="7"/>
      <c r="ATC3" s="7"/>
      <c r="ATD3" s="7"/>
      <c r="ATE3" s="7"/>
      <c r="ATF3" s="7"/>
      <c r="ATG3" s="7"/>
      <c r="ATH3" s="7"/>
      <c r="ATI3" s="7"/>
      <c r="ATJ3" s="7"/>
      <c r="ATK3" s="7"/>
      <c r="ATL3" s="7"/>
      <c r="ATM3" s="7"/>
      <c r="ATN3" s="7"/>
      <c r="ATO3" s="7"/>
      <c r="ATP3" s="7"/>
      <c r="ATQ3" s="7"/>
      <c r="ATR3" s="7"/>
      <c r="ATS3" s="7"/>
      <c r="ATT3" s="7"/>
      <c r="ATU3" s="7"/>
      <c r="ATV3" s="7"/>
      <c r="ATW3" s="7"/>
      <c r="ATX3" s="7"/>
      <c r="ATY3" s="7"/>
      <c r="ATZ3" s="7"/>
      <c r="AUA3" s="7"/>
      <c r="AUB3" s="7"/>
      <c r="AUC3" s="7"/>
      <c r="AUD3" s="112">
        <v>2022</v>
      </c>
      <c r="AUE3" s="112"/>
      <c r="AUF3" s="112"/>
      <c r="AUG3" s="112"/>
      <c r="AUH3" s="112"/>
      <c r="AUI3" s="112"/>
      <c r="AUJ3" s="112"/>
      <c r="AUK3" s="112"/>
      <c r="AUL3" s="112"/>
      <c r="AUM3" s="112"/>
      <c r="AUN3" s="112"/>
      <c r="AUO3" s="112"/>
      <c r="AUP3" s="112"/>
      <c r="AUQ3" s="112"/>
      <c r="AUR3" s="112"/>
      <c r="AUS3" s="112"/>
      <c r="AUT3" s="112"/>
      <c r="AUU3" s="112"/>
      <c r="AUV3" s="112"/>
      <c r="AUW3" s="112"/>
      <c r="AUX3" s="112"/>
      <c r="AUY3" s="112"/>
      <c r="AUZ3" s="112"/>
      <c r="AVA3" s="112"/>
      <c r="AVB3" s="112"/>
      <c r="AVC3" s="112"/>
      <c r="AVD3" s="112"/>
      <c r="AVE3" s="112"/>
      <c r="AVF3" s="112"/>
      <c r="AVG3" s="112"/>
      <c r="AVH3" s="112"/>
      <c r="AVI3" s="112"/>
      <c r="AVJ3" s="112"/>
      <c r="AVK3" s="112"/>
      <c r="AVL3" s="112"/>
      <c r="AVM3" s="112"/>
      <c r="AVN3" s="112"/>
      <c r="AVO3" s="112"/>
      <c r="AVP3" s="112"/>
      <c r="AVQ3" s="112"/>
      <c r="AVR3" s="112"/>
      <c r="AVS3" s="112"/>
      <c r="AVT3" s="112"/>
      <c r="AVU3" s="112"/>
      <c r="AVV3" s="112"/>
      <c r="AVW3" s="112"/>
      <c r="AVX3" s="112"/>
      <c r="AVY3" s="112"/>
      <c r="AVZ3" s="112"/>
      <c r="AWA3" s="112"/>
      <c r="AWB3" s="112"/>
      <c r="AWC3" s="112"/>
      <c r="AWD3" s="112"/>
      <c r="AWE3" s="112"/>
      <c r="AWF3" s="112"/>
      <c r="AWG3" s="112"/>
      <c r="AWH3" s="112"/>
      <c r="AWI3" s="112"/>
      <c r="AWJ3" s="112"/>
      <c r="AWK3" s="112"/>
      <c r="AWL3" s="112"/>
      <c r="AWM3" s="112"/>
      <c r="AWN3" s="112"/>
      <c r="AWO3" s="112"/>
      <c r="AWP3" s="112"/>
      <c r="AWQ3" s="112"/>
      <c r="AWR3" s="112"/>
      <c r="AWS3" s="112"/>
      <c r="AWT3" s="112"/>
      <c r="AWU3" s="112"/>
      <c r="AWV3" s="112"/>
      <c r="AWW3" s="112"/>
      <c r="AWX3" s="112"/>
      <c r="AWY3" s="112"/>
      <c r="AWZ3" s="112"/>
      <c r="AXA3" s="112"/>
      <c r="AXB3" s="112"/>
      <c r="AXC3" s="112"/>
      <c r="AXD3" s="112"/>
      <c r="AXE3" s="112"/>
      <c r="AXF3" s="112"/>
      <c r="AXG3" s="112"/>
      <c r="AXH3" s="112"/>
      <c r="AXI3" s="112"/>
      <c r="AXJ3" s="112"/>
      <c r="AXK3" s="112"/>
      <c r="AXL3" s="112"/>
      <c r="AXM3" s="112"/>
      <c r="AXN3" s="112"/>
      <c r="AXO3" s="112"/>
      <c r="AXP3" s="112"/>
      <c r="AXQ3" s="112"/>
      <c r="AXR3" s="112"/>
      <c r="AXS3" s="112"/>
      <c r="AXT3" s="112"/>
      <c r="AXU3" s="112"/>
      <c r="AXV3" s="112"/>
      <c r="AXW3" s="112"/>
      <c r="AXX3" s="112"/>
      <c r="AXY3" s="112"/>
      <c r="AXZ3" s="112"/>
      <c r="AYA3" s="112"/>
      <c r="AYB3" s="112"/>
      <c r="AYC3" s="112"/>
      <c r="AYD3" s="112"/>
      <c r="AYE3" s="112"/>
      <c r="AYF3" s="112"/>
      <c r="AYG3" s="112"/>
      <c r="AYH3" s="112"/>
      <c r="AYI3" s="112"/>
      <c r="AYJ3" s="112"/>
      <c r="AYK3" s="112"/>
      <c r="AYL3" s="112"/>
      <c r="AYM3" s="112"/>
      <c r="AYN3" s="112"/>
      <c r="AYO3" s="112"/>
      <c r="AYP3" s="112"/>
      <c r="AYQ3" s="112"/>
      <c r="AYR3" s="112"/>
      <c r="AYS3" s="112"/>
      <c r="AYT3" s="112"/>
      <c r="AYU3" s="112"/>
      <c r="AYV3" s="112"/>
      <c r="AYW3" s="112"/>
      <c r="AYX3" s="112"/>
      <c r="AYY3" s="112"/>
      <c r="AYZ3" s="112"/>
      <c r="AZA3" s="112"/>
      <c r="AZB3" s="112"/>
      <c r="AZC3" s="112"/>
      <c r="AZD3" s="112"/>
      <c r="AZE3" s="112"/>
      <c r="AZF3" s="112"/>
      <c r="AZG3" s="112"/>
      <c r="AZH3" s="112"/>
      <c r="AZI3" s="112"/>
      <c r="AZJ3" s="112"/>
      <c r="AZK3" s="112"/>
      <c r="AZL3" s="112"/>
      <c r="AZM3" s="112"/>
      <c r="AZN3" s="112"/>
      <c r="AZO3" s="112"/>
      <c r="AZP3" s="112"/>
      <c r="AZQ3" s="112"/>
      <c r="AZR3" s="112"/>
      <c r="AZS3" s="112"/>
      <c r="AZT3" s="112"/>
      <c r="AZU3" s="112"/>
      <c r="AZV3" s="112"/>
      <c r="AZW3" s="112"/>
      <c r="AZX3" s="112"/>
      <c r="AZY3" s="112"/>
      <c r="AZZ3" s="112"/>
      <c r="BAA3" s="112"/>
      <c r="BAB3" s="112"/>
      <c r="BAC3" s="112"/>
      <c r="BAD3" s="112"/>
      <c r="BAE3" s="112"/>
      <c r="BAF3" s="112"/>
      <c r="BAG3" s="112"/>
      <c r="BAH3" s="112"/>
      <c r="BAI3" s="112"/>
      <c r="BAJ3" s="112"/>
      <c r="BAK3" s="112"/>
      <c r="BAL3" s="112"/>
      <c r="BAM3" s="112"/>
      <c r="BAN3" s="112"/>
      <c r="BAO3" s="112"/>
      <c r="BAP3" s="112"/>
      <c r="BAQ3" s="112"/>
      <c r="BAR3" s="112"/>
      <c r="BAS3" s="112"/>
      <c r="BAT3" s="112"/>
      <c r="BAU3" s="112"/>
      <c r="BAV3" s="112"/>
      <c r="BAW3" s="112"/>
      <c r="BAX3" s="112"/>
      <c r="BAY3" s="112"/>
      <c r="BAZ3" s="112"/>
      <c r="BBA3" s="112"/>
      <c r="BBB3" s="112"/>
      <c r="BBC3" s="112"/>
      <c r="BBD3" s="112"/>
      <c r="BBE3" s="112"/>
      <c r="BBF3" s="112"/>
      <c r="BBG3" s="112"/>
      <c r="BBH3" s="112"/>
      <c r="BBI3" s="112"/>
      <c r="BBJ3" s="112"/>
      <c r="BBK3" s="112"/>
      <c r="BBL3" s="112"/>
      <c r="BBM3" s="112"/>
      <c r="BBN3" s="112"/>
      <c r="BBO3" s="112"/>
      <c r="BBP3" s="112"/>
      <c r="BBQ3" s="112"/>
      <c r="BBR3" s="112"/>
      <c r="BBS3" s="112"/>
      <c r="BBT3" s="112"/>
      <c r="BBU3" s="112"/>
      <c r="BBV3" s="112"/>
      <c r="BBW3" s="112"/>
      <c r="BBX3" s="112"/>
      <c r="BBY3" s="112"/>
      <c r="BBZ3" s="112"/>
      <c r="BCA3" s="112"/>
      <c r="BCB3" s="112"/>
      <c r="BCC3" s="112"/>
      <c r="BCD3" s="112"/>
      <c r="BCE3" s="112"/>
      <c r="BCF3" s="112"/>
      <c r="BCG3" s="112"/>
      <c r="BCH3" s="112"/>
      <c r="BCI3" s="112"/>
      <c r="BCJ3" s="112"/>
      <c r="BCK3" s="112"/>
      <c r="BCL3" s="112"/>
      <c r="BCM3" s="112"/>
      <c r="BCN3" s="112"/>
      <c r="BCO3" s="112"/>
      <c r="BCP3" s="112"/>
      <c r="BCQ3" s="112"/>
      <c r="BCR3" s="112"/>
      <c r="BCS3" s="112"/>
      <c r="BCT3" s="112"/>
      <c r="BCU3" s="112"/>
      <c r="BCV3" s="112"/>
      <c r="BCW3" s="112"/>
      <c r="BCX3" s="112"/>
      <c r="BCY3" s="112"/>
      <c r="BCZ3" s="112"/>
      <c r="BDA3" s="112"/>
      <c r="BDB3" s="112"/>
      <c r="BDC3" s="112"/>
      <c r="BDD3" s="112"/>
      <c r="BDE3" s="112"/>
      <c r="BDF3" s="112"/>
      <c r="BDG3" s="112"/>
      <c r="BDH3" s="112"/>
      <c r="BDI3" s="112"/>
      <c r="BDJ3" s="112"/>
      <c r="BDK3" s="112"/>
      <c r="BDL3" s="112"/>
      <c r="BDM3" s="112"/>
      <c r="BDN3" s="112"/>
      <c r="BDO3" s="112"/>
      <c r="BDP3" s="112"/>
      <c r="BDQ3" s="112"/>
      <c r="BDR3" s="112"/>
      <c r="BDS3" s="112"/>
      <c r="BDT3" s="112"/>
      <c r="BDU3" s="112"/>
      <c r="BDV3" s="112"/>
      <c r="BDW3" s="112"/>
      <c r="BDX3" s="112"/>
      <c r="BDY3" s="112"/>
      <c r="BDZ3" s="112"/>
      <c r="BEA3" s="112"/>
      <c r="BEB3" s="112"/>
      <c r="BEC3" s="112"/>
      <c r="BED3" s="112"/>
      <c r="BEE3" s="112"/>
      <c r="BEF3" s="112"/>
      <c r="BEG3" s="112"/>
      <c r="BEH3" s="112"/>
      <c r="BEI3" s="112"/>
      <c r="BEJ3" s="112"/>
      <c r="BEK3" s="112"/>
      <c r="BEL3" s="112"/>
      <c r="BEM3" s="112"/>
      <c r="BEN3" s="112"/>
      <c r="BEO3" s="112"/>
      <c r="BEP3" s="112"/>
      <c r="BEQ3" s="112"/>
      <c r="BER3" s="112"/>
      <c r="BES3" s="112"/>
      <c r="BET3" s="112"/>
      <c r="BEU3" s="112"/>
      <c r="BEV3" s="112"/>
      <c r="BEW3" s="112"/>
      <c r="BEX3" s="112"/>
      <c r="BEY3" s="112"/>
      <c r="BEZ3" s="112"/>
      <c r="BFA3" s="112"/>
      <c r="BFB3" s="112"/>
      <c r="BFC3" s="112"/>
      <c r="BFD3" s="112"/>
      <c r="BFE3" s="112"/>
      <c r="BFF3" s="112"/>
      <c r="BFG3" s="112"/>
      <c r="BFH3" s="112"/>
      <c r="BFI3" s="112"/>
      <c r="BFJ3" s="112"/>
      <c r="BFK3" s="112"/>
      <c r="BFL3" s="112"/>
      <c r="BFM3" s="112"/>
      <c r="BFN3" s="112"/>
      <c r="BFO3" s="112"/>
      <c r="BFP3" s="112"/>
      <c r="BFQ3" s="112"/>
      <c r="BFR3" s="112"/>
      <c r="BFS3" s="112"/>
      <c r="BFT3" s="112"/>
      <c r="BFU3" s="112"/>
      <c r="BFV3" s="112"/>
      <c r="BFW3" s="112"/>
      <c r="BFX3" s="112"/>
      <c r="BFY3" s="112"/>
      <c r="BFZ3" s="112"/>
      <c r="BGA3" s="112"/>
      <c r="BGB3" s="112"/>
      <c r="BGC3" s="112"/>
      <c r="BGD3" s="112"/>
      <c r="BGE3" s="112"/>
      <c r="BGF3" s="112"/>
      <c r="BGG3" s="112"/>
      <c r="BGH3" s="112"/>
      <c r="BGI3" s="112"/>
      <c r="BGJ3" s="112"/>
      <c r="BGK3" s="112"/>
      <c r="BGL3" s="112"/>
      <c r="BGM3" s="112"/>
      <c r="BGN3" s="112"/>
      <c r="BGO3" s="112"/>
      <c r="BGP3" s="112"/>
      <c r="BGQ3" s="112"/>
      <c r="BGR3" s="112"/>
      <c r="BGS3" s="112"/>
      <c r="BGT3" s="112"/>
      <c r="BGU3" s="112"/>
      <c r="BGV3" s="112"/>
      <c r="BGW3" s="112"/>
      <c r="BGX3" s="112"/>
      <c r="BGY3" s="112"/>
      <c r="BGZ3" s="112"/>
      <c r="BHA3" s="112"/>
      <c r="BHB3" s="112"/>
      <c r="BHC3" s="112"/>
      <c r="BHD3" s="112"/>
      <c r="BHE3" s="112"/>
      <c r="BHF3" s="112"/>
      <c r="BHG3" s="112"/>
      <c r="BHH3" s="112"/>
      <c r="BHI3" s="112"/>
      <c r="BHJ3" s="112"/>
      <c r="BHK3" s="112"/>
      <c r="BHL3" s="112"/>
      <c r="BHM3" s="112"/>
      <c r="BHN3" s="112"/>
      <c r="BHO3" s="112"/>
      <c r="BHP3" s="112"/>
      <c r="BHQ3" s="112"/>
      <c r="BHR3" s="112"/>
      <c r="BHS3" s="112"/>
      <c r="BHT3" s="112"/>
      <c r="BHU3" s="112"/>
      <c r="BHV3" s="112"/>
      <c r="BHW3" s="112"/>
      <c r="BHX3" s="112"/>
      <c r="BHY3" s="112"/>
      <c r="BHZ3" s="112"/>
      <c r="BIA3" s="112"/>
      <c r="BIB3" s="112"/>
      <c r="BIC3" s="112"/>
      <c r="BID3" s="112"/>
    </row>
    <row r="4" spans="1:1590" s="10" customFormat="1" ht="14.45" x14ac:dyDescent="0.3">
      <c r="B4" s="130" t="s">
        <v>46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8"/>
      <c r="AI4" s="30" t="s">
        <v>46</v>
      </c>
      <c r="AJ4" s="111" t="s">
        <v>47</v>
      </c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1"/>
      <c r="BC4" s="111"/>
      <c r="BD4" s="111"/>
      <c r="BE4" s="111"/>
      <c r="BF4" s="111"/>
      <c r="BG4" s="111"/>
      <c r="BH4" s="111"/>
      <c r="BI4" s="111"/>
      <c r="BJ4" s="111"/>
      <c r="BK4" s="111"/>
      <c r="BL4" s="111"/>
      <c r="BM4" s="111"/>
      <c r="BN4" s="111"/>
      <c r="BO4" s="111"/>
      <c r="BP4" s="30" t="s">
        <v>47</v>
      </c>
      <c r="BQ4" s="111" t="s">
        <v>48</v>
      </c>
      <c r="BR4" s="111"/>
      <c r="BS4" s="111"/>
      <c r="BT4" s="111"/>
      <c r="BU4" s="111"/>
      <c r="BV4" s="111"/>
      <c r="BW4" s="111"/>
      <c r="BX4" s="111"/>
      <c r="BY4" s="111"/>
      <c r="BZ4" s="111"/>
      <c r="CA4" s="111"/>
      <c r="CB4" s="111"/>
      <c r="CC4" s="111"/>
      <c r="CD4" s="111"/>
      <c r="CE4" s="111"/>
      <c r="CF4" s="111"/>
      <c r="CG4" s="111"/>
      <c r="CH4" s="111"/>
      <c r="CI4" s="111"/>
      <c r="CJ4" s="111"/>
      <c r="CK4" s="111"/>
      <c r="CL4" s="111"/>
      <c r="CM4" s="111"/>
      <c r="CN4" s="111"/>
      <c r="CO4" s="111"/>
      <c r="CP4" s="111"/>
      <c r="CQ4" s="111"/>
      <c r="CR4" s="111"/>
      <c r="CS4" s="111"/>
      <c r="CT4" s="111"/>
      <c r="CU4" s="111"/>
      <c r="CV4" s="111"/>
      <c r="CW4" s="30" t="s">
        <v>48</v>
      </c>
      <c r="CX4" s="111" t="s">
        <v>49</v>
      </c>
      <c r="CY4" s="111"/>
      <c r="CZ4" s="111"/>
      <c r="DA4" s="111"/>
      <c r="DB4" s="111"/>
      <c r="DC4" s="111"/>
      <c r="DD4" s="111"/>
      <c r="DE4" s="111"/>
      <c r="DF4" s="111"/>
      <c r="DG4" s="111"/>
      <c r="DH4" s="111"/>
      <c r="DI4" s="111"/>
      <c r="DJ4" s="111"/>
      <c r="DK4" s="111"/>
      <c r="DL4" s="111"/>
      <c r="DM4" s="111"/>
      <c r="DN4" s="111"/>
      <c r="DO4" s="111"/>
      <c r="DP4" s="111"/>
      <c r="DQ4" s="111"/>
      <c r="DR4" s="111"/>
      <c r="DS4" s="111"/>
      <c r="DT4" s="111"/>
      <c r="DU4" s="111"/>
      <c r="DV4" s="111"/>
      <c r="DW4" s="111"/>
      <c r="DX4" s="111"/>
      <c r="DY4" s="111"/>
      <c r="DZ4" s="111"/>
      <c r="EA4" s="111"/>
      <c r="EB4" s="111"/>
      <c r="EC4" s="111"/>
      <c r="ED4" s="30" t="s">
        <v>49</v>
      </c>
      <c r="EE4" s="111" t="s">
        <v>50</v>
      </c>
      <c r="EF4" s="111"/>
      <c r="EG4" s="111"/>
      <c r="EH4" s="111"/>
      <c r="EI4" s="111"/>
      <c r="EJ4" s="111"/>
      <c r="EK4" s="111"/>
      <c r="EL4" s="111"/>
      <c r="EM4" s="111"/>
      <c r="EN4" s="111"/>
      <c r="EO4" s="111"/>
      <c r="EP4" s="111"/>
      <c r="EQ4" s="111"/>
      <c r="ER4" s="111"/>
      <c r="ES4" s="111"/>
      <c r="ET4" s="111"/>
      <c r="EU4" s="111"/>
      <c r="EV4" s="111"/>
      <c r="EW4" s="111"/>
      <c r="EX4" s="111"/>
      <c r="EY4" s="111"/>
      <c r="EZ4" s="111"/>
      <c r="FA4" s="111"/>
      <c r="FB4" s="111"/>
      <c r="FC4" s="111"/>
      <c r="FD4" s="111"/>
      <c r="FE4" s="111"/>
      <c r="FF4" s="111"/>
      <c r="FG4" s="111"/>
      <c r="FH4" s="111"/>
      <c r="FI4" s="111"/>
      <c r="FJ4" s="111"/>
      <c r="FK4" s="30" t="s">
        <v>50</v>
      </c>
      <c r="FL4" s="111" t="s">
        <v>51</v>
      </c>
      <c r="FM4" s="111"/>
      <c r="FN4" s="111"/>
      <c r="FO4" s="111"/>
      <c r="FP4" s="111"/>
      <c r="FQ4" s="111"/>
      <c r="FR4" s="111"/>
      <c r="FS4" s="111"/>
      <c r="FT4" s="111"/>
      <c r="FU4" s="111"/>
      <c r="FV4" s="111"/>
      <c r="FW4" s="111"/>
      <c r="FX4" s="111"/>
      <c r="FY4" s="111"/>
      <c r="FZ4" s="111"/>
      <c r="GA4" s="111"/>
      <c r="GB4" s="111"/>
      <c r="GC4" s="111"/>
      <c r="GD4" s="111"/>
      <c r="GE4" s="111"/>
      <c r="GF4" s="111"/>
      <c r="GG4" s="111"/>
      <c r="GH4" s="111"/>
      <c r="GI4" s="111"/>
      <c r="GJ4" s="111"/>
      <c r="GK4" s="111"/>
      <c r="GL4" s="111"/>
      <c r="GM4" s="111"/>
      <c r="GN4" s="111"/>
      <c r="GO4" s="111"/>
      <c r="GP4" s="111"/>
      <c r="GQ4" s="111"/>
      <c r="GR4" s="30" t="s">
        <v>51</v>
      </c>
      <c r="GS4" s="111" t="s">
        <v>58</v>
      </c>
      <c r="GT4" s="111"/>
      <c r="GU4" s="111"/>
      <c r="GV4" s="111"/>
      <c r="GW4" s="111"/>
      <c r="GX4" s="111"/>
      <c r="GY4" s="111"/>
      <c r="GZ4" s="111"/>
      <c r="HA4" s="111"/>
      <c r="HB4" s="111"/>
      <c r="HC4" s="111"/>
      <c r="HD4" s="111"/>
      <c r="HE4" s="111"/>
      <c r="HF4" s="111"/>
      <c r="HG4" s="111"/>
      <c r="HH4" s="111"/>
      <c r="HI4" s="111"/>
      <c r="HJ4" s="111"/>
      <c r="HK4" s="111"/>
      <c r="HL4" s="111"/>
      <c r="HM4" s="111"/>
      <c r="HN4" s="111"/>
      <c r="HO4" s="111"/>
      <c r="HP4" s="111"/>
      <c r="HQ4" s="111"/>
      <c r="HR4" s="111"/>
      <c r="HS4" s="111"/>
      <c r="HT4" s="111"/>
      <c r="HU4" s="111"/>
      <c r="HV4" s="111"/>
      <c r="HW4" s="111"/>
      <c r="HX4" s="111"/>
      <c r="HY4" s="30" t="s">
        <v>52</v>
      </c>
      <c r="HZ4" s="111" t="s">
        <v>59</v>
      </c>
      <c r="IA4" s="111"/>
      <c r="IB4" s="111"/>
      <c r="IC4" s="111"/>
      <c r="ID4" s="111"/>
      <c r="IE4" s="111"/>
      <c r="IF4" s="111"/>
      <c r="IG4" s="111"/>
      <c r="IH4" s="111"/>
      <c r="II4" s="111"/>
      <c r="IJ4" s="111"/>
      <c r="IK4" s="111"/>
      <c r="IL4" s="111"/>
      <c r="IM4" s="111"/>
      <c r="IN4" s="111"/>
      <c r="IO4" s="111"/>
      <c r="IP4" s="111"/>
      <c r="IQ4" s="111"/>
      <c r="IR4" s="111"/>
      <c r="IS4" s="111"/>
      <c r="IT4" s="111"/>
      <c r="IU4" s="111"/>
      <c r="IV4" s="111"/>
      <c r="IW4" s="111"/>
      <c r="IX4" s="111"/>
      <c r="IY4" s="111"/>
      <c r="IZ4" s="111"/>
      <c r="JA4" s="111"/>
      <c r="JB4" s="111"/>
      <c r="JC4" s="111"/>
      <c r="JD4" s="111"/>
      <c r="JE4" s="111"/>
      <c r="JF4" s="30" t="s">
        <v>53</v>
      </c>
      <c r="JG4" s="111" t="s">
        <v>60</v>
      </c>
      <c r="JH4" s="111"/>
      <c r="JI4" s="111"/>
      <c r="JJ4" s="111"/>
      <c r="JK4" s="111"/>
      <c r="JL4" s="111"/>
      <c r="JM4" s="111"/>
      <c r="JN4" s="111"/>
      <c r="JO4" s="111"/>
      <c r="JP4" s="111"/>
      <c r="JQ4" s="111"/>
      <c r="JR4" s="111"/>
      <c r="JS4" s="111"/>
      <c r="JT4" s="111"/>
      <c r="JU4" s="111"/>
      <c r="JV4" s="111"/>
      <c r="JW4" s="111"/>
      <c r="JX4" s="111"/>
      <c r="JY4" s="111"/>
      <c r="JZ4" s="111"/>
      <c r="KA4" s="111"/>
      <c r="KB4" s="111"/>
      <c r="KC4" s="111"/>
      <c r="KD4" s="111"/>
      <c r="KE4" s="111"/>
      <c r="KF4" s="111"/>
      <c r="KG4" s="111"/>
      <c r="KH4" s="111"/>
      <c r="KI4" s="111"/>
      <c r="KJ4" s="111"/>
      <c r="KK4" s="111"/>
      <c r="KL4" s="111"/>
      <c r="KM4" s="30" t="s">
        <v>54</v>
      </c>
      <c r="KN4" s="111" t="s">
        <v>61</v>
      </c>
      <c r="KO4" s="111"/>
      <c r="KP4" s="111"/>
      <c r="KQ4" s="111"/>
      <c r="KR4" s="111"/>
      <c r="KS4" s="111"/>
      <c r="KT4" s="111"/>
      <c r="KU4" s="111"/>
      <c r="KV4" s="111"/>
      <c r="KW4" s="111"/>
      <c r="KX4" s="111"/>
      <c r="KY4" s="111"/>
      <c r="KZ4" s="111"/>
      <c r="LA4" s="111"/>
      <c r="LB4" s="111"/>
      <c r="LC4" s="111"/>
      <c r="LD4" s="111"/>
      <c r="LE4" s="111"/>
      <c r="LF4" s="111"/>
      <c r="LG4" s="111"/>
      <c r="LH4" s="111"/>
      <c r="LI4" s="111"/>
      <c r="LJ4" s="111"/>
      <c r="LK4" s="111"/>
      <c r="LL4" s="111"/>
      <c r="LM4" s="111"/>
      <c r="LN4" s="111"/>
      <c r="LO4" s="111"/>
      <c r="LP4" s="111"/>
      <c r="LQ4" s="111"/>
      <c r="LR4" s="111"/>
      <c r="LS4" s="111"/>
      <c r="LT4" s="30" t="s">
        <v>55</v>
      </c>
      <c r="LU4" s="111" t="s">
        <v>62</v>
      </c>
      <c r="LV4" s="111"/>
      <c r="LW4" s="111"/>
      <c r="LX4" s="111"/>
      <c r="LY4" s="111"/>
      <c r="LZ4" s="111"/>
      <c r="MA4" s="111"/>
      <c r="MB4" s="111"/>
      <c r="MC4" s="111"/>
      <c r="MD4" s="111"/>
      <c r="ME4" s="111"/>
      <c r="MF4" s="111"/>
      <c r="MG4" s="111"/>
      <c r="MH4" s="111"/>
      <c r="MI4" s="111"/>
      <c r="MJ4" s="111"/>
      <c r="MK4" s="111"/>
      <c r="ML4" s="111"/>
      <c r="MM4" s="111"/>
      <c r="MN4" s="111"/>
      <c r="MO4" s="111"/>
      <c r="MP4" s="111"/>
      <c r="MQ4" s="111"/>
      <c r="MR4" s="111"/>
      <c r="MS4" s="111"/>
      <c r="MT4" s="111"/>
      <c r="MU4" s="111"/>
      <c r="MV4" s="111"/>
      <c r="MW4" s="111"/>
      <c r="MX4" s="111"/>
      <c r="MY4" s="111"/>
      <c r="MZ4" s="111"/>
      <c r="NA4" s="30" t="s">
        <v>56</v>
      </c>
      <c r="NB4" s="111" t="s">
        <v>63</v>
      </c>
      <c r="NC4" s="111"/>
      <c r="ND4" s="111"/>
      <c r="NE4" s="111"/>
      <c r="NF4" s="111"/>
      <c r="NG4" s="111"/>
      <c r="NH4" s="111"/>
      <c r="NI4" s="111"/>
      <c r="NJ4" s="111"/>
      <c r="NK4" s="111"/>
      <c r="NL4" s="111"/>
      <c r="NM4" s="111"/>
      <c r="NN4" s="111"/>
      <c r="NO4" s="111"/>
      <c r="NP4" s="111"/>
      <c r="NQ4" s="111"/>
      <c r="NR4" s="111"/>
      <c r="NS4" s="111"/>
      <c r="NT4" s="111"/>
      <c r="NU4" s="111"/>
      <c r="NV4" s="111"/>
      <c r="NW4" s="111"/>
      <c r="NX4" s="111"/>
      <c r="NY4" s="111"/>
      <c r="NZ4" s="111"/>
      <c r="OA4" s="111"/>
      <c r="OB4" s="111"/>
      <c r="OC4" s="111"/>
      <c r="OD4" s="111"/>
      <c r="OE4" s="111"/>
      <c r="OF4" s="111"/>
      <c r="OG4" s="111"/>
      <c r="OH4" s="30" t="s">
        <v>57</v>
      </c>
      <c r="OI4" s="30">
        <v>2019</v>
      </c>
      <c r="OJ4" s="111" t="s">
        <v>64</v>
      </c>
      <c r="OK4" s="111"/>
      <c r="OL4" s="111"/>
      <c r="OM4" s="111"/>
      <c r="ON4" s="111"/>
      <c r="OO4" s="111"/>
      <c r="OP4" s="111"/>
      <c r="OQ4" s="111"/>
      <c r="OR4" s="111"/>
      <c r="OS4" s="111"/>
      <c r="OT4" s="111"/>
      <c r="OU4" s="111"/>
      <c r="OV4" s="111"/>
      <c r="OW4" s="111"/>
      <c r="OX4" s="111"/>
      <c r="OY4" s="111"/>
      <c r="OZ4" s="111"/>
      <c r="PA4" s="111"/>
      <c r="PB4" s="111"/>
      <c r="PC4" s="111"/>
      <c r="PD4" s="111"/>
      <c r="PE4" s="111"/>
      <c r="PF4" s="111"/>
      <c r="PG4" s="111"/>
      <c r="PH4" s="111"/>
      <c r="PI4" s="111"/>
      <c r="PJ4" s="111"/>
      <c r="PK4" s="111"/>
      <c r="PL4" s="111"/>
      <c r="PM4" s="111"/>
      <c r="PN4" s="111"/>
      <c r="PO4" s="111"/>
      <c r="PP4" s="30" t="s">
        <v>46</v>
      </c>
      <c r="PQ4" s="111" t="s">
        <v>47</v>
      </c>
      <c r="PR4" s="111"/>
      <c r="PS4" s="111"/>
      <c r="PT4" s="111"/>
      <c r="PU4" s="111"/>
      <c r="PV4" s="111"/>
      <c r="PW4" s="111"/>
      <c r="PX4" s="111"/>
      <c r="PY4" s="111"/>
      <c r="PZ4" s="111"/>
      <c r="QA4" s="111"/>
      <c r="QB4" s="111"/>
      <c r="QC4" s="111"/>
      <c r="QD4" s="111"/>
      <c r="QE4" s="111"/>
      <c r="QF4" s="111"/>
      <c r="QG4" s="111"/>
      <c r="QH4" s="111"/>
      <c r="QI4" s="111"/>
      <c r="QJ4" s="111"/>
      <c r="QK4" s="111"/>
      <c r="QL4" s="111"/>
      <c r="QM4" s="111"/>
      <c r="QN4" s="111"/>
      <c r="QO4" s="111"/>
      <c r="QP4" s="111"/>
      <c r="QQ4" s="111"/>
      <c r="QR4" s="111"/>
      <c r="QS4" s="111"/>
      <c r="QT4" s="111"/>
      <c r="QU4" s="111"/>
      <c r="QV4" s="111"/>
      <c r="QW4" s="30" t="s">
        <v>47</v>
      </c>
      <c r="QX4" s="111" t="s">
        <v>48</v>
      </c>
      <c r="QY4" s="111"/>
      <c r="QZ4" s="111"/>
      <c r="RA4" s="111"/>
      <c r="RB4" s="111"/>
      <c r="RC4" s="111"/>
      <c r="RD4" s="111"/>
      <c r="RE4" s="111"/>
      <c r="RF4" s="111"/>
      <c r="RG4" s="111"/>
      <c r="RH4" s="111"/>
      <c r="RI4" s="111"/>
      <c r="RJ4" s="111"/>
      <c r="RK4" s="111"/>
      <c r="RL4" s="111"/>
      <c r="RM4" s="111"/>
      <c r="RN4" s="111"/>
      <c r="RO4" s="111"/>
      <c r="RP4" s="111"/>
      <c r="RQ4" s="111"/>
      <c r="RR4" s="111"/>
      <c r="RS4" s="111"/>
      <c r="RT4" s="111"/>
      <c r="RU4" s="111"/>
      <c r="RV4" s="111"/>
      <c r="RW4" s="111"/>
      <c r="RX4" s="111"/>
      <c r="RY4" s="111"/>
      <c r="RZ4" s="111"/>
      <c r="SA4" s="111"/>
      <c r="SB4" s="111"/>
      <c r="SC4" s="111"/>
      <c r="SD4" s="30" t="s">
        <v>48</v>
      </c>
      <c r="SE4" s="111" t="s">
        <v>49</v>
      </c>
      <c r="SF4" s="111"/>
      <c r="SG4" s="111"/>
      <c r="SH4" s="111"/>
      <c r="SI4" s="111"/>
      <c r="SJ4" s="111"/>
      <c r="SK4" s="111"/>
      <c r="SL4" s="111"/>
      <c r="SM4" s="111"/>
      <c r="SN4" s="111"/>
      <c r="SO4" s="111"/>
      <c r="SP4" s="111"/>
      <c r="SQ4" s="111"/>
      <c r="SR4" s="111"/>
      <c r="SS4" s="111"/>
      <c r="ST4" s="111"/>
      <c r="SU4" s="111"/>
      <c r="SV4" s="111"/>
      <c r="SW4" s="111"/>
      <c r="SX4" s="111"/>
      <c r="SY4" s="111"/>
      <c r="SZ4" s="111"/>
      <c r="TA4" s="111"/>
      <c r="TB4" s="111"/>
      <c r="TC4" s="111"/>
      <c r="TD4" s="111"/>
      <c r="TE4" s="111"/>
      <c r="TF4" s="111"/>
      <c r="TG4" s="111"/>
      <c r="TH4" s="111"/>
      <c r="TI4" s="111"/>
      <c r="TJ4" s="111"/>
      <c r="TK4" s="30" t="s">
        <v>49</v>
      </c>
      <c r="TL4" s="111" t="s">
        <v>50</v>
      </c>
      <c r="TM4" s="111"/>
      <c r="TN4" s="111"/>
      <c r="TO4" s="111"/>
      <c r="TP4" s="111"/>
      <c r="TQ4" s="111"/>
      <c r="TR4" s="111"/>
      <c r="TS4" s="111"/>
      <c r="TT4" s="111"/>
      <c r="TU4" s="111"/>
      <c r="TV4" s="111"/>
      <c r="TW4" s="111"/>
      <c r="TX4" s="111"/>
      <c r="TY4" s="111"/>
      <c r="TZ4" s="111"/>
      <c r="UA4" s="111"/>
      <c r="UB4" s="111"/>
      <c r="UC4" s="111"/>
      <c r="UD4" s="111"/>
      <c r="UE4" s="111"/>
      <c r="UF4" s="111"/>
      <c r="UG4" s="111"/>
      <c r="UH4" s="111"/>
      <c r="UI4" s="111"/>
      <c r="UJ4" s="111"/>
      <c r="UK4" s="111"/>
      <c r="UL4" s="111"/>
      <c r="UM4" s="111"/>
      <c r="UN4" s="111"/>
      <c r="UO4" s="111"/>
      <c r="UP4" s="111"/>
      <c r="UQ4" s="111"/>
      <c r="UR4" s="30" t="s">
        <v>50</v>
      </c>
      <c r="US4" s="111" t="s">
        <v>51</v>
      </c>
      <c r="UT4" s="111"/>
      <c r="UU4" s="111"/>
      <c r="UV4" s="111"/>
      <c r="UW4" s="111"/>
      <c r="UX4" s="111"/>
      <c r="UY4" s="111"/>
      <c r="UZ4" s="111"/>
      <c r="VA4" s="111"/>
      <c r="VB4" s="111"/>
      <c r="VC4" s="111"/>
      <c r="VD4" s="111"/>
      <c r="VE4" s="111"/>
      <c r="VF4" s="111"/>
      <c r="VG4" s="111"/>
      <c r="VH4" s="111"/>
      <c r="VI4" s="111"/>
      <c r="VJ4" s="111"/>
      <c r="VK4" s="111"/>
      <c r="VL4" s="111"/>
      <c r="VM4" s="111"/>
      <c r="VN4" s="111"/>
      <c r="VO4" s="111"/>
      <c r="VP4" s="111"/>
      <c r="VQ4" s="111"/>
      <c r="VR4" s="111"/>
      <c r="VS4" s="111"/>
      <c r="VT4" s="111"/>
      <c r="VU4" s="111"/>
      <c r="VV4" s="111"/>
      <c r="VW4" s="111"/>
      <c r="VX4" s="111"/>
      <c r="VY4" s="30" t="s">
        <v>51</v>
      </c>
      <c r="VZ4" s="111" t="s">
        <v>58</v>
      </c>
      <c r="WA4" s="111"/>
      <c r="WB4" s="111"/>
      <c r="WC4" s="111"/>
      <c r="WD4" s="111"/>
      <c r="WE4" s="111"/>
      <c r="WF4" s="111"/>
      <c r="WG4" s="111"/>
      <c r="WH4" s="111"/>
      <c r="WI4" s="111"/>
      <c r="WJ4" s="111"/>
      <c r="WK4" s="111"/>
      <c r="WL4" s="111"/>
      <c r="WM4" s="111"/>
      <c r="WN4" s="111"/>
      <c r="WO4" s="111"/>
      <c r="WP4" s="111"/>
      <c r="WQ4" s="111"/>
      <c r="WR4" s="111"/>
      <c r="WS4" s="111"/>
      <c r="WT4" s="111"/>
      <c r="WU4" s="111"/>
      <c r="WV4" s="111"/>
      <c r="WW4" s="111"/>
      <c r="WX4" s="111"/>
      <c r="WY4" s="111"/>
      <c r="WZ4" s="111"/>
      <c r="XA4" s="111"/>
      <c r="XB4" s="111"/>
      <c r="XC4" s="111"/>
      <c r="XD4" s="111"/>
      <c r="XE4" s="111"/>
      <c r="XF4" s="30" t="s">
        <v>52</v>
      </c>
      <c r="XG4" s="111" t="s">
        <v>59</v>
      </c>
      <c r="XH4" s="111"/>
      <c r="XI4" s="111"/>
      <c r="XJ4" s="111"/>
      <c r="XK4" s="111"/>
      <c r="XL4" s="111"/>
      <c r="XM4" s="111"/>
      <c r="XN4" s="111"/>
      <c r="XO4" s="111"/>
      <c r="XP4" s="111"/>
      <c r="XQ4" s="111"/>
      <c r="XR4" s="111"/>
      <c r="XS4" s="111"/>
      <c r="XT4" s="111"/>
      <c r="XU4" s="111"/>
      <c r="XV4" s="111"/>
      <c r="XW4" s="111"/>
      <c r="XX4" s="111"/>
      <c r="XY4" s="111"/>
      <c r="XZ4" s="111"/>
      <c r="YA4" s="111"/>
      <c r="YB4" s="111"/>
      <c r="YC4" s="111"/>
      <c r="YD4" s="111"/>
      <c r="YE4" s="111"/>
      <c r="YF4" s="111"/>
      <c r="YG4" s="111"/>
      <c r="YH4" s="111"/>
      <c r="YI4" s="111"/>
      <c r="YJ4" s="111"/>
      <c r="YK4" s="111"/>
      <c r="YL4" s="111"/>
      <c r="YM4" s="30" t="s">
        <v>53</v>
      </c>
      <c r="YN4" s="111" t="s">
        <v>60</v>
      </c>
      <c r="YO4" s="111"/>
      <c r="YP4" s="111"/>
      <c r="YQ4" s="111"/>
      <c r="YR4" s="111"/>
      <c r="YS4" s="111"/>
      <c r="YT4" s="111"/>
      <c r="YU4" s="111"/>
      <c r="YV4" s="111"/>
      <c r="YW4" s="111"/>
      <c r="YX4" s="111"/>
      <c r="YY4" s="111"/>
      <c r="YZ4" s="111"/>
      <c r="ZA4" s="111"/>
      <c r="ZB4" s="111"/>
      <c r="ZC4" s="111"/>
      <c r="ZD4" s="111"/>
      <c r="ZE4" s="111"/>
      <c r="ZF4" s="111"/>
      <c r="ZG4" s="111"/>
      <c r="ZH4" s="111"/>
      <c r="ZI4" s="111"/>
      <c r="ZJ4" s="111"/>
      <c r="ZK4" s="111"/>
      <c r="ZL4" s="111"/>
      <c r="ZM4" s="111"/>
      <c r="ZN4" s="111"/>
      <c r="ZO4" s="111"/>
      <c r="ZP4" s="111"/>
      <c r="ZQ4" s="111"/>
      <c r="ZR4" s="111"/>
      <c r="ZS4" s="111"/>
      <c r="ZT4" s="30" t="s">
        <v>54</v>
      </c>
      <c r="ZU4" s="111" t="s">
        <v>61</v>
      </c>
      <c r="ZV4" s="111"/>
      <c r="ZW4" s="111"/>
      <c r="ZX4" s="111"/>
      <c r="ZY4" s="111"/>
      <c r="ZZ4" s="111"/>
      <c r="AAA4" s="111"/>
      <c r="AAB4" s="111"/>
      <c r="AAC4" s="111"/>
      <c r="AAD4" s="111"/>
      <c r="AAE4" s="111"/>
      <c r="AAF4" s="111"/>
      <c r="AAG4" s="111"/>
      <c r="AAH4" s="111"/>
      <c r="AAI4" s="111"/>
      <c r="AAJ4" s="111"/>
      <c r="AAK4" s="111"/>
      <c r="AAL4" s="111"/>
      <c r="AAM4" s="111"/>
      <c r="AAN4" s="111"/>
      <c r="AAO4" s="111"/>
      <c r="AAP4" s="111"/>
      <c r="AAQ4" s="111"/>
      <c r="AAR4" s="111"/>
      <c r="AAS4" s="111"/>
      <c r="AAT4" s="111"/>
      <c r="AAU4" s="111"/>
      <c r="AAV4" s="111"/>
      <c r="AAW4" s="111"/>
      <c r="AAX4" s="111"/>
      <c r="AAY4" s="111"/>
      <c r="AAZ4" s="111"/>
      <c r="ABA4" s="30" t="s">
        <v>55</v>
      </c>
      <c r="ABB4" s="111" t="s">
        <v>62</v>
      </c>
      <c r="ABC4" s="111"/>
      <c r="ABD4" s="111"/>
      <c r="ABE4" s="111"/>
      <c r="ABF4" s="111"/>
      <c r="ABG4" s="111"/>
      <c r="ABH4" s="111"/>
      <c r="ABI4" s="111"/>
      <c r="ABJ4" s="111"/>
      <c r="ABK4" s="111"/>
      <c r="ABL4" s="111"/>
      <c r="ABM4" s="111"/>
      <c r="ABN4" s="111"/>
      <c r="ABO4" s="111"/>
      <c r="ABP4" s="111"/>
      <c r="ABQ4" s="111"/>
      <c r="ABR4" s="111"/>
      <c r="ABS4" s="111"/>
      <c r="ABT4" s="111"/>
      <c r="ABU4" s="111"/>
      <c r="ABV4" s="111"/>
      <c r="ABW4" s="111"/>
      <c r="ABX4" s="111"/>
      <c r="ABY4" s="111"/>
      <c r="ABZ4" s="111"/>
      <c r="ACA4" s="111"/>
      <c r="ACB4" s="111"/>
      <c r="ACC4" s="111"/>
      <c r="ACD4" s="111"/>
      <c r="ACE4" s="111"/>
      <c r="ACF4" s="111"/>
      <c r="ACG4" s="111"/>
      <c r="ACH4" s="30" t="s">
        <v>56</v>
      </c>
      <c r="ACI4" s="111" t="s">
        <v>63</v>
      </c>
      <c r="ACJ4" s="111"/>
      <c r="ACK4" s="111"/>
      <c r="ACL4" s="111"/>
      <c r="ACM4" s="111"/>
      <c r="ACN4" s="111"/>
      <c r="ACO4" s="111"/>
      <c r="ACP4" s="111"/>
      <c r="ACQ4" s="111"/>
      <c r="ACR4" s="111"/>
      <c r="ACS4" s="111"/>
      <c r="ACT4" s="111"/>
      <c r="ACU4" s="111"/>
      <c r="ACV4" s="111"/>
      <c r="ACW4" s="111"/>
      <c r="ACX4" s="111"/>
      <c r="ACY4" s="111"/>
      <c r="ACZ4" s="111"/>
      <c r="ADA4" s="111"/>
      <c r="ADB4" s="111"/>
      <c r="ADC4" s="111"/>
      <c r="ADD4" s="111"/>
      <c r="ADE4" s="111"/>
      <c r="ADF4" s="111"/>
      <c r="ADG4" s="111"/>
      <c r="ADH4" s="111"/>
      <c r="ADI4" s="111"/>
      <c r="ADJ4" s="111"/>
      <c r="ADK4" s="111"/>
      <c r="ADL4" s="111"/>
      <c r="ADM4" s="111"/>
      <c r="ADN4" s="111"/>
      <c r="ADO4" s="30" t="s">
        <v>57</v>
      </c>
      <c r="ADP4" s="30">
        <v>2020</v>
      </c>
      <c r="ADQ4" s="112" t="s">
        <v>64</v>
      </c>
      <c r="ADR4" s="112"/>
      <c r="ADS4" s="112"/>
      <c r="ADT4" s="112"/>
      <c r="ADU4" s="112"/>
      <c r="ADV4" s="112"/>
      <c r="ADW4" s="112"/>
      <c r="ADX4" s="112"/>
      <c r="ADY4" s="112"/>
      <c r="ADZ4" s="112"/>
      <c r="AEA4" s="112"/>
      <c r="AEB4" s="112"/>
      <c r="AEC4" s="112"/>
      <c r="AED4" s="112"/>
      <c r="AEE4" s="112"/>
      <c r="AEF4" s="112"/>
      <c r="AEG4" s="112"/>
      <c r="AEH4" s="112"/>
      <c r="AEI4" s="112"/>
      <c r="AEJ4" s="112"/>
      <c r="AEK4" s="112"/>
      <c r="AEL4" s="112"/>
      <c r="AEM4" s="112"/>
      <c r="AEN4" s="112"/>
      <c r="AEO4" s="112"/>
      <c r="AEP4" s="112"/>
      <c r="AEQ4" s="112"/>
      <c r="AER4" s="112"/>
      <c r="AES4" s="112"/>
      <c r="AET4" s="112"/>
      <c r="AEU4" s="112"/>
      <c r="AEV4" s="112"/>
      <c r="AEW4" s="48" t="s">
        <v>46</v>
      </c>
      <c r="AEX4" s="112" t="s">
        <v>47</v>
      </c>
      <c r="AEY4" s="112"/>
      <c r="AEZ4" s="112"/>
      <c r="AFA4" s="112"/>
      <c r="AFB4" s="112"/>
      <c r="AFC4" s="112"/>
      <c r="AFD4" s="112"/>
      <c r="AFE4" s="112"/>
      <c r="AFF4" s="112"/>
      <c r="AFG4" s="112"/>
      <c r="AFH4" s="112"/>
      <c r="AFI4" s="112"/>
      <c r="AFJ4" s="112"/>
      <c r="AFK4" s="112"/>
      <c r="AFL4" s="112"/>
      <c r="AFM4" s="112"/>
      <c r="AFN4" s="112"/>
      <c r="AFO4" s="112"/>
      <c r="AFP4" s="112"/>
      <c r="AFQ4" s="112"/>
      <c r="AFR4" s="112"/>
      <c r="AFS4" s="112"/>
      <c r="AFT4" s="112"/>
      <c r="AFU4" s="112"/>
      <c r="AFV4" s="112"/>
      <c r="AFW4" s="112"/>
      <c r="AFX4" s="112"/>
      <c r="AFY4" s="112"/>
      <c r="AFZ4" s="112"/>
      <c r="AGA4" s="112"/>
      <c r="AGB4" s="112"/>
      <c r="AGC4" s="112"/>
      <c r="AGD4" s="48" t="s">
        <v>47</v>
      </c>
      <c r="AGE4" s="112" t="s">
        <v>48</v>
      </c>
      <c r="AGF4" s="112"/>
      <c r="AGG4" s="112"/>
      <c r="AGH4" s="112"/>
      <c r="AGI4" s="112"/>
      <c r="AGJ4" s="112"/>
      <c r="AGK4" s="112"/>
      <c r="AGL4" s="112"/>
      <c r="AGM4" s="112"/>
      <c r="AGN4" s="112"/>
      <c r="AGO4" s="112"/>
      <c r="AGP4" s="112"/>
      <c r="AGQ4" s="112"/>
      <c r="AGR4" s="112"/>
      <c r="AGS4" s="112"/>
      <c r="AGT4" s="112"/>
      <c r="AGU4" s="112"/>
      <c r="AGV4" s="112"/>
      <c r="AGW4" s="112"/>
      <c r="AGX4" s="112"/>
      <c r="AGY4" s="112"/>
      <c r="AGZ4" s="112"/>
      <c r="AHA4" s="112"/>
      <c r="AHB4" s="112"/>
      <c r="AHC4" s="112"/>
      <c r="AHD4" s="112"/>
      <c r="AHE4" s="112"/>
      <c r="AHF4" s="112"/>
      <c r="AHG4" s="112"/>
      <c r="AHH4" s="112"/>
      <c r="AHI4" s="112"/>
      <c r="AHJ4" s="112"/>
      <c r="AHK4" s="48" t="s">
        <v>48</v>
      </c>
      <c r="AHL4" s="112" t="s">
        <v>49</v>
      </c>
      <c r="AHM4" s="112"/>
      <c r="AHN4" s="112"/>
      <c r="AHO4" s="112"/>
      <c r="AHP4" s="112"/>
      <c r="AHQ4" s="112"/>
      <c r="AHR4" s="112"/>
      <c r="AHS4" s="112"/>
      <c r="AHT4" s="112"/>
      <c r="AHU4" s="112"/>
      <c r="AHV4" s="112"/>
      <c r="AHW4" s="112"/>
      <c r="AHX4" s="112"/>
      <c r="AHY4" s="112"/>
      <c r="AHZ4" s="112"/>
      <c r="AIA4" s="112"/>
      <c r="AIB4" s="112"/>
      <c r="AIC4" s="112"/>
      <c r="AID4" s="112"/>
      <c r="AIE4" s="112"/>
      <c r="AIF4" s="112"/>
      <c r="AIG4" s="112"/>
      <c r="AIH4" s="112"/>
      <c r="AII4" s="112"/>
      <c r="AIJ4" s="112"/>
      <c r="AIK4" s="112"/>
      <c r="AIL4" s="112"/>
      <c r="AIM4" s="112"/>
      <c r="AIN4" s="112"/>
      <c r="AIO4" s="112"/>
      <c r="AIP4" s="112"/>
      <c r="AIQ4" s="112"/>
      <c r="AIR4" s="48" t="s">
        <v>49</v>
      </c>
      <c r="AIS4" s="112" t="s">
        <v>50</v>
      </c>
      <c r="AIT4" s="112"/>
      <c r="AIU4" s="112"/>
      <c r="AIV4" s="112"/>
      <c r="AIW4" s="112"/>
      <c r="AIX4" s="112"/>
      <c r="AIY4" s="112"/>
      <c r="AIZ4" s="112"/>
      <c r="AJA4" s="112"/>
      <c r="AJB4" s="112"/>
      <c r="AJC4" s="112"/>
      <c r="AJD4" s="112"/>
      <c r="AJE4" s="112"/>
      <c r="AJF4" s="112"/>
      <c r="AJG4" s="112"/>
      <c r="AJH4" s="112"/>
      <c r="AJI4" s="112"/>
      <c r="AJJ4" s="112"/>
      <c r="AJK4" s="112"/>
      <c r="AJL4" s="112"/>
      <c r="AJM4" s="112"/>
      <c r="AJN4" s="112"/>
      <c r="AJO4" s="112"/>
      <c r="AJP4" s="112"/>
      <c r="AJQ4" s="112"/>
      <c r="AJR4" s="112"/>
      <c r="AJS4" s="112"/>
      <c r="AJT4" s="112"/>
      <c r="AJU4" s="112"/>
      <c r="AJV4" s="112"/>
      <c r="AJW4" s="112"/>
      <c r="AJX4" s="112"/>
      <c r="AJY4" s="48" t="s">
        <v>50</v>
      </c>
      <c r="AJZ4" s="112" t="s">
        <v>51</v>
      </c>
      <c r="AKA4" s="112"/>
      <c r="AKB4" s="112"/>
      <c r="AKC4" s="112"/>
      <c r="AKD4" s="112"/>
      <c r="AKE4" s="112"/>
      <c r="AKF4" s="112"/>
      <c r="AKG4" s="112"/>
      <c r="AKH4" s="112"/>
      <c r="AKI4" s="112"/>
      <c r="AKJ4" s="112"/>
      <c r="AKK4" s="112"/>
      <c r="AKL4" s="112"/>
      <c r="AKM4" s="112"/>
      <c r="AKN4" s="112"/>
      <c r="AKO4" s="112"/>
      <c r="AKP4" s="112"/>
      <c r="AKQ4" s="112"/>
      <c r="AKR4" s="112"/>
      <c r="AKS4" s="112"/>
      <c r="AKT4" s="112"/>
      <c r="AKU4" s="112"/>
      <c r="AKV4" s="112"/>
      <c r="AKW4" s="112"/>
      <c r="AKX4" s="112"/>
      <c r="AKY4" s="112"/>
      <c r="AKZ4" s="112"/>
      <c r="ALA4" s="112"/>
      <c r="ALB4" s="112"/>
      <c r="ALC4" s="112"/>
      <c r="ALD4" s="112"/>
      <c r="ALE4" s="112"/>
      <c r="ALF4" s="48" t="s">
        <v>51</v>
      </c>
      <c r="ALG4" s="112" t="s">
        <v>58</v>
      </c>
      <c r="ALH4" s="112"/>
      <c r="ALI4" s="112"/>
      <c r="ALJ4" s="112"/>
      <c r="ALK4" s="112"/>
      <c r="ALL4" s="112"/>
      <c r="ALM4" s="112"/>
      <c r="ALN4" s="112"/>
      <c r="ALO4" s="112"/>
      <c r="ALP4" s="112"/>
      <c r="ALQ4" s="112"/>
      <c r="ALR4" s="112"/>
      <c r="ALS4" s="112"/>
      <c r="ALT4" s="112"/>
      <c r="ALU4" s="112"/>
      <c r="ALV4" s="112"/>
      <c r="ALW4" s="112"/>
      <c r="ALX4" s="112"/>
      <c r="ALY4" s="112"/>
      <c r="ALZ4" s="112"/>
      <c r="AMA4" s="112"/>
      <c r="AMB4" s="112"/>
      <c r="AMC4" s="112"/>
      <c r="AMD4" s="112"/>
      <c r="AME4" s="112"/>
      <c r="AMF4" s="112"/>
      <c r="AMG4" s="112"/>
      <c r="AMH4" s="112"/>
      <c r="AMI4" s="112"/>
      <c r="AMJ4" s="112"/>
      <c r="AMK4" s="112"/>
      <c r="AML4" s="112"/>
      <c r="AMM4" s="48" t="s">
        <v>52</v>
      </c>
      <c r="AMN4" s="112" t="s">
        <v>59</v>
      </c>
      <c r="AMO4" s="112"/>
      <c r="AMP4" s="112"/>
      <c r="AMQ4" s="112"/>
      <c r="AMR4" s="112"/>
      <c r="AMS4" s="112"/>
      <c r="AMT4" s="112"/>
      <c r="AMU4" s="112"/>
      <c r="AMV4" s="112"/>
      <c r="AMW4" s="112"/>
      <c r="AMX4" s="112"/>
      <c r="AMY4" s="112"/>
      <c r="AMZ4" s="112"/>
      <c r="ANA4" s="112"/>
      <c r="ANB4" s="112"/>
      <c r="ANC4" s="112"/>
      <c r="AND4" s="112"/>
      <c r="ANE4" s="112"/>
      <c r="ANF4" s="112"/>
      <c r="ANG4" s="112"/>
      <c r="ANH4" s="112"/>
      <c r="ANI4" s="112"/>
      <c r="ANJ4" s="112"/>
      <c r="ANK4" s="112"/>
      <c r="ANL4" s="112"/>
      <c r="ANM4" s="112"/>
      <c r="ANN4" s="112"/>
      <c r="ANO4" s="112"/>
      <c r="ANP4" s="112"/>
      <c r="ANQ4" s="112"/>
      <c r="ANR4" s="112"/>
      <c r="ANS4" s="112"/>
      <c r="ANT4" s="48" t="s">
        <v>53</v>
      </c>
      <c r="ANU4" s="112" t="s">
        <v>60</v>
      </c>
      <c r="ANV4" s="112"/>
      <c r="ANW4" s="112"/>
      <c r="ANX4" s="112"/>
      <c r="ANY4" s="112"/>
      <c r="ANZ4" s="112"/>
      <c r="AOA4" s="112"/>
      <c r="AOB4" s="112"/>
      <c r="AOC4" s="112"/>
      <c r="AOD4" s="112"/>
      <c r="AOE4" s="112"/>
      <c r="AOF4" s="112"/>
      <c r="AOG4" s="112"/>
      <c r="AOH4" s="112"/>
      <c r="AOI4" s="112"/>
      <c r="AOJ4" s="112"/>
      <c r="AOK4" s="112"/>
      <c r="AOL4" s="112"/>
      <c r="AOM4" s="112"/>
      <c r="AON4" s="112"/>
      <c r="AOO4" s="112"/>
      <c r="AOP4" s="112"/>
      <c r="AOQ4" s="112"/>
      <c r="AOR4" s="112"/>
      <c r="AOS4" s="112"/>
      <c r="AOT4" s="112"/>
      <c r="AOU4" s="112"/>
      <c r="AOV4" s="112"/>
      <c r="AOW4" s="112"/>
      <c r="AOX4" s="112"/>
      <c r="AOY4" s="112"/>
      <c r="AOZ4" s="112"/>
      <c r="APA4" s="48" t="s">
        <v>54</v>
      </c>
      <c r="APB4" s="112" t="s">
        <v>61</v>
      </c>
      <c r="APC4" s="112"/>
      <c r="APD4" s="112"/>
      <c r="APE4" s="112"/>
      <c r="APF4" s="112"/>
      <c r="APG4" s="112"/>
      <c r="APH4" s="112"/>
      <c r="API4" s="112"/>
      <c r="APJ4" s="112"/>
      <c r="APK4" s="112"/>
      <c r="APL4" s="112"/>
      <c r="APM4" s="112"/>
      <c r="APN4" s="112"/>
      <c r="APO4" s="112"/>
      <c r="APP4" s="112"/>
      <c r="APQ4" s="112"/>
      <c r="APR4" s="112"/>
      <c r="APS4" s="112"/>
      <c r="APT4" s="112"/>
      <c r="APU4" s="112"/>
      <c r="APV4" s="112"/>
      <c r="APW4" s="112"/>
      <c r="APX4" s="112"/>
      <c r="APY4" s="112"/>
      <c r="APZ4" s="112"/>
      <c r="AQA4" s="112"/>
      <c r="AQB4" s="112"/>
      <c r="AQC4" s="112"/>
      <c r="AQD4" s="112"/>
      <c r="AQE4" s="112"/>
      <c r="AQF4" s="112"/>
      <c r="AQG4" s="112"/>
      <c r="AQH4" s="48" t="s">
        <v>55</v>
      </c>
      <c r="AQI4" s="112" t="s">
        <v>62</v>
      </c>
      <c r="AQJ4" s="112"/>
      <c r="AQK4" s="112"/>
      <c r="AQL4" s="112"/>
      <c r="AQM4" s="112"/>
      <c r="AQN4" s="112"/>
      <c r="AQO4" s="112"/>
      <c r="AQP4" s="112"/>
      <c r="AQQ4" s="112"/>
      <c r="AQR4" s="112"/>
      <c r="AQS4" s="112"/>
      <c r="AQT4" s="112"/>
      <c r="AQU4" s="112"/>
      <c r="AQV4" s="112"/>
      <c r="AQW4" s="112"/>
      <c r="AQX4" s="112"/>
      <c r="AQY4" s="112"/>
      <c r="AQZ4" s="112"/>
      <c r="ARA4" s="112"/>
      <c r="ARB4" s="112"/>
      <c r="ARC4" s="112"/>
      <c r="ARD4" s="112"/>
      <c r="ARE4" s="112"/>
      <c r="ARF4" s="112"/>
      <c r="ARG4" s="112"/>
      <c r="ARH4" s="112"/>
      <c r="ARI4" s="112"/>
      <c r="ARJ4" s="112"/>
      <c r="ARK4" s="112"/>
      <c r="ARL4" s="112"/>
      <c r="ARM4" s="112"/>
      <c r="ARN4" s="112"/>
      <c r="ARO4" s="48" t="s">
        <v>56</v>
      </c>
      <c r="ARP4" s="112" t="s">
        <v>63</v>
      </c>
      <c r="ARQ4" s="112"/>
      <c r="ARR4" s="112"/>
      <c r="ARS4" s="112"/>
      <c r="ART4" s="112"/>
      <c r="ARU4" s="112"/>
      <c r="ARV4" s="112"/>
      <c r="ARW4" s="112"/>
      <c r="ARX4" s="112"/>
      <c r="ARY4" s="112"/>
      <c r="ARZ4" s="112"/>
      <c r="ASA4" s="112"/>
      <c r="ASB4" s="112"/>
      <c r="ASC4" s="112"/>
      <c r="ASD4" s="112"/>
      <c r="ASE4" s="112"/>
      <c r="ASF4" s="112"/>
      <c r="ASG4" s="112"/>
      <c r="ASH4" s="112"/>
      <c r="ASI4" s="112"/>
      <c r="ASJ4" s="112"/>
      <c r="ASK4" s="112"/>
      <c r="ASL4" s="112"/>
      <c r="ASM4" s="112"/>
      <c r="ASN4" s="112"/>
      <c r="ASO4" s="112"/>
      <c r="ASP4" s="112"/>
      <c r="ASQ4" s="112"/>
      <c r="ASR4" s="112"/>
      <c r="ASS4" s="112"/>
      <c r="AST4" s="112"/>
      <c r="ASU4" s="112"/>
      <c r="ASV4" s="48" t="s">
        <v>57</v>
      </c>
      <c r="ASW4" s="8">
        <v>2021</v>
      </c>
      <c r="ASX4" s="112" t="s">
        <v>64</v>
      </c>
      <c r="ASY4" s="112"/>
      <c r="ASZ4" s="112"/>
      <c r="ATA4" s="112"/>
      <c r="ATB4" s="112"/>
      <c r="ATC4" s="112"/>
      <c r="ATD4" s="112"/>
      <c r="ATE4" s="112"/>
      <c r="ATF4" s="112"/>
      <c r="ATG4" s="112"/>
      <c r="ATH4" s="112"/>
      <c r="ATI4" s="112"/>
      <c r="ATJ4" s="112"/>
      <c r="ATK4" s="112"/>
      <c r="ATL4" s="112"/>
      <c r="ATM4" s="112"/>
      <c r="ATN4" s="112"/>
      <c r="ATO4" s="112"/>
      <c r="ATP4" s="112"/>
      <c r="ATQ4" s="112"/>
      <c r="ATR4" s="112"/>
      <c r="ATS4" s="112"/>
      <c r="ATT4" s="112"/>
      <c r="ATU4" s="112"/>
      <c r="ATV4" s="112"/>
      <c r="ATW4" s="112"/>
      <c r="ATX4" s="112"/>
      <c r="ATY4" s="112"/>
      <c r="ATZ4" s="112"/>
      <c r="AUA4" s="112"/>
      <c r="AUB4" s="112"/>
      <c r="AUC4" s="112"/>
      <c r="AUD4" s="48" t="s">
        <v>46</v>
      </c>
      <c r="AUE4" s="127" t="s">
        <v>47</v>
      </c>
      <c r="AUF4" s="128"/>
      <c r="AUG4" s="128"/>
      <c r="AUH4" s="128"/>
      <c r="AUI4" s="128"/>
      <c r="AUJ4" s="128"/>
      <c r="AUK4" s="128"/>
      <c r="AUL4" s="128"/>
      <c r="AUM4" s="128"/>
      <c r="AUN4" s="128"/>
      <c r="AUO4" s="128"/>
      <c r="AUP4" s="128"/>
      <c r="AUQ4" s="128"/>
      <c r="AUR4" s="128"/>
      <c r="AUS4" s="128"/>
      <c r="AUT4" s="128"/>
      <c r="AUU4" s="128"/>
      <c r="AUV4" s="128"/>
      <c r="AUW4" s="128"/>
      <c r="AUX4" s="128"/>
      <c r="AUY4" s="128"/>
      <c r="AUZ4" s="128"/>
      <c r="AVA4" s="128"/>
      <c r="AVB4" s="128"/>
      <c r="AVC4" s="128"/>
      <c r="AVD4" s="128"/>
      <c r="AVE4" s="128"/>
      <c r="AVF4" s="128"/>
      <c r="AVG4" s="128"/>
      <c r="AVH4" s="128"/>
      <c r="AVI4" s="128"/>
      <c r="AVJ4" s="129"/>
      <c r="AVK4" s="48" t="s">
        <v>47</v>
      </c>
      <c r="AVL4" s="127" t="s">
        <v>48</v>
      </c>
      <c r="AVM4" s="128"/>
      <c r="AVN4" s="128"/>
      <c r="AVO4" s="128"/>
      <c r="AVP4" s="128"/>
      <c r="AVQ4" s="128"/>
      <c r="AVR4" s="128"/>
      <c r="AVS4" s="128"/>
      <c r="AVT4" s="128"/>
      <c r="AVU4" s="128"/>
      <c r="AVV4" s="128"/>
      <c r="AVW4" s="128"/>
      <c r="AVX4" s="128"/>
      <c r="AVY4" s="128"/>
      <c r="AVZ4" s="128"/>
      <c r="AWA4" s="128"/>
      <c r="AWB4" s="128"/>
      <c r="AWC4" s="128"/>
      <c r="AWD4" s="128"/>
      <c r="AWE4" s="128"/>
      <c r="AWF4" s="128"/>
      <c r="AWG4" s="128"/>
      <c r="AWH4" s="128"/>
      <c r="AWI4" s="128"/>
      <c r="AWJ4" s="128"/>
      <c r="AWK4" s="128"/>
      <c r="AWL4" s="128"/>
      <c r="AWM4" s="128"/>
      <c r="AWN4" s="128"/>
      <c r="AWO4" s="128"/>
      <c r="AWP4" s="128"/>
      <c r="AWQ4" s="129"/>
      <c r="AWR4" s="48" t="s">
        <v>48</v>
      </c>
      <c r="AWS4" s="127" t="s">
        <v>49</v>
      </c>
      <c r="AWT4" s="128"/>
      <c r="AWU4" s="128"/>
      <c r="AWV4" s="128"/>
      <c r="AWW4" s="128"/>
      <c r="AWX4" s="128"/>
      <c r="AWY4" s="128"/>
      <c r="AWZ4" s="128"/>
      <c r="AXA4" s="128"/>
      <c r="AXB4" s="128"/>
      <c r="AXC4" s="128"/>
      <c r="AXD4" s="128"/>
      <c r="AXE4" s="128"/>
      <c r="AXF4" s="128"/>
      <c r="AXG4" s="128"/>
      <c r="AXH4" s="128"/>
      <c r="AXI4" s="128"/>
      <c r="AXJ4" s="128"/>
      <c r="AXK4" s="128"/>
      <c r="AXL4" s="128"/>
      <c r="AXM4" s="128"/>
      <c r="AXN4" s="128"/>
      <c r="AXO4" s="128"/>
      <c r="AXP4" s="128"/>
      <c r="AXQ4" s="128"/>
      <c r="AXR4" s="128"/>
      <c r="AXS4" s="128"/>
      <c r="AXT4" s="128"/>
      <c r="AXU4" s="128"/>
      <c r="AXV4" s="128"/>
      <c r="AXW4" s="128"/>
      <c r="AXX4" s="129"/>
      <c r="AXY4" s="48" t="s">
        <v>49</v>
      </c>
      <c r="AXZ4" s="127" t="s">
        <v>50</v>
      </c>
      <c r="AYA4" s="128"/>
      <c r="AYB4" s="128"/>
      <c r="AYC4" s="128"/>
      <c r="AYD4" s="128"/>
      <c r="AYE4" s="128"/>
      <c r="AYF4" s="128"/>
      <c r="AYG4" s="128"/>
      <c r="AYH4" s="128"/>
      <c r="AYI4" s="128"/>
      <c r="AYJ4" s="128"/>
      <c r="AYK4" s="128"/>
      <c r="AYL4" s="128"/>
      <c r="AYM4" s="128"/>
      <c r="AYN4" s="128"/>
      <c r="AYO4" s="128"/>
      <c r="AYP4" s="128"/>
      <c r="AYQ4" s="128"/>
      <c r="AYR4" s="128"/>
      <c r="AYS4" s="128"/>
      <c r="AYT4" s="128"/>
      <c r="AYU4" s="128"/>
      <c r="AYV4" s="128"/>
      <c r="AYW4" s="128"/>
      <c r="AYX4" s="128"/>
      <c r="AYY4" s="128"/>
      <c r="AYZ4" s="128"/>
      <c r="AZA4" s="128"/>
      <c r="AZB4" s="128"/>
      <c r="AZC4" s="128"/>
      <c r="AZD4" s="128"/>
      <c r="AZE4" s="129"/>
      <c r="AZF4" s="48" t="s">
        <v>50</v>
      </c>
      <c r="AZG4" s="127" t="s">
        <v>51</v>
      </c>
      <c r="AZH4" s="128"/>
      <c r="AZI4" s="128"/>
      <c r="AZJ4" s="128"/>
      <c r="AZK4" s="128"/>
      <c r="AZL4" s="128"/>
      <c r="AZM4" s="128"/>
      <c r="AZN4" s="128"/>
      <c r="AZO4" s="128"/>
      <c r="AZP4" s="128"/>
      <c r="AZQ4" s="128"/>
      <c r="AZR4" s="128"/>
      <c r="AZS4" s="128"/>
      <c r="AZT4" s="128"/>
      <c r="AZU4" s="128"/>
      <c r="AZV4" s="128"/>
      <c r="AZW4" s="128"/>
      <c r="AZX4" s="128"/>
      <c r="AZY4" s="128"/>
      <c r="AZZ4" s="128"/>
      <c r="BAA4" s="128"/>
      <c r="BAB4" s="128"/>
      <c r="BAC4" s="128"/>
      <c r="BAD4" s="128"/>
      <c r="BAE4" s="128"/>
      <c r="BAF4" s="128"/>
      <c r="BAG4" s="128"/>
      <c r="BAH4" s="128"/>
      <c r="BAI4" s="128"/>
      <c r="BAJ4" s="128"/>
      <c r="BAK4" s="128"/>
      <c r="BAL4" s="129"/>
      <c r="BAM4" s="48" t="s">
        <v>51</v>
      </c>
      <c r="BAN4" s="127" t="s">
        <v>58</v>
      </c>
      <c r="BAO4" s="128"/>
      <c r="BAP4" s="128"/>
      <c r="BAQ4" s="128"/>
      <c r="BAR4" s="128"/>
      <c r="BAS4" s="128"/>
      <c r="BAT4" s="128"/>
      <c r="BAU4" s="128"/>
      <c r="BAV4" s="128"/>
      <c r="BAW4" s="128"/>
      <c r="BAX4" s="128"/>
      <c r="BAY4" s="128"/>
      <c r="BAZ4" s="128"/>
      <c r="BBA4" s="128"/>
      <c r="BBB4" s="128"/>
      <c r="BBC4" s="128"/>
      <c r="BBD4" s="128"/>
      <c r="BBE4" s="128"/>
      <c r="BBF4" s="128"/>
      <c r="BBG4" s="128"/>
      <c r="BBH4" s="128"/>
      <c r="BBI4" s="128"/>
      <c r="BBJ4" s="128"/>
      <c r="BBK4" s="128"/>
      <c r="BBL4" s="128"/>
      <c r="BBM4" s="128"/>
      <c r="BBN4" s="128"/>
      <c r="BBO4" s="128"/>
      <c r="BBP4" s="128"/>
      <c r="BBQ4" s="128"/>
      <c r="BBR4" s="128"/>
      <c r="BBS4" s="129"/>
      <c r="BBT4" s="48" t="s">
        <v>52</v>
      </c>
      <c r="BBU4" s="127" t="s">
        <v>59</v>
      </c>
      <c r="BBV4" s="128"/>
      <c r="BBW4" s="128"/>
      <c r="BBX4" s="128"/>
      <c r="BBY4" s="128"/>
      <c r="BBZ4" s="128"/>
      <c r="BCA4" s="128"/>
      <c r="BCB4" s="128"/>
      <c r="BCC4" s="128"/>
      <c r="BCD4" s="128"/>
      <c r="BCE4" s="128"/>
      <c r="BCF4" s="128"/>
      <c r="BCG4" s="128"/>
      <c r="BCH4" s="128"/>
      <c r="BCI4" s="128"/>
      <c r="BCJ4" s="128"/>
      <c r="BCK4" s="128"/>
      <c r="BCL4" s="128"/>
      <c r="BCM4" s="128"/>
      <c r="BCN4" s="128"/>
      <c r="BCO4" s="128"/>
      <c r="BCP4" s="128"/>
      <c r="BCQ4" s="128"/>
      <c r="BCR4" s="128"/>
      <c r="BCS4" s="128"/>
      <c r="BCT4" s="128"/>
      <c r="BCU4" s="128"/>
      <c r="BCV4" s="128"/>
      <c r="BCW4" s="128"/>
      <c r="BCX4" s="128"/>
      <c r="BCY4" s="128"/>
      <c r="BCZ4" s="129"/>
      <c r="BDA4" s="48" t="s">
        <v>53</v>
      </c>
      <c r="BDB4" s="127" t="s">
        <v>60</v>
      </c>
      <c r="BDC4" s="128"/>
      <c r="BDD4" s="128"/>
      <c r="BDE4" s="128"/>
      <c r="BDF4" s="128"/>
      <c r="BDG4" s="128"/>
      <c r="BDH4" s="128"/>
      <c r="BDI4" s="128"/>
      <c r="BDJ4" s="128"/>
      <c r="BDK4" s="128"/>
      <c r="BDL4" s="128"/>
      <c r="BDM4" s="128"/>
      <c r="BDN4" s="128"/>
      <c r="BDO4" s="128"/>
      <c r="BDP4" s="128"/>
      <c r="BDQ4" s="128"/>
      <c r="BDR4" s="128"/>
      <c r="BDS4" s="128"/>
      <c r="BDT4" s="128"/>
      <c r="BDU4" s="128"/>
      <c r="BDV4" s="128"/>
      <c r="BDW4" s="128"/>
      <c r="BDX4" s="128"/>
      <c r="BDY4" s="128"/>
      <c r="BDZ4" s="128"/>
      <c r="BEA4" s="128"/>
      <c r="BEB4" s="128"/>
      <c r="BEC4" s="128"/>
      <c r="BED4" s="128"/>
      <c r="BEE4" s="128"/>
      <c r="BEF4" s="128"/>
      <c r="BEG4" s="129"/>
      <c r="BEH4" s="48" t="s">
        <v>54</v>
      </c>
      <c r="BEI4" s="127" t="s">
        <v>61</v>
      </c>
      <c r="BEJ4" s="128"/>
      <c r="BEK4" s="128"/>
      <c r="BEL4" s="128"/>
      <c r="BEM4" s="128"/>
      <c r="BEN4" s="128"/>
      <c r="BEO4" s="128"/>
      <c r="BEP4" s="128"/>
      <c r="BEQ4" s="128"/>
      <c r="BER4" s="128"/>
      <c r="BES4" s="128"/>
      <c r="BET4" s="128"/>
      <c r="BEU4" s="128"/>
      <c r="BEV4" s="128"/>
      <c r="BEW4" s="128"/>
      <c r="BEX4" s="128"/>
      <c r="BEY4" s="128"/>
      <c r="BEZ4" s="128"/>
      <c r="BFA4" s="128"/>
      <c r="BFB4" s="128"/>
      <c r="BFC4" s="128"/>
      <c r="BFD4" s="128"/>
      <c r="BFE4" s="128"/>
      <c r="BFF4" s="128"/>
      <c r="BFG4" s="128"/>
      <c r="BFH4" s="128"/>
      <c r="BFI4" s="128"/>
      <c r="BFJ4" s="128"/>
      <c r="BFK4" s="128"/>
      <c r="BFL4" s="128"/>
      <c r="BFM4" s="128"/>
      <c r="BFN4" s="129"/>
      <c r="BFO4" s="48" t="s">
        <v>55</v>
      </c>
      <c r="BFP4" s="127" t="s">
        <v>62</v>
      </c>
      <c r="BFQ4" s="128"/>
      <c r="BFR4" s="128"/>
      <c r="BFS4" s="128"/>
      <c r="BFT4" s="128"/>
      <c r="BFU4" s="128"/>
      <c r="BFV4" s="128"/>
      <c r="BFW4" s="128"/>
      <c r="BFX4" s="128"/>
      <c r="BFY4" s="128"/>
      <c r="BFZ4" s="128"/>
      <c r="BGA4" s="128"/>
      <c r="BGB4" s="128"/>
      <c r="BGC4" s="128"/>
      <c r="BGD4" s="128"/>
      <c r="BGE4" s="128"/>
      <c r="BGF4" s="128"/>
      <c r="BGG4" s="128"/>
      <c r="BGH4" s="128"/>
      <c r="BGI4" s="128"/>
      <c r="BGJ4" s="128"/>
      <c r="BGK4" s="128"/>
      <c r="BGL4" s="128"/>
      <c r="BGM4" s="128"/>
      <c r="BGN4" s="128"/>
      <c r="BGO4" s="128"/>
      <c r="BGP4" s="128"/>
      <c r="BGQ4" s="128"/>
      <c r="BGR4" s="128"/>
      <c r="BGS4" s="128"/>
      <c r="BGT4" s="128"/>
      <c r="BGU4" s="129"/>
      <c r="BGV4" s="48" t="s">
        <v>56</v>
      </c>
      <c r="BGW4" s="127" t="s">
        <v>63</v>
      </c>
      <c r="BGX4" s="128"/>
      <c r="BGY4" s="128"/>
      <c r="BGZ4" s="128"/>
      <c r="BHA4" s="128"/>
      <c r="BHB4" s="128"/>
      <c r="BHC4" s="128"/>
      <c r="BHD4" s="128"/>
      <c r="BHE4" s="128"/>
      <c r="BHF4" s="128"/>
      <c r="BHG4" s="128"/>
      <c r="BHH4" s="128"/>
      <c r="BHI4" s="128"/>
      <c r="BHJ4" s="128"/>
      <c r="BHK4" s="128"/>
      <c r="BHL4" s="128"/>
      <c r="BHM4" s="128"/>
      <c r="BHN4" s="128"/>
      <c r="BHO4" s="128"/>
      <c r="BHP4" s="128"/>
      <c r="BHQ4" s="128"/>
      <c r="BHR4" s="128"/>
      <c r="BHS4" s="128"/>
      <c r="BHT4" s="128"/>
      <c r="BHU4" s="128"/>
      <c r="BHV4" s="128"/>
      <c r="BHW4" s="128"/>
      <c r="BHX4" s="128"/>
      <c r="BHY4" s="128"/>
      <c r="BHZ4" s="128"/>
      <c r="BIA4" s="128"/>
      <c r="BIB4" s="129"/>
      <c r="BIC4" s="48" t="s">
        <v>57</v>
      </c>
      <c r="BID4" s="39">
        <f>AUD3</f>
        <v>2022</v>
      </c>
    </row>
    <row r="5" spans="1:1590" ht="14.45" x14ac:dyDescent="0.3">
      <c r="B5" s="3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3">
        <v>10</v>
      </c>
      <c r="L5" s="3">
        <v>11</v>
      </c>
      <c r="M5" s="3">
        <v>12</v>
      </c>
      <c r="N5" s="3">
        <v>13</v>
      </c>
      <c r="O5" s="3">
        <v>14</v>
      </c>
      <c r="P5" s="3">
        <v>15</v>
      </c>
      <c r="Q5" s="3">
        <v>16</v>
      </c>
      <c r="R5" s="3">
        <v>17</v>
      </c>
      <c r="S5" s="3">
        <v>18</v>
      </c>
      <c r="T5" s="3">
        <v>19</v>
      </c>
      <c r="U5" s="3">
        <v>20</v>
      </c>
      <c r="V5" s="3">
        <v>21</v>
      </c>
      <c r="W5" s="3">
        <v>22</v>
      </c>
      <c r="X5" s="3">
        <v>23</v>
      </c>
      <c r="Y5" s="3">
        <v>24</v>
      </c>
      <c r="Z5" s="3">
        <v>25</v>
      </c>
      <c r="AA5" s="3">
        <v>26</v>
      </c>
      <c r="AB5" s="3">
        <v>27</v>
      </c>
      <c r="AC5" s="3">
        <v>28</v>
      </c>
      <c r="AD5" s="3">
        <v>29</v>
      </c>
      <c r="AE5" s="3">
        <v>30</v>
      </c>
      <c r="AF5" s="3">
        <v>31</v>
      </c>
      <c r="AG5" s="3">
        <v>32</v>
      </c>
      <c r="AH5" s="3"/>
      <c r="AI5" s="56"/>
      <c r="AJ5" s="30">
        <v>1</v>
      </c>
      <c r="AK5" s="30">
        <v>2</v>
      </c>
      <c r="AL5" s="30">
        <v>3</v>
      </c>
      <c r="AM5" s="30">
        <v>4</v>
      </c>
      <c r="AN5" s="30">
        <v>5</v>
      </c>
      <c r="AO5" s="30">
        <v>6</v>
      </c>
      <c r="AP5" s="30">
        <v>7</v>
      </c>
      <c r="AQ5" s="30">
        <v>8</v>
      </c>
      <c r="AR5" s="30">
        <v>9</v>
      </c>
      <c r="AS5" s="30">
        <v>10</v>
      </c>
      <c r="AT5" s="30">
        <v>11</v>
      </c>
      <c r="AU5" s="30">
        <v>12</v>
      </c>
      <c r="AV5" s="30">
        <v>13</v>
      </c>
      <c r="AW5" s="30">
        <v>14</v>
      </c>
      <c r="AX5" s="30">
        <v>15</v>
      </c>
      <c r="AY5" s="30">
        <v>16</v>
      </c>
      <c r="AZ5" s="30">
        <v>17</v>
      </c>
      <c r="BA5" s="30">
        <v>18</v>
      </c>
      <c r="BB5" s="30">
        <v>19</v>
      </c>
      <c r="BC5" s="30">
        <v>20</v>
      </c>
      <c r="BD5" s="30">
        <v>21</v>
      </c>
      <c r="BE5" s="30">
        <v>22</v>
      </c>
      <c r="BF5" s="30">
        <v>23</v>
      </c>
      <c r="BG5" s="30">
        <v>24</v>
      </c>
      <c r="BH5" s="30">
        <v>25</v>
      </c>
      <c r="BI5" s="30">
        <v>26</v>
      </c>
      <c r="BJ5" s="30">
        <v>27</v>
      </c>
      <c r="BK5" s="30">
        <v>28</v>
      </c>
      <c r="BL5" s="30">
        <v>29</v>
      </c>
      <c r="BM5" s="30">
        <v>30</v>
      </c>
      <c r="BN5" s="30">
        <v>31</v>
      </c>
      <c r="BO5" s="30">
        <v>32</v>
      </c>
      <c r="BP5" s="56"/>
      <c r="BQ5" s="30">
        <v>1</v>
      </c>
      <c r="BR5" s="30">
        <v>2</v>
      </c>
      <c r="BS5" s="30">
        <v>3</v>
      </c>
      <c r="BT5" s="30">
        <v>4</v>
      </c>
      <c r="BU5" s="30">
        <v>5</v>
      </c>
      <c r="BV5" s="30">
        <v>6</v>
      </c>
      <c r="BW5" s="30">
        <v>7</v>
      </c>
      <c r="BX5" s="30">
        <v>8</v>
      </c>
      <c r="BY5" s="30">
        <v>9</v>
      </c>
      <c r="BZ5" s="30">
        <v>10</v>
      </c>
      <c r="CA5" s="30">
        <v>11</v>
      </c>
      <c r="CB5" s="30">
        <v>12</v>
      </c>
      <c r="CC5" s="30">
        <v>13</v>
      </c>
      <c r="CD5" s="30">
        <v>14</v>
      </c>
      <c r="CE5" s="30">
        <v>15</v>
      </c>
      <c r="CF5" s="30">
        <v>16</v>
      </c>
      <c r="CG5" s="30">
        <v>17</v>
      </c>
      <c r="CH5" s="30">
        <v>18</v>
      </c>
      <c r="CI5" s="30">
        <v>19</v>
      </c>
      <c r="CJ5" s="30">
        <v>20</v>
      </c>
      <c r="CK5" s="30">
        <v>21</v>
      </c>
      <c r="CL5" s="30">
        <v>22</v>
      </c>
      <c r="CM5" s="30">
        <v>23</v>
      </c>
      <c r="CN5" s="30">
        <v>24</v>
      </c>
      <c r="CO5" s="30">
        <v>25</v>
      </c>
      <c r="CP5" s="30">
        <v>26</v>
      </c>
      <c r="CQ5" s="30">
        <v>27</v>
      </c>
      <c r="CR5" s="30">
        <v>28</v>
      </c>
      <c r="CS5" s="30">
        <v>29</v>
      </c>
      <c r="CT5" s="30">
        <v>30</v>
      </c>
      <c r="CU5" s="30">
        <v>31</v>
      </c>
      <c r="CV5" s="30">
        <v>32</v>
      </c>
      <c r="CW5" s="56"/>
      <c r="CX5" s="30">
        <v>1</v>
      </c>
      <c r="CY5" s="30">
        <v>2</v>
      </c>
      <c r="CZ5" s="30">
        <v>3</v>
      </c>
      <c r="DA5" s="30">
        <v>4</v>
      </c>
      <c r="DB5" s="30">
        <v>5</v>
      </c>
      <c r="DC5" s="30">
        <v>6</v>
      </c>
      <c r="DD5" s="30">
        <v>7</v>
      </c>
      <c r="DE5" s="30">
        <v>8</v>
      </c>
      <c r="DF5" s="30">
        <v>9</v>
      </c>
      <c r="DG5" s="30">
        <v>10</v>
      </c>
      <c r="DH5" s="30">
        <v>11</v>
      </c>
      <c r="DI5" s="30">
        <v>12</v>
      </c>
      <c r="DJ5" s="30">
        <v>13</v>
      </c>
      <c r="DK5" s="30">
        <v>14</v>
      </c>
      <c r="DL5" s="30">
        <v>15</v>
      </c>
      <c r="DM5" s="30">
        <v>16</v>
      </c>
      <c r="DN5" s="30">
        <v>17</v>
      </c>
      <c r="DO5" s="30">
        <v>18</v>
      </c>
      <c r="DP5" s="30">
        <v>19</v>
      </c>
      <c r="DQ5" s="30">
        <v>20</v>
      </c>
      <c r="DR5" s="30">
        <v>21</v>
      </c>
      <c r="DS5" s="30">
        <v>22</v>
      </c>
      <c r="DT5" s="30">
        <v>23</v>
      </c>
      <c r="DU5" s="30">
        <v>24</v>
      </c>
      <c r="DV5" s="30">
        <v>25</v>
      </c>
      <c r="DW5" s="30">
        <v>26</v>
      </c>
      <c r="DX5" s="30">
        <v>27</v>
      </c>
      <c r="DY5" s="30">
        <v>28</v>
      </c>
      <c r="DZ5" s="30">
        <v>29</v>
      </c>
      <c r="EA5" s="30">
        <v>30</v>
      </c>
      <c r="EB5" s="30">
        <v>31</v>
      </c>
      <c r="EC5" s="30">
        <v>32</v>
      </c>
      <c r="ED5" s="56"/>
      <c r="EE5" s="30">
        <v>1</v>
      </c>
      <c r="EF5" s="30">
        <v>2</v>
      </c>
      <c r="EG5" s="30">
        <v>3</v>
      </c>
      <c r="EH5" s="30">
        <v>4</v>
      </c>
      <c r="EI5" s="30">
        <v>5</v>
      </c>
      <c r="EJ5" s="30">
        <v>6</v>
      </c>
      <c r="EK5" s="30">
        <v>7</v>
      </c>
      <c r="EL5" s="30">
        <v>8</v>
      </c>
      <c r="EM5" s="30">
        <v>9</v>
      </c>
      <c r="EN5" s="30">
        <v>10</v>
      </c>
      <c r="EO5" s="30">
        <v>11</v>
      </c>
      <c r="EP5" s="30">
        <v>12</v>
      </c>
      <c r="EQ5" s="30">
        <v>13</v>
      </c>
      <c r="ER5" s="30">
        <v>14</v>
      </c>
      <c r="ES5" s="30">
        <v>15</v>
      </c>
      <c r="ET5" s="30">
        <v>16</v>
      </c>
      <c r="EU5" s="30">
        <v>17</v>
      </c>
      <c r="EV5" s="30">
        <v>18</v>
      </c>
      <c r="EW5" s="30">
        <v>19</v>
      </c>
      <c r="EX5" s="30">
        <v>20</v>
      </c>
      <c r="EY5" s="30">
        <v>21</v>
      </c>
      <c r="EZ5" s="30">
        <v>22</v>
      </c>
      <c r="FA5" s="30">
        <v>23</v>
      </c>
      <c r="FB5" s="30">
        <v>24</v>
      </c>
      <c r="FC5" s="30">
        <v>25</v>
      </c>
      <c r="FD5" s="30">
        <v>26</v>
      </c>
      <c r="FE5" s="30">
        <v>27</v>
      </c>
      <c r="FF5" s="30">
        <v>28</v>
      </c>
      <c r="FG5" s="30">
        <v>29</v>
      </c>
      <c r="FH5" s="30">
        <v>30</v>
      </c>
      <c r="FI5" s="30">
        <v>31</v>
      </c>
      <c r="FJ5" s="30">
        <v>32</v>
      </c>
      <c r="FK5" s="56"/>
      <c r="FL5" s="30">
        <v>1</v>
      </c>
      <c r="FM5" s="30">
        <v>2</v>
      </c>
      <c r="FN5" s="30">
        <v>3</v>
      </c>
      <c r="FO5" s="30">
        <v>4</v>
      </c>
      <c r="FP5" s="30">
        <v>5</v>
      </c>
      <c r="FQ5" s="30">
        <v>6</v>
      </c>
      <c r="FR5" s="30">
        <v>7</v>
      </c>
      <c r="FS5" s="30">
        <v>8</v>
      </c>
      <c r="FT5" s="30">
        <v>9</v>
      </c>
      <c r="FU5" s="30">
        <v>10</v>
      </c>
      <c r="FV5" s="30">
        <v>11</v>
      </c>
      <c r="FW5" s="30">
        <v>12</v>
      </c>
      <c r="FX5" s="30">
        <v>13</v>
      </c>
      <c r="FY5" s="30">
        <v>14</v>
      </c>
      <c r="FZ5" s="30">
        <v>15</v>
      </c>
      <c r="GA5" s="30">
        <v>16</v>
      </c>
      <c r="GB5" s="30">
        <v>17</v>
      </c>
      <c r="GC5" s="30">
        <v>18</v>
      </c>
      <c r="GD5" s="30">
        <v>19</v>
      </c>
      <c r="GE5" s="30">
        <v>20</v>
      </c>
      <c r="GF5" s="30">
        <v>21</v>
      </c>
      <c r="GG5" s="30">
        <v>22</v>
      </c>
      <c r="GH5" s="30">
        <v>23</v>
      </c>
      <c r="GI5" s="30">
        <v>24</v>
      </c>
      <c r="GJ5" s="30">
        <v>25</v>
      </c>
      <c r="GK5" s="30">
        <v>26</v>
      </c>
      <c r="GL5" s="30">
        <v>27</v>
      </c>
      <c r="GM5" s="30">
        <v>28</v>
      </c>
      <c r="GN5" s="30">
        <v>29</v>
      </c>
      <c r="GO5" s="30">
        <v>30</v>
      </c>
      <c r="GP5" s="30">
        <v>31</v>
      </c>
      <c r="GQ5" s="30">
        <v>32</v>
      </c>
      <c r="GR5" s="56"/>
      <c r="GS5" s="30">
        <v>1</v>
      </c>
      <c r="GT5" s="30">
        <v>2</v>
      </c>
      <c r="GU5" s="30">
        <v>3</v>
      </c>
      <c r="GV5" s="30">
        <v>4</v>
      </c>
      <c r="GW5" s="30">
        <v>5</v>
      </c>
      <c r="GX5" s="30">
        <v>6</v>
      </c>
      <c r="GY5" s="30">
        <v>7</v>
      </c>
      <c r="GZ5" s="30">
        <v>8</v>
      </c>
      <c r="HA5" s="30">
        <v>9</v>
      </c>
      <c r="HB5" s="30">
        <v>10</v>
      </c>
      <c r="HC5" s="30">
        <v>11</v>
      </c>
      <c r="HD5" s="30">
        <v>12</v>
      </c>
      <c r="HE5" s="30">
        <v>13</v>
      </c>
      <c r="HF5" s="30">
        <v>14</v>
      </c>
      <c r="HG5" s="30">
        <v>15</v>
      </c>
      <c r="HH5" s="30">
        <v>16</v>
      </c>
      <c r="HI5" s="30">
        <v>17</v>
      </c>
      <c r="HJ5" s="30">
        <v>18</v>
      </c>
      <c r="HK5" s="30">
        <v>19</v>
      </c>
      <c r="HL5" s="30">
        <v>20</v>
      </c>
      <c r="HM5" s="30">
        <v>21</v>
      </c>
      <c r="HN5" s="30">
        <v>22</v>
      </c>
      <c r="HO5" s="30">
        <v>23</v>
      </c>
      <c r="HP5" s="30">
        <v>24</v>
      </c>
      <c r="HQ5" s="30">
        <v>25</v>
      </c>
      <c r="HR5" s="30">
        <v>26</v>
      </c>
      <c r="HS5" s="30">
        <v>27</v>
      </c>
      <c r="HT5" s="30">
        <v>28</v>
      </c>
      <c r="HU5" s="30">
        <v>29</v>
      </c>
      <c r="HV5" s="30">
        <v>30</v>
      </c>
      <c r="HW5" s="30">
        <v>31</v>
      </c>
      <c r="HX5" s="30">
        <v>32</v>
      </c>
      <c r="HY5" s="56"/>
      <c r="HZ5" s="30">
        <v>1</v>
      </c>
      <c r="IA5" s="30">
        <v>2</v>
      </c>
      <c r="IB5" s="30">
        <v>3</v>
      </c>
      <c r="IC5" s="30">
        <v>4</v>
      </c>
      <c r="ID5" s="30">
        <v>5</v>
      </c>
      <c r="IE5" s="30">
        <v>6</v>
      </c>
      <c r="IF5" s="30">
        <v>7</v>
      </c>
      <c r="IG5" s="30">
        <v>8</v>
      </c>
      <c r="IH5" s="30">
        <v>9</v>
      </c>
      <c r="II5" s="30">
        <v>10</v>
      </c>
      <c r="IJ5" s="30">
        <v>11</v>
      </c>
      <c r="IK5" s="30">
        <v>12</v>
      </c>
      <c r="IL5" s="30">
        <v>13</v>
      </c>
      <c r="IM5" s="30">
        <v>14</v>
      </c>
      <c r="IN5" s="30">
        <v>15</v>
      </c>
      <c r="IO5" s="30">
        <v>16</v>
      </c>
      <c r="IP5" s="30">
        <v>17</v>
      </c>
      <c r="IQ5" s="30">
        <v>18</v>
      </c>
      <c r="IR5" s="30">
        <v>19</v>
      </c>
      <c r="IS5" s="30">
        <v>20</v>
      </c>
      <c r="IT5" s="30">
        <v>21</v>
      </c>
      <c r="IU5" s="30">
        <v>22</v>
      </c>
      <c r="IV5" s="30">
        <v>23</v>
      </c>
      <c r="IW5" s="30">
        <v>24</v>
      </c>
      <c r="IX5" s="30">
        <v>25</v>
      </c>
      <c r="IY5" s="30">
        <v>26</v>
      </c>
      <c r="IZ5" s="30">
        <v>27</v>
      </c>
      <c r="JA5" s="30">
        <v>28</v>
      </c>
      <c r="JB5" s="30">
        <v>29</v>
      </c>
      <c r="JC5" s="30">
        <v>30</v>
      </c>
      <c r="JD5" s="30">
        <v>31</v>
      </c>
      <c r="JE5" s="30">
        <v>32</v>
      </c>
      <c r="JF5" s="56"/>
      <c r="JG5" s="30">
        <v>1</v>
      </c>
      <c r="JH5" s="30">
        <v>2</v>
      </c>
      <c r="JI5" s="30">
        <v>3</v>
      </c>
      <c r="JJ5" s="30">
        <v>4</v>
      </c>
      <c r="JK5" s="30">
        <v>5</v>
      </c>
      <c r="JL5" s="30">
        <v>6</v>
      </c>
      <c r="JM5" s="30">
        <v>7</v>
      </c>
      <c r="JN5" s="30">
        <v>8</v>
      </c>
      <c r="JO5" s="30">
        <v>9</v>
      </c>
      <c r="JP5" s="30">
        <v>10</v>
      </c>
      <c r="JQ5" s="30">
        <v>11</v>
      </c>
      <c r="JR5" s="30">
        <v>12</v>
      </c>
      <c r="JS5" s="30">
        <v>13</v>
      </c>
      <c r="JT5" s="30">
        <v>14</v>
      </c>
      <c r="JU5" s="30">
        <v>15</v>
      </c>
      <c r="JV5" s="30">
        <v>16</v>
      </c>
      <c r="JW5" s="30">
        <v>17</v>
      </c>
      <c r="JX5" s="30">
        <v>18</v>
      </c>
      <c r="JY5" s="30">
        <v>19</v>
      </c>
      <c r="JZ5" s="30">
        <v>20</v>
      </c>
      <c r="KA5" s="30">
        <v>21</v>
      </c>
      <c r="KB5" s="30">
        <v>22</v>
      </c>
      <c r="KC5" s="30">
        <v>23</v>
      </c>
      <c r="KD5" s="30">
        <v>24</v>
      </c>
      <c r="KE5" s="30">
        <v>25</v>
      </c>
      <c r="KF5" s="30">
        <v>26</v>
      </c>
      <c r="KG5" s="30">
        <v>27</v>
      </c>
      <c r="KH5" s="30">
        <v>28</v>
      </c>
      <c r="KI5" s="30">
        <v>29</v>
      </c>
      <c r="KJ5" s="30">
        <v>30</v>
      </c>
      <c r="KK5" s="30">
        <v>31</v>
      </c>
      <c r="KL5" s="30">
        <v>32</v>
      </c>
      <c r="KM5" s="56"/>
      <c r="KN5" s="30">
        <v>1</v>
      </c>
      <c r="KO5" s="30">
        <v>2</v>
      </c>
      <c r="KP5" s="30">
        <v>3</v>
      </c>
      <c r="KQ5" s="30">
        <v>4</v>
      </c>
      <c r="KR5" s="30">
        <v>5</v>
      </c>
      <c r="KS5" s="30">
        <v>6</v>
      </c>
      <c r="KT5" s="30">
        <v>7</v>
      </c>
      <c r="KU5" s="30">
        <v>8</v>
      </c>
      <c r="KV5" s="30">
        <v>9</v>
      </c>
      <c r="KW5" s="30">
        <v>10</v>
      </c>
      <c r="KX5" s="30">
        <v>11</v>
      </c>
      <c r="KY5" s="30">
        <v>12</v>
      </c>
      <c r="KZ5" s="30">
        <v>13</v>
      </c>
      <c r="LA5" s="30">
        <v>14</v>
      </c>
      <c r="LB5" s="30">
        <v>15</v>
      </c>
      <c r="LC5" s="30">
        <v>16</v>
      </c>
      <c r="LD5" s="30">
        <v>17</v>
      </c>
      <c r="LE5" s="30">
        <v>18</v>
      </c>
      <c r="LF5" s="30">
        <v>19</v>
      </c>
      <c r="LG5" s="30">
        <v>20</v>
      </c>
      <c r="LH5" s="30">
        <v>21</v>
      </c>
      <c r="LI5" s="30">
        <v>22</v>
      </c>
      <c r="LJ5" s="30">
        <v>23</v>
      </c>
      <c r="LK5" s="30">
        <v>24</v>
      </c>
      <c r="LL5" s="30">
        <v>25</v>
      </c>
      <c r="LM5" s="30">
        <v>26</v>
      </c>
      <c r="LN5" s="30">
        <v>27</v>
      </c>
      <c r="LO5" s="30">
        <v>28</v>
      </c>
      <c r="LP5" s="30">
        <v>29</v>
      </c>
      <c r="LQ5" s="30">
        <v>30</v>
      </c>
      <c r="LR5" s="30">
        <v>31</v>
      </c>
      <c r="LS5" s="30">
        <v>32</v>
      </c>
      <c r="LT5" s="56"/>
      <c r="LU5" s="30">
        <v>1</v>
      </c>
      <c r="LV5" s="30">
        <v>2</v>
      </c>
      <c r="LW5" s="30">
        <v>3</v>
      </c>
      <c r="LX5" s="30">
        <v>4</v>
      </c>
      <c r="LY5" s="30">
        <v>5</v>
      </c>
      <c r="LZ5" s="30">
        <v>6</v>
      </c>
      <c r="MA5" s="30">
        <v>7</v>
      </c>
      <c r="MB5" s="30">
        <v>8</v>
      </c>
      <c r="MC5" s="30">
        <v>9</v>
      </c>
      <c r="MD5" s="30">
        <v>10</v>
      </c>
      <c r="ME5" s="30">
        <v>11</v>
      </c>
      <c r="MF5" s="30">
        <v>12</v>
      </c>
      <c r="MG5" s="30">
        <v>13</v>
      </c>
      <c r="MH5" s="30">
        <v>14</v>
      </c>
      <c r="MI5" s="30">
        <v>15</v>
      </c>
      <c r="MJ5" s="30">
        <v>16</v>
      </c>
      <c r="MK5" s="30">
        <v>17</v>
      </c>
      <c r="ML5" s="30">
        <v>18</v>
      </c>
      <c r="MM5" s="30">
        <v>19</v>
      </c>
      <c r="MN5" s="30">
        <v>20</v>
      </c>
      <c r="MO5" s="30">
        <v>21</v>
      </c>
      <c r="MP5" s="30">
        <v>22</v>
      </c>
      <c r="MQ5" s="30">
        <v>23</v>
      </c>
      <c r="MR5" s="30">
        <v>24</v>
      </c>
      <c r="MS5" s="30">
        <v>25</v>
      </c>
      <c r="MT5" s="30">
        <v>26</v>
      </c>
      <c r="MU5" s="30">
        <v>27</v>
      </c>
      <c r="MV5" s="30">
        <v>28</v>
      </c>
      <c r="MW5" s="30">
        <v>29</v>
      </c>
      <c r="MX5" s="30">
        <v>30</v>
      </c>
      <c r="MY5" s="30">
        <v>31</v>
      </c>
      <c r="MZ5" s="30">
        <v>32</v>
      </c>
      <c r="NA5" s="56"/>
      <c r="NB5" s="30">
        <v>1</v>
      </c>
      <c r="NC5" s="30">
        <v>2</v>
      </c>
      <c r="ND5" s="30">
        <v>3</v>
      </c>
      <c r="NE5" s="30">
        <v>4</v>
      </c>
      <c r="NF5" s="30">
        <v>5</v>
      </c>
      <c r="NG5" s="30">
        <v>6</v>
      </c>
      <c r="NH5" s="30">
        <v>7</v>
      </c>
      <c r="NI5" s="30">
        <v>8</v>
      </c>
      <c r="NJ5" s="30">
        <v>9</v>
      </c>
      <c r="NK5" s="30">
        <v>10</v>
      </c>
      <c r="NL5" s="30">
        <v>11</v>
      </c>
      <c r="NM5" s="30">
        <v>12</v>
      </c>
      <c r="NN5" s="30">
        <v>13</v>
      </c>
      <c r="NO5" s="30">
        <v>14</v>
      </c>
      <c r="NP5" s="30">
        <v>15</v>
      </c>
      <c r="NQ5" s="30">
        <v>16</v>
      </c>
      <c r="NR5" s="30">
        <v>17</v>
      </c>
      <c r="NS5" s="30">
        <v>18</v>
      </c>
      <c r="NT5" s="30">
        <v>19</v>
      </c>
      <c r="NU5" s="30">
        <v>20</v>
      </c>
      <c r="NV5" s="30">
        <v>21</v>
      </c>
      <c r="NW5" s="30">
        <v>22</v>
      </c>
      <c r="NX5" s="30">
        <v>23</v>
      </c>
      <c r="NY5" s="30">
        <v>24</v>
      </c>
      <c r="NZ5" s="30">
        <v>25</v>
      </c>
      <c r="OA5" s="30">
        <v>26</v>
      </c>
      <c r="OB5" s="30">
        <v>27</v>
      </c>
      <c r="OC5" s="30">
        <v>28</v>
      </c>
      <c r="OD5" s="30">
        <v>29</v>
      </c>
      <c r="OE5" s="30">
        <v>30</v>
      </c>
      <c r="OF5" s="30">
        <v>31</v>
      </c>
      <c r="OG5" s="30">
        <v>32</v>
      </c>
      <c r="OH5" s="56"/>
      <c r="OI5" s="57"/>
      <c r="OJ5" s="30">
        <v>1</v>
      </c>
      <c r="OK5" s="30">
        <v>2</v>
      </c>
      <c r="OL5" s="30">
        <v>3</v>
      </c>
      <c r="OM5" s="30">
        <v>4</v>
      </c>
      <c r="ON5" s="30">
        <v>5</v>
      </c>
      <c r="OO5" s="30">
        <v>6</v>
      </c>
      <c r="OP5" s="30">
        <v>7</v>
      </c>
      <c r="OQ5" s="30">
        <v>8</v>
      </c>
      <c r="OR5" s="30">
        <v>9</v>
      </c>
      <c r="OS5" s="30">
        <v>10</v>
      </c>
      <c r="OT5" s="30">
        <v>11</v>
      </c>
      <c r="OU5" s="30">
        <v>12</v>
      </c>
      <c r="OV5" s="30">
        <v>13</v>
      </c>
      <c r="OW5" s="30">
        <v>14</v>
      </c>
      <c r="OX5" s="30">
        <v>15</v>
      </c>
      <c r="OY5" s="30">
        <v>16</v>
      </c>
      <c r="OZ5" s="30">
        <v>17</v>
      </c>
      <c r="PA5" s="30">
        <v>18</v>
      </c>
      <c r="PB5" s="30">
        <v>19</v>
      </c>
      <c r="PC5" s="30">
        <v>20</v>
      </c>
      <c r="PD5" s="30">
        <v>21</v>
      </c>
      <c r="PE5" s="30">
        <v>22</v>
      </c>
      <c r="PF5" s="30">
        <v>23</v>
      </c>
      <c r="PG5" s="30">
        <v>24</v>
      </c>
      <c r="PH5" s="30">
        <v>25</v>
      </c>
      <c r="PI5" s="30">
        <v>26</v>
      </c>
      <c r="PJ5" s="30">
        <v>27</v>
      </c>
      <c r="PK5" s="30">
        <v>28</v>
      </c>
      <c r="PL5" s="30">
        <v>29</v>
      </c>
      <c r="PM5" s="30">
        <v>30</v>
      </c>
      <c r="PN5" s="30">
        <v>31</v>
      </c>
      <c r="PO5" s="30">
        <v>32</v>
      </c>
      <c r="PP5" s="56"/>
      <c r="PQ5" s="30">
        <v>1</v>
      </c>
      <c r="PR5" s="30">
        <v>2</v>
      </c>
      <c r="PS5" s="30">
        <v>3</v>
      </c>
      <c r="PT5" s="30">
        <v>4</v>
      </c>
      <c r="PU5" s="30">
        <v>5</v>
      </c>
      <c r="PV5" s="30">
        <v>6</v>
      </c>
      <c r="PW5" s="30">
        <v>7</v>
      </c>
      <c r="PX5" s="30">
        <v>8</v>
      </c>
      <c r="PY5" s="30">
        <v>9</v>
      </c>
      <c r="PZ5" s="30">
        <v>10</v>
      </c>
      <c r="QA5" s="30">
        <v>11</v>
      </c>
      <c r="QB5" s="30">
        <v>12</v>
      </c>
      <c r="QC5" s="30">
        <v>13</v>
      </c>
      <c r="QD5" s="30">
        <v>14</v>
      </c>
      <c r="QE5" s="30">
        <v>15</v>
      </c>
      <c r="QF5" s="30">
        <v>16</v>
      </c>
      <c r="QG5" s="30">
        <v>17</v>
      </c>
      <c r="QH5" s="30">
        <v>18</v>
      </c>
      <c r="QI5" s="30">
        <v>19</v>
      </c>
      <c r="QJ5" s="30">
        <v>20</v>
      </c>
      <c r="QK5" s="30">
        <v>21</v>
      </c>
      <c r="QL5" s="30">
        <v>22</v>
      </c>
      <c r="QM5" s="30">
        <v>23</v>
      </c>
      <c r="QN5" s="30">
        <v>24</v>
      </c>
      <c r="QO5" s="30">
        <v>25</v>
      </c>
      <c r="QP5" s="30">
        <v>26</v>
      </c>
      <c r="QQ5" s="30">
        <v>27</v>
      </c>
      <c r="QR5" s="30">
        <v>28</v>
      </c>
      <c r="QS5" s="30">
        <v>29</v>
      </c>
      <c r="QT5" s="30">
        <v>30</v>
      </c>
      <c r="QU5" s="30">
        <v>31</v>
      </c>
      <c r="QV5" s="30">
        <v>32</v>
      </c>
      <c r="QW5" s="56"/>
      <c r="QX5" s="30">
        <v>1</v>
      </c>
      <c r="QY5" s="30">
        <v>2</v>
      </c>
      <c r="QZ5" s="30">
        <v>3</v>
      </c>
      <c r="RA5" s="30">
        <v>4</v>
      </c>
      <c r="RB5" s="30">
        <v>5</v>
      </c>
      <c r="RC5" s="30">
        <v>6</v>
      </c>
      <c r="RD5" s="30">
        <v>7</v>
      </c>
      <c r="RE5" s="30">
        <v>8</v>
      </c>
      <c r="RF5" s="30">
        <v>9</v>
      </c>
      <c r="RG5" s="30">
        <v>10</v>
      </c>
      <c r="RH5" s="30">
        <v>11</v>
      </c>
      <c r="RI5" s="30">
        <v>12</v>
      </c>
      <c r="RJ5" s="30">
        <v>13</v>
      </c>
      <c r="RK5" s="30">
        <v>14</v>
      </c>
      <c r="RL5" s="30">
        <v>15</v>
      </c>
      <c r="RM5" s="30">
        <v>16</v>
      </c>
      <c r="RN5" s="30">
        <v>17</v>
      </c>
      <c r="RO5" s="30">
        <v>18</v>
      </c>
      <c r="RP5" s="30">
        <v>19</v>
      </c>
      <c r="RQ5" s="30">
        <v>20</v>
      </c>
      <c r="RR5" s="30">
        <v>21</v>
      </c>
      <c r="RS5" s="30">
        <v>22</v>
      </c>
      <c r="RT5" s="30">
        <v>23</v>
      </c>
      <c r="RU5" s="30">
        <v>24</v>
      </c>
      <c r="RV5" s="30">
        <v>25</v>
      </c>
      <c r="RW5" s="30">
        <v>26</v>
      </c>
      <c r="RX5" s="30">
        <v>27</v>
      </c>
      <c r="RY5" s="30">
        <v>28</v>
      </c>
      <c r="RZ5" s="30">
        <v>29</v>
      </c>
      <c r="SA5" s="30">
        <v>30</v>
      </c>
      <c r="SB5" s="30">
        <v>31</v>
      </c>
      <c r="SC5" s="30">
        <v>32</v>
      </c>
      <c r="SD5" s="56"/>
      <c r="SE5" s="30">
        <v>1</v>
      </c>
      <c r="SF5" s="30">
        <v>2</v>
      </c>
      <c r="SG5" s="30">
        <v>3</v>
      </c>
      <c r="SH5" s="30">
        <v>4</v>
      </c>
      <c r="SI5" s="30">
        <v>5</v>
      </c>
      <c r="SJ5" s="30">
        <v>6</v>
      </c>
      <c r="SK5" s="30">
        <v>7</v>
      </c>
      <c r="SL5" s="30">
        <v>8</v>
      </c>
      <c r="SM5" s="30">
        <v>9</v>
      </c>
      <c r="SN5" s="30">
        <v>10</v>
      </c>
      <c r="SO5" s="30">
        <v>11</v>
      </c>
      <c r="SP5" s="30">
        <v>12</v>
      </c>
      <c r="SQ5" s="30">
        <v>13</v>
      </c>
      <c r="SR5" s="30">
        <v>14</v>
      </c>
      <c r="SS5" s="30">
        <v>15</v>
      </c>
      <c r="ST5" s="30">
        <v>16</v>
      </c>
      <c r="SU5" s="30">
        <v>17</v>
      </c>
      <c r="SV5" s="30">
        <v>18</v>
      </c>
      <c r="SW5" s="30">
        <v>19</v>
      </c>
      <c r="SX5" s="30">
        <v>20</v>
      </c>
      <c r="SY5" s="30">
        <v>21</v>
      </c>
      <c r="SZ5" s="30">
        <v>22</v>
      </c>
      <c r="TA5" s="30">
        <v>23</v>
      </c>
      <c r="TB5" s="30">
        <v>24</v>
      </c>
      <c r="TC5" s="30">
        <v>25</v>
      </c>
      <c r="TD5" s="30">
        <v>26</v>
      </c>
      <c r="TE5" s="30">
        <v>27</v>
      </c>
      <c r="TF5" s="30">
        <v>28</v>
      </c>
      <c r="TG5" s="30">
        <v>29</v>
      </c>
      <c r="TH5" s="30">
        <v>30</v>
      </c>
      <c r="TI5" s="30">
        <v>31</v>
      </c>
      <c r="TJ5" s="30">
        <v>32</v>
      </c>
      <c r="TK5" s="56"/>
      <c r="TL5" s="30">
        <v>1</v>
      </c>
      <c r="TM5" s="30">
        <v>2</v>
      </c>
      <c r="TN5" s="30">
        <v>3</v>
      </c>
      <c r="TO5" s="30">
        <v>4</v>
      </c>
      <c r="TP5" s="30">
        <v>5</v>
      </c>
      <c r="TQ5" s="30">
        <v>6</v>
      </c>
      <c r="TR5" s="30">
        <v>7</v>
      </c>
      <c r="TS5" s="30">
        <v>8</v>
      </c>
      <c r="TT5" s="30">
        <v>9</v>
      </c>
      <c r="TU5" s="30">
        <v>10</v>
      </c>
      <c r="TV5" s="30">
        <v>11</v>
      </c>
      <c r="TW5" s="30">
        <v>12</v>
      </c>
      <c r="TX5" s="30">
        <v>13</v>
      </c>
      <c r="TY5" s="30">
        <v>14</v>
      </c>
      <c r="TZ5" s="30">
        <v>15</v>
      </c>
      <c r="UA5" s="30">
        <v>16</v>
      </c>
      <c r="UB5" s="30">
        <v>17</v>
      </c>
      <c r="UC5" s="30">
        <v>18</v>
      </c>
      <c r="UD5" s="30">
        <v>19</v>
      </c>
      <c r="UE5" s="30">
        <v>20</v>
      </c>
      <c r="UF5" s="30">
        <v>21</v>
      </c>
      <c r="UG5" s="30">
        <v>22</v>
      </c>
      <c r="UH5" s="30">
        <v>23</v>
      </c>
      <c r="UI5" s="30">
        <v>24</v>
      </c>
      <c r="UJ5" s="30">
        <v>25</v>
      </c>
      <c r="UK5" s="30">
        <v>26</v>
      </c>
      <c r="UL5" s="30">
        <v>27</v>
      </c>
      <c r="UM5" s="30">
        <v>28</v>
      </c>
      <c r="UN5" s="30">
        <v>29</v>
      </c>
      <c r="UO5" s="30">
        <v>30</v>
      </c>
      <c r="UP5" s="30">
        <v>31</v>
      </c>
      <c r="UQ5" s="30">
        <v>32</v>
      </c>
      <c r="UR5" s="56"/>
      <c r="US5" s="30">
        <v>1</v>
      </c>
      <c r="UT5" s="30">
        <v>2</v>
      </c>
      <c r="UU5" s="30">
        <v>3</v>
      </c>
      <c r="UV5" s="30">
        <v>4</v>
      </c>
      <c r="UW5" s="30">
        <v>5</v>
      </c>
      <c r="UX5" s="30">
        <v>6</v>
      </c>
      <c r="UY5" s="30">
        <v>7</v>
      </c>
      <c r="UZ5" s="30">
        <v>8</v>
      </c>
      <c r="VA5" s="30">
        <v>9</v>
      </c>
      <c r="VB5" s="30">
        <v>10</v>
      </c>
      <c r="VC5" s="30">
        <v>11</v>
      </c>
      <c r="VD5" s="30">
        <v>12</v>
      </c>
      <c r="VE5" s="30">
        <v>13</v>
      </c>
      <c r="VF5" s="30">
        <v>14</v>
      </c>
      <c r="VG5" s="30">
        <v>15</v>
      </c>
      <c r="VH5" s="30">
        <v>16</v>
      </c>
      <c r="VI5" s="30">
        <v>17</v>
      </c>
      <c r="VJ5" s="30">
        <v>18</v>
      </c>
      <c r="VK5" s="30">
        <v>19</v>
      </c>
      <c r="VL5" s="30">
        <v>20</v>
      </c>
      <c r="VM5" s="30">
        <v>21</v>
      </c>
      <c r="VN5" s="30">
        <v>22</v>
      </c>
      <c r="VO5" s="30">
        <v>23</v>
      </c>
      <c r="VP5" s="30">
        <v>24</v>
      </c>
      <c r="VQ5" s="30">
        <v>25</v>
      </c>
      <c r="VR5" s="30">
        <v>26</v>
      </c>
      <c r="VS5" s="30">
        <v>27</v>
      </c>
      <c r="VT5" s="30">
        <v>28</v>
      </c>
      <c r="VU5" s="30">
        <v>29</v>
      </c>
      <c r="VV5" s="30">
        <v>30</v>
      </c>
      <c r="VW5" s="30">
        <v>31</v>
      </c>
      <c r="VX5" s="30">
        <v>32</v>
      </c>
      <c r="VY5" s="56"/>
      <c r="VZ5" s="30">
        <v>1</v>
      </c>
      <c r="WA5" s="30">
        <v>2</v>
      </c>
      <c r="WB5" s="30">
        <v>3</v>
      </c>
      <c r="WC5" s="30">
        <v>4</v>
      </c>
      <c r="WD5" s="30">
        <v>5</v>
      </c>
      <c r="WE5" s="30">
        <v>6</v>
      </c>
      <c r="WF5" s="30">
        <v>7</v>
      </c>
      <c r="WG5" s="30">
        <v>8</v>
      </c>
      <c r="WH5" s="30">
        <v>9</v>
      </c>
      <c r="WI5" s="30">
        <v>10</v>
      </c>
      <c r="WJ5" s="30">
        <v>11</v>
      </c>
      <c r="WK5" s="30">
        <v>12</v>
      </c>
      <c r="WL5" s="30">
        <v>13</v>
      </c>
      <c r="WM5" s="30">
        <v>14</v>
      </c>
      <c r="WN5" s="30">
        <v>15</v>
      </c>
      <c r="WO5" s="30">
        <v>16</v>
      </c>
      <c r="WP5" s="30">
        <v>17</v>
      </c>
      <c r="WQ5" s="30">
        <v>18</v>
      </c>
      <c r="WR5" s="30">
        <v>19</v>
      </c>
      <c r="WS5" s="30">
        <v>20</v>
      </c>
      <c r="WT5" s="30">
        <v>21</v>
      </c>
      <c r="WU5" s="30">
        <v>22</v>
      </c>
      <c r="WV5" s="30">
        <v>23</v>
      </c>
      <c r="WW5" s="30">
        <v>24</v>
      </c>
      <c r="WX5" s="30">
        <v>25</v>
      </c>
      <c r="WY5" s="30">
        <v>26</v>
      </c>
      <c r="WZ5" s="30">
        <v>27</v>
      </c>
      <c r="XA5" s="30">
        <v>28</v>
      </c>
      <c r="XB5" s="30">
        <v>29</v>
      </c>
      <c r="XC5" s="30">
        <v>30</v>
      </c>
      <c r="XD5" s="30">
        <v>31</v>
      </c>
      <c r="XE5" s="30">
        <v>32</v>
      </c>
      <c r="XF5" s="56"/>
      <c r="XG5" s="30">
        <v>1</v>
      </c>
      <c r="XH5" s="30">
        <v>2</v>
      </c>
      <c r="XI5" s="30">
        <v>3</v>
      </c>
      <c r="XJ5" s="30">
        <v>4</v>
      </c>
      <c r="XK5" s="30">
        <v>5</v>
      </c>
      <c r="XL5" s="30">
        <v>6</v>
      </c>
      <c r="XM5" s="30">
        <v>7</v>
      </c>
      <c r="XN5" s="30">
        <v>8</v>
      </c>
      <c r="XO5" s="30">
        <v>9</v>
      </c>
      <c r="XP5" s="30">
        <v>10</v>
      </c>
      <c r="XQ5" s="30">
        <v>11</v>
      </c>
      <c r="XR5" s="30">
        <v>12</v>
      </c>
      <c r="XS5" s="30">
        <v>13</v>
      </c>
      <c r="XT5" s="30">
        <v>14</v>
      </c>
      <c r="XU5" s="30">
        <v>15</v>
      </c>
      <c r="XV5" s="30">
        <v>16</v>
      </c>
      <c r="XW5" s="30">
        <v>17</v>
      </c>
      <c r="XX5" s="30">
        <v>18</v>
      </c>
      <c r="XY5" s="30">
        <v>19</v>
      </c>
      <c r="XZ5" s="30">
        <v>20</v>
      </c>
      <c r="YA5" s="30">
        <v>21</v>
      </c>
      <c r="YB5" s="30">
        <v>22</v>
      </c>
      <c r="YC5" s="30">
        <v>23</v>
      </c>
      <c r="YD5" s="30">
        <v>24</v>
      </c>
      <c r="YE5" s="30">
        <v>25</v>
      </c>
      <c r="YF5" s="30">
        <v>26</v>
      </c>
      <c r="YG5" s="30">
        <v>27</v>
      </c>
      <c r="YH5" s="30">
        <v>28</v>
      </c>
      <c r="YI5" s="30">
        <v>29</v>
      </c>
      <c r="YJ5" s="30">
        <v>30</v>
      </c>
      <c r="YK5" s="30">
        <v>31</v>
      </c>
      <c r="YL5" s="30">
        <v>32</v>
      </c>
      <c r="YM5" s="56"/>
      <c r="YN5" s="30">
        <v>1</v>
      </c>
      <c r="YO5" s="30">
        <v>2</v>
      </c>
      <c r="YP5" s="30">
        <v>3</v>
      </c>
      <c r="YQ5" s="30">
        <v>4</v>
      </c>
      <c r="YR5" s="30">
        <v>5</v>
      </c>
      <c r="YS5" s="30">
        <v>6</v>
      </c>
      <c r="YT5" s="30">
        <v>7</v>
      </c>
      <c r="YU5" s="30">
        <v>8</v>
      </c>
      <c r="YV5" s="30">
        <v>9</v>
      </c>
      <c r="YW5" s="30">
        <v>10</v>
      </c>
      <c r="YX5" s="30">
        <v>11</v>
      </c>
      <c r="YY5" s="30">
        <v>12</v>
      </c>
      <c r="YZ5" s="30">
        <v>13</v>
      </c>
      <c r="ZA5" s="30">
        <v>14</v>
      </c>
      <c r="ZB5" s="30">
        <v>15</v>
      </c>
      <c r="ZC5" s="30">
        <v>16</v>
      </c>
      <c r="ZD5" s="30">
        <v>17</v>
      </c>
      <c r="ZE5" s="30">
        <v>18</v>
      </c>
      <c r="ZF5" s="30">
        <v>19</v>
      </c>
      <c r="ZG5" s="30">
        <v>20</v>
      </c>
      <c r="ZH5" s="30">
        <v>21</v>
      </c>
      <c r="ZI5" s="30">
        <v>22</v>
      </c>
      <c r="ZJ5" s="30">
        <v>23</v>
      </c>
      <c r="ZK5" s="30">
        <v>24</v>
      </c>
      <c r="ZL5" s="30">
        <v>25</v>
      </c>
      <c r="ZM5" s="30">
        <v>26</v>
      </c>
      <c r="ZN5" s="30">
        <v>27</v>
      </c>
      <c r="ZO5" s="30">
        <v>28</v>
      </c>
      <c r="ZP5" s="30">
        <v>29</v>
      </c>
      <c r="ZQ5" s="30">
        <v>30</v>
      </c>
      <c r="ZR5" s="30">
        <v>31</v>
      </c>
      <c r="ZS5" s="30">
        <v>32</v>
      </c>
      <c r="ZT5" s="56"/>
      <c r="ZU5" s="30">
        <v>1</v>
      </c>
      <c r="ZV5" s="30">
        <v>2</v>
      </c>
      <c r="ZW5" s="30">
        <v>3</v>
      </c>
      <c r="ZX5" s="30">
        <v>4</v>
      </c>
      <c r="ZY5" s="30">
        <v>5</v>
      </c>
      <c r="ZZ5" s="30">
        <v>6</v>
      </c>
      <c r="AAA5" s="30">
        <v>7</v>
      </c>
      <c r="AAB5" s="30">
        <v>8</v>
      </c>
      <c r="AAC5" s="30">
        <v>9</v>
      </c>
      <c r="AAD5" s="30">
        <v>10</v>
      </c>
      <c r="AAE5" s="30">
        <v>11</v>
      </c>
      <c r="AAF5" s="30">
        <v>12</v>
      </c>
      <c r="AAG5" s="30">
        <v>13</v>
      </c>
      <c r="AAH5" s="30">
        <v>14</v>
      </c>
      <c r="AAI5" s="30">
        <v>15</v>
      </c>
      <c r="AAJ5" s="30">
        <v>16</v>
      </c>
      <c r="AAK5" s="30">
        <v>17</v>
      </c>
      <c r="AAL5" s="30">
        <v>18</v>
      </c>
      <c r="AAM5" s="30">
        <v>19</v>
      </c>
      <c r="AAN5" s="30">
        <v>20</v>
      </c>
      <c r="AAO5" s="30">
        <v>21</v>
      </c>
      <c r="AAP5" s="30">
        <v>22</v>
      </c>
      <c r="AAQ5" s="30">
        <v>23</v>
      </c>
      <c r="AAR5" s="30">
        <v>24</v>
      </c>
      <c r="AAS5" s="30">
        <v>25</v>
      </c>
      <c r="AAT5" s="30">
        <v>26</v>
      </c>
      <c r="AAU5" s="30">
        <v>27</v>
      </c>
      <c r="AAV5" s="30">
        <v>28</v>
      </c>
      <c r="AAW5" s="30">
        <v>29</v>
      </c>
      <c r="AAX5" s="30">
        <v>30</v>
      </c>
      <c r="AAY5" s="30">
        <v>31</v>
      </c>
      <c r="AAZ5" s="30">
        <v>32</v>
      </c>
      <c r="ABA5" s="56"/>
      <c r="ABB5" s="30">
        <v>1</v>
      </c>
      <c r="ABC5" s="30">
        <v>2</v>
      </c>
      <c r="ABD5" s="30">
        <v>3</v>
      </c>
      <c r="ABE5" s="30">
        <v>4</v>
      </c>
      <c r="ABF5" s="30">
        <v>5</v>
      </c>
      <c r="ABG5" s="30">
        <v>6</v>
      </c>
      <c r="ABH5" s="30">
        <v>7</v>
      </c>
      <c r="ABI5" s="30">
        <v>8</v>
      </c>
      <c r="ABJ5" s="30">
        <v>9</v>
      </c>
      <c r="ABK5" s="30">
        <v>10</v>
      </c>
      <c r="ABL5" s="30">
        <v>11</v>
      </c>
      <c r="ABM5" s="30">
        <v>12</v>
      </c>
      <c r="ABN5" s="30">
        <v>13</v>
      </c>
      <c r="ABO5" s="30">
        <v>14</v>
      </c>
      <c r="ABP5" s="30">
        <v>15</v>
      </c>
      <c r="ABQ5" s="30">
        <v>16</v>
      </c>
      <c r="ABR5" s="30">
        <v>17</v>
      </c>
      <c r="ABS5" s="30">
        <v>18</v>
      </c>
      <c r="ABT5" s="30">
        <v>19</v>
      </c>
      <c r="ABU5" s="30">
        <v>20</v>
      </c>
      <c r="ABV5" s="30">
        <v>21</v>
      </c>
      <c r="ABW5" s="30">
        <v>22</v>
      </c>
      <c r="ABX5" s="30">
        <v>23</v>
      </c>
      <c r="ABY5" s="30">
        <v>24</v>
      </c>
      <c r="ABZ5" s="30">
        <v>25</v>
      </c>
      <c r="ACA5" s="30">
        <v>26</v>
      </c>
      <c r="ACB5" s="30">
        <v>27</v>
      </c>
      <c r="ACC5" s="30">
        <v>28</v>
      </c>
      <c r="ACD5" s="30">
        <v>29</v>
      </c>
      <c r="ACE5" s="30">
        <v>30</v>
      </c>
      <c r="ACF5" s="30">
        <v>31</v>
      </c>
      <c r="ACG5" s="30">
        <v>32</v>
      </c>
      <c r="ACH5" s="56"/>
      <c r="ACI5" s="30">
        <v>1</v>
      </c>
      <c r="ACJ5" s="30">
        <v>2</v>
      </c>
      <c r="ACK5" s="30">
        <v>3</v>
      </c>
      <c r="ACL5" s="30">
        <v>4</v>
      </c>
      <c r="ACM5" s="30">
        <v>5</v>
      </c>
      <c r="ACN5" s="30">
        <v>6</v>
      </c>
      <c r="ACO5" s="30">
        <v>7</v>
      </c>
      <c r="ACP5" s="30">
        <v>8</v>
      </c>
      <c r="ACQ5" s="30">
        <v>9</v>
      </c>
      <c r="ACR5" s="30">
        <v>10</v>
      </c>
      <c r="ACS5" s="30">
        <v>11</v>
      </c>
      <c r="ACT5" s="30">
        <v>12</v>
      </c>
      <c r="ACU5" s="30">
        <v>13</v>
      </c>
      <c r="ACV5" s="30">
        <v>14</v>
      </c>
      <c r="ACW5" s="30">
        <v>15</v>
      </c>
      <c r="ACX5" s="30">
        <v>16</v>
      </c>
      <c r="ACY5" s="30">
        <v>17</v>
      </c>
      <c r="ACZ5" s="30">
        <v>18</v>
      </c>
      <c r="ADA5" s="30">
        <v>19</v>
      </c>
      <c r="ADB5" s="30">
        <v>20</v>
      </c>
      <c r="ADC5" s="30">
        <v>21</v>
      </c>
      <c r="ADD5" s="30">
        <v>22</v>
      </c>
      <c r="ADE5" s="30">
        <v>23</v>
      </c>
      <c r="ADF5" s="30">
        <v>24</v>
      </c>
      <c r="ADG5" s="30">
        <v>25</v>
      </c>
      <c r="ADH5" s="30">
        <v>26</v>
      </c>
      <c r="ADI5" s="30">
        <v>27</v>
      </c>
      <c r="ADJ5" s="30">
        <v>28</v>
      </c>
      <c r="ADK5" s="30">
        <v>29</v>
      </c>
      <c r="ADL5" s="30">
        <v>30</v>
      </c>
      <c r="ADM5" s="30">
        <v>31</v>
      </c>
      <c r="ADN5" s="30">
        <v>32</v>
      </c>
      <c r="ADO5" s="56"/>
      <c r="ADP5" s="57"/>
      <c r="ADQ5" s="30">
        <v>1</v>
      </c>
      <c r="ADR5" s="30">
        <v>2</v>
      </c>
      <c r="ADS5" s="30">
        <v>3</v>
      </c>
      <c r="ADT5" s="30">
        <v>4</v>
      </c>
      <c r="ADU5" s="30">
        <v>5</v>
      </c>
      <c r="ADV5" s="30">
        <v>6</v>
      </c>
      <c r="ADW5" s="30">
        <v>7</v>
      </c>
      <c r="ADX5" s="30">
        <v>8</v>
      </c>
      <c r="ADY5" s="30">
        <v>9</v>
      </c>
      <c r="ADZ5" s="30">
        <v>10</v>
      </c>
      <c r="AEA5" s="30">
        <v>11</v>
      </c>
      <c r="AEB5" s="30">
        <v>12</v>
      </c>
      <c r="AEC5" s="30">
        <v>13</v>
      </c>
      <c r="AED5" s="30">
        <v>14</v>
      </c>
      <c r="AEE5" s="30">
        <v>15</v>
      </c>
      <c r="AEF5" s="30">
        <v>16</v>
      </c>
      <c r="AEG5" s="30">
        <v>17</v>
      </c>
      <c r="AEH5" s="30">
        <v>18</v>
      </c>
      <c r="AEI5" s="30">
        <v>19</v>
      </c>
      <c r="AEJ5" s="30">
        <v>20</v>
      </c>
      <c r="AEK5" s="30">
        <v>21</v>
      </c>
      <c r="AEL5" s="30">
        <v>22</v>
      </c>
      <c r="AEM5" s="30">
        <v>23</v>
      </c>
      <c r="AEN5" s="30">
        <v>24</v>
      </c>
      <c r="AEO5" s="30">
        <v>25</v>
      </c>
      <c r="AEP5" s="30">
        <v>26</v>
      </c>
      <c r="AEQ5" s="30">
        <v>27</v>
      </c>
      <c r="AER5" s="30">
        <v>28</v>
      </c>
      <c r="AES5" s="30">
        <v>29</v>
      </c>
      <c r="AET5" s="30">
        <v>30</v>
      </c>
      <c r="AEU5" s="30">
        <v>31</v>
      </c>
      <c r="AEV5" s="30">
        <v>32</v>
      </c>
      <c r="AEW5" s="56"/>
      <c r="AEX5" s="30">
        <v>1</v>
      </c>
      <c r="AEY5" s="30">
        <v>2</v>
      </c>
      <c r="AEZ5" s="30">
        <v>3</v>
      </c>
      <c r="AFA5" s="30">
        <v>4</v>
      </c>
      <c r="AFB5" s="30">
        <v>5</v>
      </c>
      <c r="AFC5" s="30">
        <v>6</v>
      </c>
      <c r="AFD5" s="30">
        <v>7</v>
      </c>
      <c r="AFE5" s="30">
        <v>8</v>
      </c>
      <c r="AFF5" s="30">
        <v>9</v>
      </c>
      <c r="AFG5" s="30">
        <v>10</v>
      </c>
      <c r="AFH5" s="30">
        <v>11</v>
      </c>
      <c r="AFI5" s="30">
        <v>12</v>
      </c>
      <c r="AFJ5" s="30">
        <v>13</v>
      </c>
      <c r="AFK5" s="30">
        <v>14</v>
      </c>
      <c r="AFL5" s="30">
        <v>15</v>
      </c>
      <c r="AFM5" s="30">
        <v>16</v>
      </c>
      <c r="AFN5" s="30">
        <v>17</v>
      </c>
      <c r="AFO5" s="30">
        <v>18</v>
      </c>
      <c r="AFP5" s="30">
        <v>19</v>
      </c>
      <c r="AFQ5" s="30">
        <v>20</v>
      </c>
      <c r="AFR5" s="30">
        <v>21</v>
      </c>
      <c r="AFS5" s="30">
        <v>22</v>
      </c>
      <c r="AFT5" s="30">
        <v>23</v>
      </c>
      <c r="AFU5" s="30">
        <v>24</v>
      </c>
      <c r="AFV5" s="30">
        <v>25</v>
      </c>
      <c r="AFW5" s="30">
        <v>26</v>
      </c>
      <c r="AFX5" s="30">
        <v>27</v>
      </c>
      <c r="AFY5" s="30">
        <v>28</v>
      </c>
      <c r="AFZ5" s="30">
        <v>29</v>
      </c>
      <c r="AGA5" s="30">
        <v>30</v>
      </c>
      <c r="AGB5" s="30">
        <v>31</v>
      </c>
      <c r="AGC5" s="30">
        <v>32</v>
      </c>
      <c r="AGD5" s="56"/>
      <c r="AGE5" s="30">
        <v>1</v>
      </c>
      <c r="AGF5" s="30">
        <v>2</v>
      </c>
      <c r="AGG5" s="30">
        <v>3</v>
      </c>
      <c r="AGH5" s="30">
        <v>4</v>
      </c>
      <c r="AGI5" s="30">
        <v>5</v>
      </c>
      <c r="AGJ5" s="30">
        <v>6</v>
      </c>
      <c r="AGK5" s="30">
        <v>7</v>
      </c>
      <c r="AGL5" s="30">
        <v>8</v>
      </c>
      <c r="AGM5" s="30">
        <v>9</v>
      </c>
      <c r="AGN5" s="30">
        <v>10</v>
      </c>
      <c r="AGO5" s="30">
        <v>11</v>
      </c>
      <c r="AGP5" s="30">
        <v>12</v>
      </c>
      <c r="AGQ5" s="30">
        <v>13</v>
      </c>
      <c r="AGR5" s="30">
        <v>14</v>
      </c>
      <c r="AGS5" s="30">
        <v>15</v>
      </c>
      <c r="AGT5" s="30">
        <v>16</v>
      </c>
      <c r="AGU5" s="30">
        <v>17</v>
      </c>
      <c r="AGV5" s="30">
        <v>18</v>
      </c>
      <c r="AGW5" s="30">
        <v>19</v>
      </c>
      <c r="AGX5" s="30">
        <v>20</v>
      </c>
      <c r="AGY5" s="30">
        <v>21</v>
      </c>
      <c r="AGZ5" s="30">
        <v>22</v>
      </c>
      <c r="AHA5" s="30">
        <v>23</v>
      </c>
      <c r="AHB5" s="30">
        <v>24</v>
      </c>
      <c r="AHC5" s="30">
        <v>25</v>
      </c>
      <c r="AHD5" s="30">
        <v>26</v>
      </c>
      <c r="AHE5" s="30">
        <v>27</v>
      </c>
      <c r="AHF5" s="30">
        <v>28</v>
      </c>
      <c r="AHG5" s="30">
        <v>29</v>
      </c>
      <c r="AHH5" s="30">
        <v>30</v>
      </c>
      <c r="AHI5" s="30">
        <v>31</v>
      </c>
      <c r="AHJ5" s="30">
        <v>32</v>
      </c>
      <c r="AHK5" s="56"/>
      <c r="AHL5" s="30">
        <v>1</v>
      </c>
      <c r="AHM5" s="30">
        <v>2</v>
      </c>
      <c r="AHN5" s="30">
        <v>3</v>
      </c>
      <c r="AHO5" s="30">
        <v>4</v>
      </c>
      <c r="AHP5" s="30">
        <v>5</v>
      </c>
      <c r="AHQ5" s="30">
        <v>6</v>
      </c>
      <c r="AHR5" s="30">
        <v>7</v>
      </c>
      <c r="AHS5" s="30">
        <v>8</v>
      </c>
      <c r="AHT5" s="30">
        <v>9</v>
      </c>
      <c r="AHU5" s="30">
        <v>10</v>
      </c>
      <c r="AHV5" s="30">
        <v>11</v>
      </c>
      <c r="AHW5" s="30">
        <v>12</v>
      </c>
      <c r="AHX5" s="30">
        <v>13</v>
      </c>
      <c r="AHY5" s="30">
        <v>14</v>
      </c>
      <c r="AHZ5" s="30">
        <v>15</v>
      </c>
      <c r="AIA5" s="30">
        <v>16</v>
      </c>
      <c r="AIB5" s="30">
        <v>17</v>
      </c>
      <c r="AIC5" s="30">
        <v>18</v>
      </c>
      <c r="AID5" s="30">
        <v>19</v>
      </c>
      <c r="AIE5" s="30">
        <v>20</v>
      </c>
      <c r="AIF5" s="30">
        <v>21</v>
      </c>
      <c r="AIG5" s="30">
        <v>22</v>
      </c>
      <c r="AIH5" s="30">
        <v>23</v>
      </c>
      <c r="AII5" s="30">
        <v>24</v>
      </c>
      <c r="AIJ5" s="30">
        <v>25</v>
      </c>
      <c r="AIK5" s="30">
        <v>26</v>
      </c>
      <c r="AIL5" s="30">
        <v>27</v>
      </c>
      <c r="AIM5" s="30">
        <v>28</v>
      </c>
      <c r="AIN5" s="30">
        <v>29</v>
      </c>
      <c r="AIO5" s="30">
        <v>30</v>
      </c>
      <c r="AIP5" s="30">
        <v>31</v>
      </c>
      <c r="AIQ5" s="30">
        <v>32</v>
      </c>
      <c r="AIR5" s="56"/>
      <c r="AIS5" s="30">
        <v>1</v>
      </c>
      <c r="AIT5" s="30">
        <v>2</v>
      </c>
      <c r="AIU5" s="30">
        <v>3</v>
      </c>
      <c r="AIV5" s="30">
        <v>4</v>
      </c>
      <c r="AIW5" s="30">
        <v>5</v>
      </c>
      <c r="AIX5" s="30">
        <v>6</v>
      </c>
      <c r="AIY5" s="30">
        <v>7</v>
      </c>
      <c r="AIZ5" s="30">
        <v>8</v>
      </c>
      <c r="AJA5" s="30">
        <v>9</v>
      </c>
      <c r="AJB5" s="30">
        <v>10</v>
      </c>
      <c r="AJC5" s="30">
        <v>11</v>
      </c>
      <c r="AJD5" s="30">
        <v>12</v>
      </c>
      <c r="AJE5" s="30">
        <v>13</v>
      </c>
      <c r="AJF5" s="30">
        <v>14</v>
      </c>
      <c r="AJG5" s="30">
        <v>15</v>
      </c>
      <c r="AJH5" s="30">
        <v>16</v>
      </c>
      <c r="AJI5" s="30">
        <v>17</v>
      </c>
      <c r="AJJ5" s="30">
        <v>18</v>
      </c>
      <c r="AJK5" s="30">
        <v>19</v>
      </c>
      <c r="AJL5" s="30">
        <v>20</v>
      </c>
      <c r="AJM5" s="30">
        <v>21</v>
      </c>
      <c r="AJN5" s="30">
        <v>22</v>
      </c>
      <c r="AJO5" s="30">
        <v>23</v>
      </c>
      <c r="AJP5" s="30">
        <v>24</v>
      </c>
      <c r="AJQ5" s="30">
        <v>25</v>
      </c>
      <c r="AJR5" s="30">
        <v>26</v>
      </c>
      <c r="AJS5" s="30">
        <v>27</v>
      </c>
      <c r="AJT5" s="30">
        <v>28</v>
      </c>
      <c r="AJU5" s="30">
        <v>29</v>
      </c>
      <c r="AJV5" s="30">
        <v>30</v>
      </c>
      <c r="AJW5" s="30">
        <v>31</v>
      </c>
      <c r="AJX5" s="30">
        <v>32</v>
      </c>
      <c r="AJY5" s="56"/>
      <c r="AJZ5" s="30">
        <v>1</v>
      </c>
      <c r="AKA5" s="30">
        <v>2</v>
      </c>
      <c r="AKB5" s="30">
        <v>3</v>
      </c>
      <c r="AKC5" s="30">
        <v>4</v>
      </c>
      <c r="AKD5" s="30">
        <v>5</v>
      </c>
      <c r="AKE5" s="30">
        <v>6</v>
      </c>
      <c r="AKF5" s="30">
        <v>7</v>
      </c>
      <c r="AKG5" s="30">
        <v>8</v>
      </c>
      <c r="AKH5" s="30">
        <v>9</v>
      </c>
      <c r="AKI5" s="30">
        <v>10</v>
      </c>
      <c r="AKJ5" s="30">
        <v>11</v>
      </c>
      <c r="AKK5" s="30">
        <v>12</v>
      </c>
      <c r="AKL5" s="30">
        <v>13</v>
      </c>
      <c r="AKM5" s="30">
        <v>14</v>
      </c>
      <c r="AKN5" s="30">
        <v>15</v>
      </c>
      <c r="AKO5" s="30">
        <v>16</v>
      </c>
      <c r="AKP5" s="30">
        <v>17</v>
      </c>
      <c r="AKQ5" s="30">
        <v>18</v>
      </c>
      <c r="AKR5" s="30">
        <v>19</v>
      </c>
      <c r="AKS5" s="30">
        <v>20</v>
      </c>
      <c r="AKT5" s="30">
        <v>21</v>
      </c>
      <c r="AKU5" s="30">
        <v>22</v>
      </c>
      <c r="AKV5" s="30">
        <v>23</v>
      </c>
      <c r="AKW5" s="30">
        <v>24</v>
      </c>
      <c r="AKX5" s="30">
        <v>25</v>
      </c>
      <c r="AKY5" s="30">
        <v>26</v>
      </c>
      <c r="AKZ5" s="30">
        <v>27</v>
      </c>
      <c r="ALA5" s="30">
        <v>28</v>
      </c>
      <c r="ALB5" s="30">
        <v>29</v>
      </c>
      <c r="ALC5" s="30">
        <v>30</v>
      </c>
      <c r="ALD5" s="30">
        <v>31</v>
      </c>
      <c r="ALE5" s="30">
        <v>32</v>
      </c>
      <c r="ALF5" s="56"/>
      <c r="ALG5" s="30">
        <v>1</v>
      </c>
      <c r="ALH5" s="30">
        <v>2</v>
      </c>
      <c r="ALI5" s="30">
        <v>3</v>
      </c>
      <c r="ALJ5" s="30">
        <v>4</v>
      </c>
      <c r="ALK5" s="30">
        <v>5</v>
      </c>
      <c r="ALL5" s="30">
        <v>6</v>
      </c>
      <c r="ALM5" s="30">
        <v>7</v>
      </c>
      <c r="ALN5" s="30">
        <v>8</v>
      </c>
      <c r="ALO5" s="30">
        <v>9</v>
      </c>
      <c r="ALP5" s="30">
        <v>10</v>
      </c>
      <c r="ALQ5" s="30">
        <v>11</v>
      </c>
      <c r="ALR5" s="30">
        <v>12</v>
      </c>
      <c r="ALS5" s="30">
        <v>13</v>
      </c>
      <c r="ALT5" s="30">
        <v>14</v>
      </c>
      <c r="ALU5" s="30">
        <v>15</v>
      </c>
      <c r="ALV5" s="30">
        <v>16</v>
      </c>
      <c r="ALW5" s="30">
        <v>17</v>
      </c>
      <c r="ALX5" s="30">
        <v>18</v>
      </c>
      <c r="ALY5" s="30">
        <v>19</v>
      </c>
      <c r="ALZ5" s="30">
        <v>20</v>
      </c>
      <c r="AMA5" s="30">
        <v>21</v>
      </c>
      <c r="AMB5" s="30">
        <v>22</v>
      </c>
      <c r="AMC5" s="30">
        <v>23</v>
      </c>
      <c r="AMD5" s="30">
        <v>24</v>
      </c>
      <c r="AME5" s="30">
        <v>25</v>
      </c>
      <c r="AMF5" s="30">
        <v>26</v>
      </c>
      <c r="AMG5" s="30">
        <v>27</v>
      </c>
      <c r="AMH5" s="30">
        <v>28</v>
      </c>
      <c r="AMI5" s="30">
        <v>29</v>
      </c>
      <c r="AMJ5" s="30">
        <v>30</v>
      </c>
      <c r="AMK5" s="30">
        <v>31</v>
      </c>
      <c r="AML5" s="30">
        <v>32</v>
      </c>
      <c r="AMM5" s="56"/>
      <c r="AMN5" s="30">
        <v>1</v>
      </c>
      <c r="AMO5" s="30">
        <v>2</v>
      </c>
      <c r="AMP5" s="30">
        <v>3</v>
      </c>
      <c r="AMQ5" s="30">
        <v>4</v>
      </c>
      <c r="AMR5" s="30">
        <v>5</v>
      </c>
      <c r="AMS5" s="30">
        <v>6</v>
      </c>
      <c r="AMT5" s="30">
        <v>7</v>
      </c>
      <c r="AMU5" s="30">
        <v>8</v>
      </c>
      <c r="AMV5" s="30">
        <v>9</v>
      </c>
      <c r="AMW5" s="30">
        <v>10</v>
      </c>
      <c r="AMX5" s="30">
        <v>11</v>
      </c>
      <c r="AMY5" s="30">
        <v>12</v>
      </c>
      <c r="AMZ5" s="30">
        <v>13</v>
      </c>
      <c r="ANA5" s="30">
        <v>14</v>
      </c>
      <c r="ANB5" s="30">
        <v>15</v>
      </c>
      <c r="ANC5" s="30">
        <v>16</v>
      </c>
      <c r="AND5" s="30">
        <v>17</v>
      </c>
      <c r="ANE5" s="30">
        <v>18</v>
      </c>
      <c r="ANF5" s="30">
        <v>19</v>
      </c>
      <c r="ANG5" s="30">
        <v>20</v>
      </c>
      <c r="ANH5" s="30">
        <v>21</v>
      </c>
      <c r="ANI5" s="30">
        <v>22</v>
      </c>
      <c r="ANJ5" s="30">
        <v>23</v>
      </c>
      <c r="ANK5" s="30">
        <v>24</v>
      </c>
      <c r="ANL5" s="30">
        <v>25</v>
      </c>
      <c r="ANM5" s="30">
        <v>26</v>
      </c>
      <c r="ANN5" s="30">
        <v>27</v>
      </c>
      <c r="ANO5" s="30">
        <v>28</v>
      </c>
      <c r="ANP5" s="30">
        <v>29</v>
      </c>
      <c r="ANQ5" s="30">
        <v>30</v>
      </c>
      <c r="ANR5" s="30">
        <v>31</v>
      </c>
      <c r="ANS5" s="30">
        <v>32</v>
      </c>
      <c r="ANT5" s="56"/>
      <c r="ANU5" s="30">
        <v>1</v>
      </c>
      <c r="ANV5" s="30">
        <v>2</v>
      </c>
      <c r="ANW5" s="30">
        <v>3</v>
      </c>
      <c r="ANX5" s="30">
        <v>4</v>
      </c>
      <c r="ANY5" s="30">
        <v>5</v>
      </c>
      <c r="ANZ5" s="30">
        <v>6</v>
      </c>
      <c r="AOA5" s="30">
        <v>7</v>
      </c>
      <c r="AOB5" s="30">
        <v>8</v>
      </c>
      <c r="AOC5" s="30">
        <v>9</v>
      </c>
      <c r="AOD5" s="30">
        <v>10</v>
      </c>
      <c r="AOE5" s="30">
        <v>11</v>
      </c>
      <c r="AOF5" s="30">
        <v>12</v>
      </c>
      <c r="AOG5" s="30">
        <v>13</v>
      </c>
      <c r="AOH5" s="30">
        <v>14</v>
      </c>
      <c r="AOI5" s="30">
        <v>15</v>
      </c>
      <c r="AOJ5" s="30">
        <v>16</v>
      </c>
      <c r="AOK5" s="30">
        <v>17</v>
      </c>
      <c r="AOL5" s="30">
        <v>18</v>
      </c>
      <c r="AOM5" s="30">
        <v>19</v>
      </c>
      <c r="AON5" s="30">
        <v>20</v>
      </c>
      <c r="AOO5" s="30">
        <v>21</v>
      </c>
      <c r="AOP5" s="30">
        <v>22</v>
      </c>
      <c r="AOQ5" s="30">
        <v>23</v>
      </c>
      <c r="AOR5" s="30">
        <v>24</v>
      </c>
      <c r="AOS5" s="30">
        <v>25</v>
      </c>
      <c r="AOT5" s="30">
        <v>26</v>
      </c>
      <c r="AOU5" s="30">
        <v>27</v>
      </c>
      <c r="AOV5" s="30">
        <v>28</v>
      </c>
      <c r="AOW5" s="30">
        <v>29</v>
      </c>
      <c r="AOX5" s="30">
        <v>30</v>
      </c>
      <c r="AOY5" s="30">
        <v>31</v>
      </c>
      <c r="AOZ5" s="30">
        <v>32</v>
      </c>
      <c r="APA5" s="56"/>
      <c r="APB5" s="30">
        <v>1</v>
      </c>
      <c r="APC5" s="30">
        <v>2</v>
      </c>
      <c r="APD5" s="30">
        <v>3</v>
      </c>
      <c r="APE5" s="30">
        <v>4</v>
      </c>
      <c r="APF5" s="30">
        <v>5</v>
      </c>
      <c r="APG5" s="30">
        <v>6</v>
      </c>
      <c r="APH5" s="30">
        <v>7</v>
      </c>
      <c r="API5" s="30">
        <v>8</v>
      </c>
      <c r="APJ5" s="30">
        <v>9</v>
      </c>
      <c r="APK5" s="30">
        <v>10</v>
      </c>
      <c r="APL5" s="30">
        <v>11</v>
      </c>
      <c r="APM5" s="30">
        <v>12</v>
      </c>
      <c r="APN5" s="30">
        <v>13</v>
      </c>
      <c r="APO5" s="30">
        <v>14</v>
      </c>
      <c r="APP5" s="30">
        <v>15</v>
      </c>
      <c r="APQ5" s="30">
        <v>16</v>
      </c>
      <c r="APR5" s="30">
        <v>17</v>
      </c>
      <c r="APS5" s="30">
        <v>18</v>
      </c>
      <c r="APT5" s="30">
        <v>19</v>
      </c>
      <c r="APU5" s="30">
        <v>20</v>
      </c>
      <c r="APV5" s="30">
        <v>21</v>
      </c>
      <c r="APW5" s="30">
        <v>22</v>
      </c>
      <c r="APX5" s="30">
        <v>23</v>
      </c>
      <c r="APY5" s="30">
        <v>24</v>
      </c>
      <c r="APZ5" s="30">
        <v>25</v>
      </c>
      <c r="AQA5" s="30">
        <v>26</v>
      </c>
      <c r="AQB5" s="30">
        <v>27</v>
      </c>
      <c r="AQC5" s="30">
        <v>28</v>
      </c>
      <c r="AQD5" s="30">
        <v>29</v>
      </c>
      <c r="AQE5" s="30">
        <v>30</v>
      </c>
      <c r="AQF5" s="30">
        <v>31</v>
      </c>
      <c r="AQG5" s="30">
        <v>32</v>
      </c>
      <c r="AQH5" s="56"/>
      <c r="AQI5" s="30">
        <v>1</v>
      </c>
      <c r="AQJ5" s="30">
        <v>2</v>
      </c>
      <c r="AQK5" s="30">
        <v>3</v>
      </c>
      <c r="AQL5" s="30">
        <v>4</v>
      </c>
      <c r="AQM5" s="30">
        <v>5</v>
      </c>
      <c r="AQN5" s="30">
        <v>6</v>
      </c>
      <c r="AQO5" s="30">
        <v>7</v>
      </c>
      <c r="AQP5" s="30">
        <v>8</v>
      </c>
      <c r="AQQ5" s="30">
        <v>9</v>
      </c>
      <c r="AQR5" s="30">
        <v>10</v>
      </c>
      <c r="AQS5" s="30">
        <v>11</v>
      </c>
      <c r="AQT5" s="30">
        <v>12</v>
      </c>
      <c r="AQU5" s="30">
        <v>13</v>
      </c>
      <c r="AQV5" s="30">
        <v>14</v>
      </c>
      <c r="AQW5" s="30">
        <v>15</v>
      </c>
      <c r="AQX5" s="30">
        <v>16</v>
      </c>
      <c r="AQY5" s="30">
        <v>17</v>
      </c>
      <c r="AQZ5" s="30">
        <v>18</v>
      </c>
      <c r="ARA5" s="30">
        <v>19</v>
      </c>
      <c r="ARB5" s="30">
        <v>20</v>
      </c>
      <c r="ARC5" s="30">
        <v>21</v>
      </c>
      <c r="ARD5" s="30">
        <v>22</v>
      </c>
      <c r="ARE5" s="30">
        <v>23</v>
      </c>
      <c r="ARF5" s="30">
        <v>24</v>
      </c>
      <c r="ARG5" s="30">
        <v>25</v>
      </c>
      <c r="ARH5" s="30">
        <v>26</v>
      </c>
      <c r="ARI5" s="30">
        <v>27</v>
      </c>
      <c r="ARJ5" s="30">
        <v>28</v>
      </c>
      <c r="ARK5" s="30">
        <v>29</v>
      </c>
      <c r="ARL5" s="30">
        <v>30</v>
      </c>
      <c r="ARM5" s="30">
        <v>31</v>
      </c>
      <c r="ARN5" s="30">
        <v>32</v>
      </c>
      <c r="ARO5" s="56"/>
      <c r="ARP5" s="30">
        <v>1</v>
      </c>
      <c r="ARQ5" s="30">
        <v>2</v>
      </c>
      <c r="ARR5" s="30">
        <v>3</v>
      </c>
      <c r="ARS5" s="30">
        <v>4</v>
      </c>
      <c r="ART5" s="30">
        <v>5</v>
      </c>
      <c r="ARU5" s="30">
        <v>6</v>
      </c>
      <c r="ARV5" s="30">
        <v>7</v>
      </c>
      <c r="ARW5" s="30">
        <v>8</v>
      </c>
      <c r="ARX5" s="30">
        <v>9</v>
      </c>
      <c r="ARY5" s="30">
        <v>10</v>
      </c>
      <c r="ARZ5" s="30">
        <v>11</v>
      </c>
      <c r="ASA5" s="30">
        <v>12</v>
      </c>
      <c r="ASB5" s="30">
        <v>13</v>
      </c>
      <c r="ASC5" s="30">
        <v>14</v>
      </c>
      <c r="ASD5" s="30">
        <v>15</v>
      </c>
      <c r="ASE5" s="30">
        <v>16</v>
      </c>
      <c r="ASF5" s="30">
        <v>17</v>
      </c>
      <c r="ASG5" s="30">
        <v>18</v>
      </c>
      <c r="ASH5" s="30">
        <v>19</v>
      </c>
      <c r="ASI5" s="30">
        <v>20</v>
      </c>
      <c r="ASJ5" s="30">
        <v>21</v>
      </c>
      <c r="ASK5" s="30">
        <v>22</v>
      </c>
      <c r="ASL5" s="30">
        <v>23</v>
      </c>
      <c r="ASM5" s="30">
        <v>24</v>
      </c>
      <c r="ASN5" s="30">
        <v>25</v>
      </c>
      <c r="ASO5" s="30">
        <v>26</v>
      </c>
      <c r="ASP5" s="30">
        <v>27</v>
      </c>
      <c r="ASQ5" s="30">
        <v>28</v>
      </c>
      <c r="ASR5" s="30">
        <v>29</v>
      </c>
      <c r="ASS5" s="30">
        <v>30</v>
      </c>
      <c r="AST5" s="30">
        <v>31</v>
      </c>
      <c r="ASU5" s="30">
        <v>32</v>
      </c>
      <c r="ASV5" s="56"/>
      <c r="ASW5" s="57"/>
      <c r="ASX5" s="30">
        <v>1</v>
      </c>
      <c r="ASY5" s="30">
        <v>2</v>
      </c>
      <c r="ASZ5" s="30">
        <v>3</v>
      </c>
      <c r="ATA5" s="30">
        <v>4</v>
      </c>
      <c r="ATB5" s="30">
        <v>5</v>
      </c>
      <c r="ATC5" s="30">
        <v>6</v>
      </c>
      <c r="ATD5" s="30">
        <v>7</v>
      </c>
      <c r="ATE5" s="30">
        <v>8</v>
      </c>
      <c r="ATF5" s="30">
        <v>9</v>
      </c>
      <c r="ATG5" s="30">
        <v>10</v>
      </c>
      <c r="ATH5" s="30">
        <v>11</v>
      </c>
      <c r="ATI5" s="30">
        <v>12</v>
      </c>
      <c r="ATJ5" s="30">
        <v>13</v>
      </c>
      <c r="ATK5" s="30">
        <v>14</v>
      </c>
      <c r="ATL5" s="30">
        <v>15</v>
      </c>
      <c r="ATM5" s="30">
        <v>16</v>
      </c>
      <c r="ATN5" s="30">
        <v>17</v>
      </c>
      <c r="ATO5" s="30">
        <v>18</v>
      </c>
      <c r="ATP5" s="30">
        <v>19</v>
      </c>
      <c r="ATQ5" s="30">
        <v>20</v>
      </c>
      <c r="ATR5" s="30">
        <v>21</v>
      </c>
      <c r="ATS5" s="30">
        <v>22</v>
      </c>
      <c r="ATT5" s="30">
        <v>23</v>
      </c>
      <c r="ATU5" s="30">
        <v>24</v>
      </c>
      <c r="ATV5" s="30">
        <v>25</v>
      </c>
      <c r="ATW5" s="30">
        <v>26</v>
      </c>
      <c r="ATX5" s="30">
        <v>27</v>
      </c>
      <c r="ATY5" s="30">
        <v>28</v>
      </c>
      <c r="ATZ5" s="30">
        <v>29</v>
      </c>
      <c r="AUA5" s="30">
        <v>30</v>
      </c>
      <c r="AUB5" s="30">
        <v>31</v>
      </c>
      <c r="AUC5" s="30">
        <v>32</v>
      </c>
      <c r="AUD5" s="56"/>
      <c r="AUE5" s="30">
        <v>1</v>
      </c>
      <c r="AUF5" s="30">
        <v>2</v>
      </c>
      <c r="AUG5" s="30">
        <v>3</v>
      </c>
      <c r="AUH5" s="30">
        <v>4</v>
      </c>
      <c r="AUI5" s="30">
        <v>5</v>
      </c>
      <c r="AUJ5" s="30">
        <v>6</v>
      </c>
      <c r="AUK5" s="30">
        <v>7</v>
      </c>
      <c r="AUL5" s="30">
        <v>8</v>
      </c>
      <c r="AUM5" s="30">
        <v>9</v>
      </c>
      <c r="AUN5" s="30">
        <v>10</v>
      </c>
      <c r="AUO5" s="30">
        <v>11</v>
      </c>
      <c r="AUP5" s="30">
        <v>12</v>
      </c>
      <c r="AUQ5" s="30">
        <v>13</v>
      </c>
      <c r="AUR5" s="30">
        <v>14</v>
      </c>
      <c r="AUS5" s="30">
        <v>15</v>
      </c>
      <c r="AUT5" s="30">
        <v>16</v>
      </c>
      <c r="AUU5" s="30">
        <v>17</v>
      </c>
      <c r="AUV5" s="30">
        <v>18</v>
      </c>
      <c r="AUW5" s="30">
        <v>19</v>
      </c>
      <c r="AUX5" s="30">
        <v>20</v>
      </c>
      <c r="AUY5" s="30">
        <v>21</v>
      </c>
      <c r="AUZ5" s="30">
        <v>22</v>
      </c>
      <c r="AVA5" s="30">
        <v>23</v>
      </c>
      <c r="AVB5" s="30">
        <v>24</v>
      </c>
      <c r="AVC5" s="30">
        <v>25</v>
      </c>
      <c r="AVD5" s="30">
        <v>26</v>
      </c>
      <c r="AVE5" s="30">
        <v>27</v>
      </c>
      <c r="AVF5" s="30">
        <v>28</v>
      </c>
      <c r="AVG5" s="30">
        <v>29</v>
      </c>
      <c r="AVH5" s="30">
        <v>30</v>
      </c>
      <c r="AVI5" s="30">
        <v>31</v>
      </c>
      <c r="AVJ5" s="30">
        <v>32</v>
      </c>
      <c r="AVK5" s="56"/>
      <c r="AVL5" s="30">
        <v>1</v>
      </c>
      <c r="AVM5" s="30">
        <v>2</v>
      </c>
      <c r="AVN5" s="30">
        <v>3</v>
      </c>
      <c r="AVO5" s="30">
        <v>4</v>
      </c>
      <c r="AVP5" s="30">
        <v>5</v>
      </c>
      <c r="AVQ5" s="30">
        <v>6</v>
      </c>
      <c r="AVR5" s="30">
        <v>7</v>
      </c>
      <c r="AVS5" s="30">
        <v>8</v>
      </c>
      <c r="AVT5" s="30">
        <v>9</v>
      </c>
      <c r="AVU5" s="30">
        <v>10</v>
      </c>
      <c r="AVV5" s="30">
        <v>11</v>
      </c>
      <c r="AVW5" s="30">
        <v>12</v>
      </c>
      <c r="AVX5" s="30">
        <v>13</v>
      </c>
      <c r="AVY5" s="30">
        <v>14</v>
      </c>
      <c r="AVZ5" s="30">
        <v>15</v>
      </c>
      <c r="AWA5" s="30">
        <v>16</v>
      </c>
      <c r="AWB5" s="30">
        <v>17</v>
      </c>
      <c r="AWC5" s="30">
        <v>18</v>
      </c>
      <c r="AWD5" s="30">
        <v>19</v>
      </c>
      <c r="AWE5" s="30">
        <v>20</v>
      </c>
      <c r="AWF5" s="30">
        <v>21</v>
      </c>
      <c r="AWG5" s="30">
        <v>22</v>
      </c>
      <c r="AWH5" s="30">
        <v>23</v>
      </c>
      <c r="AWI5" s="30">
        <v>24</v>
      </c>
      <c r="AWJ5" s="30">
        <v>25</v>
      </c>
      <c r="AWK5" s="30">
        <v>26</v>
      </c>
      <c r="AWL5" s="30">
        <v>27</v>
      </c>
      <c r="AWM5" s="30">
        <v>28</v>
      </c>
      <c r="AWN5" s="30">
        <v>29</v>
      </c>
      <c r="AWO5" s="30">
        <v>30</v>
      </c>
      <c r="AWP5" s="30">
        <v>31</v>
      </c>
      <c r="AWQ5" s="30">
        <v>32</v>
      </c>
      <c r="AWR5" s="56"/>
      <c r="AWS5" s="30">
        <v>1</v>
      </c>
      <c r="AWT5" s="30">
        <v>2</v>
      </c>
      <c r="AWU5" s="30">
        <v>3</v>
      </c>
      <c r="AWV5" s="30">
        <v>4</v>
      </c>
      <c r="AWW5" s="30">
        <v>5</v>
      </c>
      <c r="AWX5" s="30">
        <v>6</v>
      </c>
      <c r="AWY5" s="30">
        <v>7</v>
      </c>
      <c r="AWZ5" s="30">
        <v>8</v>
      </c>
      <c r="AXA5" s="30">
        <v>9</v>
      </c>
      <c r="AXB5" s="30">
        <v>10</v>
      </c>
      <c r="AXC5" s="30">
        <v>11</v>
      </c>
      <c r="AXD5" s="30">
        <v>12</v>
      </c>
      <c r="AXE5" s="30">
        <v>13</v>
      </c>
      <c r="AXF5" s="30">
        <v>14</v>
      </c>
      <c r="AXG5" s="30">
        <v>15</v>
      </c>
      <c r="AXH5" s="30">
        <v>16</v>
      </c>
      <c r="AXI5" s="30">
        <v>17</v>
      </c>
      <c r="AXJ5" s="30">
        <v>18</v>
      </c>
      <c r="AXK5" s="30">
        <v>19</v>
      </c>
      <c r="AXL5" s="30">
        <v>20</v>
      </c>
      <c r="AXM5" s="30">
        <v>21</v>
      </c>
      <c r="AXN5" s="30">
        <v>22</v>
      </c>
      <c r="AXO5" s="30">
        <v>23</v>
      </c>
      <c r="AXP5" s="30">
        <v>24</v>
      </c>
      <c r="AXQ5" s="30">
        <v>25</v>
      </c>
      <c r="AXR5" s="30">
        <v>26</v>
      </c>
      <c r="AXS5" s="30">
        <v>27</v>
      </c>
      <c r="AXT5" s="30">
        <v>28</v>
      </c>
      <c r="AXU5" s="30">
        <v>29</v>
      </c>
      <c r="AXV5" s="30">
        <v>30</v>
      </c>
      <c r="AXW5" s="30">
        <v>31</v>
      </c>
      <c r="AXX5" s="30">
        <v>32</v>
      </c>
      <c r="AXY5" s="56"/>
      <c r="AXZ5" s="30">
        <v>1</v>
      </c>
      <c r="AYA5" s="30">
        <v>2</v>
      </c>
      <c r="AYB5" s="30">
        <v>3</v>
      </c>
      <c r="AYC5" s="30">
        <v>4</v>
      </c>
      <c r="AYD5" s="30">
        <v>5</v>
      </c>
      <c r="AYE5" s="30">
        <v>6</v>
      </c>
      <c r="AYF5" s="30">
        <v>7</v>
      </c>
      <c r="AYG5" s="30">
        <v>8</v>
      </c>
      <c r="AYH5" s="30">
        <v>9</v>
      </c>
      <c r="AYI5" s="30">
        <v>10</v>
      </c>
      <c r="AYJ5" s="30">
        <v>11</v>
      </c>
      <c r="AYK5" s="30">
        <v>12</v>
      </c>
      <c r="AYL5" s="30">
        <v>13</v>
      </c>
      <c r="AYM5" s="30">
        <v>14</v>
      </c>
      <c r="AYN5" s="30">
        <v>15</v>
      </c>
      <c r="AYO5" s="30">
        <v>16</v>
      </c>
      <c r="AYP5" s="30">
        <v>17</v>
      </c>
      <c r="AYQ5" s="30">
        <v>18</v>
      </c>
      <c r="AYR5" s="30">
        <v>19</v>
      </c>
      <c r="AYS5" s="30">
        <v>20</v>
      </c>
      <c r="AYT5" s="30">
        <v>21</v>
      </c>
      <c r="AYU5" s="30">
        <v>22</v>
      </c>
      <c r="AYV5" s="30">
        <v>23</v>
      </c>
      <c r="AYW5" s="30">
        <v>24</v>
      </c>
      <c r="AYX5" s="30">
        <v>25</v>
      </c>
      <c r="AYY5" s="30">
        <v>26</v>
      </c>
      <c r="AYZ5" s="30">
        <v>27</v>
      </c>
      <c r="AZA5" s="30">
        <v>28</v>
      </c>
      <c r="AZB5" s="30">
        <v>29</v>
      </c>
      <c r="AZC5" s="30">
        <v>30</v>
      </c>
      <c r="AZD5" s="30">
        <v>31</v>
      </c>
      <c r="AZE5" s="30">
        <v>32</v>
      </c>
      <c r="AZF5" s="56"/>
      <c r="AZG5" s="30">
        <v>1</v>
      </c>
      <c r="AZH5" s="30">
        <v>2</v>
      </c>
      <c r="AZI5" s="30">
        <v>3</v>
      </c>
      <c r="AZJ5" s="30">
        <v>4</v>
      </c>
      <c r="AZK5" s="30">
        <v>5</v>
      </c>
      <c r="AZL5" s="30">
        <v>6</v>
      </c>
      <c r="AZM5" s="30">
        <v>7</v>
      </c>
      <c r="AZN5" s="30">
        <v>8</v>
      </c>
      <c r="AZO5" s="30">
        <v>9</v>
      </c>
      <c r="AZP5" s="30">
        <v>10</v>
      </c>
      <c r="AZQ5" s="30">
        <v>11</v>
      </c>
      <c r="AZR5" s="30">
        <v>12</v>
      </c>
      <c r="AZS5" s="30">
        <v>13</v>
      </c>
      <c r="AZT5" s="30">
        <v>14</v>
      </c>
      <c r="AZU5" s="30">
        <v>15</v>
      </c>
      <c r="AZV5" s="30">
        <v>16</v>
      </c>
      <c r="AZW5" s="30">
        <v>17</v>
      </c>
      <c r="AZX5" s="30">
        <v>18</v>
      </c>
      <c r="AZY5" s="30">
        <v>19</v>
      </c>
      <c r="AZZ5" s="30">
        <v>20</v>
      </c>
      <c r="BAA5" s="30">
        <v>21</v>
      </c>
      <c r="BAB5" s="30">
        <v>22</v>
      </c>
      <c r="BAC5" s="30">
        <v>23</v>
      </c>
      <c r="BAD5" s="30">
        <v>24</v>
      </c>
      <c r="BAE5" s="30">
        <v>25</v>
      </c>
      <c r="BAF5" s="30">
        <v>26</v>
      </c>
      <c r="BAG5" s="30">
        <v>27</v>
      </c>
      <c r="BAH5" s="30">
        <v>28</v>
      </c>
      <c r="BAI5" s="30">
        <v>29</v>
      </c>
      <c r="BAJ5" s="30">
        <v>30</v>
      </c>
      <c r="BAK5" s="30">
        <v>31</v>
      </c>
      <c r="BAL5" s="30">
        <v>32</v>
      </c>
      <c r="BAM5" s="56"/>
      <c r="BAN5" s="30">
        <v>1</v>
      </c>
      <c r="BAO5" s="30">
        <v>2</v>
      </c>
      <c r="BAP5" s="30">
        <v>3</v>
      </c>
      <c r="BAQ5" s="30">
        <v>4</v>
      </c>
      <c r="BAR5" s="30">
        <v>5</v>
      </c>
      <c r="BAS5" s="30">
        <v>6</v>
      </c>
      <c r="BAT5" s="30">
        <v>7</v>
      </c>
      <c r="BAU5" s="30">
        <v>8</v>
      </c>
      <c r="BAV5" s="30">
        <v>9</v>
      </c>
      <c r="BAW5" s="30">
        <v>10</v>
      </c>
      <c r="BAX5" s="30">
        <v>11</v>
      </c>
      <c r="BAY5" s="30">
        <v>12</v>
      </c>
      <c r="BAZ5" s="30">
        <v>13</v>
      </c>
      <c r="BBA5" s="30">
        <v>14</v>
      </c>
      <c r="BBB5" s="30">
        <v>15</v>
      </c>
      <c r="BBC5" s="30">
        <v>16</v>
      </c>
      <c r="BBD5" s="30">
        <v>17</v>
      </c>
      <c r="BBE5" s="30">
        <v>18</v>
      </c>
      <c r="BBF5" s="30">
        <v>19</v>
      </c>
      <c r="BBG5" s="30">
        <v>20</v>
      </c>
      <c r="BBH5" s="30">
        <v>21</v>
      </c>
      <c r="BBI5" s="30">
        <v>22</v>
      </c>
      <c r="BBJ5" s="30">
        <v>23</v>
      </c>
      <c r="BBK5" s="30">
        <v>24</v>
      </c>
      <c r="BBL5" s="30">
        <v>25</v>
      </c>
      <c r="BBM5" s="30">
        <v>26</v>
      </c>
      <c r="BBN5" s="30">
        <v>27</v>
      </c>
      <c r="BBO5" s="30">
        <v>28</v>
      </c>
      <c r="BBP5" s="30">
        <v>29</v>
      </c>
      <c r="BBQ5" s="30">
        <v>30</v>
      </c>
      <c r="BBR5" s="30">
        <v>31</v>
      </c>
      <c r="BBS5" s="30">
        <v>32</v>
      </c>
      <c r="BBT5" s="56"/>
      <c r="BBU5" s="30">
        <v>1</v>
      </c>
      <c r="BBV5" s="30">
        <v>2</v>
      </c>
      <c r="BBW5" s="30">
        <v>3</v>
      </c>
      <c r="BBX5" s="30">
        <v>4</v>
      </c>
      <c r="BBY5" s="30">
        <v>5</v>
      </c>
      <c r="BBZ5" s="30">
        <v>6</v>
      </c>
      <c r="BCA5" s="30">
        <v>7</v>
      </c>
      <c r="BCB5" s="30">
        <v>8</v>
      </c>
      <c r="BCC5" s="30">
        <v>9</v>
      </c>
      <c r="BCD5" s="30">
        <v>10</v>
      </c>
      <c r="BCE5" s="30">
        <v>11</v>
      </c>
      <c r="BCF5" s="30">
        <v>12</v>
      </c>
      <c r="BCG5" s="30">
        <v>13</v>
      </c>
      <c r="BCH5" s="30">
        <v>14</v>
      </c>
      <c r="BCI5" s="30">
        <v>15</v>
      </c>
      <c r="BCJ5" s="30">
        <v>16</v>
      </c>
      <c r="BCK5" s="30">
        <v>17</v>
      </c>
      <c r="BCL5" s="30">
        <v>18</v>
      </c>
      <c r="BCM5" s="30">
        <v>19</v>
      </c>
      <c r="BCN5" s="30">
        <v>20</v>
      </c>
      <c r="BCO5" s="30">
        <v>21</v>
      </c>
      <c r="BCP5" s="30">
        <v>22</v>
      </c>
      <c r="BCQ5" s="30">
        <v>23</v>
      </c>
      <c r="BCR5" s="30">
        <v>24</v>
      </c>
      <c r="BCS5" s="30">
        <v>25</v>
      </c>
      <c r="BCT5" s="30">
        <v>26</v>
      </c>
      <c r="BCU5" s="30">
        <v>27</v>
      </c>
      <c r="BCV5" s="30">
        <v>28</v>
      </c>
      <c r="BCW5" s="30">
        <v>29</v>
      </c>
      <c r="BCX5" s="30">
        <v>30</v>
      </c>
      <c r="BCY5" s="30">
        <v>31</v>
      </c>
      <c r="BCZ5" s="30">
        <v>32</v>
      </c>
      <c r="BDA5" s="56"/>
      <c r="BDB5" s="30">
        <v>1</v>
      </c>
      <c r="BDC5" s="30">
        <v>2</v>
      </c>
      <c r="BDD5" s="30">
        <v>3</v>
      </c>
      <c r="BDE5" s="30">
        <v>4</v>
      </c>
      <c r="BDF5" s="30">
        <v>5</v>
      </c>
      <c r="BDG5" s="30">
        <v>6</v>
      </c>
      <c r="BDH5" s="30">
        <v>7</v>
      </c>
      <c r="BDI5" s="30">
        <v>8</v>
      </c>
      <c r="BDJ5" s="30">
        <v>9</v>
      </c>
      <c r="BDK5" s="30">
        <v>10</v>
      </c>
      <c r="BDL5" s="30">
        <v>11</v>
      </c>
      <c r="BDM5" s="30">
        <v>12</v>
      </c>
      <c r="BDN5" s="30">
        <v>13</v>
      </c>
      <c r="BDO5" s="30">
        <v>14</v>
      </c>
      <c r="BDP5" s="30">
        <v>15</v>
      </c>
      <c r="BDQ5" s="30">
        <v>16</v>
      </c>
      <c r="BDR5" s="30">
        <v>17</v>
      </c>
      <c r="BDS5" s="30">
        <v>18</v>
      </c>
      <c r="BDT5" s="30">
        <v>19</v>
      </c>
      <c r="BDU5" s="30">
        <v>20</v>
      </c>
      <c r="BDV5" s="30">
        <v>21</v>
      </c>
      <c r="BDW5" s="30">
        <v>22</v>
      </c>
      <c r="BDX5" s="30">
        <v>23</v>
      </c>
      <c r="BDY5" s="30">
        <v>24</v>
      </c>
      <c r="BDZ5" s="30">
        <v>25</v>
      </c>
      <c r="BEA5" s="30">
        <v>26</v>
      </c>
      <c r="BEB5" s="30">
        <v>27</v>
      </c>
      <c r="BEC5" s="30">
        <v>28</v>
      </c>
      <c r="BED5" s="30">
        <v>29</v>
      </c>
      <c r="BEE5" s="30">
        <v>30</v>
      </c>
      <c r="BEF5" s="30">
        <v>31</v>
      </c>
      <c r="BEG5" s="30">
        <v>32</v>
      </c>
      <c r="BEH5" s="56"/>
      <c r="BEI5" s="30">
        <v>1</v>
      </c>
      <c r="BEJ5" s="30">
        <v>2</v>
      </c>
      <c r="BEK5" s="30">
        <v>3</v>
      </c>
      <c r="BEL5" s="30">
        <v>4</v>
      </c>
      <c r="BEM5" s="30">
        <v>5</v>
      </c>
      <c r="BEN5" s="30">
        <v>6</v>
      </c>
      <c r="BEO5" s="30">
        <v>7</v>
      </c>
      <c r="BEP5" s="30">
        <v>8</v>
      </c>
      <c r="BEQ5" s="30">
        <v>9</v>
      </c>
      <c r="BER5" s="30">
        <v>10</v>
      </c>
      <c r="BES5" s="30">
        <v>11</v>
      </c>
      <c r="BET5" s="30">
        <v>12</v>
      </c>
      <c r="BEU5" s="30">
        <v>13</v>
      </c>
      <c r="BEV5" s="30">
        <v>14</v>
      </c>
      <c r="BEW5" s="30">
        <v>15</v>
      </c>
      <c r="BEX5" s="30">
        <v>16</v>
      </c>
      <c r="BEY5" s="30">
        <v>17</v>
      </c>
      <c r="BEZ5" s="30">
        <v>18</v>
      </c>
      <c r="BFA5" s="30">
        <v>19</v>
      </c>
      <c r="BFB5" s="30">
        <v>20</v>
      </c>
      <c r="BFC5" s="30">
        <v>21</v>
      </c>
      <c r="BFD5" s="30">
        <v>22</v>
      </c>
      <c r="BFE5" s="30">
        <v>23</v>
      </c>
      <c r="BFF5" s="30">
        <v>24</v>
      </c>
      <c r="BFG5" s="30">
        <v>25</v>
      </c>
      <c r="BFH5" s="30">
        <v>26</v>
      </c>
      <c r="BFI5" s="30">
        <v>27</v>
      </c>
      <c r="BFJ5" s="30">
        <v>28</v>
      </c>
      <c r="BFK5" s="30">
        <v>29</v>
      </c>
      <c r="BFL5" s="30">
        <v>30</v>
      </c>
      <c r="BFM5" s="30">
        <v>31</v>
      </c>
      <c r="BFN5" s="30">
        <v>32</v>
      </c>
      <c r="BFO5" s="56"/>
      <c r="BFP5" s="30">
        <v>1</v>
      </c>
      <c r="BFQ5" s="30">
        <v>2</v>
      </c>
      <c r="BFR5" s="30">
        <v>3</v>
      </c>
      <c r="BFS5" s="30">
        <v>4</v>
      </c>
      <c r="BFT5" s="30">
        <v>5</v>
      </c>
      <c r="BFU5" s="30">
        <v>6</v>
      </c>
      <c r="BFV5" s="30">
        <v>7</v>
      </c>
      <c r="BFW5" s="30">
        <v>8</v>
      </c>
      <c r="BFX5" s="30">
        <v>9</v>
      </c>
      <c r="BFY5" s="30">
        <v>10</v>
      </c>
      <c r="BFZ5" s="30">
        <v>11</v>
      </c>
      <c r="BGA5" s="30">
        <v>12</v>
      </c>
      <c r="BGB5" s="30">
        <v>13</v>
      </c>
      <c r="BGC5" s="30">
        <v>14</v>
      </c>
      <c r="BGD5" s="30">
        <v>15</v>
      </c>
      <c r="BGE5" s="30">
        <v>16</v>
      </c>
      <c r="BGF5" s="30">
        <v>17</v>
      </c>
      <c r="BGG5" s="30">
        <v>18</v>
      </c>
      <c r="BGH5" s="30">
        <v>19</v>
      </c>
      <c r="BGI5" s="30">
        <v>20</v>
      </c>
      <c r="BGJ5" s="30">
        <v>21</v>
      </c>
      <c r="BGK5" s="30">
        <v>22</v>
      </c>
      <c r="BGL5" s="30">
        <v>23</v>
      </c>
      <c r="BGM5" s="30">
        <v>24</v>
      </c>
      <c r="BGN5" s="30">
        <v>25</v>
      </c>
      <c r="BGO5" s="30">
        <v>26</v>
      </c>
      <c r="BGP5" s="30">
        <v>27</v>
      </c>
      <c r="BGQ5" s="30">
        <v>28</v>
      </c>
      <c r="BGR5" s="30">
        <v>29</v>
      </c>
      <c r="BGS5" s="30">
        <v>30</v>
      </c>
      <c r="BGT5" s="30">
        <v>31</v>
      </c>
      <c r="BGU5" s="30">
        <v>32</v>
      </c>
      <c r="BGV5" s="56"/>
      <c r="BGW5" s="30">
        <v>1</v>
      </c>
      <c r="BGX5" s="30">
        <v>2</v>
      </c>
      <c r="BGY5" s="30">
        <v>3</v>
      </c>
      <c r="BGZ5" s="30">
        <v>4</v>
      </c>
      <c r="BHA5" s="30">
        <v>5</v>
      </c>
      <c r="BHB5" s="30">
        <v>6</v>
      </c>
      <c r="BHC5" s="30">
        <v>7</v>
      </c>
      <c r="BHD5" s="30">
        <v>8</v>
      </c>
      <c r="BHE5" s="30">
        <v>9</v>
      </c>
      <c r="BHF5" s="30">
        <v>10</v>
      </c>
      <c r="BHG5" s="30">
        <v>11</v>
      </c>
      <c r="BHH5" s="30">
        <v>12</v>
      </c>
      <c r="BHI5" s="30">
        <v>13</v>
      </c>
      <c r="BHJ5" s="30">
        <v>14</v>
      </c>
      <c r="BHK5" s="30">
        <v>15</v>
      </c>
      <c r="BHL5" s="30">
        <v>16</v>
      </c>
      <c r="BHM5" s="30">
        <v>17</v>
      </c>
      <c r="BHN5" s="30">
        <v>18</v>
      </c>
      <c r="BHO5" s="30">
        <v>19</v>
      </c>
      <c r="BHP5" s="30">
        <v>20</v>
      </c>
      <c r="BHQ5" s="30">
        <v>21</v>
      </c>
      <c r="BHR5" s="30">
        <v>22</v>
      </c>
      <c r="BHS5" s="30">
        <v>23</v>
      </c>
      <c r="BHT5" s="30">
        <v>24</v>
      </c>
      <c r="BHU5" s="30">
        <v>25</v>
      </c>
      <c r="BHV5" s="30">
        <v>26</v>
      </c>
      <c r="BHW5" s="30">
        <v>27</v>
      </c>
      <c r="BHX5" s="30">
        <v>28</v>
      </c>
      <c r="BHY5" s="30">
        <v>29</v>
      </c>
      <c r="BHZ5" s="30">
        <v>30</v>
      </c>
      <c r="BIA5" s="30">
        <v>31</v>
      </c>
      <c r="BIB5" s="30">
        <v>32</v>
      </c>
      <c r="BIC5" s="56"/>
      <c r="BID5" s="57"/>
    </row>
    <row r="6" spans="1:1590" ht="14.45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56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56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56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5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56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56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56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56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JX6" s="30"/>
      <c r="JY6" s="30"/>
      <c r="JZ6" s="30"/>
      <c r="KA6" s="30"/>
      <c r="KB6" s="3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56"/>
      <c r="KN6" s="30"/>
      <c r="KO6" s="30"/>
      <c r="KP6" s="30"/>
      <c r="KQ6" s="30"/>
      <c r="KR6" s="30"/>
      <c r="KS6" s="30"/>
      <c r="KT6" s="30"/>
      <c r="KU6" s="30"/>
      <c r="KV6" s="30"/>
      <c r="KW6" s="30"/>
      <c r="KX6" s="30"/>
      <c r="KY6" s="30"/>
      <c r="KZ6" s="30"/>
      <c r="LA6" s="30"/>
      <c r="LB6" s="30"/>
      <c r="LC6" s="30"/>
      <c r="LD6" s="3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56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56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56"/>
      <c r="OI6" s="57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56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56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56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  <c r="TF6" s="30"/>
      <c r="TG6" s="30"/>
      <c r="TH6" s="30"/>
      <c r="TI6" s="30"/>
      <c r="TJ6" s="30"/>
      <c r="TK6" s="56"/>
      <c r="TL6" s="30"/>
      <c r="TM6" s="30"/>
      <c r="TN6" s="30"/>
      <c r="TO6" s="30"/>
      <c r="TP6" s="30"/>
      <c r="TQ6" s="30"/>
      <c r="TR6" s="30"/>
      <c r="TS6" s="30"/>
      <c r="TT6" s="30"/>
      <c r="TU6" s="30"/>
      <c r="TV6" s="30"/>
      <c r="TW6" s="30"/>
      <c r="TX6" s="30"/>
      <c r="TY6" s="30"/>
      <c r="TZ6" s="30"/>
      <c r="UA6" s="30"/>
      <c r="UB6" s="30"/>
      <c r="UC6" s="30"/>
      <c r="UD6" s="30"/>
      <c r="UE6" s="30"/>
      <c r="UF6" s="30"/>
      <c r="UG6" s="30"/>
      <c r="UH6" s="30"/>
      <c r="UI6" s="30"/>
      <c r="UJ6" s="30"/>
      <c r="UK6" s="30"/>
      <c r="UL6" s="30"/>
      <c r="UM6" s="30"/>
      <c r="UN6" s="30"/>
      <c r="UO6" s="30"/>
      <c r="UP6" s="30"/>
      <c r="UQ6" s="30"/>
      <c r="UR6" s="56"/>
      <c r="US6" s="30"/>
      <c r="UT6" s="30"/>
      <c r="UU6" s="30"/>
      <c r="UV6" s="30"/>
      <c r="UW6" s="30"/>
      <c r="UX6" s="30"/>
      <c r="UY6" s="30"/>
      <c r="UZ6" s="30"/>
      <c r="VA6" s="30"/>
      <c r="VB6" s="30"/>
      <c r="VC6" s="30"/>
      <c r="VD6" s="30"/>
      <c r="VE6" s="30"/>
      <c r="VF6" s="30"/>
      <c r="VG6" s="30"/>
      <c r="VH6" s="30"/>
      <c r="VI6" s="30"/>
      <c r="VJ6" s="30"/>
      <c r="VK6" s="30"/>
      <c r="VL6" s="30"/>
      <c r="VM6" s="30"/>
      <c r="VN6" s="30"/>
      <c r="VO6" s="30"/>
      <c r="VP6" s="30"/>
      <c r="VQ6" s="30"/>
      <c r="VR6" s="30"/>
      <c r="VS6" s="30"/>
      <c r="VT6" s="30"/>
      <c r="VU6" s="30"/>
      <c r="VV6" s="30"/>
      <c r="VW6" s="30"/>
      <c r="VX6" s="30"/>
      <c r="VY6" s="56"/>
      <c r="VZ6" s="30"/>
      <c r="WA6" s="30"/>
      <c r="WB6" s="30"/>
      <c r="WC6" s="30"/>
      <c r="WD6" s="30"/>
      <c r="WE6" s="30"/>
      <c r="WF6" s="30"/>
      <c r="WG6" s="30"/>
      <c r="WH6" s="30"/>
      <c r="WI6" s="30"/>
      <c r="WJ6" s="30"/>
      <c r="WK6" s="30"/>
      <c r="WL6" s="30"/>
      <c r="WM6" s="30"/>
      <c r="WN6" s="30"/>
      <c r="WO6" s="30"/>
      <c r="WP6" s="30"/>
      <c r="WQ6" s="30"/>
      <c r="WR6" s="30"/>
      <c r="WS6" s="30"/>
      <c r="WT6" s="30"/>
      <c r="WU6" s="30"/>
      <c r="WV6" s="30"/>
      <c r="WW6" s="30"/>
      <c r="WX6" s="30"/>
      <c r="WY6" s="30"/>
      <c r="WZ6" s="30"/>
      <c r="XA6" s="30"/>
      <c r="XB6" s="30"/>
      <c r="XC6" s="30"/>
      <c r="XD6" s="30"/>
      <c r="XE6" s="30"/>
      <c r="XF6" s="56"/>
      <c r="XG6" s="30"/>
      <c r="XH6" s="30"/>
      <c r="XI6" s="30"/>
      <c r="XJ6" s="30"/>
      <c r="XK6" s="30"/>
      <c r="XL6" s="30"/>
      <c r="XM6" s="30"/>
      <c r="XN6" s="30"/>
      <c r="XO6" s="30"/>
      <c r="XP6" s="30"/>
      <c r="XQ6" s="30"/>
      <c r="XR6" s="30"/>
      <c r="XS6" s="30"/>
      <c r="XT6" s="30"/>
      <c r="XU6" s="30"/>
      <c r="XV6" s="30"/>
      <c r="XW6" s="30"/>
      <c r="XX6" s="30"/>
      <c r="XY6" s="30"/>
      <c r="XZ6" s="30"/>
      <c r="YA6" s="30"/>
      <c r="YB6" s="30"/>
      <c r="YC6" s="30"/>
      <c r="YD6" s="30"/>
      <c r="YE6" s="30"/>
      <c r="YF6" s="30"/>
      <c r="YG6" s="30"/>
      <c r="YH6" s="30"/>
      <c r="YI6" s="30"/>
      <c r="YJ6" s="30"/>
      <c r="YK6" s="30"/>
      <c r="YL6" s="30"/>
      <c r="YM6" s="56"/>
      <c r="YN6" s="30"/>
      <c r="YO6" s="30"/>
      <c r="YP6" s="30"/>
      <c r="YQ6" s="30"/>
      <c r="YR6" s="30"/>
      <c r="YS6" s="30"/>
      <c r="YT6" s="30"/>
      <c r="YU6" s="30"/>
      <c r="YV6" s="30"/>
      <c r="YW6" s="30"/>
      <c r="YX6" s="30"/>
      <c r="YY6" s="30"/>
      <c r="YZ6" s="30"/>
      <c r="ZA6" s="30"/>
      <c r="ZB6" s="30"/>
      <c r="ZC6" s="30"/>
      <c r="ZD6" s="30"/>
      <c r="ZE6" s="30"/>
      <c r="ZF6" s="30"/>
      <c r="ZG6" s="30"/>
      <c r="ZH6" s="30"/>
      <c r="ZI6" s="30"/>
      <c r="ZJ6" s="30"/>
      <c r="ZK6" s="30"/>
      <c r="ZL6" s="30"/>
      <c r="ZM6" s="30"/>
      <c r="ZN6" s="30"/>
      <c r="ZO6" s="30"/>
      <c r="ZP6" s="30"/>
      <c r="ZQ6" s="30"/>
      <c r="ZR6" s="30"/>
      <c r="ZS6" s="30"/>
      <c r="ZT6" s="56"/>
      <c r="ZU6" s="30"/>
      <c r="ZV6" s="30"/>
      <c r="ZW6" s="30"/>
      <c r="ZX6" s="30"/>
      <c r="ZY6" s="30"/>
      <c r="ZZ6" s="30"/>
      <c r="AAA6" s="30"/>
      <c r="AAB6" s="30"/>
      <c r="AAC6" s="30"/>
      <c r="AAD6" s="30"/>
      <c r="AAE6" s="30"/>
      <c r="AAF6" s="30"/>
      <c r="AAG6" s="30"/>
      <c r="AAH6" s="30"/>
      <c r="AAI6" s="30"/>
      <c r="AAJ6" s="30"/>
      <c r="AAK6" s="30"/>
      <c r="AAL6" s="30"/>
      <c r="AAM6" s="30"/>
      <c r="AAN6" s="30"/>
      <c r="AAO6" s="30"/>
      <c r="AAP6" s="30"/>
      <c r="AAQ6" s="30"/>
      <c r="AAR6" s="30"/>
      <c r="AAS6" s="30"/>
      <c r="AAT6" s="30"/>
      <c r="AAU6" s="30"/>
      <c r="AAV6" s="30"/>
      <c r="AAW6" s="30"/>
      <c r="AAX6" s="30"/>
      <c r="AAY6" s="30"/>
      <c r="AAZ6" s="30"/>
      <c r="ABA6" s="56"/>
      <c r="ABB6" s="30"/>
      <c r="ABC6" s="30"/>
      <c r="ABD6" s="30"/>
      <c r="ABE6" s="30"/>
      <c r="ABF6" s="30"/>
      <c r="ABG6" s="30"/>
      <c r="ABH6" s="30"/>
      <c r="ABI6" s="30"/>
      <c r="ABJ6" s="30"/>
      <c r="ABK6" s="30"/>
      <c r="ABL6" s="30"/>
      <c r="ABM6" s="30"/>
      <c r="ABN6" s="30"/>
      <c r="ABO6" s="30"/>
      <c r="ABP6" s="30"/>
      <c r="ABQ6" s="30"/>
      <c r="ABR6" s="30"/>
      <c r="ABS6" s="30"/>
      <c r="ABT6" s="30"/>
      <c r="ABU6" s="30"/>
      <c r="ABV6" s="30"/>
      <c r="ABW6" s="30"/>
      <c r="ABX6" s="30"/>
      <c r="ABY6" s="30"/>
      <c r="ABZ6" s="30"/>
      <c r="ACA6" s="30"/>
      <c r="ACB6" s="30"/>
      <c r="ACC6" s="30"/>
      <c r="ACD6" s="30"/>
      <c r="ACE6" s="30"/>
      <c r="ACF6" s="30"/>
      <c r="ACG6" s="30"/>
      <c r="ACH6" s="56"/>
      <c r="ACI6" s="30"/>
      <c r="ACJ6" s="30"/>
      <c r="ACK6" s="30"/>
      <c r="ACL6" s="30"/>
      <c r="ACM6" s="30"/>
      <c r="ACN6" s="30"/>
      <c r="ACO6" s="30"/>
      <c r="ACP6" s="30"/>
      <c r="ACQ6" s="30"/>
      <c r="ACR6" s="30"/>
      <c r="ACS6" s="30"/>
      <c r="ACT6" s="30"/>
      <c r="ACU6" s="30"/>
      <c r="ACV6" s="30"/>
      <c r="ACW6" s="30"/>
      <c r="ACX6" s="30"/>
      <c r="ACY6" s="30"/>
      <c r="ACZ6" s="30"/>
      <c r="ADA6" s="30"/>
      <c r="ADB6" s="30"/>
      <c r="ADC6" s="30"/>
      <c r="ADD6" s="30"/>
      <c r="ADE6" s="30"/>
      <c r="ADF6" s="30"/>
      <c r="ADG6" s="30"/>
      <c r="ADH6" s="30"/>
      <c r="ADI6" s="30"/>
      <c r="ADJ6" s="30"/>
      <c r="ADK6" s="30"/>
      <c r="ADL6" s="30"/>
      <c r="ADM6" s="30"/>
      <c r="ADN6" s="30"/>
      <c r="ADO6" s="56"/>
      <c r="ADP6" s="57"/>
      <c r="ADQ6" s="30"/>
      <c r="ADR6" s="30"/>
      <c r="ADS6" s="30"/>
      <c r="ADT6" s="30"/>
      <c r="ADU6" s="30"/>
      <c r="ADV6" s="30"/>
      <c r="ADW6" s="30"/>
      <c r="ADX6" s="30"/>
      <c r="ADY6" s="30"/>
      <c r="ADZ6" s="30"/>
      <c r="AEA6" s="30"/>
      <c r="AEB6" s="30"/>
      <c r="AEC6" s="30"/>
      <c r="AED6" s="30"/>
      <c r="AEE6" s="30"/>
      <c r="AEF6" s="30"/>
      <c r="AEG6" s="30"/>
      <c r="AEH6" s="30"/>
      <c r="AEI6" s="30"/>
      <c r="AEJ6" s="30"/>
      <c r="AEK6" s="30"/>
      <c r="AEL6" s="30"/>
      <c r="AEM6" s="30"/>
      <c r="AEN6" s="30"/>
      <c r="AEO6" s="30"/>
      <c r="AEP6" s="30"/>
      <c r="AEQ6" s="30"/>
      <c r="AER6" s="30"/>
      <c r="AES6" s="30"/>
      <c r="AET6" s="30"/>
      <c r="AEU6" s="30"/>
      <c r="AEV6" s="30"/>
      <c r="AEW6" s="56"/>
      <c r="AEX6" s="30"/>
      <c r="AEY6" s="30"/>
      <c r="AEZ6" s="30"/>
      <c r="AFA6" s="30"/>
      <c r="AFB6" s="30"/>
      <c r="AFC6" s="30"/>
      <c r="AFD6" s="30"/>
      <c r="AFE6" s="30"/>
      <c r="AFF6" s="30"/>
      <c r="AFG6" s="30"/>
      <c r="AFH6" s="30"/>
      <c r="AFI6" s="30"/>
      <c r="AFJ6" s="30"/>
      <c r="AFK6" s="30"/>
      <c r="AFL6" s="30"/>
      <c r="AFM6" s="30"/>
      <c r="AFN6" s="30"/>
      <c r="AFO6" s="30"/>
      <c r="AFP6" s="30"/>
      <c r="AFQ6" s="30"/>
      <c r="AFR6" s="30"/>
      <c r="AFS6" s="30"/>
      <c r="AFT6" s="30"/>
      <c r="AFU6" s="30"/>
      <c r="AFV6" s="30"/>
      <c r="AFW6" s="30"/>
      <c r="AFX6" s="30"/>
      <c r="AFY6" s="30"/>
      <c r="AFZ6" s="30"/>
      <c r="AGA6" s="30"/>
      <c r="AGB6" s="30"/>
      <c r="AGC6" s="30"/>
      <c r="AGD6" s="56"/>
      <c r="AGE6" s="30"/>
      <c r="AGF6" s="30"/>
      <c r="AGG6" s="30"/>
      <c r="AGH6" s="30"/>
      <c r="AGI6" s="30"/>
      <c r="AGJ6" s="30"/>
      <c r="AGK6" s="30"/>
      <c r="AGL6" s="30"/>
      <c r="AGM6" s="30"/>
      <c r="AGN6" s="30"/>
      <c r="AGO6" s="30"/>
      <c r="AGP6" s="30"/>
      <c r="AGQ6" s="30"/>
      <c r="AGR6" s="30"/>
      <c r="AGS6" s="30"/>
      <c r="AGT6" s="30"/>
      <c r="AGU6" s="30"/>
      <c r="AGV6" s="30"/>
      <c r="AGW6" s="30"/>
      <c r="AGX6" s="30"/>
      <c r="AGY6" s="30"/>
      <c r="AGZ6" s="30"/>
      <c r="AHA6" s="30"/>
      <c r="AHB6" s="30"/>
      <c r="AHC6" s="30"/>
      <c r="AHD6" s="30"/>
      <c r="AHE6" s="30"/>
      <c r="AHF6" s="30"/>
      <c r="AHG6" s="30"/>
      <c r="AHH6" s="30"/>
      <c r="AHI6" s="30"/>
      <c r="AHJ6" s="30"/>
      <c r="AHK6" s="56"/>
      <c r="AHL6" s="30"/>
      <c r="AHM6" s="30"/>
      <c r="AHN6" s="30"/>
      <c r="AHO6" s="30"/>
      <c r="AHP6" s="30"/>
      <c r="AHQ6" s="30"/>
      <c r="AHR6" s="30"/>
      <c r="AHS6" s="30"/>
      <c r="AHT6" s="30"/>
      <c r="AHU6" s="30"/>
      <c r="AHV6" s="30"/>
      <c r="AHW6" s="30"/>
      <c r="AHX6" s="30"/>
      <c r="AHY6" s="30"/>
      <c r="AHZ6" s="30"/>
      <c r="AIA6" s="30"/>
      <c r="AIB6" s="30"/>
      <c r="AIC6" s="30"/>
      <c r="AID6" s="30"/>
      <c r="AIE6" s="30"/>
      <c r="AIF6" s="30"/>
      <c r="AIG6" s="30"/>
      <c r="AIH6" s="30"/>
      <c r="AII6" s="30"/>
      <c r="AIJ6" s="30"/>
      <c r="AIK6" s="30"/>
      <c r="AIL6" s="30"/>
      <c r="AIM6" s="30"/>
      <c r="AIN6" s="30"/>
      <c r="AIO6" s="30"/>
      <c r="AIP6" s="30"/>
      <c r="AIQ6" s="30"/>
      <c r="AIR6" s="56"/>
      <c r="AIS6" s="30"/>
      <c r="AIT6" s="30"/>
      <c r="AIU6" s="30"/>
      <c r="AIV6" s="30"/>
      <c r="AIW6" s="30"/>
      <c r="AIX6" s="30"/>
      <c r="AIY6" s="30"/>
      <c r="AIZ6" s="30"/>
      <c r="AJA6" s="30"/>
      <c r="AJB6" s="30"/>
      <c r="AJC6" s="30"/>
      <c r="AJD6" s="30"/>
      <c r="AJE6" s="30"/>
      <c r="AJF6" s="30"/>
      <c r="AJG6" s="30"/>
      <c r="AJH6" s="30"/>
      <c r="AJI6" s="30"/>
      <c r="AJJ6" s="30"/>
      <c r="AJK6" s="30"/>
      <c r="AJL6" s="30"/>
      <c r="AJM6" s="30"/>
      <c r="AJN6" s="30"/>
      <c r="AJO6" s="30"/>
      <c r="AJP6" s="30"/>
      <c r="AJQ6" s="30"/>
      <c r="AJR6" s="30"/>
      <c r="AJS6" s="30"/>
      <c r="AJT6" s="30"/>
      <c r="AJU6" s="30"/>
      <c r="AJV6" s="30"/>
      <c r="AJW6" s="30"/>
      <c r="AJX6" s="30"/>
      <c r="AJY6" s="56"/>
      <c r="AJZ6" s="30"/>
      <c r="AKA6" s="30"/>
      <c r="AKB6" s="30"/>
      <c r="AKC6" s="30"/>
      <c r="AKD6" s="30"/>
      <c r="AKE6" s="30"/>
      <c r="AKF6" s="30"/>
      <c r="AKG6" s="30"/>
      <c r="AKH6" s="30"/>
      <c r="AKI6" s="30"/>
      <c r="AKJ6" s="30"/>
      <c r="AKK6" s="30"/>
      <c r="AKL6" s="30"/>
      <c r="AKM6" s="30"/>
      <c r="AKN6" s="30"/>
      <c r="AKO6" s="30"/>
      <c r="AKP6" s="30"/>
      <c r="AKQ6" s="30"/>
      <c r="AKR6" s="30"/>
      <c r="AKS6" s="30"/>
      <c r="AKT6" s="30"/>
      <c r="AKU6" s="30"/>
      <c r="AKV6" s="30"/>
      <c r="AKW6" s="30"/>
      <c r="AKX6" s="30"/>
      <c r="AKY6" s="30"/>
      <c r="AKZ6" s="30"/>
      <c r="ALA6" s="30"/>
      <c r="ALB6" s="30"/>
      <c r="ALC6" s="30"/>
      <c r="ALD6" s="30"/>
      <c r="ALE6" s="30"/>
      <c r="ALF6" s="56"/>
      <c r="ALG6" s="30"/>
      <c r="ALH6" s="30"/>
      <c r="ALI6" s="30"/>
      <c r="ALJ6" s="30"/>
      <c r="ALK6" s="30"/>
      <c r="ALL6" s="30"/>
      <c r="ALM6" s="30"/>
      <c r="ALN6" s="30"/>
      <c r="ALO6" s="30"/>
      <c r="ALP6" s="30"/>
      <c r="ALQ6" s="30"/>
      <c r="ALR6" s="30"/>
      <c r="ALS6" s="30"/>
      <c r="ALT6" s="30"/>
      <c r="ALU6" s="30"/>
      <c r="ALV6" s="30"/>
      <c r="ALW6" s="30"/>
      <c r="ALX6" s="30"/>
      <c r="ALY6" s="30"/>
      <c r="ALZ6" s="30"/>
      <c r="AMA6" s="30"/>
      <c r="AMB6" s="30"/>
      <c r="AMC6" s="30"/>
      <c r="AMD6" s="30"/>
      <c r="AME6" s="30"/>
      <c r="AMF6" s="30"/>
      <c r="AMG6" s="30"/>
      <c r="AMH6" s="30"/>
      <c r="AMI6" s="30"/>
      <c r="AMJ6" s="30"/>
      <c r="AMK6" s="30"/>
      <c r="AML6" s="30"/>
      <c r="AMM6" s="56"/>
      <c r="AMN6" s="30"/>
      <c r="AMO6" s="30"/>
      <c r="AMP6" s="30"/>
      <c r="AMQ6" s="30"/>
      <c r="AMR6" s="30"/>
      <c r="AMS6" s="30"/>
      <c r="AMT6" s="30"/>
      <c r="AMU6" s="30"/>
      <c r="AMV6" s="30"/>
      <c r="AMW6" s="30"/>
      <c r="AMX6" s="30"/>
      <c r="AMY6" s="30"/>
      <c r="AMZ6" s="30"/>
      <c r="ANA6" s="30"/>
      <c r="ANB6" s="30"/>
      <c r="ANC6" s="30"/>
      <c r="AND6" s="30"/>
      <c r="ANE6" s="30"/>
      <c r="ANF6" s="30"/>
      <c r="ANG6" s="30"/>
      <c r="ANH6" s="30"/>
      <c r="ANI6" s="30"/>
      <c r="ANJ6" s="30"/>
      <c r="ANK6" s="30"/>
      <c r="ANL6" s="30"/>
      <c r="ANM6" s="30"/>
      <c r="ANN6" s="30"/>
      <c r="ANO6" s="30"/>
      <c r="ANP6" s="30"/>
      <c r="ANQ6" s="30"/>
      <c r="ANR6" s="30"/>
      <c r="ANS6" s="30"/>
      <c r="ANT6" s="56"/>
      <c r="ANU6" s="30"/>
      <c r="ANV6" s="30"/>
      <c r="ANW6" s="30"/>
      <c r="ANX6" s="30"/>
      <c r="ANY6" s="30"/>
      <c r="ANZ6" s="30"/>
      <c r="AOA6" s="30"/>
      <c r="AOB6" s="30"/>
      <c r="AOC6" s="30"/>
      <c r="AOD6" s="30"/>
      <c r="AOE6" s="30"/>
      <c r="AOF6" s="30"/>
      <c r="AOG6" s="30"/>
      <c r="AOH6" s="30"/>
      <c r="AOI6" s="30"/>
      <c r="AOJ6" s="30"/>
      <c r="AOK6" s="30"/>
      <c r="AOL6" s="30"/>
      <c r="AOM6" s="30"/>
      <c r="AON6" s="30"/>
      <c r="AOO6" s="30"/>
      <c r="AOP6" s="30"/>
      <c r="AOQ6" s="30"/>
      <c r="AOR6" s="30"/>
      <c r="AOS6" s="30"/>
      <c r="AOT6" s="30"/>
      <c r="AOU6" s="30"/>
      <c r="AOV6" s="30"/>
      <c r="AOW6" s="30"/>
      <c r="AOX6" s="30"/>
      <c r="AOY6" s="30"/>
      <c r="AOZ6" s="30"/>
      <c r="APA6" s="56"/>
      <c r="APB6" s="30"/>
      <c r="APC6" s="30"/>
      <c r="APD6" s="30"/>
      <c r="APE6" s="30"/>
      <c r="APF6" s="30"/>
      <c r="APG6" s="30"/>
      <c r="APH6" s="30"/>
      <c r="API6" s="30"/>
      <c r="APJ6" s="30"/>
      <c r="APK6" s="30"/>
      <c r="APL6" s="30"/>
      <c r="APM6" s="30"/>
      <c r="APN6" s="30"/>
      <c r="APO6" s="30"/>
      <c r="APP6" s="30"/>
      <c r="APQ6" s="30"/>
      <c r="APR6" s="30"/>
      <c r="APS6" s="30"/>
      <c r="APT6" s="30"/>
      <c r="APU6" s="30"/>
      <c r="APV6" s="30"/>
      <c r="APW6" s="30"/>
      <c r="APX6" s="30"/>
      <c r="APY6" s="30"/>
      <c r="APZ6" s="30"/>
      <c r="AQA6" s="30"/>
      <c r="AQB6" s="30"/>
      <c r="AQC6" s="30"/>
      <c r="AQD6" s="30"/>
      <c r="AQE6" s="30"/>
      <c r="AQF6" s="30"/>
      <c r="AQG6" s="30"/>
      <c r="AQH6" s="56"/>
      <c r="AQI6" s="30"/>
      <c r="AQJ6" s="30"/>
      <c r="AQK6" s="30"/>
      <c r="AQL6" s="30"/>
      <c r="AQM6" s="30"/>
      <c r="AQN6" s="30"/>
      <c r="AQO6" s="30"/>
      <c r="AQP6" s="30"/>
      <c r="AQQ6" s="30"/>
      <c r="AQR6" s="30"/>
      <c r="AQS6" s="30"/>
      <c r="AQT6" s="30"/>
      <c r="AQU6" s="30"/>
      <c r="AQV6" s="30"/>
      <c r="AQW6" s="30"/>
      <c r="AQX6" s="30"/>
      <c r="AQY6" s="30"/>
      <c r="AQZ6" s="30"/>
      <c r="ARA6" s="30"/>
      <c r="ARB6" s="30"/>
      <c r="ARC6" s="30"/>
      <c r="ARD6" s="30"/>
      <c r="ARE6" s="30"/>
      <c r="ARF6" s="30"/>
      <c r="ARG6" s="30"/>
      <c r="ARH6" s="30"/>
      <c r="ARI6" s="30"/>
      <c r="ARJ6" s="30"/>
      <c r="ARK6" s="30"/>
      <c r="ARL6" s="30"/>
      <c r="ARM6" s="30"/>
      <c r="ARN6" s="30"/>
      <c r="ARO6" s="56"/>
      <c r="ARP6" s="30"/>
      <c r="ARQ6" s="30"/>
      <c r="ARR6" s="30"/>
      <c r="ARS6" s="30"/>
      <c r="ART6" s="30"/>
      <c r="ARU6" s="30"/>
      <c r="ARV6" s="30"/>
      <c r="ARW6" s="30"/>
      <c r="ARX6" s="30"/>
      <c r="ARY6" s="30"/>
      <c r="ARZ6" s="30"/>
      <c r="ASA6" s="30"/>
      <c r="ASB6" s="30"/>
      <c r="ASC6" s="30"/>
      <c r="ASD6" s="30"/>
      <c r="ASE6" s="30"/>
      <c r="ASF6" s="30"/>
      <c r="ASG6" s="30"/>
      <c r="ASH6" s="30"/>
      <c r="ASI6" s="30"/>
      <c r="ASJ6" s="30"/>
      <c r="ASK6" s="30"/>
      <c r="ASL6" s="30"/>
      <c r="ASM6" s="30"/>
      <c r="ASN6" s="30"/>
      <c r="ASO6" s="30"/>
      <c r="ASP6" s="30"/>
      <c r="ASQ6" s="30"/>
      <c r="ASR6" s="30"/>
      <c r="ASS6" s="30"/>
      <c r="AST6" s="30"/>
      <c r="ASU6" s="30"/>
      <c r="ASV6" s="56"/>
      <c r="ASW6" s="57"/>
      <c r="ASX6" s="30"/>
      <c r="ASY6" s="30"/>
      <c r="ASZ6" s="30"/>
      <c r="ATA6" s="30"/>
      <c r="ATB6" s="30"/>
      <c r="ATC6" s="30"/>
      <c r="ATD6" s="30"/>
      <c r="ATE6" s="30"/>
      <c r="ATF6" s="30"/>
      <c r="ATG6" s="30"/>
      <c r="ATH6" s="30"/>
      <c r="ATI6" s="30"/>
      <c r="ATJ6" s="30"/>
      <c r="ATK6" s="30"/>
      <c r="ATL6" s="30"/>
      <c r="ATM6" s="30"/>
      <c r="ATN6" s="30"/>
      <c r="ATO6" s="30"/>
      <c r="ATP6" s="30"/>
      <c r="ATQ6" s="30"/>
      <c r="ATR6" s="30"/>
      <c r="ATS6" s="30"/>
      <c r="ATT6" s="30"/>
      <c r="ATU6" s="30"/>
      <c r="ATV6" s="30"/>
      <c r="ATW6" s="30"/>
      <c r="ATX6" s="30"/>
      <c r="ATY6" s="30"/>
      <c r="ATZ6" s="30"/>
      <c r="AUA6" s="30"/>
      <c r="AUB6" s="30"/>
      <c r="AUC6" s="30"/>
      <c r="AUD6" s="56"/>
      <c r="AUE6" s="30"/>
      <c r="AUF6" s="30"/>
      <c r="AUG6" s="30"/>
      <c r="AUH6" s="30"/>
      <c r="AUI6" s="30"/>
      <c r="AUJ6" s="30"/>
      <c r="AUK6" s="30"/>
      <c r="AUL6" s="30"/>
      <c r="AUM6" s="30"/>
      <c r="AUN6" s="30"/>
      <c r="AUO6" s="30"/>
      <c r="AUP6" s="30"/>
      <c r="AUQ6" s="30"/>
      <c r="AUR6" s="30"/>
      <c r="AUS6" s="30"/>
      <c r="AUT6" s="30"/>
      <c r="AUU6" s="30"/>
      <c r="AUV6" s="30"/>
      <c r="AUW6" s="30"/>
      <c r="AUX6" s="30"/>
      <c r="AUY6" s="30"/>
      <c r="AUZ6" s="30"/>
      <c r="AVA6" s="30"/>
      <c r="AVB6" s="30"/>
      <c r="AVC6" s="30"/>
      <c r="AVD6" s="30"/>
      <c r="AVE6" s="30"/>
      <c r="AVF6" s="30"/>
      <c r="AVG6" s="30"/>
      <c r="AVH6" s="30"/>
      <c r="AVI6" s="30"/>
      <c r="AVJ6" s="30"/>
      <c r="AVK6" s="56"/>
      <c r="AVL6" s="30"/>
      <c r="AVM6" s="30"/>
      <c r="AVN6" s="30"/>
      <c r="AVO6" s="30"/>
      <c r="AVP6" s="30"/>
      <c r="AVQ6" s="30"/>
      <c r="AVR6" s="30"/>
      <c r="AVS6" s="30"/>
      <c r="AVT6" s="30"/>
      <c r="AVU6" s="30"/>
      <c r="AVV6" s="30"/>
      <c r="AVW6" s="30"/>
      <c r="AVX6" s="30"/>
      <c r="AVY6" s="30"/>
      <c r="AVZ6" s="30"/>
      <c r="AWA6" s="30"/>
      <c r="AWB6" s="30"/>
      <c r="AWC6" s="30"/>
      <c r="AWD6" s="30"/>
      <c r="AWE6" s="30"/>
      <c r="AWF6" s="30"/>
      <c r="AWG6" s="30"/>
      <c r="AWH6" s="30"/>
      <c r="AWI6" s="30"/>
      <c r="AWJ6" s="30"/>
      <c r="AWK6" s="30"/>
      <c r="AWL6" s="30"/>
      <c r="AWM6" s="30"/>
      <c r="AWN6" s="30"/>
      <c r="AWO6" s="30"/>
      <c r="AWP6" s="30"/>
      <c r="AWQ6" s="30"/>
      <c r="AWR6" s="56"/>
      <c r="AWS6" s="30"/>
      <c r="AWT6" s="30"/>
      <c r="AWU6" s="30"/>
      <c r="AWV6" s="30"/>
      <c r="AWW6" s="30"/>
      <c r="AWX6" s="30"/>
      <c r="AWY6" s="30"/>
      <c r="AWZ6" s="30"/>
      <c r="AXA6" s="30"/>
      <c r="AXB6" s="30"/>
      <c r="AXC6" s="30"/>
      <c r="AXD6" s="30"/>
      <c r="AXE6" s="30"/>
      <c r="AXF6" s="30"/>
      <c r="AXG6" s="30"/>
      <c r="AXH6" s="30"/>
      <c r="AXI6" s="30"/>
      <c r="AXJ6" s="30"/>
      <c r="AXK6" s="30"/>
      <c r="AXL6" s="30"/>
      <c r="AXM6" s="30"/>
      <c r="AXN6" s="30"/>
      <c r="AXO6" s="30"/>
      <c r="AXP6" s="30"/>
      <c r="AXQ6" s="30"/>
      <c r="AXR6" s="30"/>
      <c r="AXS6" s="30"/>
      <c r="AXT6" s="30"/>
      <c r="AXU6" s="30"/>
      <c r="AXV6" s="30"/>
      <c r="AXW6" s="30"/>
      <c r="AXX6" s="30"/>
      <c r="AXY6" s="56"/>
      <c r="AXZ6" s="30"/>
      <c r="AYA6" s="30"/>
      <c r="AYB6" s="30"/>
      <c r="AYC6" s="30"/>
      <c r="AYD6" s="30"/>
      <c r="AYE6" s="30"/>
      <c r="AYF6" s="30"/>
      <c r="AYG6" s="30"/>
      <c r="AYH6" s="30"/>
      <c r="AYI6" s="30"/>
      <c r="AYJ6" s="30"/>
      <c r="AYK6" s="30"/>
      <c r="AYL6" s="30"/>
      <c r="AYM6" s="30"/>
      <c r="AYN6" s="30"/>
      <c r="AYO6" s="30"/>
      <c r="AYP6" s="30"/>
      <c r="AYQ6" s="30"/>
      <c r="AYR6" s="30"/>
      <c r="AYS6" s="30"/>
      <c r="AYT6" s="30"/>
      <c r="AYU6" s="30"/>
      <c r="AYV6" s="30"/>
      <c r="AYW6" s="30"/>
      <c r="AYX6" s="30"/>
      <c r="AYY6" s="30"/>
      <c r="AYZ6" s="30"/>
      <c r="AZA6" s="30"/>
      <c r="AZB6" s="30"/>
      <c r="AZC6" s="30"/>
      <c r="AZD6" s="30"/>
      <c r="AZE6" s="30"/>
      <c r="AZF6" s="56"/>
      <c r="AZG6" s="30"/>
      <c r="AZH6" s="30"/>
      <c r="AZI6" s="30"/>
      <c r="AZJ6" s="30"/>
      <c r="AZK6" s="30"/>
      <c r="AZL6" s="30"/>
      <c r="AZM6" s="30"/>
      <c r="AZN6" s="30"/>
      <c r="AZO6" s="30"/>
      <c r="AZP6" s="30"/>
      <c r="AZQ6" s="30"/>
      <c r="AZR6" s="30"/>
      <c r="AZS6" s="30"/>
      <c r="AZT6" s="30"/>
      <c r="AZU6" s="30"/>
      <c r="AZV6" s="30"/>
      <c r="AZW6" s="30"/>
      <c r="AZX6" s="30"/>
      <c r="AZY6" s="30"/>
      <c r="AZZ6" s="30"/>
      <c r="BAA6" s="30"/>
      <c r="BAB6" s="30"/>
      <c r="BAC6" s="30"/>
      <c r="BAD6" s="30"/>
      <c r="BAE6" s="30"/>
      <c r="BAF6" s="30"/>
      <c r="BAG6" s="30"/>
      <c r="BAH6" s="30"/>
      <c r="BAI6" s="30"/>
      <c r="BAJ6" s="30"/>
      <c r="BAK6" s="30"/>
      <c r="BAL6" s="30"/>
      <c r="BAM6" s="56"/>
      <c r="BAN6" s="30"/>
      <c r="BAO6" s="30"/>
      <c r="BAP6" s="30"/>
      <c r="BAQ6" s="30"/>
      <c r="BAR6" s="30"/>
      <c r="BAS6" s="30"/>
      <c r="BAT6" s="30"/>
      <c r="BAU6" s="30"/>
      <c r="BAV6" s="30"/>
      <c r="BAW6" s="30"/>
      <c r="BAX6" s="30"/>
      <c r="BAY6" s="30"/>
      <c r="BAZ6" s="30"/>
      <c r="BBA6" s="30"/>
      <c r="BBB6" s="30"/>
      <c r="BBC6" s="30"/>
      <c r="BBD6" s="30"/>
      <c r="BBE6" s="30"/>
      <c r="BBF6" s="30"/>
      <c r="BBG6" s="30"/>
      <c r="BBH6" s="30"/>
      <c r="BBI6" s="30"/>
      <c r="BBJ6" s="30"/>
      <c r="BBK6" s="30"/>
      <c r="BBL6" s="30"/>
      <c r="BBM6" s="30"/>
      <c r="BBN6" s="30"/>
      <c r="BBO6" s="30"/>
      <c r="BBP6" s="30"/>
      <c r="BBQ6" s="30"/>
      <c r="BBR6" s="30"/>
      <c r="BBS6" s="30"/>
      <c r="BBT6" s="56"/>
      <c r="BBU6" s="30"/>
      <c r="BBV6" s="30"/>
      <c r="BBW6" s="30"/>
      <c r="BBX6" s="30"/>
      <c r="BBY6" s="30"/>
      <c r="BBZ6" s="30"/>
      <c r="BCA6" s="30"/>
      <c r="BCB6" s="30"/>
      <c r="BCC6" s="30"/>
      <c r="BCD6" s="30"/>
      <c r="BCE6" s="30"/>
      <c r="BCF6" s="30"/>
      <c r="BCG6" s="30"/>
      <c r="BCH6" s="30"/>
      <c r="BCI6" s="30"/>
      <c r="BCJ6" s="30"/>
      <c r="BCK6" s="30"/>
      <c r="BCL6" s="30"/>
      <c r="BCM6" s="30"/>
      <c r="BCN6" s="30"/>
      <c r="BCO6" s="30"/>
      <c r="BCP6" s="30"/>
      <c r="BCQ6" s="30"/>
      <c r="BCR6" s="30"/>
      <c r="BCS6" s="30"/>
      <c r="BCT6" s="30"/>
      <c r="BCU6" s="30"/>
      <c r="BCV6" s="30"/>
      <c r="BCW6" s="30"/>
      <c r="BCX6" s="30"/>
      <c r="BCY6" s="30"/>
      <c r="BCZ6" s="30"/>
      <c r="BDA6" s="56"/>
      <c r="BDB6" s="30"/>
      <c r="BDC6" s="30"/>
      <c r="BDD6" s="30"/>
      <c r="BDE6" s="30"/>
      <c r="BDF6" s="30"/>
      <c r="BDG6" s="30"/>
      <c r="BDH6" s="30"/>
      <c r="BDI6" s="30"/>
      <c r="BDJ6" s="30"/>
      <c r="BDK6" s="30"/>
      <c r="BDL6" s="30"/>
      <c r="BDM6" s="30"/>
      <c r="BDN6" s="30"/>
      <c r="BDO6" s="30"/>
      <c r="BDP6" s="30"/>
      <c r="BDQ6" s="30"/>
      <c r="BDR6" s="30"/>
      <c r="BDS6" s="30"/>
      <c r="BDT6" s="30"/>
      <c r="BDU6" s="30"/>
      <c r="BDV6" s="30"/>
      <c r="BDW6" s="30"/>
      <c r="BDX6" s="30"/>
      <c r="BDY6" s="30"/>
      <c r="BDZ6" s="30"/>
      <c r="BEA6" s="30"/>
      <c r="BEB6" s="30"/>
      <c r="BEC6" s="30"/>
      <c r="BED6" s="30"/>
      <c r="BEE6" s="30"/>
      <c r="BEF6" s="30"/>
      <c r="BEG6" s="30"/>
      <c r="BEH6" s="56"/>
      <c r="BEI6" s="30"/>
      <c r="BEJ6" s="30"/>
      <c r="BEK6" s="30"/>
      <c r="BEL6" s="30"/>
      <c r="BEM6" s="30"/>
      <c r="BEN6" s="30"/>
      <c r="BEO6" s="30"/>
      <c r="BEP6" s="30"/>
      <c r="BEQ6" s="30"/>
      <c r="BER6" s="30"/>
      <c r="BES6" s="30"/>
      <c r="BET6" s="30"/>
      <c r="BEU6" s="30"/>
      <c r="BEV6" s="30"/>
      <c r="BEW6" s="30"/>
      <c r="BEX6" s="30"/>
      <c r="BEY6" s="30"/>
      <c r="BEZ6" s="30"/>
      <c r="BFA6" s="30"/>
      <c r="BFB6" s="30"/>
      <c r="BFC6" s="30"/>
      <c r="BFD6" s="30"/>
      <c r="BFE6" s="30"/>
      <c r="BFF6" s="30"/>
      <c r="BFG6" s="30"/>
      <c r="BFH6" s="30"/>
      <c r="BFI6" s="30"/>
      <c r="BFJ6" s="30"/>
      <c r="BFK6" s="30"/>
      <c r="BFL6" s="30"/>
      <c r="BFM6" s="30"/>
      <c r="BFN6" s="30"/>
      <c r="BFO6" s="56"/>
      <c r="BFP6" s="30"/>
      <c r="BFQ6" s="30"/>
      <c r="BFR6" s="30"/>
      <c r="BFS6" s="30"/>
      <c r="BFT6" s="30"/>
      <c r="BFU6" s="30"/>
      <c r="BFV6" s="30"/>
      <c r="BFW6" s="30"/>
      <c r="BFX6" s="30"/>
      <c r="BFY6" s="30"/>
      <c r="BFZ6" s="30"/>
      <c r="BGA6" s="30"/>
      <c r="BGB6" s="30"/>
      <c r="BGC6" s="30"/>
      <c r="BGD6" s="30"/>
      <c r="BGE6" s="30"/>
      <c r="BGF6" s="30"/>
      <c r="BGG6" s="30"/>
      <c r="BGH6" s="30"/>
      <c r="BGI6" s="30"/>
      <c r="BGJ6" s="30"/>
      <c r="BGK6" s="30"/>
      <c r="BGL6" s="30"/>
      <c r="BGM6" s="30"/>
      <c r="BGN6" s="30"/>
      <c r="BGO6" s="30"/>
      <c r="BGP6" s="30"/>
      <c r="BGQ6" s="30"/>
      <c r="BGR6" s="30"/>
      <c r="BGS6" s="30"/>
      <c r="BGT6" s="30"/>
      <c r="BGU6" s="30"/>
      <c r="BGV6" s="56"/>
      <c r="BGW6" s="30"/>
      <c r="BGX6" s="30"/>
      <c r="BGY6" s="30"/>
      <c r="BGZ6" s="30"/>
      <c r="BHA6" s="30"/>
      <c r="BHB6" s="30"/>
      <c r="BHC6" s="30"/>
      <c r="BHD6" s="30"/>
      <c r="BHE6" s="30"/>
      <c r="BHF6" s="30"/>
      <c r="BHG6" s="30"/>
      <c r="BHH6" s="30"/>
      <c r="BHI6" s="30"/>
      <c r="BHJ6" s="30"/>
      <c r="BHK6" s="30"/>
      <c r="BHL6" s="30"/>
      <c r="BHM6" s="30"/>
      <c r="BHN6" s="30"/>
      <c r="BHO6" s="30"/>
      <c r="BHP6" s="30"/>
      <c r="BHQ6" s="30"/>
      <c r="BHR6" s="30"/>
      <c r="BHS6" s="30"/>
      <c r="BHT6" s="30"/>
      <c r="BHU6" s="30"/>
      <c r="BHV6" s="30"/>
      <c r="BHW6" s="30"/>
      <c r="BHX6" s="30"/>
      <c r="BHY6" s="30"/>
      <c r="BHZ6" s="30"/>
      <c r="BIA6" s="30"/>
      <c r="BIB6" s="30"/>
      <c r="BIC6" s="56"/>
      <c r="BID6" s="57"/>
    </row>
    <row r="7" spans="1:1590" ht="14.45" x14ac:dyDescent="0.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56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56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56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56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56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56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56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56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56"/>
      <c r="KN7" s="30"/>
      <c r="KO7" s="30"/>
      <c r="KP7" s="30"/>
      <c r="KQ7" s="30"/>
      <c r="KR7" s="30"/>
      <c r="KS7" s="30"/>
      <c r="KT7" s="30"/>
      <c r="KU7" s="30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56"/>
      <c r="LU7" s="30"/>
      <c r="LV7" s="30"/>
      <c r="LW7" s="30"/>
      <c r="LX7" s="30"/>
      <c r="LY7" s="30"/>
      <c r="LZ7" s="30"/>
      <c r="MA7" s="30"/>
      <c r="MB7" s="30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56"/>
      <c r="NB7" s="30"/>
      <c r="NC7" s="30"/>
      <c r="ND7" s="30"/>
      <c r="NE7" s="30"/>
      <c r="NF7" s="30"/>
      <c r="NG7" s="30"/>
      <c r="NH7" s="30"/>
      <c r="NI7" s="30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56"/>
      <c r="OI7" s="57"/>
      <c r="OJ7" s="30"/>
      <c r="OK7" s="30"/>
      <c r="OL7" s="30"/>
      <c r="OM7" s="30"/>
      <c r="ON7" s="30"/>
      <c r="OO7" s="30"/>
      <c r="OP7" s="30"/>
      <c r="OQ7" s="30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56"/>
      <c r="PQ7" s="30"/>
      <c r="PR7" s="30"/>
      <c r="PS7" s="30"/>
      <c r="PT7" s="30"/>
      <c r="PU7" s="30"/>
      <c r="PV7" s="30"/>
      <c r="PW7" s="30"/>
      <c r="PX7" s="30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56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56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56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56"/>
      <c r="US7" s="30"/>
      <c r="UT7" s="30"/>
      <c r="UU7" s="30"/>
      <c r="UV7" s="30"/>
      <c r="UW7" s="30"/>
      <c r="UX7" s="30"/>
      <c r="UY7" s="30"/>
      <c r="UZ7" s="30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56"/>
      <c r="VZ7" s="30"/>
      <c r="WA7" s="30"/>
      <c r="WB7" s="30"/>
      <c r="WC7" s="30"/>
      <c r="WD7" s="30"/>
      <c r="WE7" s="30"/>
      <c r="WF7" s="30"/>
      <c r="WG7" s="30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56"/>
      <c r="XG7" s="30"/>
      <c r="XH7" s="30"/>
      <c r="XI7" s="30"/>
      <c r="XJ7" s="30"/>
      <c r="XK7" s="30"/>
      <c r="XL7" s="30"/>
      <c r="XM7" s="30"/>
      <c r="XN7" s="30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56"/>
      <c r="YN7" s="30"/>
      <c r="YO7" s="30"/>
      <c r="YP7" s="30"/>
      <c r="YQ7" s="30"/>
      <c r="YR7" s="30"/>
      <c r="YS7" s="30"/>
      <c r="YT7" s="30"/>
      <c r="YU7" s="30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56"/>
      <c r="ZU7" s="30"/>
      <c r="ZV7" s="30"/>
      <c r="ZW7" s="30"/>
      <c r="ZX7" s="30"/>
      <c r="ZY7" s="30"/>
      <c r="ZZ7" s="30"/>
      <c r="AAA7" s="30"/>
      <c r="AAB7" s="30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56"/>
      <c r="ABB7" s="30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56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56"/>
      <c r="ADP7" s="57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56"/>
      <c r="AEX7" s="30"/>
      <c r="AEY7" s="30"/>
      <c r="AEZ7" s="30"/>
      <c r="AFA7" s="30"/>
      <c r="AFB7" s="30"/>
      <c r="AFC7" s="30"/>
      <c r="AFD7" s="30"/>
      <c r="AFE7" s="30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56"/>
      <c r="AGE7" s="30"/>
      <c r="AGF7" s="30"/>
      <c r="AGG7" s="30"/>
      <c r="AGH7" s="30"/>
      <c r="AGI7" s="30"/>
      <c r="AGJ7" s="30"/>
      <c r="AGK7" s="30"/>
      <c r="AGL7" s="30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56"/>
      <c r="AHL7" s="30"/>
      <c r="AHM7" s="30"/>
      <c r="AHN7" s="30"/>
      <c r="AHO7" s="30"/>
      <c r="AHP7" s="30"/>
      <c r="AHQ7" s="30"/>
      <c r="AHR7" s="30"/>
      <c r="AHS7" s="30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56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56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56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56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56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56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56"/>
      <c r="AQI7" s="30"/>
      <c r="AQJ7" s="30"/>
      <c r="AQK7" s="30"/>
      <c r="AQL7" s="30"/>
      <c r="AQM7" s="30"/>
      <c r="AQN7" s="30"/>
      <c r="AQO7" s="30"/>
      <c r="AQP7" s="30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56"/>
      <c r="ARP7" s="30"/>
      <c r="ARQ7" s="30"/>
      <c r="ARR7" s="30"/>
      <c r="ARS7" s="30"/>
      <c r="ART7" s="30"/>
      <c r="ARU7" s="30"/>
      <c r="ARV7" s="30"/>
      <c r="ARW7" s="30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56"/>
      <c r="ASW7" s="57"/>
      <c r="ASX7" s="30"/>
      <c r="ASY7" s="30"/>
      <c r="ASZ7" s="30"/>
      <c r="ATA7" s="30"/>
      <c r="ATB7" s="30"/>
      <c r="ATC7" s="30"/>
      <c r="ATD7" s="30"/>
      <c r="ATE7" s="30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56"/>
      <c r="AUE7" s="30"/>
      <c r="AUF7" s="30"/>
      <c r="AUG7" s="30"/>
      <c r="AUH7" s="30"/>
      <c r="AUI7" s="30"/>
      <c r="AUJ7" s="30"/>
      <c r="AUK7" s="30"/>
      <c r="AUL7" s="30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56"/>
      <c r="AVL7" s="30"/>
      <c r="AVM7" s="30"/>
      <c r="AVN7" s="30"/>
      <c r="AVO7" s="30"/>
      <c r="AVP7" s="30"/>
      <c r="AVQ7" s="30"/>
      <c r="AVR7" s="30"/>
      <c r="AVS7" s="30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56"/>
      <c r="AWS7" s="30"/>
      <c r="AWT7" s="30"/>
      <c r="AWU7" s="30"/>
      <c r="AWV7" s="30"/>
      <c r="AWW7" s="30"/>
      <c r="AWX7" s="30"/>
      <c r="AWY7" s="30"/>
      <c r="AWZ7" s="30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56"/>
      <c r="AXZ7" s="30"/>
      <c r="AYA7" s="30"/>
      <c r="AYB7" s="30"/>
      <c r="AYC7" s="30"/>
      <c r="AYD7" s="30"/>
      <c r="AYE7" s="30"/>
      <c r="AYF7" s="30"/>
      <c r="AYG7" s="30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56"/>
      <c r="AZG7" s="30"/>
      <c r="AZH7" s="30"/>
      <c r="AZI7" s="30"/>
      <c r="AZJ7" s="30"/>
      <c r="AZK7" s="30"/>
      <c r="AZL7" s="30"/>
      <c r="AZM7" s="30"/>
      <c r="AZN7" s="30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56"/>
      <c r="BAN7" s="30"/>
      <c r="BAO7" s="30"/>
      <c r="BAP7" s="30"/>
      <c r="BAQ7" s="30"/>
      <c r="BAR7" s="30"/>
      <c r="BAS7" s="30"/>
      <c r="BAT7" s="30"/>
      <c r="BAU7" s="30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56"/>
      <c r="BBU7" s="30"/>
      <c r="BBV7" s="30"/>
      <c r="BBW7" s="30"/>
      <c r="BBX7" s="30"/>
      <c r="BBY7" s="30"/>
      <c r="BBZ7" s="30"/>
      <c r="BCA7" s="30"/>
      <c r="BCB7" s="30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56"/>
      <c r="BDB7" s="30"/>
      <c r="BDC7" s="30"/>
      <c r="BDD7" s="30"/>
      <c r="BDE7" s="30"/>
      <c r="BDF7" s="30"/>
      <c r="BDG7" s="30"/>
      <c r="BDH7" s="30"/>
      <c r="BDI7" s="30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56"/>
      <c r="BEI7" s="30"/>
      <c r="BEJ7" s="30"/>
      <c r="BEK7" s="30"/>
      <c r="BEL7" s="30"/>
      <c r="BEM7" s="30"/>
      <c r="BEN7" s="30"/>
      <c r="BEO7" s="30"/>
      <c r="BEP7" s="30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56"/>
      <c r="BFP7" s="30"/>
      <c r="BFQ7" s="30"/>
      <c r="BFR7" s="30"/>
      <c r="BFS7" s="30"/>
      <c r="BFT7" s="30"/>
      <c r="BFU7" s="30"/>
      <c r="BFV7" s="30"/>
      <c r="BFW7" s="30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56"/>
      <c r="BGW7" s="30"/>
      <c r="BGX7" s="30"/>
      <c r="BGY7" s="30"/>
      <c r="BGZ7" s="30"/>
      <c r="BHA7" s="30"/>
      <c r="BHB7" s="30"/>
      <c r="BHC7" s="30"/>
      <c r="BHD7" s="30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56"/>
      <c r="BID7" s="57"/>
    </row>
    <row r="8" spans="1:1590" ht="14.45" x14ac:dyDescent="0.3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56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56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56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56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56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56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56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56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JX8" s="30"/>
      <c r="JY8" s="30"/>
      <c r="JZ8" s="30"/>
      <c r="KA8" s="30"/>
      <c r="KB8" s="30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56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0"/>
      <c r="KZ8" s="30"/>
      <c r="LA8" s="30"/>
      <c r="LB8" s="30"/>
      <c r="LC8" s="30"/>
      <c r="LD8" s="30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56"/>
      <c r="LU8" s="30"/>
      <c r="LV8" s="30"/>
      <c r="LW8" s="30"/>
      <c r="LX8" s="30"/>
      <c r="LY8" s="30"/>
      <c r="LZ8" s="30"/>
      <c r="MA8" s="30"/>
      <c r="MB8" s="30"/>
      <c r="MC8" s="30"/>
      <c r="MD8" s="30"/>
      <c r="ME8" s="30"/>
      <c r="MF8" s="30"/>
      <c r="MG8" s="30"/>
      <c r="MH8" s="30"/>
      <c r="MI8" s="30"/>
      <c r="MJ8" s="30"/>
      <c r="MK8" s="30"/>
      <c r="ML8" s="30"/>
      <c r="MM8" s="30"/>
      <c r="MN8" s="30"/>
      <c r="MO8" s="30"/>
      <c r="MP8" s="30"/>
      <c r="MQ8" s="30"/>
      <c r="MR8" s="30"/>
      <c r="MS8" s="30"/>
      <c r="MT8" s="30"/>
      <c r="MU8" s="30"/>
      <c r="MV8" s="30"/>
      <c r="MW8" s="30"/>
      <c r="MX8" s="30"/>
      <c r="MY8" s="30"/>
      <c r="MZ8" s="30"/>
      <c r="NA8" s="56"/>
      <c r="NB8" s="30"/>
      <c r="NC8" s="30"/>
      <c r="ND8" s="30"/>
      <c r="NE8" s="30"/>
      <c r="NF8" s="30"/>
      <c r="NG8" s="30"/>
      <c r="NH8" s="30"/>
      <c r="NI8" s="30"/>
      <c r="NJ8" s="30"/>
      <c r="NK8" s="30"/>
      <c r="NL8" s="30"/>
      <c r="NM8" s="30"/>
      <c r="NN8" s="30"/>
      <c r="NO8" s="30"/>
      <c r="NP8" s="30"/>
      <c r="NQ8" s="30"/>
      <c r="NR8" s="30"/>
      <c r="NS8" s="30"/>
      <c r="NT8" s="30"/>
      <c r="NU8" s="30"/>
      <c r="NV8" s="30"/>
      <c r="NW8" s="30"/>
      <c r="NX8" s="30"/>
      <c r="NY8" s="30"/>
      <c r="NZ8" s="30"/>
      <c r="OA8" s="30"/>
      <c r="OB8" s="30"/>
      <c r="OC8" s="30"/>
      <c r="OD8" s="30"/>
      <c r="OE8" s="30"/>
      <c r="OF8" s="30"/>
      <c r="OG8" s="30"/>
      <c r="OH8" s="56"/>
      <c r="OI8" s="57"/>
      <c r="OJ8" s="30"/>
      <c r="OK8" s="30"/>
      <c r="OL8" s="30"/>
      <c r="OM8" s="30"/>
      <c r="ON8" s="30"/>
      <c r="OO8" s="30"/>
      <c r="OP8" s="30"/>
      <c r="OQ8" s="30"/>
      <c r="OR8" s="30"/>
      <c r="OS8" s="30"/>
      <c r="OT8" s="30"/>
      <c r="OU8" s="30"/>
      <c r="OV8" s="30"/>
      <c r="OW8" s="30"/>
      <c r="OX8" s="30"/>
      <c r="OY8" s="30"/>
      <c r="OZ8" s="30"/>
      <c r="PA8" s="30"/>
      <c r="PB8" s="30"/>
      <c r="PC8" s="30"/>
      <c r="PD8" s="30"/>
      <c r="PE8" s="30"/>
      <c r="PF8" s="30"/>
      <c r="PG8" s="30"/>
      <c r="PH8" s="30"/>
      <c r="PI8" s="30"/>
      <c r="PJ8" s="30"/>
      <c r="PK8" s="30"/>
      <c r="PL8" s="30"/>
      <c r="PM8" s="30"/>
      <c r="PN8" s="30"/>
      <c r="PO8" s="30"/>
      <c r="PP8" s="56"/>
      <c r="PQ8" s="30"/>
      <c r="PR8" s="30"/>
      <c r="PS8" s="30"/>
      <c r="PT8" s="30"/>
      <c r="PU8" s="30"/>
      <c r="PV8" s="30"/>
      <c r="PW8" s="30"/>
      <c r="PX8" s="30"/>
      <c r="PY8" s="30"/>
      <c r="PZ8" s="30"/>
      <c r="QA8" s="30"/>
      <c r="QB8" s="30"/>
      <c r="QC8" s="30"/>
      <c r="QD8" s="30"/>
      <c r="QE8" s="30"/>
      <c r="QF8" s="30"/>
      <c r="QG8" s="30"/>
      <c r="QH8" s="30"/>
      <c r="QI8" s="30"/>
      <c r="QJ8" s="30"/>
      <c r="QK8" s="30"/>
      <c r="QL8" s="30"/>
      <c r="QM8" s="30"/>
      <c r="QN8" s="30"/>
      <c r="QO8" s="30"/>
      <c r="QP8" s="30"/>
      <c r="QQ8" s="30"/>
      <c r="QR8" s="30"/>
      <c r="QS8" s="30"/>
      <c r="QT8" s="30"/>
      <c r="QU8" s="30"/>
      <c r="QV8" s="30"/>
      <c r="QW8" s="56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30"/>
      <c r="SB8" s="30"/>
      <c r="SC8" s="30"/>
      <c r="SD8" s="56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30"/>
      <c r="TI8" s="30"/>
      <c r="TJ8" s="30"/>
      <c r="TK8" s="56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30"/>
      <c r="UF8" s="30"/>
      <c r="UG8" s="30"/>
      <c r="UH8" s="30"/>
      <c r="UI8" s="30"/>
      <c r="UJ8" s="30"/>
      <c r="UK8" s="30"/>
      <c r="UL8" s="30"/>
      <c r="UM8" s="30"/>
      <c r="UN8" s="30"/>
      <c r="UO8" s="30"/>
      <c r="UP8" s="30"/>
      <c r="UQ8" s="30"/>
      <c r="UR8" s="56"/>
      <c r="US8" s="30"/>
      <c r="UT8" s="30"/>
      <c r="UU8" s="30"/>
      <c r="UV8" s="30"/>
      <c r="UW8" s="30"/>
      <c r="UX8" s="30"/>
      <c r="UY8" s="30"/>
      <c r="UZ8" s="30"/>
      <c r="VA8" s="30"/>
      <c r="VB8" s="30"/>
      <c r="VC8" s="30"/>
      <c r="VD8" s="30"/>
      <c r="VE8" s="30"/>
      <c r="VF8" s="30"/>
      <c r="VG8" s="30"/>
      <c r="VH8" s="30"/>
      <c r="VI8" s="30"/>
      <c r="VJ8" s="30"/>
      <c r="VK8" s="30"/>
      <c r="VL8" s="30"/>
      <c r="VM8" s="30"/>
      <c r="VN8" s="30"/>
      <c r="VO8" s="30"/>
      <c r="VP8" s="30"/>
      <c r="VQ8" s="30"/>
      <c r="VR8" s="30"/>
      <c r="VS8" s="30"/>
      <c r="VT8" s="30"/>
      <c r="VU8" s="30"/>
      <c r="VV8" s="30"/>
      <c r="VW8" s="30"/>
      <c r="VX8" s="30"/>
      <c r="VY8" s="56"/>
      <c r="VZ8" s="30"/>
      <c r="WA8" s="30"/>
      <c r="WB8" s="30"/>
      <c r="WC8" s="30"/>
      <c r="WD8" s="30"/>
      <c r="WE8" s="30"/>
      <c r="WF8" s="30"/>
      <c r="WG8" s="30"/>
      <c r="WH8" s="30"/>
      <c r="WI8" s="30"/>
      <c r="WJ8" s="30"/>
      <c r="WK8" s="30"/>
      <c r="WL8" s="30"/>
      <c r="WM8" s="30"/>
      <c r="WN8" s="30"/>
      <c r="WO8" s="30"/>
      <c r="WP8" s="30"/>
      <c r="WQ8" s="30"/>
      <c r="WR8" s="30"/>
      <c r="WS8" s="30"/>
      <c r="WT8" s="30"/>
      <c r="WU8" s="30"/>
      <c r="WV8" s="30"/>
      <c r="WW8" s="30"/>
      <c r="WX8" s="30"/>
      <c r="WY8" s="30"/>
      <c r="WZ8" s="30"/>
      <c r="XA8" s="30"/>
      <c r="XB8" s="30"/>
      <c r="XC8" s="30"/>
      <c r="XD8" s="30"/>
      <c r="XE8" s="30"/>
      <c r="XF8" s="56"/>
      <c r="XG8" s="30"/>
      <c r="XH8" s="30"/>
      <c r="XI8" s="30"/>
      <c r="XJ8" s="30"/>
      <c r="XK8" s="30"/>
      <c r="XL8" s="30"/>
      <c r="XM8" s="30"/>
      <c r="XN8" s="30"/>
      <c r="XO8" s="30"/>
      <c r="XP8" s="30"/>
      <c r="XQ8" s="30"/>
      <c r="XR8" s="30"/>
      <c r="XS8" s="30"/>
      <c r="XT8" s="30"/>
      <c r="XU8" s="30"/>
      <c r="XV8" s="30"/>
      <c r="XW8" s="30"/>
      <c r="XX8" s="30"/>
      <c r="XY8" s="30"/>
      <c r="XZ8" s="30"/>
      <c r="YA8" s="30"/>
      <c r="YB8" s="30"/>
      <c r="YC8" s="30"/>
      <c r="YD8" s="30"/>
      <c r="YE8" s="30"/>
      <c r="YF8" s="30"/>
      <c r="YG8" s="30"/>
      <c r="YH8" s="30"/>
      <c r="YI8" s="30"/>
      <c r="YJ8" s="30"/>
      <c r="YK8" s="30"/>
      <c r="YL8" s="30"/>
      <c r="YM8" s="56"/>
      <c r="YN8" s="30"/>
      <c r="YO8" s="30"/>
      <c r="YP8" s="30"/>
      <c r="YQ8" s="30"/>
      <c r="YR8" s="30"/>
      <c r="YS8" s="30"/>
      <c r="YT8" s="30"/>
      <c r="YU8" s="30"/>
      <c r="YV8" s="30"/>
      <c r="YW8" s="30"/>
      <c r="YX8" s="30"/>
      <c r="YY8" s="30"/>
      <c r="YZ8" s="30"/>
      <c r="ZA8" s="30"/>
      <c r="ZB8" s="30"/>
      <c r="ZC8" s="30"/>
      <c r="ZD8" s="30"/>
      <c r="ZE8" s="30"/>
      <c r="ZF8" s="30"/>
      <c r="ZG8" s="30"/>
      <c r="ZH8" s="30"/>
      <c r="ZI8" s="30"/>
      <c r="ZJ8" s="30"/>
      <c r="ZK8" s="30"/>
      <c r="ZL8" s="30"/>
      <c r="ZM8" s="30"/>
      <c r="ZN8" s="30"/>
      <c r="ZO8" s="30"/>
      <c r="ZP8" s="30"/>
      <c r="ZQ8" s="30"/>
      <c r="ZR8" s="30"/>
      <c r="ZS8" s="30"/>
      <c r="ZT8" s="56"/>
      <c r="ZU8" s="30"/>
      <c r="ZV8" s="30"/>
      <c r="ZW8" s="30"/>
      <c r="ZX8" s="30"/>
      <c r="ZY8" s="30"/>
      <c r="ZZ8" s="30"/>
      <c r="AAA8" s="30"/>
      <c r="AAB8" s="30"/>
      <c r="AAC8" s="30"/>
      <c r="AAD8" s="30"/>
      <c r="AAE8" s="30"/>
      <c r="AAF8" s="30"/>
      <c r="AAG8" s="30"/>
      <c r="AAH8" s="30"/>
      <c r="AAI8" s="30"/>
      <c r="AAJ8" s="30"/>
      <c r="AAK8" s="30"/>
      <c r="AAL8" s="30"/>
      <c r="AAM8" s="30"/>
      <c r="AAN8" s="30"/>
      <c r="AAO8" s="30"/>
      <c r="AAP8" s="30"/>
      <c r="AAQ8" s="30"/>
      <c r="AAR8" s="30"/>
      <c r="AAS8" s="30"/>
      <c r="AAT8" s="30"/>
      <c r="AAU8" s="30"/>
      <c r="AAV8" s="30"/>
      <c r="AAW8" s="30"/>
      <c r="AAX8" s="30"/>
      <c r="AAY8" s="30"/>
      <c r="AAZ8" s="30"/>
      <c r="ABA8" s="56"/>
      <c r="ABB8" s="30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30"/>
      <c r="ACF8" s="30"/>
      <c r="ACG8" s="30"/>
      <c r="ACH8" s="56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30"/>
      <c r="ADM8" s="30"/>
      <c r="ADN8" s="30"/>
      <c r="ADO8" s="56"/>
      <c r="ADP8" s="57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30"/>
      <c r="AEP8" s="30"/>
      <c r="AEQ8" s="30"/>
      <c r="AER8" s="30"/>
      <c r="AES8" s="30"/>
      <c r="AET8" s="30"/>
      <c r="AEU8" s="30"/>
      <c r="AEV8" s="30"/>
      <c r="AEW8" s="56"/>
      <c r="AEX8" s="30"/>
      <c r="AEY8" s="30"/>
      <c r="AEZ8" s="30"/>
      <c r="AFA8" s="30"/>
      <c r="AFB8" s="30"/>
      <c r="AFC8" s="30"/>
      <c r="AFD8" s="30"/>
      <c r="AFE8" s="30"/>
      <c r="AFF8" s="30"/>
      <c r="AFG8" s="30"/>
      <c r="AFH8" s="30"/>
      <c r="AFI8" s="30"/>
      <c r="AFJ8" s="30"/>
      <c r="AFK8" s="30"/>
      <c r="AFL8" s="30"/>
      <c r="AFM8" s="30"/>
      <c r="AFN8" s="30"/>
      <c r="AFO8" s="30"/>
      <c r="AFP8" s="30"/>
      <c r="AFQ8" s="30"/>
      <c r="AFR8" s="30"/>
      <c r="AFS8" s="30"/>
      <c r="AFT8" s="30"/>
      <c r="AFU8" s="30"/>
      <c r="AFV8" s="30"/>
      <c r="AFW8" s="30"/>
      <c r="AFX8" s="30"/>
      <c r="AFY8" s="30"/>
      <c r="AFZ8" s="30"/>
      <c r="AGA8" s="30"/>
      <c r="AGB8" s="30"/>
      <c r="AGC8" s="30"/>
      <c r="AGD8" s="56"/>
      <c r="AGE8" s="30"/>
      <c r="AGF8" s="30"/>
      <c r="AGG8" s="30"/>
      <c r="AGH8" s="30"/>
      <c r="AGI8" s="30"/>
      <c r="AGJ8" s="30"/>
      <c r="AGK8" s="30"/>
      <c r="AGL8" s="30"/>
      <c r="AGM8" s="30"/>
      <c r="AGN8" s="30"/>
      <c r="AGO8" s="30"/>
      <c r="AGP8" s="30"/>
      <c r="AGQ8" s="30"/>
      <c r="AGR8" s="30"/>
      <c r="AGS8" s="30"/>
      <c r="AGT8" s="30"/>
      <c r="AGU8" s="30"/>
      <c r="AGV8" s="30"/>
      <c r="AGW8" s="30"/>
      <c r="AGX8" s="30"/>
      <c r="AGY8" s="30"/>
      <c r="AGZ8" s="30"/>
      <c r="AHA8" s="30"/>
      <c r="AHB8" s="30"/>
      <c r="AHC8" s="30"/>
      <c r="AHD8" s="30"/>
      <c r="AHE8" s="30"/>
      <c r="AHF8" s="30"/>
      <c r="AHG8" s="30"/>
      <c r="AHH8" s="30"/>
      <c r="AHI8" s="30"/>
      <c r="AHJ8" s="30"/>
      <c r="AHK8" s="56"/>
      <c r="AHL8" s="30"/>
      <c r="AHM8" s="30"/>
      <c r="AHN8" s="30"/>
      <c r="AHO8" s="30"/>
      <c r="AHP8" s="30"/>
      <c r="AHQ8" s="30"/>
      <c r="AHR8" s="30"/>
      <c r="AHS8" s="30"/>
      <c r="AHT8" s="30"/>
      <c r="AHU8" s="30"/>
      <c r="AHV8" s="30"/>
      <c r="AHW8" s="30"/>
      <c r="AHX8" s="30"/>
      <c r="AHY8" s="30"/>
      <c r="AHZ8" s="30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30"/>
      <c r="AIP8" s="30"/>
      <c r="AIQ8" s="30"/>
      <c r="AIR8" s="56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30"/>
      <c r="AJW8" s="30"/>
      <c r="AJX8" s="30"/>
      <c r="AJY8" s="56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30"/>
      <c r="ALD8" s="30"/>
      <c r="ALE8" s="30"/>
      <c r="ALF8" s="56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30"/>
      <c r="AMK8" s="30"/>
      <c r="AML8" s="30"/>
      <c r="AMM8" s="56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30"/>
      <c r="ANR8" s="30"/>
      <c r="ANS8" s="30"/>
      <c r="ANT8" s="56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30"/>
      <c r="AOY8" s="30"/>
      <c r="AOZ8" s="30"/>
      <c r="APA8" s="56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30"/>
      <c r="AQE8" s="30"/>
      <c r="AQF8" s="30"/>
      <c r="AQG8" s="30"/>
      <c r="AQH8" s="56"/>
      <c r="AQI8" s="30"/>
      <c r="AQJ8" s="30"/>
      <c r="AQK8" s="30"/>
      <c r="AQL8" s="30"/>
      <c r="AQM8" s="30"/>
      <c r="AQN8" s="30"/>
      <c r="AQO8" s="30"/>
      <c r="AQP8" s="30"/>
      <c r="AQQ8" s="30"/>
      <c r="AQR8" s="30"/>
      <c r="AQS8" s="30"/>
      <c r="AQT8" s="30"/>
      <c r="AQU8" s="30"/>
      <c r="AQV8" s="30"/>
      <c r="AQW8" s="30"/>
      <c r="AQX8" s="30"/>
      <c r="AQY8" s="30"/>
      <c r="AQZ8" s="30"/>
      <c r="ARA8" s="30"/>
      <c r="ARB8" s="30"/>
      <c r="ARC8" s="30"/>
      <c r="ARD8" s="30"/>
      <c r="ARE8" s="30"/>
      <c r="ARF8" s="30"/>
      <c r="ARG8" s="30"/>
      <c r="ARH8" s="30"/>
      <c r="ARI8" s="30"/>
      <c r="ARJ8" s="30"/>
      <c r="ARK8" s="30"/>
      <c r="ARL8" s="30"/>
      <c r="ARM8" s="30"/>
      <c r="ARN8" s="30"/>
      <c r="ARO8" s="56"/>
      <c r="ARP8" s="30"/>
      <c r="ARQ8" s="30"/>
      <c r="ARR8" s="30"/>
      <c r="ARS8" s="30"/>
      <c r="ART8" s="30"/>
      <c r="ARU8" s="30"/>
      <c r="ARV8" s="30"/>
      <c r="ARW8" s="30"/>
      <c r="ARX8" s="30"/>
      <c r="ARY8" s="30"/>
      <c r="ARZ8" s="30"/>
      <c r="ASA8" s="30"/>
      <c r="ASB8" s="30"/>
      <c r="ASC8" s="30"/>
      <c r="ASD8" s="30"/>
      <c r="ASE8" s="30"/>
      <c r="ASF8" s="30"/>
      <c r="ASG8" s="30"/>
      <c r="ASH8" s="30"/>
      <c r="ASI8" s="30"/>
      <c r="ASJ8" s="30"/>
      <c r="ASK8" s="30"/>
      <c r="ASL8" s="30"/>
      <c r="ASM8" s="30"/>
      <c r="ASN8" s="30"/>
      <c r="ASO8" s="30"/>
      <c r="ASP8" s="30"/>
      <c r="ASQ8" s="30"/>
      <c r="ASR8" s="30"/>
      <c r="ASS8" s="30"/>
      <c r="AST8" s="30"/>
      <c r="ASU8" s="30"/>
      <c r="ASV8" s="56"/>
      <c r="ASW8" s="57"/>
      <c r="ASX8" s="30"/>
      <c r="ASY8" s="30"/>
      <c r="ASZ8" s="30"/>
      <c r="ATA8" s="30"/>
      <c r="ATB8" s="30"/>
      <c r="ATC8" s="30"/>
      <c r="ATD8" s="30"/>
      <c r="ATE8" s="30"/>
      <c r="ATF8" s="30"/>
      <c r="ATG8" s="30"/>
      <c r="ATH8" s="30"/>
      <c r="ATI8" s="30"/>
      <c r="ATJ8" s="30"/>
      <c r="ATK8" s="30"/>
      <c r="ATL8" s="30"/>
      <c r="ATM8" s="30"/>
      <c r="ATN8" s="30"/>
      <c r="ATO8" s="30"/>
      <c r="ATP8" s="30"/>
      <c r="ATQ8" s="30"/>
      <c r="ATR8" s="30"/>
      <c r="ATS8" s="30"/>
      <c r="ATT8" s="30"/>
      <c r="ATU8" s="30"/>
      <c r="ATV8" s="30"/>
      <c r="ATW8" s="30"/>
      <c r="ATX8" s="30"/>
      <c r="ATY8" s="30"/>
      <c r="ATZ8" s="30"/>
      <c r="AUA8" s="30"/>
      <c r="AUB8" s="30"/>
      <c r="AUC8" s="30"/>
      <c r="AUD8" s="56"/>
      <c r="AUE8" s="30"/>
      <c r="AUF8" s="30"/>
      <c r="AUG8" s="30"/>
      <c r="AUH8" s="30"/>
      <c r="AUI8" s="30"/>
      <c r="AUJ8" s="30"/>
      <c r="AUK8" s="30"/>
      <c r="AUL8" s="30"/>
      <c r="AUM8" s="30"/>
      <c r="AUN8" s="30"/>
      <c r="AUO8" s="30"/>
      <c r="AUP8" s="30"/>
      <c r="AUQ8" s="30"/>
      <c r="AUR8" s="30"/>
      <c r="AUS8" s="30"/>
      <c r="AUT8" s="30"/>
      <c r="AUU8" s="30"/>
      <c r="AUV8" s="30"/>
      <c r="AUW8" s="30"/>
      <c r="AUX8" s="30"/>
      <c r="AUY8" s="30"/>
      <c r="AUZ8" s="30"/>
      <c r="AVA8" s="30"/>
      <c r="AVB8" s="30"/>
      <c r="AVC8" s="30"/>
      <c r="AVD8" s="30"/>
      <c r="AVE8" s="30"/>
      <c r="AVF8" s="30"/>
      <c r="AVG8" s="30"/>
      <c r="AVH8" s="30"/>
      <c r="AVI8" s="30"/>
      <c r="AVJ8" s="30"/>
      <c r="AVK8" s="56"/>
      <c r="AVL8" s="30"/>
      <c r="AVM8" s="30"/>
      <c r="AVN8" s="30"/>
      <c r="AVO8" s="30"/>
      <c r="AVP8" s="30"/>
      <c r="AVQ8" s="30"/>
      <c r="AVR8" s="30"/>
      <c r="AVS8" s="30"/>
      <c r="AVT8" s="30"/>
      <c r="AVU8" s="30"/>
      <c r="AVV8" s="30"/>
      <c r="AVW8" s="30"/>
      <c r="AVX8" s="30"/>
      <c r="AVY8" s="30"/>
      <c r="AVZ8" s="30"/>
      <c r="AWA8" s="30"/>
      <c r="AWB8" s="30"/>
      <c r="AWC8" s="30"/>
      <c r="AWD8" s="30"/>
      <c r="AWE8" s="30"/>
      <c r="AWF8" s="30"/>
      <c r="AWG8" s="30"/>
      <c r="AWH8" s="30"/>
      <c r="AWI8" s="30"/>
      <c r="AWJ8" s="30"/>
      <c r="AWK8" s="30"/>
      <c r="AWL8" s="30"/>
      <c r="AWM8" s="30"/>
      <c r="AWN8" s="30"/>
      <c r="AWO8" s="30"/>
      <c r="AWP8" s="30"/>
      <c r="AWQ8" s="30"/>
      <c r="AWR8" s="56"/>
      <c r="AWS8" s="30"/>
      <c r="AWT8" s="30"/>
      <c r="AWU8" s="30"/>
      <c r="AWV8" s="30"/>
      <c r="AWW8" s="30"/>
      <c r="AWX8" s="30"/>
      <c r="AWY8" s="30"/>
      <c r="AWZ8" s="30"/>
      <c r="AXA8" s="30"/>
      <c r="AXB8" s="30"/>
      <c r="AXC8" s="30"/>
      <c r="AXD8" s="30"/>
      <c r="AXE8" s="30"/>
      <c r="AXF8" s="30"/>
      <c r="AXG8" s="30"/>
      <c r="AXH8" s="30"/>
      <c r="AXI8" s="30"/>
      <c r="AXJ8" s="30"/>
      <c r="AXK8" s="30"/>
      <c r="AXL8" s="30"/>
      <c r="AXM8" s="30"/>
      <c r="AXN8" s="30"/>
      <c r="AXO8" s="30"/>
      <c r="AXP8" s="30"/>
      <c r="AXQ8" s="30"/>
      <c r="AXR8" s="30"/>
      <c r="AXS8" s="30"/>
      <c r="AXT8" s="30"/>
      <c r="AXU8" s="30"/>
      <c r="AXV8" s="30"/>
      <c r="AXW8" s="30"/>
      <c r="AXX8" s="30"/>
      <c r="AXY8" s="56"/>
      <c r="AXZ8" s="30"/>
      <c r="AYA8" s="30"/>
      <c r="AYB8" s="30"/>
      <c r="AYC8" s="30"/>
      <c r="AYD8" s="30"/>
      <c r="AYE8" s="30"/>
      <c r="AYF8" s="30"/>
      <c r="AYG8" s="30"/>
      <c r="AYH8" s="30"/>
      <c r="AYI8" s="30"/>
      <c r="AYJ8" s="30"/>
      <c r="AYK8" s="30"/>
      <c r="AYL8" s="30"/>
      <c r="AYM8" s="30"/>
      <c r="AYN8" s="30"/>
      <c r="AYO8" s="30"/>
      <c r="AYP8" s="30"/>
      <c r="AYQ8" s="30"/>
      <c r="AYR8" s="30"/>
      <c r="AYS8" s="30"/>
      <c r="AYT8" s="30"/>
      <c r="AYU8" s="30"/>
      <c r="AYV8" s="30"/>
      <c r="AYW8" s="30"/>
      <c r="AYX8" s="30"/>
      <c r="AYY8" s="30"/>
      <c r="AYZ8" s="30"/>
      <c r="AZA8" s="30"/>
      <c r="AZB8" s="30"/>
      <c r="AZC8" s="30"/>
      <c r="AZD8" s="30"/>
      <c r="AZE8" s="30"/>
      <c r="AZF8" s="56"/>
      <c r="AZG8" s="30"/>
      <c r="AZH8" s="30"/>
      <c r="AZI8" s="30"/>
      <c r="AZJ8" s="30"/>
      <c r="AZK8" s="30"/>
      <c r="AZL8" s="30"/>
      <c r="AZM8" s="30"/>
      <c r="AZN8" s="30"/>
      <c r="AZO8" s="30"/>
      <c r="AZP8" s="30"/>
      <c r="AZQ8" s="30"/>
      <c r="AZR8" s="30"/>
      <c r="AZS8" s="30"/>
      <c r="AZT8" s="30"/>
      <c r="AZU8" s="30"/>
      <c r="AZV8" s="30"/>
      <c r="AZW8" s="30"/>
      <c r="AZX8" s="30"/>
      <c r="AZY8" s="30"/>
      <c r="AZZ8" s="30"/>
      <c r="BAA8" s="30"/>
      <c r="BAB8" s="30"/>
      <c r="BAC8" s="30"/>
      <c r="BAD8" s="30"/>
      <c r="BAE8" s="30"/>
      <c r="BAF8" s="30"/>
      <c r="BAG8" s="30"/>
      <c r="BAH8" s="30"/>
      <c r="BAI8" s="30"/>
      <c r="BAJ8" s="30"/>
      <c r="BAK8" s="30"/>
      <c r="BAL8" s="30"/>
      <c r="BAM8" s="56"/>
      <c r="BAN8" s="30"/>
      <c r="BAO8" s="30"/>
      <c r="BAP8" s="30"/>
      <c r="BAQ8" s="30"/>
      <c r="BAR8" s="30"/>
      <c r="BAS8" s="30"/>
      <c r="BAT8" s="30"/>
      <c r="BAU8" s="30"/>
      <c r="BAV8" s="30"/>
      <c r="BAW8" s="30"/>
      <c r="BAX8" s="30"/>
      <c r="BAY8" s="30"/>
      <c r="BAZ8" s="30"/>
      <c r="BBA8" s="30"/>
      <c r="BBB8" s="30"/>
      <c r="BBC8" s="30"/>
      <c r="BBD8" s="30"/>
      <c r="BBE8" s="30"/>
      <c r="BBF8" s="30"/>
      <c r="BBG8" s="30"/>
      <c r="BBH8" s="30"/>
      <c r="BBI8" s="30"/>
      <c r="BBJ8" s="30"/>
      <c r="BBK8" s="30"/>
      <c r="BBL8" s="30"/>
      <c r="BBM8" s="30"/>
      <c r="BBN8" s="30"/>
      <c r="BBO8" s="30"/>
      <c r="BBP8" s="30"/>
      <c r="BBQ8" s="30"/>
      <c r="BBR8" s="30"/>
      <c r="BBS8" s="30"/>
      <c r="BBT8" s="56"/>
      <c r="BBU8" s="30"/>
      <c r="BBV8" s="30"/>
      <c r="BBW8" s="30"/>
      <c r="BBX8" s="30"/>
      <c r="BBY8" s="30"/>
      <c r="BBZ8" s="30"/>
      <c r="BCA8" s="30"/>
      <c r="BCB8" s="30"/>
      <c r="BCC8" s="30"/>
      <c r="BCD8" s="30"/>
      <c r="BCE8" s="30"/>
      <c r="BCF8" s="30"/>
      <c r="BCG8" s="30"/>
      <c r="BCH8" s="30"/>
      <c r="BCI8" s="30"/>
      <c r="BCJ8" s="30"/>
      <c r="BCK8" s="30"/>
      <c r="BCL8" s="30"/>
      <c r="BCM8" s="30"/>
      <c r="BCN8" s="30"/>
      <c r="BCO8" s="30"/>
      <c r="BCP8" s="30"/>
      <c r="BCQ8" s="30"/>
      <c r="BCR8" s="30"/>
      <c r="BCS8" s="30"/>
      <c r="BCT8" s="30"/>
      <c r="BCU8" s="30"/>
      <c r="BCV8" s="30"/>
      <c r="BCW8" s="30"/>
      <c r="BCX8" s="30"/>
      <c r="BCY8" s="30"/>
      <c r="BCZ8" s="30"/>
      <c r="BDA8" s="56"/>
      <c r="BDB8" s="30"/>
      <c r="BDC8" s="30"/>
      <c r="BDD8" s="30"/>
      <c r="BDE8" s="30"/>
      <c r="BDF8" s="30"/>
      <c r="BDG8" s="30"/>
      <c r="BDH8" s="30"/>
      <c r="BDI8" s="30"/>
      <c r="BDJ8" s="30"/>
      <c r="BDK8" s="30"/>
      <c r="BDL8" s="30"/>
      <c r="BDM8" s="30"/>
      <c r="BDN8" s="30"/>
      <c r="BDO8" s="30"/>
      <c r="BDP8" s="30"/>
      <c r="BDQ8" s="30"/>
      <c r="BDR8" s="30"/>
      <c r="BDS8" s="30"/>
      <c r="BDT8" s="30"/>
      <c r="BDU8" s="30"/>
      <c r="BDV8" s="30"/>
      <c r="BDW8" s="30"/>
      <c r="BDX8" s="30"/>
      <c r="BDY8" s="30"/>
      <c r="BDZ8" s="30"/>
      <c r="BEA8" s="30"/>
      <c r="BEB8" s="30"/>
      <c r="BEC8" s="30"/>
      <c r="BED8" s="30"/>
      <c r="BEE8" s="30"/>
      <c r="BEF8" s="30"/>
      <c r="BEG8" s="30"/>
      <c r="BEH8" s="56"/>
      <c r="BEI8" s="30"/>
      <c r="BEJ8" s="30"/>
      <c r="BEK8" s="30"/>
      <c r="BEL8" s="30"/>
      <c r="BEM8" s="30"/>
      <c r="BEN8" s="30"/>
      <c r="BEO8" s="30"/>
      <c r="BEP8" s="30"/>
      <c r="BEQ8" s="30"/>
      <c r="BER8" s="30"/>
      <c r="BES8" s="30"/>
      <c r="BET8" s="30"/>
      <c r="BEU8" s="30"/>
      <c r="BEV8" s="30"/>
      <c r="BEW8" s="30"/>
      <c r="BEX8" s="30"/>
      <c r="BEY8" s="30"/>
      <c r="BEZ8" s="30"/>
      <c r="BFA8" s="30"/>
      <c r="BFB8" s="30"/>
      <c r="BFC8" s="30"/>
      <c r="BFD8" s="30"/>
      <c r="BFE8" s="30"/>
      <c r="BFF8" s="30"/>
      <c r="BFG8" s="30"/>
      <c r="BFH8" s="30"/>
      <c r="BFI8" s="30"/>
      <c r="BFJ8" s="30"/>
      <c r="BFK8" s="30"/>
      <c r="BFL8" s="30"/>
      <c r="BFM8" s="30"/>
      <c r="BFN8" s="30"/>
      <c r="BFO8" s="56"/>
      <c r="BFP8" s="30"/>
      <c r="BFQ8" s="30"/>
      <c r="BFR8" s="30"/>
      <c r="BFS8" s="30"/>
      <c r="BFT8" s="30"/>
      <c r="BFU8" s="30"/>
      <c r="BFV8" s="30"/>
      <c r="BFW8" s="30"/>
      <c r="BFX8" s="30"/>
      <c r="BFY8" s="30"/>
      <c r="BFZ8" s="30"/>
      <c r="BGA8" s="30"/>
      <c r="BGB8" s="30"/>
      <c r="BGC8" s="30"/>
      <c r="BGD8" s="30"/>
      <c r="BGE8" s="30"/>
      <c r="BGF8" s="30"/>
      <c r="BGG8" s="30"/>
      <c r="BGH8" s="30"/>
      <c r="BGI8" s="30"/>
      <c r="BGJ8" s="30"/>
      <c r="BGK8" s="30"/>
      <c r="BGL8" s="30"/>
      <c r="BGM8" s="30"/>
      <c r="BGN8" s="30"/>
      <c r="BGO8" s="30"/>
      <c r="BGP8" s="30"/>
      <c r="BGQ8" s="30"/>
      <c r="BGR8" s="30"/>
      <c r="BGS8" s="30"/>
      <c r="BGT8" s="30"/>
      <c r="BGU8" s="30"/>
      <c r="BGV8" s="56"/>
      <c r="BGW8" s="30"/>
      <c r="BGX8" s="30"/>
      <c r="BGY8" s="30"/>
      <c r="BGZ8" s="30"/>
      <c r="BHA8" s="30"/>
      <c r="BHB8" s="30"/>
      <c r="BHC8" s="30"/>
      <c r="BHD8" s="30"/>
      <c r="BHE8" s="30"/>
      <c r="BHF8" s="30"/>
      <c r="BHG8" s="30"/>
      <c r="BHH8" s="30"/>
      <c r="BHI8" s="30"/>
      <c r="BHJ8" s="30"/>
      <c r="BHK8" s="30"/>
      <c r="BHL8" s="30"/>
      <c r="BHM8" s="30"/>
      <c r="BHN8" s="30"/>
      <c r="BHO8" s="30"/>
      <c r="BHP8" s="30"/>
      <c r="BHQ8" s="30"/>
      <c r="BHR8" s="30"/>
      <c r="BHS8" s="30"/>
      <c r="BHT8" s="30"/>
      <c r="BHU8" s="30"/>
      <c r="BHV8" s="30"/>
      <c r="BHW8" s="30"/>
      <c r="BHX8" s="30"/>
      <c r="BHY8" s="30"/>
      <c r="BHZ8" s="30"/>
      <c r="BIA8" s="30"/>
      <c r="BIB8" s="30"/>
      <c r="BIC8" s="56"/>
      <c r="BID8" s="57"/>
    </row>
    <row r="9" spans="1:1590" ht="14.45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56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56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56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C9" s="30"/>
      <c r="ED9" s="56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30"/>
      <c r="ER9" s="30"/>
      <c r="ES9" s="30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0"/>
      <c r="FI9" s="30"/>
      <c r="FJ9" s="30"/>
      <c r="FK9" s="56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56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56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56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JX9" s="30"/>
      <c r="JY9" s="30"/>
      <c r="JZ9" s="30"/>
      <c r="KA9" s="30"/>
      <c r="KB9" s="30"/>
      <c r="KC9" s="30"/>
      <c r="KD9" s="30"/>
      <c r="KE9" s="30"/>
      <c r="KF9" s="30"/>
      <c r="KG9" s="30"/>
      <c r="KH9" s="30"/>
      <c r="KI9" s="30"/>
      <c r="KJ9" s="30"/>
      <c r="KK9" s="30"/>
      <c r="KL9" s="30"/>
      <c r="KM9" s="56"/>
      <c r="KN9" s="30"/>
      <c r="KO9" s="30"/>
      <c r="KP9" s="30"/>
      <c r="KQ9" s="30"/>
      <c r="KR9" s="30"/>
      <c r="KS9" s="30"/>
      <c r="KT9" s="30"/>
      <c r="KU9" s="30"/>
      <c r="KV9" s="30"/>
      <c r="KW9" s="30"/>
      <c r="KX9" s="30"/>
      <c r="KY9" s="30"/>
      <c r="KZ9" s="30"/>
      <c r="LA9" s="30"/>
      <c r="LB9" s="30"/>
      <c r="LC9" s="30"/>
      <c r="LD9" s="30"/>
      <c r="LE9" s="30"/>
      <c r="LF9" s="30"/>
      <c r="LG9" s="30"/>
      <c r="LH9" s="30"/>
      <c r="LI9" s="30"/>
      <c r="LJ9" s="30"/>
      <c r="LK9" s="30"/>
      <c r="LL9" s="30"/>
      <c r="LM9" s="30"/>
      <c r="LN9" s="30"/>
      <c r="LO9" s="30"/>
      <c r="LP9" s="30"/>
      <c r="LQ9" s="30"/>
      <c r="LR9" s="30"/>
      <c r="LS9" s="30"/>
      <c r="LT9" s="56"/>
      <c r="LU9" s="30"/>
      <c r="LV9" s="30"/>
      <c r="LW9" s="30"/>
      <c r="LX9" s="30"/>
      <c r="LY9" s="30"/>
      <c r="LZ9" s="30"/>
      <c r="MA9" s="30"/>
      <c r="MB9" s="30"/>
      <c r="MC9" s="30"/>
      <c r="MD9" s="30"/>
      <c r="ME9" s="30"/>
      <c r="MF9" s="30"/>
      <c r="MG9" s="30"/>
      <c r="MH9" s="30"/>
      <c r="MI9" s="30"/>
      <c r="MJ9" s="30"/>
      <c r="MK9" s="30"/>
      <c r="ML9" s="30"/>
      <c r="MM9" s="30"/>
      <c r="MN9" s="30"/>
      <c r="MO9" s="30"/>
      <c r="MP9" s="30"/>
      <c r="MQ9" s="30"/>
      <c r="MR9" s="30"/>
      <c r="MS9" s="30"/>
      <c r="MT9" s="30"/>
      <c r="MU9" s="30"/>
      <c r="MV9" s="30"/>
      <c r="MW9" s="30"/>
      <c r="MX9" s="30"/>
      <c r="MY9" s="30"/>
      <c r="MZ9" s="30"/>
      <c r="NA9" s="56"/>
      <c r="NB9" s="30"/>
      <c r="NC9" s="30"/>
      <c r="ND9" s="30"/>
      <c r="NE9" s="30"/>
      <c r="NF9" s="30"/>
      <c r="NG9" s="30"/>
      <c r="NH9" s="30"/>
      <c r="NI9" s="30"/>
      <c r="NJ9" s="30"/>
      <c r="NK9" s="30"/>
      <c r="NL9" s="30"/>
      <c r="NM9" s="30"/>
      <c r="NN9" s="30"/>
      <c r="NO9" s="30"/>
      <c r="NP9" s="30"/>
      <c r="NQ9" s="30"/>
      <c r="NR9" s="30"/>
      <c r="NS9" s="30"/>
      <c r="NT9" s="30"/>
      <c r="NU9" s="30"/>
      <c r="NV9" s="30"/>
      <c r="NW9" s="30"/>
      <c r="NX9" s="30"/>
      <c r="NY9" s="30"/>
      <c r="NZ9" s="30"/>
      <c r="OA9" s="30"/>
      <c r="OB9" s="30"/>
      <c r="OC9" s="30"/>
      <c r="OD9" s="30"/>
      <c r="OE9" s="30"/>
      <c r="OF9" s="30"/>
      <c r="OG9" s="30"/>
      <c r="OH9" s="56"/>
      <c r="OI9" s="57"/>
      <c r="OJ9" s="30"/>
      <c r="OK9" s="30"/>
      <c r="OL9" s="30"/>
      <c r="OM9" s="30"/>
      <c r="ON9" s="30"/>
      <c r="OO9" s="30"/>
      <c r="OP9" s="30"/>
      <c r="OQ9" s="30"/>
      <c r="OR9" s="30"/>
      <c r="OS9" s="30"/>
      <c r="OT9" s="30"/>
      <c r="OU9" s="30"/>
      <c r="OV9" s="30"/>
      <c r="OW9" s="30"/>
      <c r="OX9" s="30"/>
      <c r="OY9" s="30"/>
      <c r="OZ9" s="30"/>
      <c r="PA9" s="30"/>
      <c r="PB9" s="30"/>
      <c r="PC9" s="30"/>
      <c r="PD9" s="30"/>
      <c r="PE9" s="30"/>
      <c r="PF9" s="30"/>
      <c r="PG9" s="30"/>
      <c r="PH9" s="30"/>
      <c r="PI9" s="30"/>
      <c r="PJ9" s="30"/>
      <c r="PK9" s="30"/>
      <c r="PL9" s="30"/>
      <c r="PM9" s="30"/>
      <c r="PN9" s="30"/>
      <c r="PO9" s="30"/>
      <c r="PP9" s="56"/>
      <c r="PQ9" s="30"/>
      <c r="PR9" s="30"/>
      <c r="PS9" s="30"/>
      <c r="PT9" s="30"/>
      <c r="PU9" s="30"/>
      <c r="PV9" s="30"/>
      <c r="PW9" s="30"/>
      <c r="PX9" s="30"/>
      <c r="PY9" s="30"/>
      <c r="PZ9" s="30"/>
      <c r="QA9" s="30"/>
      <c r="QB9" s="30"/>
      <c r="QC9" s="30"/>
      <c r="QD9" s="30"/>
      <c r="QE9" s="30"/>
      <c r="QF9" s="30"/>
      <c r="QG9" s="30"/>
      <c r="QH9" s="30"/>
      <c r="QI9" s="30"/>
      <c r="QJ9" s="30"/>
      <c r="QK9" s="30"/>
      <c r="QL9" s="30"/>
      <c r="QM9" s="30"/>
      <c r="QN9" s="30"/>
      <c r="QO9" s="30"/>
      <c r="QP9" s="30"/>
      <c r="QQ9" s="30"/>
      <c r="QR9" s="30"/>
      <c r="QS9" s="30"/>
      <c r="QT9" s="30"/>
      <c r="QU9" s="30"/>
      <c r="QV9" s="30"/>
      <c r="QW9" s="56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30"/>
      <c r="SB9" s="30"/>
      <c r="SC9" s="30"/>
      <c r="SD9" s="56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30"/>
      <c r="TI9" s="30"/>
      <c r="TJ9" s="30"/>
      <c r="TK9" s="56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30"/>
      <c r="UF9" s="30"/>
      <c r="UG9" s="30"/>
      <c r="UH9" s="30"/>
      <c r="UI9" s="30"/>
      <c r="UJ9" s="30"/>
      <c r="UK9" s="30"/>
      <c r="UL9" s="30"/>
      <c r="UM9" s="30"/>
      <c r="UN9" s="30"/>
      <c r="UO9" s="30"/>
      <c r="UP9" s="30"/>
      <c r="UQ9" s="30"/>
      <c r="UR9" s="56"/>
      <c r="US9" s="30"/>
      <c r="UT9" s="30"/>
      <c r="UU9" s="30"/>
      <c r="UV9" s="30"/>
      <c r="UW9" s="30"/>
      <c r="UX9" s="30"/>
      <c r="UY9" s="30"/>
      <c r="UZ9" s="30"/>
      <c r="VA9" s="30"/>
      <c r="VB9" s="30"/>
      <c r="VC9" s="30"/>
      <c r="VD9" s="30"/>
      <c r="VE9" s="30"/>
      <c r="VF9" s="30"/>
      <c r="VG9" s="30"/>
      <c r="VH9" s="30"/>
      <c r="VI9" s="30"/>
      <c r="VJ9" s="30"/>
      <c r="VK9" s="30"/>
      <c r="VL9" s="30"/>
      <c r="VM9" s="30"/>
      <c r="VN9" s="30"/>
      <c r="VO9" s="30"/>
      <c r="VP9" s="30"/>
      <c r="VQ9" s="30"/>
      <c r="VR9" s="30"/>
      <c r="VS9" s="30"/>
      <c r="VT9" s="30"/>
      <c r="VU9" s="30"/>
      <c r="VV9" s="30"/>
      <c r="VW9" s="30"/>
      <c r="VX9" s="30"/>
      <c r="VY9" s="56"/>
      <c r="VZ9" s="30"/>
      <c r="WA9" s="30"/>
      <c r="WB9" s="30"/>
      <c r="WC9" s="30"/>
      <c r="WD9" s="30"/>
      <c r="WE9" s="30"/>
      <c r="WF9" s="30"/>
      <c r="WG9" s="30"/>
      <c r="WH9" s="30"/>
      <c r="WI9" s="30"/>
      <c r="WJ9" s="30"/>
      <c r="WK9" s="30"/>
      <c r="WL9" s="30"/>
      <c r="WM9" s="30"/>
      <c r="WN9" s="30"/>
      <c r="WO9" s="30"/>
      <c r="WP9" s="30"/>
      <c r="WQ9" s="30"/>
      <c r="WR9" s="30"/>
      <c r="WS9" s="30"/>
      <c r="WT9" s="30"/>
      <c r="WU9" s="30"/>
      <c r="WV9" s="30"/>
      <c r="WW9" s="30"/>
      <c r="WX9" s="30"/>
      <c r="WY9" s="30"/>
      <c r="WZ9" s="30"/>
      <c r="XA9" s="30"/>
      <c r="XB9" s="30"/>
      <c r="XC9" s="30"/>
      <c r="XD9" s="30"/>
      <c r="XE9" s="30"/>
      <c r="XF9" s="56"/>
      <c r="XG9" s="30"/>
      <c r="XH9" s="30"/>
      <c r="XI9" s="30"/>
      <c r="XJ9" s="30"/>
      <c r="XK9" s="30"/>
      <c r="XL9" s="30"/>
      <c r="XM9" s="30"/>
      <c r="XN9" s="30"/>
      <c r="XO9" s="30"/>
      <c r="XP9" s="30"/>
      <c r="XQ9" s="30"/>
      <c r="XR9" s="30"/>
      <c r="XS9" s="30"/>
      <c r="XT9" s="30"/>
      <c r="XU9" s="30"/>
      <c r="XV9" s="30"/>
      <c r="XW9" s="30"/>
      <c r="XX9" s="30"/>
      <c r="XY9" s="30"/>
      <c r="XZ9" s="30"/>
      <c r="YA9" s="30"/>
      <c r="YB9" s="30"/>
      <c r="YC9" s="30"/>
      <c r="YD9" s="30"/>
      <c r="YE9" s="30"/>
      <c r="YF9" s="30"/>
      <c r="YG9" s="30"/>
      <c r="YH9" s="30"/>
      <c r="YI9" s="30"/>
      <c r="YJ9" s="30"/>
      <c r="YK9" s="30"/>
      <c r="YL9" s="30"/>
      <c r="YM9" s="56"/>
      <c r="YN9" s="30"/>
      <c r="YO9" s="30"/>
      <c r="YP9" s="30"/>
      <c r="YQ9" s="30"/>
      <c r="YR9" s="30"/>
      <c r="YS9" s="30"/>
      <c r="YT9" s="30"/>
      <c r="YU9" s="30"/>
      <c r="YV9" s="30"/>
      <c r="YW9" s="30"/>
      <c r="YX9" s="30"/>
      <c r="YY9" s="30"/>
      <c r="YZ9" s="30"/>
      <c r="ZA9" s="30"/>
      <c r="ZB9" s="30"/>
      <c r="ZC9" s="30"/>
      <c r="ZD9" s="30"/>
      <c r="ZE9" s="30"/>
      <c r="ZF9" s="30"/>
      <c r="ZG9" s="30"/>
      <c r="ZH9" s="30"/>
      <c r="ZI9" s="30"/>
      <c r="ZJ9" s="30"/>
      <c r="ZK9" s="30"/>
      <c r="ZL9" s="30"/>
      <c r="ZM9" s="30"/>
      <c r="ZN9" s="30"/>
      <c r="ZO9" s="30"/>
      <c r="ZP9" s="30"/>
      <c r="ZQ9" s="30"/>
      <c r="ZR9" s="30"/>
      <c r="ZS9" s="30"/>
      <c r="ZT9" s="56"/>
      <c r="ZU9" s="30"/>
      <c r="ZV9" s="30"/>
      <c r="ZW9" s="30"/>
      <c r="ZX9" s="30"/>
      <c r="ZY9" s="30"/>
      <c r="ZZ9" s="30"/>
      <c r="AAA9" s="30"/>
      <c r="AAB9" s="30"/>
      <c r="AAC9" s="30"/>
      <c r="AAD9" s="30"/>
      <c r="AAE9" s="30"/>
      <c r="AAF9" s="30"/>
      <c r="AAG9" s="30"/>
      <c r="AAH9" s="30"/>
      <c r="AAI9" s="30"/>
      <c r="AAJ9" s="30"/>
      <c r="AAK9" s="30"/>
      <c r="AAL9" s="30"/>
      <c r="AAM9" s="30"/>
      <c r="AAN9" s="30"/>
      <c r="AAO9" s="30"/>
      <c r="AAP9" s="30"/>
      <c r="AAQ9" s="30"/>
      <c r="AAR9" s="30"/>
      <c r="AAS9" s="30"/>
      <c r="AAT9" s="30"/>
      <c r="AAU9" s="30"/>
      <c r="AAV9" s="30"/>
      <c r="AAW9" s="30"/>
      <c r="AAX9" s="30"/>
      <c r="AAY9" s="30"/>
      <c r="AAZ9" s="30"/>
      <c r="ABA9" s="56"/>
      <c r="ABB9" s="30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30"/>
      <c r="ACF9" s="30"/>
      <c r="ACG9" s="30"/>
      <c r="ACH9" s="56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30"/>
      <c r="ADM9" s="30"/>
      <c r="ADN9" s="30"/>
      <c r="ADO9" s="56"/>
      <c r="ADP9" s="57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30"/>
      <c r="AEP9" s="30"/>
      <c r="AEQ9" s="30"/>
      <c r="AER9" s="30"/>
      <c r="AES9" s="30"/>
      <c r="AET9" s="30"/>
      <c r="AEU9" s="30"/>
      <c r="AEV9" s="30"/>
      <c r="AEW9" s="56"/>
      <c r="AEX9" s="30"/>
      <c r="AEY9" s="30"/>
      <c r="AEZ9" s="30"/>
      <c r="AFA9" s="30"/>
      <c r="AFB9" s="30"/>
      <c r="AFC9" s="30"/>
      <c r="AFD9" s="30"/>
      <c r="AFE9" s="30"/>
      <c r="AFF9" s="30"/>
      <c r="AFG9" s="30"/>
      <c r="AFH9" s="30"/>
      <c r="AFI9" s="30"/>
      <c r="AFJ9" s="30"/>
      <c r="AFK9" s="30"/>
      <c r="AFL9" s="30"/>
      <c r="AFM9" s="30"/>
      <c r="AFN9" s="30"/>
      <c r="AFO9" s="30"/>
      <c r="AFP9" s="30"/>
      <c r="AFQ9" s="30"/>
      <c r="AFR9" s="30"/>
      <c r="AFS9" s="30"/>
      <c r="AFT9" s="30"/>
      <c r="AFU9" s="30"/>
      <c r="AFV9" s="30"/>
      <c r="AFW9" s="30"/>
      <c r="AFX9" s="30"/>
      <c r="AFY9" s="30"/>
      <c r="AFZ9" s="30"/>
      <c r="AGA9" s="30"/>
      <c r="AGB9" s="30"/>
      <c r="AGC9" s="30"/>
      <c r="AGD9" s="56"/>
      <c r="AGE9" s="30"/>
      <c r="AGF9" s="30"/>
      <c r="AGG9" s="30"/>
      <c r="AGH9" s="30"/>
      <c r="AGI9" s="30"/>
      <c r="AGJ9" s="30"/>
      <c r="AGK9" s="30"/>
      <c r="AGL9" s="30"/>
      <c r="AGM9" s="30"/>
      <c r="AGN9" s="30"/>
      <c r="AGO9" s="30"/>
      <c r="AGP9" s="30"/>
      <c r="AGQ9" s="30"/>
      <c r="AGR9" s="30"/>
      <c r="AGS9" s="30"/>
      <c r="AGT9" s="30"/>
      <c r="AGU9" s="30"/>
      <c r="AGV9" s="30"/>
      <c r="AGW9" s="30"/>
      <c r="AGX9" s="30"/>
      <c r="AGY9" s="30"/>
      <c r="AGZ9" s="30"/>
      <c r="AHA9" s="30"/>
      <c r="AHB9" s="30"/>
      <c r="AHC9" s="30"/>
      <c r="AHD9" s="30"/>
      <c r="AHE9" s="30"/>
      <c r="AHF9" s="30"/>
      <c r="AHG9" s="30"/>
      <c r="AHH9" s="30"/>
      <c r="AHI9" s="30"/>
      <c r="AHJ9" s="30"/>
      <c r="AHK9" s="56"/>
      <c r="AHL9" s="30"/>
      <c r="AHM9" s="30"/>
      <c r="AHN9" s="30"/>
      <c r="AHO9" s="30"/>
      <c r="AHP9" s="30"/>
      <c r="AHQ9" s="30"/>
      <c r="AHR9" s="30"/>
      <c r="AHS9" s="30"/>
      <c r="AHT9" s="30"/>
      <c r="AHU9" s="30"/>
      <c r="AHV9" s="30"/>
      <c r="AHW9" s="30"/>
      <c r="AHX9" s="30"/>
      <c r="AHY9" s="30"/>
      <c r="AHZ9" s="30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30"/>
      <c r="AIP9" s="30"/>
      <c r="AIQ9" s="30"/>
      <c r="AIR9" s="56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30"/>
      <c r="AJW9" s="30"/>
      <c r="AJX9" s="30"/>
      <c r="AJY9" s="56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30"/>
      <c r="ALD9" s="30"/>
      <c r="ALE9" s="30"/>
      <c r="ALF9" s="56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30"/>
      <c r="AMK9" s="30"/>
      <c r="AML9" s="30"/>
      <c r="AMM9" s="56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30"/>
      <c r="ANR9" s="30"/>
      <c r="ANS9" s="30"/>
      <c r="ANT9" s="56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30"/>
      <c r="AOY9" s="30"/>
      <c r="AOZ9" s="30"/>
      <c r="APA9" s="56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30"/>
      <c r="AQE9" s="30"/>
      <c r="AQF9" s="30"/>
      <c r="AQG9" s="30"/>
      <c r="AQH9" s="56"/>
      <c r="AQI9" s="30"/>
      <c r="AQJ9" s="30"/>
      <c r="AQK9" s="30"/>
      <c r="AQL9" s="30"/>
      <c r="AQM9" s="30"/>
      <c r="AQN9" s="30"/>
      <c r="AQO9" s="30"/>
      <c r="AQP9" s="30"/>
      <c r="AQQ9" s="30"/>
      <c r="AQR9" s="30"/>
      <c r="AQS9" s="30"/>
      <c r="AQT9" s="30"/>
      <c r="AQU9" s="30"/>
      <c r="AQV9" s="30"/>
      <c r="AQW9" s="30"/>
      <c r="AQX9" s="30"/>
      <c r="AQY9" s="30"/>
      <c r="AQZ9" s="30"/>
      <c r="ARA9" s="30"/>
      <c r="ARB9" s="30"/>
      <c r="ARC9" s="30"/>
      <c r="ARD9" s="30"/>
      <c r="ARE9" s="30"/>
      <c r="ARF9" s="30"/>
      <c r="ARG9" s="30"/>
      <c r="ARH9" s="30"/>
      <c r="ARI9" s="30"/>
      <c r="ARJ9" s="30"/>
      <c r="ARK9" s="30"/>
      <c r="ARL9" s="30"/>
      <c r="ARM9" s="30"/>
      <c r="ARN9" s="30"/>
      <c r="ARO9" s="56"/>
      <c r="ARP9" s="30"/>
      <c r="ARQ9" s="30"/>
      <c r="ARR9" s="30"/>
      <c r="ARS9" s="30"/>
      <c r="ART9" s="30"/>
      <c r="ARU9" s="30"/>
      <c r="ARV9" s="30"/>
      <c r="ARW9" s="30"/>
      <c r="ARX9" s="30"/>
      <c r="ARY9" s="30"/>
      <c r="ARZ9" s="30"/>
      <c r="ASA9" s="30"/>
      <c r="ASB9" s="30"/>
      <c r="ASC9" s="30"/>
      <c r="ASD9" s="30"/>
      <c r="ASE9" s="30"/>
      <c r="ASF9" s="30"/>
      <c r="ASG9" s="30"/>
      <c r="ASH9" s="30"/>
      <c r="ASI9" s="30"/>
      <c r="ASJ9" s="30"/>
      <c r="ASK9" s="30"/>
      <c r="ASL9" s="30"/>
      <c r="ASM9" s="30"/>
      <c r="ASN9" s="30"/>
      <c r="ASO9" s="30"/>
      <c r="ASP9" s="30"/>
      <c r="ASQ9" s="30"/>
      <c r="ASR9" s="30"/>
      <c r="ASS9" s="30"/>
      <c r="AST9" s="30"/>
      <c r="ASU9" s="30"/>
      <c r="ASV9" s="56"/>
      <c r="ASW9" s="57"/>
      <c r="ASX9" s="30"/>
      <c r="ASY9" s="30"/>
      <c r="ASZ9" s="30"/>
      <c r="ATA9" s="30"/>
      <c r="ATB9" s="30"/>
      <c r="ATC9" s="30"/>
      <c r="ATD9" s="30"/>
      <c r="ATE9" s="30"/>
      <c r="ATF9" s="30"/>
      <c r="ATG9" s="30"/>
      <c r="ATH9" s="30"/>
      <c r="ATI9" s="30"/>
      <c r="ATJ9" s="30"/>
      <c r="ATK9" s="30"/>
      <c r="ATL9" s="30"/>
      <c r="ATM9" s="30"/>
      <c r="ATN9" s="30"/>
      <c r="ATO9" s="30"/>
      <c r="ATP9" s="30"/>
      <c r="ATQ9" s="30"/>
      <c r="ATR9" s="30"/>
      <c r="ATS9" s="30"/>
      <c r="ATT9" s="30"/>
      <c r="ATU9" s="30"/>
      <c r="ATV9" s="30"/>
      <c r="ATW9" s="30"/>
      <c r="ATX9" s="30"/>
      <c r="ATY9" s="30"/>
      <c r="ATZ9" s="30"/>
      <c r="AUA9" s="30"/>
      <c r="AUB9" s="30"/>
      <c r="AUC9" s="30"/>
      <c r="AUD9" s="56"/>
      <c r="AUE9" s="30"/>
      <c r="AUF9" s="30"/>
      <c r="AUG9" s="30"/>
      <c r="AUH9" s="30"/>
      <c r="AUI9" s="30"/>
      <c r="AUJ9" s="30"/>
      <c r="AUK9" s="30"/>
      <c r="AUL9" s="30"/>
      <c r="AUM9" s="30"/>
      <c r="AUN9" s="30"/>
      <c r="AUO9" s="30"/>
      <c r="AUP9" s="30"/>
      <c r="AUQ9" s="30"/>
      <c r="AUR9" s="30"/>
      <c r="AUS9" s="30"/>
      <c r="AUT9" s="30"/>
      <c r="AUU9" s="30"/>
      <c r="AUV9" s="30"/>
      <c r="AUW9" s="30"/>
      <c r="AUX9" s="30"/>
      <c r="AUY9" s="30"/>
      <c r="AUZ9" s="30"/>
      <c r="AVA9" s="30"/>
      <c r="AVB9" s="30"/>
      <c r="AVC9" s="30"/>
      <c r="AVD9" s="30"/>
      <c r="AVE9" s="30"/>
      <c r="AVF9" s="30"/>
      <c r="AVG9" s="30"/>
      <c r="AVH9" s="30"/>
      <c r="AVI9" s="30"/>
      <c r="AVJ9" s="30"/>
      <c r="AVK9" s="56"/>
      <c r="AVL9" s="30"/>
      <c r="AVM9" s="30"/>
      <c r="AVN9" s="30"/>
      <c r="AVO9" s="30"/>
      <c r="AVP9" s="30"/>
      <c r="AVQ9" s="30"/>
      <c r="AVR9" s="30"/>
      <c r="AVS9" s="30"/>
      <c r="AVT9" s="30"/>
      <c r="AVU9" s="30"/>
      <c r="AVV9" s="30"/>
      <c r="AVW9" s="30"/>
      <c r="AVX9" s="30"/>
      <c r="AVY9" s="30"/>
      <c r="AVZ9" s="30"/>
      <c r="AWA9" s="30"/>
      <c r="AWB9" s="30"/>
      <c r="AWC9" s="30"/>
      <c r="AWD9" s="30"/>
      <c r="AWE9" s="30"/>
      <c r="AWF9" s="30"/>
      <c r="AWG9" s="30"/>
      <c r="AWH9" s="30"/>
      <c r="AWI9" s="30"/>
      <c r="AWJ9" s="30"/>
      <c r="AWK9" s="30"/>
      <c r="AWL9" s="30"/>
      <c r="AWM9" s="30"/>
      <c r="AWN9" s="30"/>
      <c r="AWO9" s="30"/>
      <c r="AWP9" s="30"/>
      <c r="AWQ9" s="30"/>
      <c r="AWR9" s="56"/>
      <c r="AWS9" s="30"/>
      <c r="AWT9" s="30"/>
      <c r="AWU9" s="30"/>
      <c r="AWV9" s="30"/>
      <c r="AWW9" s="30"/>
      <c r="AWX9" s="30"/>
      <c r="AWY9" s="30"/>
      <c r="AWZ9" s="30"/>
      <c r="AXA9" s="30"/>
      <c r="AXB9" s="30"/>
      <c r="AXC9" s="30"/>
      <c r="AXD9" s="30"/>
      <c r="AXE9" s="30"/>
      <c r="AXF9" s="30"/>
      <c r="AXG9" s="30"/>
      <c r="AXH9" s="30"/>
      <c r="AXI9" s="30"/>
      <c r="AXJ9" s="30"/>
      <c r="AXK9" s="30"/>
      <c r="AXL9" s="30"/>
      <c r="AXM9" s="30"/>
      <c r="AXN9" s="30"/>
      <c r="AXO9" s="30"/>
      <c r="AXP9" s="30"/>
      <c r="AXQ9" s="30"/>
      <c r="AXR9" s="30"/>
      <c r="AXS9" s="30"/>
      <c r="AXT9" s="30"/>
      <c r="AXU9" s="30"/>
      <c r="AXV9" s="30"/>
      <c r="AXW9" s="30"/>
      <c r="AXX9" s="30"/>
      <c r="AXY9" s="56"/>
      <c r="AXZ9" s="30"/>
      <c r="AYA9" s="30"/>
      <c r="AYB9" s="30"/>
      <c r="AYC9" s="30"/>
      <c r="AYD9" s="30"/>
      <c r="AYE9" s="30"/>
      <c r="AYF9" s="30"/>
      <c r="AYG9" s="30"/>
      <c r="AYH9" s="30"/>
      <c r="AYI9" s="30"/>
      <c r="AYJ9" s="30"/>
      <c r="AYK9" s="30"/>
      <c r="AYL9" s="30"/>
      <c r="AYM9" s="30"/>
      <c r="AYN9" s="30"/>
      <c r="AYO9" s="30"/>
      <c r="AYP9" s="30"/>
      <c r="AYQ9" s="30"/>
      <c r="AYR9" s="30"/>
      <c r="AYS9" s="30"/>
      <c r="AYT9" s="30"/>
      <c r="AYU9" s="30"/>
      <c r="AYV9" s="30"/>
      <c r="AYW9" s="30"/>
      <c r="AYX9" s="30"/>
      <c r="AYY9" s="30"/>
      <c r="AYZ9" s="30"/>
      <c r="AZA9" s="30"/>
      <c r="AZB9" s="30"/>
      <c r="AZC9" s="30"/>
      <c r="AZD9" s="30"/>
      <c r="AZE9" s="30"/>
      <c r="AZF9" s="56"/>
      <c r="AZG9" s="30"/>
      <c r="AZH9" s="30"/>
      <c r="AZI9" s="30"/>
      <c r="AZJ9" s="30"/>
      <c r="AZK9" s="30"/>
      <c r="AZL9" s="30"/>
      <c r="AZM9" s="30"/>
      <c r="AZN9" s="30"/>
      <c r="AZO9" s="30"/>
      <c r="AZP9" s="30"/>
      <c r="AZQ9" s="30"/>
      <c r="AZR9" s="30"/>
      <c r="AZS9" s="30"/>
      <c r="AZT9" s="30"/>
      <c r="AZU9" s="30"/>
      <c r="AZV9" s="30"/>
      <c r="AZW9" s="30"/>
      <c r="AZX9" s="30"/>
      <c r="AZY9" s="30"/>
      <c r="AZZ9" s="30"/>
      <c r="BAA9" s="30"/>
      <c r="BAB9" s="30"/>
      <c r="BAC9" s="30"/>
      <c r="BAD9" s="30"/>
      <c r="BAE9" s="30"/>
      <c r="BAF9" s="30"/>
      <c r="BAG9" s="30"/>
      <c r="BAH9" s="30"/>
      <c r="BAI9" s="30"/>
      <c r="BAJ9" s="30"/>
      <c r="BAK9" s="30"/>
      <c r="BAL9" s="30"/>
      <c r="BAM9" s="56"/>
      <c r="BAN9" s="30"/>
      <c r="BAO9" s="30"/>
      <c r="BAP9" s="30"/>
      <c r="BAQ9" s="30"/>
      <c r="BAR9" s="30"/>
      <c r="BAS9" s="30"/>
      <c r="BAT9" s="30"/>
      <c r="BAU9" s="30"/>
      <c r="BAV9" s="30"/>
      <c r="BAW9" s="30"/>
      <c r="BAX9" s="30"/>
      <c r="BAY9" s="30"/>
      <c r="BAZ9" s="30"/>
      <c r="BBA9" s="30"/>
      <c r="BBB9" s="30"/>
      <c r="BBC9" s="30"/>
      <c r="BBD9" s="30"/>
      <c r="BBE9" s="30"/>
      <c r="BBF9" s="30"/>
      <c r="BBG9" s="30"/>
      <c r="BBH9" s="30"/>
      <c r="BBI9" s="30"/>
      <c r="BBJ9" s="30"/>
      <c r="BBK9" s="30"/>
      <c r="BBL9" s="30"/>
      <c r="BBM9" s="30"/>
      <c r="BBN9" s="30"/>
      <c r="BBO9" s="30"/>
      <c r="BBP9" s="30"/>
      <c r="BBQ9" s="30"/>
      <c r="BBR9" s="30"/>
      <c r="BBS9" s="30"/>
      <c r="BBT9" s="56"/>
      <c r="BBU9" s="30"/>
      <c r="BBV9" s="30"/>
      <c r="BBW9" s="30"/>
      <c r="BBX9" s="30"/>
      <c r="BBY9" s="30"/>
      <c r="BBZ9" s="30"/>
      <c r="BCA9" s="30"/>
      <c r="BCB9" s="30"/>
      <c r="BCC9" s="30"/>
      <c r="BCD9" s="30"/>
      <c r="BCE9" s="30"/>
      <c r="BCF9" s="30"/>
      <c r="BCG9" s="30"/>
      <c r="BCH9" s="30"/>
      <c r="BCI9" s="30"/>
      <c r="BCJ9" s="30"/>
      <c r="BCK9" s="30"/>
      <c r="BCL9" s="30"/>
      <c r="BCM9" s="30"/>
      <c r="BCN9" s="30"/>
      <c r="BCO9" s="30"/>
      <c r="BCP9" s="30"/>
      <c r="BCQ9" s="30"/>
      <c r="BCR9" s="30"/>
      <c r="BCS9" s="30"/>
      <c r="BCT9" s="30"/>
      <c r="BCU9" s="30"/>
      <c r="BCV9" s="30"/>
      <c r="BCW9" s="30"/>
      <c r="BCX9" s="30"/>
      <c r="BCY9" s="30"/>
      <c r="BCZ9" s="30"/>
      <c r="BDA9" s="56"/>
      <c r="BDB9" s="30"/>
      <c r="BDC9" s="30"/>
      <c r="BDD9" s="30"/>
      <c r="BDE9" s="30"/>
      <c r="BDF9" s="30"/>
      <c r="BDG9" s="30"/>
      <c r="BDH9" s="30"/>
      <c r="BDI9" s="30"/>
      <c r="BDJ9" s="30"/>
      <c r="BDK9" s="30"/>
      <c r="BDL9" s="30"/>
      <c r="BDM9" s="30"/>
      <c r="BDN9" s="30"/>
      <c r="BDO9" s="30"/>
      <c r="BDP9" s="30"/>
      <c r="BDQ9" s="30"/>
      <c r="BDR9" s="30"/>
      <c r="BDS9" s="30"/>
      <c r="BDT9" s="30"/>
      <c r="BDU9" s="30"/>
      <c r="BDV9" s="30"/>
      <c r="BDW9" s="30"/>
      <c r="BDX9" s="30"/>
      <c r="BDY9" s="30"/>
      <c r="BDZ9" s="30"/>
      <c r="BEA9" s="30"/>
      <c r="BEB9" s="30"/>
      <c r="BEC9" s="30"/>
      <c r="BED9" s="30"/>
      <c r="BEE9" s="30"/>
      <c r="BEF9" s="30"/>
      <c r="BEG9" s="30"/>
      <c r="BEH9" s="56"/>
      <c r="BEI9" s="30"/>
      <c r="BEJ9" s="30"/>
      <c r="BEK9" s="30"/>
      <c r="BEL9" s="30"/>
      <c r="BEM9" s="30"/>
      <c r="BEN9" s="30"/>
      <c r="BEO9" s="30"/>
      <c r="BEP9" s="30"/>
      <c r="BEQ9" s="30"/>
      <c r="BER9" s="30"/>
      <c r="BES9" s="30"/>
      <c r="BET9" s="30"/>
      <c r="BEU9" s="30"/>
      <c r="BEV9" s="30"/>
      <c r="BEW9" s="30"/>
      <c r="BEX9" s="30"/>
      <c r="BEY9" s="30"/>
      <c r="BEZ9" s="30"/>
      <c r="BFA9" s="30"/>
      <c r="BFB9" s="30"/>
      <c r="BFC9" s="30"/>
      <c r="BFD9" s="30"/>
      <c r="BFE9" s="30"/>
      <c r="BFF9" s="30"/>
      <c r="BFG9" s="30"/>
      <c r="BFH9" s="30"/>
      <c r="BFI9" s="30"/>
      <c r="BFJ9" s="30"/>
      <c r="BFK9" s="30"/>
      <c r="BFL9" s="30"/>
      <c r="BFM9" s="30"/>
      <c r="BFN9" s="30"/>
      <c r="BFO9" s="56"/>
      <c r="BFP9" s="30"/>
      <c r="BFQ9" s="30"/>
      <c r="BFR9" s="30"/>
      <c r="BFS9" s="30"/>
      <c r="BFT9" s="30"/>
      <c r="BFU9" s="30"/>
      <c r="BFV9" s="30"/>
      <c r="BFW9" s="30"/>
      <c r="BFX9" s="30"/>
      <c r="BFY9" s="30"/>
      <c r="BFZ9" s="30"/>
      <c r="BGA9" s="30"/>
      <c r="BGB9" s="30"/>
      <c r="BGC9" s="30"/>
      <c r="BGD9" s="30"/>
      <c r="BGE9" s="30"/>
      <c r="BGF9" s="30"/>
      <c r="BGG9" s="30"/>
      <c r="BGH9" s="30"/>
      <c r="BGI9" s="30"/>
      <c r="BGJ9" s="30"/>
      <c r="BGK9" s="30"/>
      <c r="BGL9" s="30"/>
      <c r="BGM9" s="30"/>
      <c r="BGN9" s="30"/>
      <c r="BGO9" s="30"/>
      <c r="BGP9" s="30"/>
      <c r="BGQ9" s="30"/>
      <c r="BGR9" s="30"/>
      <c r="BGS9" s="30"/>
      <c r="BGT9" s="30"/>
      <c r="BGU9" s="30"/>
      <c r="BGV9" s="56"/>
      <c r="BGW9" s="30"/>
      <c r="BGX9" s="30"/>
      <c r="BGY9" s="30"/>
      <c r="BGZ9" s="30"/>
      <c r="BHA9" s="30"/>
      <c r="BHB9" s="30"/>
      <c r="BHC9" s="30"/>
      <c r="BHD9" s="30"/>
      <c r="BHE9" s="30"/>
      <c r="BHF9" s="30"/>
      <c r="BHG9" s="30"/>
      <c r="BHH9" s="30"/>
      <c r="BHI9" s="30"/>
      <c r="BHJ9" s="30"/>
      <c r="BHK9" s="30"/>
      <c r="BHL9" s="30"/>
      <c r="BHM9" s="30"/>
      <c r="BHN9" s="30"/>
      <c r="BHO9" s="30"/>
      <c r="BHP9" s="30"/>
      <c r="BHQ9" s="30"/>
      <c r="BHR9" s="30"/>
      <c r="BHS9" s="30"/>
      <c r="BHT9" s="30"/>
      <c r="BHU9" s="30"/>
      <c r="BHV9" s="30"/>
      <c r="BHW9" s="30"/>
      <c r="BHX9" s="30"/>
      <c r="BHY9" s="30"/>
      <c r="BHZ9" s="30"/>
      <c r="BIA9" s="30"/>
      <c r="BIB9" s="30"/>
      <c r="BIC9" s="56"/>
      <c r="BID9" s="57"/>
    </row>
    <row r="10" spans="1:1590" ht="14.45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56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56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56"/>
      <c r="CX10" s="30"/>
      <c r="CY10" s="30"/>
      <c r="CZ10" s="30"/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56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56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56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56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56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56"/>
      <c r="KN10" s="30"/>
      <c r="KO10" s="30"/>
      <c r="KP10" s="30"/>
      <c r="KQ10" s="30"/>
      <c r="KR10" s="30"/>
      <c r="KS10" s="30"/>
      <c r="KT10" s="30"/>
      <c r="KU10" s="30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56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56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56"/>
      <c r="OI10" s="57"/>
      <c r="OJ10" s="30"/>
      <c r="OK10" s="30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56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56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56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56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56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56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56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56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56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56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56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56"/>
      <c r="ADP10" s="57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56"/>
      <c r="AEX10" s="30"/>
      <c r="AEY10" s="30"/>
      <c r="AEZ10" s="30"/>
      <c r="AFA10" s="30"/>
      <c r="AFB10" s="30"/>
      <c r="AFC10" s="30"/>
      <c r="AFD10" s="30"/>
      <c r="AFE10" s="30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56"/>
      <c r="AGE10" s="30"/>
      <c r="AGF10" s="30"/>
      <c r="AGG10" s="30"/>
      <c r="AGH10" s="30"/>
      <c r="AGI10" s="30"/>
      <c r="AGJ10" s="30"/>
      <c r="AGK10" s="30"/>
      <c r="AGL10" s="30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56"/>
      <c r="AHL10" s="30"/>
      <c r="AHM10" s="30"/>
      <c r="AHN10" s="30"/>
      <c r="AHO10" s="30"/>
      <c r="AHP10" s="30"/>
      <c r="AHQ10" s="30"/>
      <c r="AHR10" s="30"/>
      <c r="AHS10" s="30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56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56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56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56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56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56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56"/>
      <c r="AQI10" s="30"/>
      <c r="AQJ10" s="30"/>
      <c r="AQK10" s="30"/>
      <c r="AQL10" s="30"/>
      <c r="AQM10" s="30"/>
      <c r="AQN10" s="30"/>
      <c r="AQO10" s="30"/>
      <c r="AQP10" s="30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56"/>
      <c r="ARP10" s="30"/>
      <c r="ARQ10" s="30"/>
      <c r="ARR10" s="30"/>
      <c r="ARS10" s="30"/>
      <c r="ART10" s="30"/>
      <c r="ARU10" s="30"/>
      <c r="ARV10" s="30"/>
      <c r="ARW10" s="30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56"/>
      <c r="ASW10" s="57"/>
      <c r="ASX10" s="30"/>
      <c r="ASY10" s="30"/>
      <c r="ASZ10" s="30"/>
      <c r="ATA10" s="30"/>
      <c r="ATB10" s="30"/>
      <c r="ATC10" s="30"/>
      <c r="ATD10" s="30"/>
      <c r="ATE10" s="30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56"/>
      <c r="AUE10" s="30"/>
      <c r="AUF10" s="30"/>
      <c r="AUG10" s="30"/>
      <c r="AUH10" s="30"/>
      <c r="AUI10" s="30"/>
      <c r="AUJ10" s="30"/>
      <c r="AUK10" s="30"/>
      <c r="AUL10" s="30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56"/>
      <c r="AVL10" s="30"/>
      <c r="AVM10" s="30"/>
      <c r="AVN10" s="30"/>
      <c r="AVO10" s="30"/>
      <c r="AVP10" s="30"/>
      <c r="AVQ10" s="30"/>
      <c r="AVR10" s="30"/>
      <c r="AVS10" s="30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56"/>
      <c r="AWS10" s="30"/>
      <c r="AWT10" s="30"/>
      <c r="AWU10" s="30"/>
      <c r="AWV10" s="30"/>
      <c r="AWW10" s="30"/>
      <c r="AWX10" s="30"/>
      <c r="AWY10" s="30"/>
      <c r="AWZ10" s="30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56"/>
      <c r="AXZ10" s="30"/>
      <c r="AYA10" s="30"/>
      <c r="AYB10" s="30"/>
      <c r="AYC10" s="30"/>
      <c r="AYD10" s="30"/>
      <c r="AYE10" s="30"/>
      <c r="AYF10" s="30"/>
      <c r="AYG10" s="30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56"/>
      <c r="AZG10" s="30"/>
      <c r="AZH10" s="30"/>
      <c r="AZI10" s="30"/>
      <c r="AZJ10" s="30"/>
      <c r="AZK10" s="30"/>
      <c r="AZL10" s="30"/>
      <c r="AZM10" s="30"/>
      <c r="AZN10" s="30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56"/>
      <c r="BAN10" s="30"/>
      <c r="BAO10" s="30"/>
      <c r="BAP10" s="30"/>
      <c r="BAQ10" s="30"/>
      <c r="BAR10" s="30"/>
      <c r="BAS10" s="30"/>
      <c r="BAT10" s="30"/>
      <c r="BAU10" s="30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56"/>
      <c r="BBU10" s="30"/>
      <c r="BBV10" s="30"/>
      <c r="BBW10" s="30"/>
      <c r="BBX10" s="30"/>
      <c r="BBY10" s="30"/>
      <c r="BBZ10" s="30"/>
      <c r="BCA10" s="30"/>
      <c r="BCB10" s="30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56"/>
      <c r="BDB10" s="30"/>
      <c r="BDC10" s="30"/>
      <c r="BDD10" s="30"/>
      <c r="BDE10" s="30"/>
      <c r="BDF10" s="30"/>
      <c r="BDG10" s="30"/>
      <c r="BDH10" s="30"/>
      <c r="BDI10" s="30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56"/>
      <c r="BEI10" s="30"/>
      <c r="BEJ10" s="30"/>
      <c r="BEK10" s="30"/>
      <c r="BEL10" s="30"/>
      <c r="BEM10" s="30"/>
      <c r="BEN10" s="30"/>
      <c r="BEO10" s="30"/>
      <c r="BEP10" s="30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56"/>
      <c r="BFP10" s="30"/>
      <c r="BFQ10" s="30"/>
      <c r="BFR10" s="30"/>
      <c r="BFS10" s="30"/>
      <c r="BFT10" s="30"/>
      <c r="BFU10" s="30"/>
      <c r="BFV10" s="30"/>
      <c r="BFW10" s="30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56"/>
      <c r="BGW10" s="30"/>
      <c r="BGX10" s="30"/>
      <c r="BGY10" s="30"/>
      <c r="BGZ10" s="30"/>
      <c r="BHA10" s="30"/>
      <c r="BHB10" s="30"/>
      <c r="BHC10" s="30"/>
      <c r="BHD10" s="30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56"/>
      <c r="BID10" s="57"/>
    </row>
    <row r="11" spans="1:1590" ht="14.45" x14ac:dyDescent="0.3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56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56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56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56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56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56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56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56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30"/>
      <c r="JV11" s="30"/>
      <c r="JW11" s="30"/>
      <c r="JX11" s="30"/>
      <c r="JY11" s="30"/>
      <c r="JZ11" s="30"/>
      <c r="KA11" s="30"/>
      <c r="KB11" s="30"/>
      <c r="KC11" s="30"/>
      <c r="KD11" s="30"/>
      <c r="KE11" s="30"/>
      <c r="KF11" s="30"/>
      <c r="KG11" s="30"/>
      <c r="KH11" s="30"/>
      <c r="KI11" s="30"/>
      <c r="KJ11" s="30"/>
      <c r="KK11" s="30"/>
      <c r="KL11" s="30"/>
      <c r="KM11" s="56"/>
      <c r="KN11" s="30"/>
      <c r="KO11" s="30"/>
      <c r="KP11" s="30"/>
      <c r="KQ11" s="30"/>
      <c r="KR11" s="30"/>
      <c r="KS11" s="30"/>
      <c r="KT11" s="30"/>
      <c r="KU11" s="30"/>
      <c r="KV11" s="30"/>
      <c r="KW11" s="30"/>
      <c r="KX11" s="30"/>
      <c r="KY11" s="30"/>
      <c r="KZ11" s="30"/>
      <c r="LA11" s="30"/>
      <c r="LB11" s="30"/>
      <c r="LC11" s="30"/>
      <c r="LD11" s="30"/>
      <c r="LE11" s="30"/>
      <c r="LF11" s="30"/>
      <c r="LG11" s="30"/>
      <c r="LH11" s="30"/>
      <c r="LI11" s="30"/>
      <c r="LJ11" s="30"/>
      <c r="LK11" s="30"/>
      <c r="LL11" s="30"/>
      <c r="LM11" s="30"/>
      <c r="LN11" s="30"/>
      <c r="LO11" s="30"/>
      <c r="LP11" s="30"/>
      <c r="LQ11" s="30"/>
      <c r="LR11" s="30"/>
      <c r="LS11" s="30"/>
      <c r="LT11" s="56"/>
      <c r="LU11" s="30"/>
      <c r="LV11" s="30"/>
      <c r="LW11" s="30"/>
      <c r="LX11" s="30"/>
      <c r="LY11" s="30"/>
      <c r="LZ11" s="30"/>
      <c r="MA11" s="30"/>
      <c r="MB11" s="30"/>
      <c r="MC11" s="30"/>
      <c r="MD11" s="30"/>
      <c r="ME11" s="30"/>
      <c r="MF11" s="30"/>
      <c r="MG11" s="30"/>
      <c r="MH11" s="30"/>
      <c r="MI11" s="30"/>
      <c r="MJ11" s="30"/>
      <c r="MK11" s="30"/>
      <c r="ML11" s="30"/>
      <c r="MM11" s="30"/>
      <c r="MN11" s="30"/>
      <c r="MO11" s="30"/>
      <c r="MP11" s="30"/>
      <c r="MQ11" s="30"/>
      <c r="MR11" s="30"/>
      <c r="MS11" s="30"/>
      <c r="MT11" s="30"/>
      <c r="MU11" s="30"/>
      <c r="MV11" s="30"/>
      <c r="MW11" s="30"/>
      <c r="MX11" s="30"/>
      <c r="MY11" s="30"/>
      <c r="MZ11" s="30"/>
      <c r="NA11" s="56"/>
      <c r="NB11" s="30"/>
      <c r="NC11" s="30"/>
      <c r="ND11" s="30"/>
      <c r="NE11" s="30"/>
      <c r="NF11" s="30"/>
      <c r="NG11" s="30"/>
      <c r="NH11" s="30"/>
      <c r="NI11" s="30"/>
      <c r="NJ11" s="30"/>
      <c r="NK11" s="30"/>
      <c r="NL11" s="30"/>
      <c r="NM11" s="30"/>
      <c r="NN11" s="30"/>
      <c r="NO11" s="30"/>
      <c r="NP11" s="30"/>
      <c r="NQ11" s="30"/>
      <c r="NR11" s="30"/>
      <c r="NS11" s="30"/>
      <c r="NT11" s="30"/>
      <c r="NU11" s="30"/>
      <c r="NV11" s="30"/>
      <c r="NW11" s="30"/>
      <c r="NX11" s="30"/>
      <c r="NY11" s="30"/>
      <c r="NZ11" s="30"/>
      <c r="OA11" s="30"/>
      <c r="OB11" s="30"/>
      <c r="OC11" s="30"/>
      <c r="OD11" s="30"/>
      <c r="OE11" s="30"/>
      <c r="OF11" s="30"/>
      <c r="OG11" s="30"/>
      <c r="OH11" s="56"/>
      <c r="OI11" s="57"/>
      <c r="OJ11" s="30"/>
      <c r="OK11" s="30"/>
      <c r="OL11" s="30"/>
      <c r="OM11" s="30"/>
      <c r="ON11" s="30"/>
      <c r="OO11" s="30"/>
      <c r="OP11" s="30"/>
      <c r="OQ11" s="30"/>
      <c r="OR11" s="30"/>
      <c r="OS11" s="30"/>
      <c r="OT11" s="30"/>
      <c r="OU11" s="30"/>
      <c r="OV11" s="30"/>
      <c r="OW11" s="30"/>
      <c r="OX11" s="30"/>
      <c r="OY11" s="30"/>
      <c r="OZ11" s="30"/>
      <c r="PA11" s="30"/>
      <c r="PB11" s="30"/>
      <c r="PC11" s="30"/>
      <c r="PD11" s="30"/>
      <c r="PE11" s="30"/>
      <c r="PF11" s="30"/>
      <c r="PG11" s="30"/>
      <c r="PH11" s="30"/>
      <c r="PI11" s="30"/>
      <c r="PJ11" s="30"/>
      <c r="PK11" s="30"/>
      <c r="PL11" s="30"/>
      <c r="PM11" s="30"/>
      <c r="PN11" s="30"/>
      <c r="PO11" s="30"/>
      <c r="PP11" s="56"/>
      <c r="PQ11" s="30"/>
      <c r="PR11" s="30"/>
      <c r="PS11" s="30"/>
      <c r="PT11" s="30"/>
      <c r="PU11" s="30"/>
      <c r="PV11" s="30"/>
      <c r="PW11" s="30"/>
      <c r="PX11" s="30"/>
      <c r="PY11" s="30"/>
      <c r="PZ11" s="30"/>
      <c r="QA11" s="30"/>
      <c r="QB11" s="30"/>
      <c r="QC11" s="30"/>
      <c r="QD11" s="30"/>
      <c r="QE11" s="30"/>
      <c r="QF11" s="30"/>
      <c r="QG11" s="30"/>
      <c r="QH11" s="30"/>
      <c r="QI11" s="30"/>
      <c r="QJ11" s="30"/>
      <c r="QK11" s="30"/>
      <c r="QL11" s="30"/>
      <c r="QM11" s="30"/>
      <c r="QN11" s="30"/>
      <c r="QO11" s="30"/>
      <c r="QP11" s="30"/>
      <c r="QQ11" s="30"/>
      <c r="QR11" s="30"/>
      <c r="QS11" s="30"/>
      <c r="QT11" s="30"/>
      <c r="QU11" s="30"/>
      <c r="QV11" s="30"/>
      <c r="QW11" s="56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30"/>
      <c r="SB11" s="30"/>
      <c r="SC11" s="30"/>
      <c r="SD11" s="56"/>
      <c r="SE11" s="30"/>
      <c r="SF11" s="30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0"/>
      <c r="TF11" s="30"/>
      <c r="TG11" s="30"/>
      <c r="TH11" s="30"/>
      <c r="TI11" s="30"/>
      <c r="TJ11" s="30"/>
      <c r="TK11" s="56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30"/>
      <c r="UF11" s="30"/>
      <c r="UG11" s="30"/>
      <c r="UH11" s="30"/>
      <c r="UI11" s="30"/>
      <c r="UJ11" s="30"/>
      <c r="UK11" s="30"/>
      <c r="UL11" s="30"/>
      <c r="UM11" s="30"/>
      <c r="UN11" s="30"/>
      <c r="UO11" s="30"/>
      <c r="UP11" s="30"/>
      <c r="UQ11" s="30"/>
      <c r="UR11" s="56"/>
      <c r="US11" s="30"/>
      <c r="UT11" s="30"/>
      <c r="UU11" s="30"/>
      <c r="UV11" s="30"/>
      <c r="UW11" s="30"/>
      <c r="UX11" s="30"/>
      <c r="UY11" s="30"/>
      <c r="UZ11" s="30"/>
      <c r="VA11" s="30"/>
      <c r="VB11" s="30"/>
      <c r="VC11" s="30"/>
      <c r="VD11" s="30"/>
      <c r="VE11" s="30"/>
      <c r="VF11" s="30"/>
      <c r="VG11" s="30"/>
      <c r="VH11" s="30"/>
      <c r="VI11" s="30"/>
      <c r="VJ11" s="30"/>
      <c r="VK11" s="30"/>
      <c r="VL11" s="30"/>
      <c r="VM11" s="30"/>
      <c r="VN11" s="30"/>
      <c r="VO11" s="30"/>
      <c r="VP11" s="30"/>
      <c r="VQ11" s="30"/>
      <c r="VR11" s="30"/>
      <c r="VS11" s="30"/>
      <c r="VT11" s="30"/>
      <c r="VU11" s="30"/>
      <c r="VV11" s="30"/>
      <c r="VW11" s="30"/>
      <c r="VX11" s="30"/>
      <c r="VY11" s="56"/>
      <c r="VZ11" s="30"/>
      <c r="WA11" s="30"/>
      <c r="WB11" s="30"/>
      <c r="WC11" s="30"/>
      <c r="WD11" s="30"/>
      <c r="WE11" s="30"/>
      <c r="WF11" s="30"/>
      <c r="WG11" s="30"/>
      <c r="WH11" s="30"/>
      <c r="WI11" s="30"/>
      <c r="WJ11" s="30"/>
      <c r="WK11" s="30"/>
      <c r="WL11" s="30"/>
      <c r="WM11" s="30"/>
      <c r="WN11" s="30"/>
      <c r="WO11" s="30"/>
      <c r="WP11" s="30"/>
      <c r="WQ11" s="30"/>
      <c r="WR11" s="30"/>
      <c r="WS11" s="30"/>
      <c r="WT11" s="30"/>
      <c r="WU11" s="30"/>
      <c r="WV11" s="30"/>
      <c r="WW11" s="30"/>
      <c r="WX11" s="30"/>
      <c r="WY11" s="30"/>
      <c r="WZ11" s="30"/>
      <c r="XA11" s="30"/>
      <c r="XB11" s="30"/>
      <c r="XC11" s="30"/>
      <c r="XD11" s="30"/>
      <c r="XE11" s="30"/>
      <c r="XF11" s="56"/>
      <c r="XG11" s="30"/>
      <c r="XH11" s="30"/>
      <c r="XI11" s="30"/>
      <c r="XJ11" s="30"/>
      <c r="XK11" s="30"/>
      <c r="XL11" s="30"/>
      <c r="XM11" s="30"/>
      <c r="XN11" s="30"/>
      <c r="XO11" s="30"/>
      <c r="XP11" s="30"/>
      <c r="XQ11" s="30"/>
      <c r="XR11" s="30"/>
      <c r="XS11" s="30"/>
      <c r="XT11" s="30"/>
      <c r="XU11" s="30"/>
      <c r="XV11" s="30"/>
      <c r="XW11" s="30"/>
      <c r="XX11" s="30"/>
      <c r="XY11" s="30"/>
      <c r="XZ11" s="30"/>
      <c r="YA11" s="30"/>
      <c r="YB11" s="30"/>
      <c r="YC11" s="30"/>
      <c r="YD11" s="30"/>
      <c r="YE11" s="30"/>
      <c r="YF11" s="30"/>
      <c r="YG11" s="30"/>
      <c r="YH11" s="30"/>
      <c r="YI11" s="30"/>
      <c r="YJ11" s="30"/>
      <c r="YK11" s="30"/>
      <c r="YL11" s="30"/>
      <c r="YM11" s="56"/>
      <c r="YN11" s="30"/>
      <c r="YO11" s="30"/>
      <c r="YP11" s="30"/>
      <c r="YQ11" s="30"/>
      <c r="YR11" s="30"/>
      <c r="YS11" s="30"/>
      <c r="YT11" s="30"/>
      <c r="YU11" s="30"/>
      <c r="YV11" s="30"/>
      <c r="YW11" s="30"/>
      <c r="YX11" s="30"/>
      <c r="YY11" s="30"/>
      <c r="YZ11" s="30"/>
      <c r="ZA11" s="30"/>
      <c r="ZB11" s="30"/>
      <c r="ZC11" s="30"/>
      <c r="ZD11" s="30"/>
      <c r="ZE11" s="30"/>
      <c r="ZF11" s="30"/>
      <c r="ZG11" s="30"/>
      <c r="ZH11" s="30"/>
      <c r="ZI11" s="30"/>
      <c r="ZJ11" s="30"/>
      <c r="ZK11" s="30"/>
      <c r="ZL11" s="30"/>
      <c r="ZM11" s="30"/>
      <c r="ZN11" s="30"/>
      <c r="ZO11" s="30"/>
      <c r="ZP11" s="30"/>
      <c r="ZQ11" s="30"/>
      <c r="ZR11" s="30"/>
      <c r="ZS11" s="30"/>
      <c r="ZT11" s="56"/>
      <c r="ZU11" s="30"/>
      <c r="ZV11" s="30"/>
      <c r="ZW11" s="30"/>
      <c r="ZX11" s="30"/>
      <c r="ZY11" s="30"/>
      <c r="ZZ11" s="30"/>
      <c r="AAA11" s="30"/>
      <c r="AAB11" s="30"/>
      <c r="AAC11" s="30"/>
      <c r="AAD11" s="30"/>
      <c r="AAE11" s="30"/>
      <c r="AAF11" s="30"/>
      <c r="AAG11" s="30"/>
      <c r="AAH11" s="30"/>
      <c r="AAI11" s="30"/>
      <c r="AAJ11" s="30"/>
      <c r="AAK11" s="30"/>
      <c r="AAL11" s="30"/>
      <c r="AAM11" s="30"/>
      <c r="AAN11" s="30"/>
      <c r="AAO11" s="30"/>
      <c r="AAP11" s="30"/>
      <c r="AAQ11" s="30"/>
      <c r="AAR11" s="30"/>
      <c r="AAS11" s="30"/>
      <c r="AAT11" s="30"/>
      <c r="AAU11" s="30"/>
      <c r="AAV11" s="30"/>
      <c r="AAW11" s="30"/>
      <c r="AAX11" s="30"/>
      <c r="AAY11" s="30"/>
      <c r="AAZ11" s="30"/>
      <c r="ABA11" s="56"/>
      <c r="ABB11" s="30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  <c r="ABT11" s="30"/>
      <c r="ABU11" s="30"/>
      <c r="ABV11" s="30"/>
      <c r="ABW11" s="30"/>
      <c r="ABX11" s="30"/>
      <c r="ABY11" s="30"/>
      <c r="ABZ11" s="30"/>
      <c r="ACA11" s="30"/>
      <c r="ACB11" s="30"/>
      <c r="ACC11" s="30"/>
      <c r="ACD11" s="30"/>
      <c r="ACE11" s="30"/>
      <c r="ACF11" s="30"/>
      <c r="ACG11" s="30"/>
      <c r="ACH11" s="56"/>
      <c r="ACI11" s="30"/>
      <c r="ACJ11" s="30"/>
      <c r="ACK11" s="30"/>
      <c r="ACL11" s="30"/>
      <c r="ACM11" s="30"/>
      <c r="ACN11" s="30"/>
      <c r="ACO11" s="30"/>
      <c r="ACP11" s="30"/>
      <c r="ACQ11" s="30"/>
      <c r="ACR11" s="30"/>
      <c r="ACS11" s="30"/>
      <c r="ACT11" s="30"/>
      <c r="ACU11" s="30"/>
      <c r="ACV11" s="30"/>
      <c r="ACW11" s="30"/>
      <c r="ACX11" s="30"/>
      <c r="ACY11" s="30"/>
      <c r="ACZ11" s="30"/>
      <c r="ADA11" s="30"/>
      <c r="ADB11" s="30"/>
      <c r="ADC11" s="30"/>
      <c r="ADD11" s="30"/>
      <c r="ADE11" s="30"/>
      <c r="ADF11" s="30"/>
      <c r="ADG11" s="30"/>
      <c r="ADH11" s="30"/>
      <c r="ADI11" s="30"/>
      <c r="ADJ11" s="30"/>
      <c r="ADK11" s="30"/>
      <c r="ADL11" s="30"/>
      <c r="ADM11" s="30"/>
      <c r="ADN11" s="30"/>
      <c r="ADO11" s="56"/>
      <c r="ADP11" s="57"/>
      <c r="ADQ11" s="30"/>
      <c r="ADR11" s="30"/>
      <c r="ADS11" s="30"/>
      <c r="ADT11" s="30"/>
      <c r="ADU11" s="30"/>
      <c r="ADV11" s="30"/>
      <c r="ADW11" s="30"/>
      <c r="ADX11" s="30"/>
      <c r="ADY11" s="30"/>
      <c r="ADZ11" s="30"/>
      <c r="AEA11" s="30"/>
      <c r="AEB11" s="30"/>
      <c r="AEC11" s="30"/>
      <c r="AED11" s="30"/>
      <c r="AEE11" s="30"/>
      <c r="AEF11" s="30"/>
      <c r="AEG11" s="30"/>
      <c r="AEH11" s="30"/>
      <c r="AEI11" s="30"/>
      <c r="AEJ11" s="30"/>
      <c r="AEK11" s="30"/>
      <c r="AEL11" s="30"/>
      <c r="AEM11" s="30"/>
      <c r="AEN11" s="30"/>
      <c r="AEO11" s="30"/>
      <c r="AEP11" s="30"/>
      <c r="AEQ11" s="30"/>
      <c r="AER11" s="30"/>
      <c r="AES11" s="30"/>
      <c r="AET11" s="30"/>
      <c r="AEU11" s="30"/>
      <c r="AEV11" s="30"/>
      <c r="AEW11" s="56"/>
      <c r="AEX11" s="30"/>
      <c r="AEY11" s="30"/>
      <c r="AEZ11" s="30"/>
      <c r="AFA11" s="30"/>
      <c r="AFB11" s="30"/>
      <c r="AFC11" s="30"/>
      <c r="AFD11" s="30"/>
      <c r="AFE11" s="30"/>
      <c r="AFF11" s="30"/>
      <c r="AFG11" s="30"/>
      <c r="AFH11" s="30"/>
      <c r="AFI11" s="30"/>
      <c r="AFJ11" s="30"/>
      <c r="AFK11" s="30"/>
      <c r="AFL11" s="30"/>
      <c r="AFM11" s="30"/>
      <c r="AFN11" s="30"/>
      <c r="AFO11" s="30"/>
      <c r="AFP11" s="30"/>
      <c r="AFQ11" s="30"/>
      <c r="AFR11" s="30"/>
      <c r="AFS11" s="30"/>
      <c r="AFT11" s="30"/>
      <c r="AFU11" s="30"/>
      <c r="AFV11" s="30"/>
      <c r="AFW11" s="30"/>
      <c r="AFX11" s="30"/>
      <c r="AFY11" s="30"/>
      <c r="AFZ11" s="30"/>
      <c r="AGA11" s="30"/>
      <c r="AGB11" s="30"/>
      <c r="AGC11" s="30"/>
      <c r="AGD11" s="56"/>
      <c r="AGE11" s="30"/>
      <c r="AGF11" s="30"/>
      <c r="AGG11" s="30"/>
      <c r="AGH11" s="30"/>
      <c r="AGI11" s="30"/>
      <c r="AGJ11" s="30"/>
      <c r="AGK11" s="30"/>
      <c r="AGL11" s="30"/>
      <c r="AGM11" s="30"/>
      <c r="AGN11" s="30"/>
      <c r="AGO11" s="30"/>
      <c r="AGP11" s="30"/>
      <c r="AGQ11" s="30"/>
      <c r="AGR11" s="30"/>
      <c r="AGS11" s="30"/>
      <c r="AGT11" s="30"/>
      <c r="AGU11" s="30"/>
      <c r="AGV11" s="30"/>
      <c r="AGW11" s="30"/>
      <c r="AGX11" s="30"/>
      <c r="AGY11" s="30"/>
      <c r="AGZ11" s="30"/>
      <c r="AHA11" s="30"/>
      <c r="AHB11" s="30"/>
      <c r="AHC11" s="30"/>
      <c r="AHD11" s="30"/>
      <c r="AHE11" s="30"/>
      <c r="AHF11" s="30"/>
      <c r="AHG11" s="30"/>
      <c r="AHH11" s="30"/>
      <c r="AHI11" s="30"/>
      <c r="AHJ11" s="30"/>
      <c r="AHK11" s="56"/>
      <c r="AHL11" s="30"/>
      <c r="AHM11" s="30"/>
      <c r="AHN11" s="30"/>
      <c r="AHO11" s="30"/>
      <c r="AHP11" s="30"/>
      <c r="AHQ11" s="30"/>
      <c r="AHR11" s="30"/>
      <c r="AHS11" s="30"/>
      <c r="AHT11" s="30"/>
      <c r="AHU11" s="30"/>
      <c r="AHV11" s="30"/>
      <c r="AHW11" s="30"/>
      <c r="AHX11" s="30"/>
      <c r="AHY11" s="30"/>
      <c r="AHZ11" s="30"/>
      <c r="AIA11" s="30"/>
      <c r="AIB11" s="30"/>
      <c r="AIC11" s="30"/>
      <c r="AID11" s="30"/>
      <c r="AIE11" s="30"/>
      <c r="AIF11" s="30"/>
      <c r="AIG11" s="30"/>
      <c r="AIH11" s="30"/>
      <c r="AII11" s="30"/>
      <c r="AIJ11" s="30"/>
      <c r="AIK11" s="30"/>
      <c r="AIL11" s="30"/>
      <c r="AIM11" s="30"/>
      <c r="AIN11" s="30"/>
      <c r="AIO11" s="30"/>
      <c r="AIP11" s="30"/>
      <c r="AIQ11" s="30"/>
      <c r="AIR11" s="56"/>
      <c r="AIS11" s="30"/>
      <c r="AIT11" s="30"/>
      <c r="AIU11" s="30"/>
      <c r="AIV11" s="30"/>
      <c r="AIW11" s="30"/>
      <c r="AIX11" s="30"/>
      <c r="AIY11" s="30"/>
      <c r="AIZ11" s="30"/>
      <c r="AJA11" s="30"/>
      <c r="AJB11" s="30"/>
      <c r="AJC11" s="30"/>
      <c r="AJD11" s="30"/>
      <c r="AJE11" s="30"/>
      <c r="AJF11" s="30"/>
      <c r="AJG11" s="30"/>
      <c r="AJH11" s="30"/>
      <c r="AJI11" s="30"/>
      <c r="AJJ11" s="30"/>
      <c r="AJK11" s="30"/>
      <c r="AJL11" s="30"/>
      <c r="AJM11" s="30"/>
      <c r="AJN11" s="30"/>
      <c r="AJO11" s="30"/>
      <c r="AJP11" s="30"/>
      <c r="AJQ11" s="30"/>
      <c r="AJR11" s="30"/>
      <c r="AJS11" s="30"/>
      <c r="AJT11" s="30"/>
      <c r="AJU11" s="30"/>
      <c r="AJV11" s="30"/>
      <c r="AJW11" s="30"/>
      <c r="AJX11" s="30"/>
      <c r="AJY11" s="56"/>
      <c r="AJZ11" s="30"/>
      <c r="AKA11" s="30"/>
      <c r="AKB11" s="30"/>
      <c r="AKC11" s="30"/>
      <c r="AKD11" s="30"/>
      <c r="AKE11" s="30"/>
      <c r="AKF11" s="30"/>
      <c r="AKG11" s="30"/>
      <c r="AKH11" s="30"/>
      <c r="AKI11" s="30"/>
      <c r="AKJ11" s="30"/>
      <c r="AKK11" s="30"/>
      <c r="AKL11" s="30"/>
      <c r="AKM11" s="30"/>
      <c r="AKN11" s="30"/>
      <c r="AKO11" s="30"/>
      <c r="AKP11" s="30"/>
      <c r="AKQ11" s="30"/>
      <c r="AKR11" s="30"/>
      <c r="AKS11" s="30"/>
      <c r="AKT11" s="30"/>
      <c r="AKU11" s="30"/>
      <c r="AKV11" s="30"/>
      <c r="AKW11" s="30"/>
      <c r="AKX11" s="30"/>
      <c r="AKY11" s="30"/>
      <c r="AKZ11" s="30"/>
      <c r="ALA11" s="30"/>
      <c r="ALB11" s="30"/>
      <c r="ALC11" s="30"/>
      <c r="ALD11" s="30"/>
      <c r="ALE11" s="30"/>
      <c r="ALF11" s="56"/>
      <c r="ALG11" s="30"/>
      <c r="ALH11" s="30"/>
      <c r="ALI11" s="30"/>
      <c r="ALJ11" s="30"/>
      <c r="ALK11" s="30"/>
      <c r="ALL11" s="30"/>
      <c r="ALM11" s="30"/>
      <c r="ALN11" s="30"/>
      <c r="ALO11" s="30"/>
      <c r="ALP11" s="30"/>
      <c r="ALQ11" s="30"/>
      <c r="ALR11" s="30"/>
      <c r="ALS11" s="30"/>
      <c r="ALT11" s="30"/>
      <c r="ALU11" s="30"/>
      <c r="ALV11" s="30"/>
      <c r="ALW11" s="30"/>
      <c r="ALX11" s="30"/>
      <c r="ALY11" s="30"/>
      <c r="ALZ11" s="30"/>
      <c r="AMA11" s="30"/>
      <c r="AMB11" s="30"/>
      <c r="AMC11" s="30"/>
      <c r="AMD11" s="30"/>
      <c r="AME11" s="30"/>
      <c r="AMF11" s="30"/>
      <c r="AMG11" s="30"/>
      <c r="AMH11" s="30"/>
      <c r="AMI11" s="30"/>
      <c r="AMJ11" s="30"/>
      <c r="AMK11" s="30"/>
      <c r="AML11" s="30"/>
      <c r="AMM11" s="56"/>
      <c r="AMN11" s="30"/>
      <c r="AMO11" s="30"/>
      <c r="AMP11" s="30"/>
      <c r="AMQ11" s="30"/>
      <c r="AMR11" s="30"/>
      <c r="AMS11" s="30"/>
      <c r="AMT11" s="30"/>
      <c r="AMU11" s="30"/>
      <c r="AMV11" s="30"/>
      <c r="AMW11" s="30"/>
      <c r="AMX11" s="30"/>
      <c r="AMY11" s="30"/>
      <c r="AMZ11" s="30"/>
      <c r="ANA11" s="30"/>
      <c r="ANB11" s="30"/>
      <c r="ANC11" s="30"/>
      <c r="AND11" s="30"/>
      <c r="ANE11" s="30"/>
      <c r="ANF11" s="30"/>
      <c r="ANG11" s="30"/>
      <c r="ANH11" s="30"/>
      <c r="ANI11" s="30"/>
      <c r="ANJ11" s="30"/>
      <c r="ANK11" s="30"/>
      <c r="ANL11" s="30"/>
      <c r="ANM11" s="30"/>
      <c r="ANN11" s="30"/>
      <c r="ANO11" s="30"/>
      <c r="ANP11" s="30"/>
      <c r="ANQ11" s="30"/>
      <c r="ANR11" s="30"/>
      <c r="ANS11" s="30"/>
      <c r="ANT11" s="56"/>
      <c r="ANU11" s="30"/>
      <c r="ANV11" s="30"/>
      <c r="ANW11" s="30"/>
      <c r="ANX11" s="30"/>
      <c r="ANY11" s="30"/>
      <c r="ANZ11" s="30"/>
      <c r="AOA11" s="30"/>
      <c r="AOB11" s="30"/>
      <c r="AOC11" s="30"/>
      <c r="AOD11" s="30"/>
      <c r="AOE11" s="30"/>
      <c r="AOF11" s="30"/>
      <c r="AOG11" s="30"/>
      <c r="AOH11" s="30"/>
      <c r="AOI11" s="30"/>
      <c r="AOJ11" s="30"/>
      <c r="AOK11" s="30"/>
      <c r="AOL11" s="30"/>
      <c r="AOM11" s="30"/>
      <c r="AON11" s="30"/>
      <c r="AOO11" s="30"/>
      <c r="AOP11" s="30"/>
      <c r="AOQ11" s="30"/>
      <c r="AOR11" s="30"/>
      <c r="AOS11" s="30"/>
      <c r="AOT11" s="30"/>
      <c r="AOU11" s="30"/>
      <c r="AOV11" s="30"/>
      <c r="AOW11" s="30"/>
      <c r="AOX11" s="30"/>
      <c r="AOY11" s="30"/>
      <c r="AOZ11" s="30"/>
      <c r="APA11" s="56"/>
      <c r="APB11" s="30"/>
      <c r="APC11" s="30"/>
      <c r="APD11" s="30"/>
      <c r="APE11" s="30"/>
      <c r="APF11" s="30"/>
      <c r="APG11" s="30"/>
      <c r="APH11" s="30"/>
      <c r="API11" s="30"/>
      <c r="APJ11" s="30"/>
      <c r="APK11" s="30"/>
      <c r="APL11" s="30"/>
      <c r="APM11" s="30"/>
      <c r="APN11" s="30"/>
      <c r="APO11" s="30"/>
      <c r="APP11" s="30"/>
      <c r="APQ11" s="30"/>
      <c r="APR11" s="30"/>
      <c r="APS11" s="30"/>
      <c r="APT11" s="30"/>
      <c r="APU11" s="30"/>
      <c r="APV11" s="30"/>
      <c r="APW11" s="30"/>
      <c r="APX11" s="30"/>
      <c r="APY11" s="30"/>
      <c r="APZ11" s="30"/>
      <c r="AQA11" s="30"/>
      <c r="AQB11" s="30"/>
      <c r="AQC11" s="30"/>
      <c r="AQD11" s="30"/>
      <c r="AQE11" s="30"/>
      <c r="AQF11" s="30"/>
      <c r="AQG11" s="30"/>
      <c r="AQH11" s="56"/>
      <c r="AQI11" s="30"/>
      <c r="AQJ11" s="30"/>
      <c r="AQK11" s="30"/>
      <c r="AQL11" s="30"/>
      <c r="AQM11" s="30"/>
      <c r="AQN11" s="30"/>
      <c r="AQO11" s="30"/>
      <c r="AQP11" s="30"/>
      <c r="AQQ11" s="30"/>
      <c r="AQR11" s="30"/>
      <c r="AQS11" s="30"/>
      <c r="AQT11" s="30"/>
      <c r="AQU11" s="30"/>
      <c r="AQV11" s="30"/>
      <c r="AQW11" s="30"/>
      <c r="AQX11" s="30"/>
      <c r="AQY11" s="30"/>
      <c r="AQZ11" s="30"/>
      <c r="ARA11" s="30"/>
      <c r="ARB11" s="30"/>
      <c r="ARC11" s="30"/>
      <c r="ARD11" s="30"/>
      <c r="ARE11" s="30"/>
      <c r="ARF11" s="30"/>
      <c r="ARG11" s="30"/>
      <c r="ARH11" s="30"/>
      <c r="ARI11" s="30"/>
      <c r="ARJ11" s="30"/>
      <c r="ARK11" s="30"/>
      <c r="ARL11" s="30"/>
      <c r="ARM11" s="30"/>
      <c r="ARN11" s="30"/>
      <c r="ARO11" s="56"/>
      <c r="ARP11" s="30"/>
      <c r="ARQ11" s="30"/>
      <c r="ARR11" s="30"/>
      <c r="ARS11" s="30"/>
      <c r="ART11" s="30"/>
      <c r="ARU11" s="30"/>
      <c r="ARV11" s="30"/>
      <c r="ARW11" s="30"/>
      <c r="ARX11" s="30"/>
      <c r="ARY11" s="30"/>
      <c r="ARZ11" s="30"/>
      <c r="ASA11" s="30"/>
      <c r="ASB11" s="30"/>
      <c r="ASC11" s="30"/>
      <c r="ASD11" s="30"/>
      <c r="ASE11" s="30"/>
      <c r="ASF11" s="30"/>
      <c r="ASG11" s="30"/>
      <c r="ASH11" s="30"/>
      <c r="ASI11" s="30"/>
      <c r="ASJ11" s="30"/>
      <c r="ASK11" s="30"/>
      <c r="ASL11" s="30"/>
      <c r="ASM11" s="30"/>
      <c r="ASN11" s="30"/>
      <c r="ASO11" s="30"/>
      <c r="ASP11" s="30"/>
      <c r="ASQ11" s="30"/>
      <c r="ASR11" s="30"/>
      <c r="ASS11" s="30"/>
      <c r="AST11" s="30"/>
      <c r="ASU11" s="30"/>
      <c r="ASV11" s="56"/>
      <c r="ASW11" s="57"/>
      <c r="ASX11" s="30"/>
      <c r="ASY11" s="30"/>
      <c r="ASZ11" s="30"/>
      <c r="ATA11" s="30"/>
      <c r="ATB11" s="30"/>
      <c r="ATC11" s="30"/>
      <c r="ATD11" s="30"/>
      <c r="ATE11" s="30"/>
      <c r="ATF11" s="30"/>
      <c r="ATG11" s="30"/>
      <c r="ATH11" s="30"/>
      <c r="ATI11" s="30"/>
      <c r="ATJ11" s="30"/>
      <c r="ATK11" s="30"/>
      <c r="ATL11" s="30"/>
      <c r="ATM11" s="30"/>
      <c r="ATN11" s="30"/>
      <c r="ATO11" s="30"/>
      <c r="ATP11" s="30"/>
      <c r="ATQ11" s="30"/>
      <c r="ATR11" s="30"/>
      <c r="ATS11" s="30"/>
      <c r="ATT11" s="30"/>
      <c r="ATU11" s="30"/>
      <c r="ATV11" s="30"/>
      <c r="ATW11" s="30"/>
      <c r="ATX11" s="30"/>
      <c r="ATY11" s="30"/>
      <c r="ATZ11" s="30"/>
      <c r="AUA11" s="30"/>
      <c r="AUB11" s="30"/>
      <c r="AUC11" s="30"/>
      <c r="AUD11" s="56"/>
      <c r="AUE11" s="30"/>
      <c r="AUF11" s="30"/>
      <c r="AUG11" s="30"/>
      <c r="AUH11" s="30"/>
      <c r="AUI11" s="30"/>
      <c r="AUJ11" s="30"/>
      <c r="AUK11" s="30"/>
      <c r="AUL11" s="30"/>
      <c r="AUM11" s="30"/>
      <c r="AUN11" s="30"/>
      <c r="AUO11" s="30"/>
      <c r="AUP11" s="30"/>
      <c r="AUQ11" s="30"/>
      <c r="AUR11" s="30"/>
      <c r="AUS11" s="30"/>
      <c r="AUT11" s="30"/>
      <c r="AUU11" s="30"/>
      <c r="AUV11" s="30"/>
      <c r="AUW11" s="30"/>
      <c r="AUX11" s="30"/>
      <c r="AUY11" s="30"/>
      <c r="AUZ11" s="30"/>
      <c r="AVA11" s="30"/>
      <c r="AVB11" s="30"/>
      <c r="AVC11" s="30"/>
      <c r="AVD11" s="30"/>
      <c r="AVE11" s="30"/>
      <c r="AVF11" s="30"/>
      <c r="AVG11" s="30"/>
      <c r="AVH11" s="30"/>
      <c r="AVI11" s="30"/>
      <c r="AVJ11" s="30"/>
      <c r="AVK11" s="56"/>
      <c r="AVL11" s="30"/>
      <c r="AVM11" s="30"/>
      <c r="AVN11" s="30"/>
      <c r="AVO11" s="30"/>
      <c r="AVP11" s="30"/>
      <c r="AVQ11" s="30"/>
      <c r="AVR11" s="30"/>
      <c r="AVS11" s="30"/>
      <c r="AVT11" s="30"/>
      <c r="AVU11" s="30"/>
      <c r="AVV11" s="30"/>
      <c r="AVW11" s="30"/>
      <c r="AVX11" s="30"/>
      <c r="AVY11" s="30"/>
      <c r="AVZ11" s="30"/>
      <c r="AWA11" s="30"/>
      <c r="AWB11" s="30"/>
      <c r="AWC11" s="30"/>
      <c r="AWD11" s="30"/>
      <c r="AWE11" s="30"/>
      <c r="AWF11" s="30"/>
      <c r="AWG11" s="30"/>
      <c r="AWH11" s="30"/>
      <c r="AWI11" s="30"/>
      <c r="AWJ11" s="30"/>
      <c r="AWK11" s="30"/>
      <c r="AWL11" s="30"/>
      <c r="AWM11" s="30"/>
      <c r="AWN11" s="30"/>
      <c r="AWO11" s="30"/>
      <c r="AWP11" s="30"/>
      <c r="AWQ11" s="30"/>
      <c r="AWR11" s="56"/>
      <c r="AWS11" s="30"/>
      <c r="AWT11" s="30"/>
      <c r="AWU11" s="30"/>
      <c r="AWV11" s="30"/>
      <c r="AWW11" s="30"/>
      <c r="AWX11" s="30"/>
      <c r="AWY11" s="30"/>
      <c r="AWZ11" s="30"/>
      <c r="AXA11" s="30"/>
      <c r="AXB11" s="30"/>
      <c r="AXC11" s="30"/>
      <c r="AXD11" s="30"/>
      <c r="AXE11" s="30"/>
      <c r="AXF11" s="30"/>
      <c r="AXG11" s="30"/>
      <c r="AXH11" s="30"/>
      <c r="AXI11" s="30"/>
      <c r="AXJ11" s="30"/>
      <c r="AXK11" s="30"/>
      <c r="AXL11" s="30"/>
      <c r="AXM11" s="30"/>
      <c r="AXN11" s="30"/>
      <c r="AXO11" s="30"/>
      <c r="AXP11" s="30"/>
      <c r="AXQ11" s="30"/>
      <c r="AXR11" s="30"/>
      <c r="AXS11" s="30"/>
      <c r="AXT11" s="30"/>
      <c r="AXU11" s="30"/>
      <c r="AXV11" s="30"/>
      <c r="AXW11" s="30"/>
      <c r="AXX11" s="30"/>
      <c r="AXY11" s="56"/>
      <c r="AXZ11" s="30"/>
      <c r="AYA11" s="30"/>
      <c r="AYB11" s="30"/>
      <c r="AYC11" s="30"/>
      <c r="AYD11" s="30"/>
      <c r="AYE11" s="30"/>
      <c r="AYF11" s="30"/>
      <c r="AYG11" s="30"/>
      <c r="AYH11" s="30"/>
      <c r="AYI11" s="30"/>
      <c r="AYJ11" s="30"/>
      <c r="AYK11" s="30"/>
      <c r="AYL11" s="30"/>
      <c r="AYM11" s="30"/>
      <c r="AYN11" s="30"/>
      <c r="AYO11" s="30"/>
      <c r="AYP11" s="30"/>
      <c r="AYQ11" s="30"/>
      <c r="AYR11" s="30"/>
      <c r="AYS11" s="30"/>
      <c r="AYT11" s="30"/>
      <c r="AYU11" s="30"/>
      <c r="AYV11" s="30"/>
      <c r="AYW11" s="30"/>
      <c r="AYX11" s="30"/>
      <c r="AYY11" s="30"/>
      <c r="AYZ11" s="30"/>
      <c r="AZA11" s="30"/>
      <c r="AZB11" s="30"/>
      <c r="AZC11" s="30"/>
      <c r="AZD11" s="30"/>
      <c r="AZE11" s="30"/>
      <c r="AZF11" s="56"/>
      <c r="AZG11" s="30"/>
      <c r="AZH11" s="30"/>
      <c r="AZI11" s="30"/>
      <c r="AZJ11" s="30"/>
      <c r="AZK11" s="30"/>
      <c r="AZL11" s="30"/>
      <c r="AZM11" s="30"/>
      <c r="AZN11" s="30"/>
      <c r="AZO11" s="30"/>
      <c r="AZP11" s="30"/>
      <c r="AZQ11" s="30"/>
      <c r="AZR11" s="30"/>
      <c r="AZS11" s="30"/>
      <c r="AZT11" s="30"/>
      <c r="AZU11" s="30"/>
      <c r="AZV11" s="30"/>
      <c r="AZW11" s="30"/>
      <c r="AZX11" s="30"/>
      <c r="AZY11" s="30"/>
      <c r="AZZ11" s="30"/>
      <c r="BAA11" s="30"/>
      <c r="BAB11" s="30"/>
      <c r="BAC11" s="30"/>
      <c r="BAD11" s="30"/>
      <c r="BAE11" s="30"/>
      <c r="BAF11" s="30"/>
      <c r="BAG11" s="30"/>
      <c r="BAH11" s="30"/>
      <c r="BAI11" s="30"/>
      <c r="BAJ11" s="30"/>
      <c r="BAK11" s="30"/>
      <c r="BAL11" s="30"/>
      <c r="BAM11" s="56"/>
      <c r="BAN11" s="30"/>
      <c r="BAO11" s="30"/>
      <c r="BAP11" s="30"/>
      <c r="BAQ11" s="30"/>
      <c r="BAR11" s="30"/>
      <c r="BAS11" s="30"/>
      <c r="BAT11" s="30"/>
      <c r="BAU11" s="30"/>
      <c r="BAV11" s="30"/>
      <c r="BAW11" s="30"/>
      <c r="BAX11" s="30"/>
      <c r="BAY11" s="30"/>
      <c r="BAZ11" s="30"/>
      <c r="BBA11" s="30"/>
      <c r="BBB11" s="30"/>
      <c r="BBC11" s="30"/>
      <c r="BBD11" s="30"/>
      <c r="BBE11" s="30"/>
      <c r="BBF11" s="30"/>
      <c r="BBG11" s="30"/>
      <c r="BBH11" s="30"/>
      <c r="BBI11" s="30"/>
      <c r="BBJ11" s="30"/>
      <c r="BBK11" s="30"/>
      <c r="BBL11" s="30"/>
      <c r="BBM11" s="30"/>
      <c r="BBN11" s="30"/>
      <c r="BBO11" s="30"/>
      <c r="BBP11" s="30"/>
      <c r="BBQ11" s="30"/>
      <c r="BBR11" s="30"/>
      <c r="BBS11" s="30"/>
      <c r="BBT11" s="56"/>
      <c r="BBU11" s="30"/>
      <c r="BBV11" s="30"/>
      <c r="BBW11" s="30"/>
      <c r="BBX11" s="30"/>
      <c r="BBY11" s="30"/>
      <c r="BBZ11" s="30"/>
      <c r="BCA11" s="30"/>
      <c r="BCB11" s="30"/>
      <c r="BCC11" s="30"/>
      <c r="BCD11" s="30"/>
      <c r="BCE11" s="30"/>
      <c r="BCF11" s="30"/>
      <c r="BCG11" s="30"/>
      <c r="BCH11" s="30"/>
      <c r="BCI11" s="30"/>
      <c r="BCJ11" s="30"/>
      <c r="BCK11" s="30"/>
      <c r="BCL11" s="30"/>
      <c r="BCM11" s="30"/>
      <c r="BCN11" s="30"/>
      <c r="BCO11" s="30"/>
      <c r="BCP11" s="30"/>
      <c r="BCQ11" s="30"/>
      <c r="BCR11" s="30"/>
      <c r="BCS11" s="30"/>
      <c r="BCT11" s="30"/>
      <c r="BCU11" s="30"/>
      <c r="BCV11" s="30"/>
      <c r="BCW11" s="30"/>
      <c r="BCX11" s="30"/>
      <c r="BCY11" s="30"/>
      <c r="BCZ11" s="30"/>
      <c r="BDA11" s="56"/>
      <c r="BDB11" s="30"/>
      <c r="BDC11" s="30"/>
      <c r="BDD11" s="30"/>
      <c r="BDE11" s="30"/>
      <c r="BDF11" s="30"/>
      <c r="BDG11" s="30"/>
      <c r="BDH11" s="30"/>
      <c r="BDI11" s="30"/>
      <c r="BDJ11" s="30"/>
      <c r="BDK11" s="30"/>
      <c r="BDL11" s="30"/>
      <c r="BDM11" s="30"/>
      <c r="BDN11" s="30"/>
      <c r="BDO11" s="30"/>
      <c r="BDP11" s="30"/>
      <c r="BDQ11" s="30"/>
      <c r="BDR11" s="30"/>
      <c r="BDS11" s="30"/>
      <c r="BDT11" s="30"/>
      <c r="BDU11" s="30"/>
      <c r="BDV11" s="30"/>
      <c r="BDW11" s="30"/>
      <c r="BDX11" s="30"/>
      <c r="BDY11" s="30"/>
      <c r="BDZ11" s="30"/>
      <c r="BEA11" s="30"/>
      <c r="BEB11" s="30"/>
      <c r="BEC11" s="30"/>
      <c r="BED11" s="30"/>
      <c r="BEE11" s="30"/>
      <c r="BEF11" s="30"/>
      <c r="BEG11" s="30"/>
      <c r="BEH11" s="56"/>
      <c r="BEI11" s="30"/>
      <c r="BEJ11" s="30"/>
      <c r="BEK11" s="30"/>
      <c r="BEL11" s="30"/>
      <c r="BEM11" s="30"/>
      <c r="BEN11" s="30"/>
      <c r="BEO11" s="30"/>
      <c r="BEP11" s="30"/>
      <c r="BEQ11" s="30"/>
      <c r="BER11" s="30"/>
      <c r="BES11" s="30"/>
      <c r="BET11" s="30"/>
      <c r="BEU11" s="30"/>
      <c r="BEV11" s="30"/>
      <c r="BEW11" s="30"/>
      <c r="BEX11" s="30"/>
      <c r="BEY11" s="30"/>
      <c r="BEZ11" s="30"/>
      <c r="BFA11" s="30"/>
      <c r="BFB11" s="30"/>
      <c r="BFC11" s="30"/>
      <c r="BFD11" s="30"/>
      <c r="BFE11" s="30"/>
      <c r="BFF11" s="30"/>
      <c r="BFG11" s="30"/>
      <c r="BFH11" s="30"/>
      <c r="BFI11" s="30"/>
      <c r="BFJ11" s="30"/>
      <c r="BFK11" s="30"/>
      <c r="BFL11" s="30"/>
      <c r="BFM11" s="30"/>
      <c r="BFN11" s="30"/>
      <c r="BFO11" s="56"/>
      <c r="BFP11" s="30"/>
      <c r="BFQ11" s="30"/>
      <c r="BFR11" s="30"/>
      <c r="BFS11" s="30"/>
      <c r="BFT11" s="30"/>
      <c r="BFU11" s="30"/>
      <c r="BFV11" s="30"/>
      <c r="BFW11" s="30"/>
      <c r="BFX11" s="30"/>
      <c r="BFY11" s="30"/>
      <c r="BFZ11" s="30"/>
      <c r="BGA11" s="30"/>
      <c r="BGB11" s="30"/>
      <c r="BGC11" s="30"/>
      <c r="BGD11" s="30"/>
      <c r="BGE11" s="30"/>
      <c r="BGF11" s="30"/>
      <c r="BGG11" s="30"/>
      <c r="BGH11" s="30"/>
      <c r="BGI11" s="30"/>
      <c r="BGJ11" s="30"/>
      <c r="BGK11" s="30"/>
      <c r="BGL11" s="30"/>
      <c r="BGM11" s="30"/>
      <c r="BGN11" s="30"/>
      <c r="BGO11" s="30"/>
      <c r="BGP11" s="30"/>
      <c r="BGQ11" s="30"/>
      <c r="BGR11" s="30"/>
      <c r="BGS11" s="30"/>
      <c r="BGT11" s="30"/>
      <c r="BGU11" s="30"/>
      <c r="BGV11" s="56"/>
      <c r="BGW11" s="30"/>
      <c r="BGX11" s="30"/>
      <c r="BGY11" s="30"/>
      <c r="BGZ11" s="30"/>
      <c r="BHA11" s="30"/>
      <c r="BHB11" s="30"/>
      <c r="BHC11" s="30"/>
      <c r="BHD11" s="30"/>
      <c r="BHE11" s="30"/>
      <c r="BHF11" s="30"/>
      <c r="BHG11" s="30"/>
      <c r="BHH11" s="30"/>
      <c r="BHI11" s="30"/>
      <c r="BHJ11" s="30"/>
      <c r="BHK11" s="30"/>
      <c r="BHL11" s="30"/>
      <c r="BHM11" s="30"/>
      <c r="BHN11" s="30"/>
      <c r="BHO11" s="30"/>
      <c r="BHP11" s="30"/>
      <c r="BHQ11" s="30"/>
      <c r="BHR11" s="30"/>
      <c r="BHS11" s="30"/>
      <c r="BHT11" s="30"/>
      <c r="BHU11" s="30"/>
      <c r="BHV11" s="30"/>
      <c r="BHW11" s="30"/>
      <c r="BHX11" s="30"/>
      <c r="BHY11" s="30"/>
      <c r="BHZ11" s="30"/>
      <c r="BIA11" s="30"/>
      <c r="BIB11" s="30"/>
      <c r="BIC11" s="56"/>
      <c r="BID11" s="57"/>
    </row>
    <row r="12" spans="1:1590" ht="14.45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56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56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56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56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56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56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56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56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30"/>
      <c r="KK12" s="30"/>
      <c r="KL12" s="30"/>
      <c r="KM12" s="56"/>
      <c r="KN12" s="30"/>
      <c r="KO12" s="30"/>
      <c r="KP12" s="30"/>
      <c r="KQ12" s="30"/>
      <c r="KR12" s="30"/>
      <c r="KS12" s="30"/>
      <c r="KT12" s="30"/>
      <c r="KU12" s="30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56"/>
      <c r="LU12" s="30"/>
      <c r="LV12" s="30"/>
      <c r="LW12" s="30"/>
      <c r="LX12" s="30"/>
      <c r="LY12" s="30"/>
      <c r="LZ12" s="30"/>
      <c r="MA12" s="30"/>
      <c r="MB12" s="30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56"/>
      <c r="NB12" s="30"/>
      <c r="NC12" s="30"/>
      <c r="ND12" s="30"/>
      <c r="NE12" s="30"/>
      <c r="NF12" s="30"/>
      <c r="NG12" s="30"/>
      <c r="NH12" s="30"/>
      <c r="NI12" s="30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56"/>
      <c r="OI12" s="57"/>
      <c r="OJ12" s="30"/>
      <c r="OK12" s="30"/>
      <c r="OL12" s="30"/>
      <c r="OM12" s="30"/>
      <c r="ON12" s="30"/>
      <c r="OO12" s="30"/>
      <c r="OP12" s="30"/>
      <c r="OQ12" s="30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30"/>
      <c r="PM12" s="30"/>
      <c r="PN12" s="30"/>
      <c r="PO12" s="30"/>
      <c r="PP12" s="56"/>
      <c r="PQ12" s="30"/>
      <c r="PR12" s="30"/>
      <c r="PS12" s="30"/>
      <c r="PT12" s="30"/>
      <c r="PU12" s="30"/>
      <c r="PV12" s="30"/>
      <c r="PW12" s="30"/>
      <c r="PX12" s="30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56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56"/>
      <c r="SE12" s="30"/>
      <c r="SF12" s="30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56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30"/>
      <c r="UP12" s="30"/>
      <c r="UQ12" s="30"/>
      <c r="UR12" s="56"/>
      <c r="US12" s="30"/>
      <c r="UT12" s="30"/>
      <c r="UU12" s="30"/>
      <c r="UV12" s="30"/>
      <c r="UW12" s="30"/>
      <c r="UX12" s="30"/>
      <c r="UY12" s="30"/>
      <c r="UZ12" s="30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30"/>
      <c r="VW12" s="30"/>
      <c r="VX12" s="30"/>
      <c r="VY12" s="56"/>
      <c r="VZ12" s="30"/>
      <c r="WA12" s="30"/>
      <c r="WB12" s="30"/>
      <c r="WC12" s="30"/>
      <c r="WD12" s="30"/>
      <c r="WE12" s="30"/>
      <c r="WF12" s="30"/>
      <c r="WG12" s="30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56"/>
      <c r="XG12" s="30"/>
      <c r="XH12" s="30"/>
      <c r="XI12" s="30"/>
      <c r="XJ12" s="30"/>
      <c r="XK12" s="30"/>
      <c r="XL12" s="30"/>
      <c r="XM12" s="30"/>
      <c r="XN12" s="30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56"/>
      <c r="YN12" s="30"/>
      <c r="YO12" s="30"/>
      <c r="YP12" s="30"/>
      <c r="YQ12" s="30"/>
      <c r="YR12" s="30"/>
      <c r="YS12" s="30"/>
      <c r="YT12" s="30"/>
      <c r="YU12" s="30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0"/>
      <c r="ZT12" s="56"/>
      <c r="ZU12" s="30"/>
      <c r="ZV12" s="30"/>
      <c r="ZW12" s="30"/>
      <c r="ZX12" s="30"/>
      <c r="ZY12" s="30"/>
      <c r="ZZ12" s="30"/>
      <c r="AAA12" s="30"/>
      <c r="AAB12" s="30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56"/>
      <c r="ABB12" s="30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56"/>
      <c r="ACI12" s="30"/>
      <c r="ACJ12" s="30"/>
      <c r="ACK12" s="30"/>
      <c r="ACL12" s="30"/>
      <c r="ACM12" s="30"/>
      <c r="ACN12" s="30"/>
      <c r="ACO12" s="30"/>
      <c r="ACP12" s="30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56"/>
      <c r="ADP12" s="57"/>
      <c r="ADQ12" s="30"/>
      <c r="ADR12" s="30"/>
      <c r="ADS12" s="30"/>
      <c r="ADT12" s="30"/>
      <c r="ADU12" s="30"/>
      <c r="ADV12" s="30"/>
      <c r="ADW12" s="30"/>
      <c r="ADX12" s="30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30"/>
      <c r="AET12" s="30"/>
      <c r="AEU12" s="30"/>
      <c r="AEV12" s="30"/>
      <c r="AEW12" s="56"/>
      <c r="AEX12" s="30"/>
      <c r="AEY12" s="30"/>
      <c r="AEZ12" s="30"/>
      <c r="AFA12" s="30"/>
      <c r="AFB12" s="30"/>
      <c r="AFC12" s="30"/>
      <c r="AFD12" s="30"/>
      <c r="AFE12" s="30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30"/>
      <c r="AGB12" s="30"/>
      <c r="AGC12" s="30"/>
      <c r="AGD12" s="56"/>
      <c r="AGE12" s="30"/>
      <c r="AGF12" s="30"/>
      <c r="AGG12" s="30"/>
      <c r="AGH12" s="30"/>
      <c r="AGI12" s="30"/>
      <c r="AGJ12" s="30"/>
      <c r="AGK12" s="30"/>
      <c r="AGL12" s="30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30"/>
      <c r="AHI12" s="30"/>
      <c r="AHJ12" s="30"/>
      <c r="AHK12" s="56"/>
      <c r="AHL12" s="30"/>
      <c r="AHM12" s="30"/>
      <c r="AHN12" s="30"/>
      <c r="AHO12" s="30"/>
      <c r="AHP12" s="30"/>
      <c r="AHQ12" s="30"/>
      <c r="AHR12" s="30"/>
      <c r="AHS12" s="30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56"/>
      <c r="AIS12" s="30"/>
      <c r="AIT12" s="30"/>
      <c r="AIU12" s="30"/>
      <c r="AIV12" s="30"/>
      <c r="AIW12" s="30"/>
      <c r="AIX12" s="30"/>
      <c r="AIY12" s="30"/>
      <c r="AIZ12" s="30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56"/>
      <c r="AJZ12" s="30"/>
      <c r="AKA12" s="30"/>
      <c r="AKB12" s="30"/>
      <c r="AKC12" s="30"/>
      <c r="AKD12" s="30"/>
      <c r="AKE12" s="30"/>
      <c r="AKF12" s="30"/>
      <c r="AKG12" s="30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56"/>
      <c r="ALG12" s="30"/>
      <c r="ALH12" s="30"/>
      <c r="ALI12" s="30"/>
      <c r="ALJ12" s="30"/>
      <c r="ALK12" s="30"/>
      <c r="ALL12" s="30"/>
      <c r="ALM12" s="30"/>
      <c r="ALN12" s="30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56"/>
      <c r="AMN12" s="30"/>
      <c r="AMO12" s="30"/>
      <c r="AMP12" s="30"/>
      <c r="AMQ12" s="30"/>
      <c r="AMR12" s="30"/>
      <c r="AMS12" s="30"/>
      <c r="AMT12" s="30"/>
      <c r="AMU12" s="30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56"/>
      <c r="ANU12" s="30"/>
      <c r="ANV12" s="30"/>
      <c r="ANW12" s="30"/>
      <c r="ANX12" s="30"/>
      <c r="ANY12" s="30"/>
      <c r="ANZ12" s="30"/>
      <c r="AOA12" s="30"/>
      <c r="AOB12" s="30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56"/>
      <c r="APB12" s="30"/>
      <c r="APC12" s="30"/>
      <c r="APD12" s="30"/>
      <c r="APE12" s="30"/>
      <c r="APF12" s="30"/>
      <c r="APG12" s="30"/>
      <c r="APH12" s="30"/>
      <c r="API12" s="30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30"/>
      <c r="AQF12" s="30"/>
      <c r="AQG12" s="30"/>
      <c r="AQH12" s="56"/>
      <c r="AQI12" s="30"/>
      <c r="AQJ12" s="30"/>
      <c r="AQK12" s="30"/>
      <c r="AQL12" s="30"/>
      <c r="AQM12" s="30"/>
      <c r="AQN12" s="30"/>
      <c r="AQO12" s="30"/>
      <c r="AQP12" s="30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30"/>
      <c r="ARM12" s="30"/>
      <c r="ARN12" s="30"/>
      <c r="ARO12" s="56"/>
      <c r="ARP12" s="30"/>
      <c r="ARQ12" s="30"/>
      <c r="ARR12" s="30"/>
      <c r="ARS12" s="30"/>
      <c r="ART12" s="30"/>
      <c r="ARU12" s="30"/>
      <c r="ARV12" s="30"/>
      <c r="ARW12" s="30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30"/>
      <c r="AST12" s="30"/>
      <c r="ASU12" s="30"/>
      <c r="ASV12" s="56"/>
      <c r="ASW12" s="57"/>
      <c r="ASX12" s="30"/>
      <c r="ASY12" s="30"/>
      <c r="ASZ12" s="30"/>
      <c r="ATA12" s="30"/>
      <c r="ATB12" s="30"/>
      <c r="ATC12" s="30"/>
      <c r="ATD12" s="30"/>
      <c r="ATE12" s="30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30"/>
      <c r="AUA12" s="30"/>
      <c r="AUB12" s="30"/>
      <c r="AUC12" s="30"/>
      <c r="AUD12" s="56"/>
      <c r="AUE12" s="30"/>
      <c r="AUF12" s="30"/>
      <c r="AUG12" s="30"/>
      <c r="AUH12" s="30"/>
      <c r="AUI12" s="30"/>
      <c r="AUJ12" s="30"/>
      <c r="AUK12" s="30"/>
      <c r="AUL12" s="30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30"/>
      <c r="AVI12" s="30"/>
      <c r="AVJ12" s="30"/>
      <c r="AVK12" s="56"/>
      <c r="AVL12" s="30"/>
      <c r="AVM12" s="30"/>
      <c r="AVN12" s="30"/>
      <c r="AVO12" s="30"/>
      <c r="AVP12" s="30"/>
      <c r="AVQ12" s="30"/>
      <c r="AVR12" s="30"/>
      <c r="AVS12" s="30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30"/>
      <c r="AWP12" s="30"/>
      <c r="AWQ12" s="30"/>
      <c r="AWR12" s="56"/>
      <c r="AWS12" s="30"/>
      <c r="AWT12" s="30"/>
      <c r="AWU12" s="30"/>
      <c r="AWV12" s="30"/>
      <c r="AWW12" s="30"/>
      <c r="AWX12" s="30"/>
      <c r="AWY12" s="30"/>
      <c r="AWZ12" s="30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30"/>
      <c r="AXW12" s="30"/>
      <c r="AXX12" s="30"/>
      <c r="AXY12" s="56"/>
      <c r="AXZ12" s="30"/>
      <c r="AYA12" s="30"/>
      <c r="AYB12" s="30"/>
      <c r="AYC12" s="30"/>
      <c r="AYD12" s="30"/>
      <c r="AYE12" s="30"/>
      <c r="AYF12" s="30"/>
      <c r="AYG12" s="30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30"/>
      <c r="AZD12" s="30"/>
      <c r="AZE12" s="30"/>
      <c r="AZF12" s="56"/>
      <c r="AZG12" s="30"/>
      <c r="AZH12" s="30"/>
      <c r="AZI12" s="30"/>
      <c r="AZJ12" s="30"/>
      <c r="AZK12" s="30"/>
      <c r="AZL12" s="30"/>
      <c r="AZM12" s="30"/>
      <c r="AZN12" s="30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30"/>
      <c r="BAK12" s="30"/>
      <c r="BAL12" s="30"/>
      <c r="BAM12" s="56"/>
      <c r="BAN12" s="30"/>
      <c r="BAO12" s="30"/>
      <c r="BAP12" s="30"/>
      <c r="BAQ12" s="30"/>
      <c r="BAR12" s="30"/>
      <c r="BAS12" s="30"/>
      <c r="BAT12" s="30"/>
      <c r="BAU12" s="30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30"/>
      <c r="BBR12" s="30"/>
      <c r="BBS12" s="30"/>
      <c r="BBT12" s="56"/>
      <c r="BBU12" s="30"/>
      <c r="BBV12" s="30"/>
      <c r="BBW12" s="30"/>
      <c r="BBX12" s="30"/>
      <c r="BBY12" s="30"/>
      <c r="BBZ12" s="30"/>
      <c r="BCA12" s="30"/>
      <c r="BCB12" s="30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30"/>
      <c r="BCY12" s="30"/>
      <c r="BCZ12" s="30"/>
      <c r="BDA12" s="56"/>
      <c r="BDB12" s="30"/>
      <c r="BDC12" s="30"/>
      <c r="BDD12" s="30"/>
      <c r="BDE12" s="30"/>
      <c r="BDF12" s="30"/>
      <c r="BDG12" s="30"/>
      <c r="BDH12" s="30"/>
      <c r="BDI12" s="30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30"/>
      <c r="BEF12" s="30"/>
      <c r="BEG12" s="30"/>
      <c r="BEH12" s="56"/>
      <c r="BEI12" s="30"/>
      <c r="BEJ12" s="30"/>
      <c r="BEK12" s="30"/>
      <c r="BEL12" s="30"/>
      <c r="BEM12" s="30"/>
      <c r="BEN12" s="30"/>
      <c r="BEO12" s="30"/>
      <c r="BEP12" s="30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30"/>
      <c r="BFM12" s="30"/>
      <c r="BFN12" s="30"/>
      <c r="BFO12" s="56"/>
      <c r="BFP12" s="30"/>
      <c r="BFQ12" s="30"/>
      <c r="BFR12" s="30"/>
      <c r="BFS12" s="30"/>
      <c r="BFT12" s="30"/>
      <c r="BFU12" s="30"/>
      <c r="BFV12" s="30"/>
      <c r="BFW12" s="30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30"/>
      <c r="BGT12" s="30"/>
      <c r="BGU12" s="30"/>
      <c r="BGV12" s="56"/>
      <c r="BGW12" s="30"/>
      <c r="BGX12" s="30"/>
      <c r="BGY12" s="30"/>
      <c r="BGZ12" s="30"/>
      <c r="BHA12" s="30"/>
      <c r="BHB12" s="30"/>
      <c r="BHC12" s="30"/>
      <c r="BHD12" s="30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30"/>
      <c r="BIA12" s="30"/>
      <c r="BIB12" s="30"/>
      <c r="BIC12" s="56"/>
      <c r="BID12" s="57"/>
    </row>
    <row r="13" spans="1:1590" ht="14.45" x14ac:dyDescent="0.3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56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56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56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56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56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56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56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56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56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56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56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56"/>
      <c r="OI13" s="57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30"/>
      <c r="PM13" s="30"/>
      <c r="PN13" s="30"/>
      <c r="PO13" s="30"/>
      <c r="PP13" s="56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56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56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56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30"/>
      <c r="UP13" s="30"/>
      <c r="UQ13" s="30"/>
      <c r="UR13" s="56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30"/>
      <c r="VW13" s="30"/>
      <c r="VX13" s="30"/>
      <c r="VY13" s="56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56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56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0"/>
      <c r="ZT13" s="56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56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56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56"/>
      <c r="ADP13" s="57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30"/>
      <c r="AET13" s="30"/>
      <c r="AEU13" s="30"/>
      <c r="AEV13" s="30"/>
      <c r="AEW13" s="56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30"/>
      <c r="AGB13" s="30"/>
      <c r="AGC13" s="30"/>
      <c r="AGD13" s="56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30"/>
      <c r="AHI13" s="30"/>
      <c r="AHJ13" s="30"/>
      <c r="AHK13" s="56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56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56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56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  <c r="AMK13" s="30"/>
      <c r="AML13" s="30"/>
      <c r="AMM13" s="56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30"/>
      <c r="ANR13" s="30"/>
      <c r="ANS13" s="30"/>
      <c r="ANT13" s="56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30"/>
      <c r="AOY13" s="30"/>
      <c r="AOZ13" s="30"/>
      <c r="APA13" s="56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30"/>
      <c r="AQE13" s="30"/>
      <c r="AQF13" s="30"/>
      <c r="AQG13" s="30"/>
      <c r="AQH13" s="56"/>
      <c r="AQI13" s="30"/>
      <c r="AQJ13" s="30"/>
      <c r="AQK13" s="30"/>
      <c r="AQL13" s="30"/>
      <c r="AQM13" s="30"/>
      <c r="AQN13" s="30"/>
      <c r="AQO13" s="30"/>
      <c r="AQP13" s="30"/>
      <c r="AQQ13" s="30"/>
      <c r="AQR13" s="30"/>
      <c r="AQS13" s="30"/>
      <c r="AQT13" s="30"/>
      <c r="AQU13" s="30"/>
      <c r="AQV13" s="30"/>
      <c r="AQW13" s="30"/>
      <c r="AQX13" s="30"/>
      <c r="AQY13" s="30"/>
      <c r="AQZ13" s="30"/>
      <c r="ARA13" s="30"/>
      <c r="ARB13" s="30"/>
      <c r="ARC13" s="30"/>
      <c r="ARD13" s="30"/>
      <c r="ARE13" s="30"/>
      <c r="ARF13" s="30"/>
      <c r="ARG13" s="30"/>
      <c r="ARH13" s="30"/>
      <c r="ARI13" s="30"/>
      <c r="ARJ13" s="30"/>
      <c r="ARK13" s="30"/>
      <c r="ARL13" s="30"/>
      <c r="ARM13" s="30"/>
      <c r="ARN13" s="30"/>
      <c r="ARO13" s="56"/>
      <c r="ARP13" s="30"/>
      <c r="ARQ13" s="30"/>
      <c r="ARR13" s="30"/>
      <c r="ARS13" s="30"/>
      <c r="ART13" s="30"/>
      <c r="ARU13" s="30"/>
      <c r="ARV13" s="30"/>
      <c r="ARW13" s="30"/>
      <c r="ARX13" s="30"/>
      <c r="ARY13" s="30"/>
      <c r="ARZ13" s="30"/>
      <c r="ASA13" s="30"/>
      <c r="ASB13" s="30"/>
      <c r="ASC13" s="30"/>
      <c r="ASD13" s="30"/>
      <c r="ASE13" s="30"/>
      <c r="ASF13" s="30"/>
      <c r="ASG13" s="30"/>
      <c r="ASH13" s="30"/>
      <c r="ASI13" s="30"/>
      <c r="ASJ13" s="30"/>
      <c r="ASK13" s="30"/>
      <c r="ASL13" s="30"/>
      <c r="ASM13" s="30"/>
      <c r="ASN13" s="30"/>
      <c r="ASO13" s="30"/>
      <c r="ASP13" s="30"/>
      <c r="ASQ13" s="30"/>
      <c r="ASR13" s="30"/>
      <c r="ASS13" s="30"/>
      <c r="AST13" s="30"/>
      <c r="ASU13" s="30"/>
      <c r="ASV13" s="56"/>
      <c r="ASW13" s="57"/>
      <c r="ASX13" s="30"/>
      <c r="ASY13" s="30"/>
      <c r="ASZ13" s="30"/>
      <c r="ATA13" s="30"/>
      <c r="ATB13" s="30"/>
      <c r="ATC13" s="30"/>
      <c r="ATD13" s="30"/>
      <c r="ATE13" s="30"/>
      <c r="ATF13" s="30"/>
      <c r="ATG13" s="30"/>
      <c r="ATH13" s="30"/>
      <c r="ATI13" s="30"/>
      <c r="ATJ13" s="30"/>
      <c r="ATK13" s="30"/>
      <c r="ATL13" s="30"/>
      <c r="ATM13" s="30"/>
      <c r="ATN13" s="30"/>
      <c r="ATO13" s="30"/>
      <c r="ATP13" s="30"/>
      <c r="ATQ13" s="30"/>
      <c r="ATR13" s="30"/>
      <c r="ATS13" s="30"/>
      <c r="ATT13" s="30"/>
      <c r="ATU13" s="30"/>
      <c r="ATV13" s="30"/>
      <c r="ATW13" s="30"/>
      <c r="ATX13" s="30"/>
      <c r="ATY13" s="30"/>
      <c r="ATZ13" s="30"/>
      <c r="AUA13" s="30"/>
      <c r="AUB13" s="30"/>
      <c r="AUC13" s="30"/>
      <c r="AUD13" s="56"/>
      <c r="AUE13" s="30"/>
      <c r="AUF13" s="30"/>
      <c r="AUG13" s="30"/>
      <c r="AUH13" s="30"/>
      <c r="AUI13" s="30"/>
      <c r="AUJ13" s="30"/>
      <c r="AUK13" s="30"/>
      <c r="AUL13" s="30"/>
      <c r="AUM13" s="30"/>
      <c r="AUN13" s="30"/>
      <c r="AUO13" s="30"/>
      <c r="AUP13" s="30"/>
      <c r="AUQ13" s="30"/>
      <c r="AUR13" s="30"/>
      <c r="AUS13" s="30"/>
      <c r="AUT13" s="30"/>
      <c r="AUU13" s="30"/>
      <c r="AUV13" s="30"/>
      <c r="AUW13" s="30"/>
      <c r="AUX13" s="30"/>
      <c r="AUY13" s="30"/>
      <c r="AUZ13" s="30"/>
      <c r="AVA13" s="30"/>
      <c r="AVB13" s="30"/>
      <c r="AVC13" s="30"/>
      <c r="AVD13" s="30"/>
      <c r="AVE13" s="30"/>
      <c r="AVF13" s="30"/>
      <c r="AVG13" s="30"/>
      <c r="AVH13" s="30"/>
      <c r="AVI13" s="30"/>
      <c r="AVJ13" s="30"/>
      <c r="AVK13" s="56"/>
      <c r="AVL13" s="30"/>
      <c r="AVM13" s="30"/>
      <c r="AVN13" s="30"/>
      <c r="AVO13" s="30"/>
      <c r="AVP13" s="30"/>
      <c r="AVQ13" s="30"/>
      <c r="AVR13" s="30"/>
      <c r="AVS13" s="30"/>
      <c r="AVT13" s="30"/>
      <c r="AVU13" s="30"/>
      <c r="AVV13" s="30"/>
      <c r="AVW13" s="30"/>
      <c r="AVX13" s="30"/>
      <c r="AVY13" s="30"/>
      <c r="AVZ13" s="30"/>
      <c r="AWA13" s="30"/>
      <c r="AWB13" s="30"/>
      <c r="AWC13" s="30"/>
      <c r="AWD13" s="30"/>
      <c r="AWE13" s="30"/>
      <c r="AWF13" s="30"/>
      <c r="AWG13" s="30"/>
      <c r="AWH13" s="30"/>
      <c r="AWI13" s="30"/>
      <c r="AWJ13" s="30"/>
      <c r="AWK13" s="30"/>
      <c r="AWL13" s="30"/>
      <c r="AWM13" s="30"/>
      <c r="AWN13" s="30"/>
      <c r="AWO13" s="30"/>
      <c r="AWP13" s="30"/>
      <c r="AWQ13" s="30"/>
      <c r="AWR13" s="56"/>
      <c r="AWS13" s="30"/>
      <c r="AWT13" s="30"/>
      <c r="AWU13" s="30"/>
      <c r="AWV13" s="30"/>
      <c r="AWW13" s="30"/>
      <c r="AWX13" s="30"/>
      <c r="AWY13" s="30"/>
      <c r="AWZ13" s="30"/>
      <c r="AXA13" s="30"/>
      <c r="AXB13" s="30"/>
      <c r="AXC13" s="30"/>
      <c r="AXD13" s="30"/>
      <c r="AXE13" s="30"/>
      <c r="AXF13" s="30"/>
      <c r="AXG13" s="30"/>
      <c r="AXH13" s="30"/>
      <c r="AXI13" s="30"/>
      <c r="AXJ13" s="30"/>
      <c r="AXK13" s="30"/>
      <c r="AXL13" s="30"/>
      <c r="AXM13" s="30"/>
      <c r="AXN13" s="30"/>
      <c r="AXO13" s="30"/>
      <c r="AXP13" s="30"/>
      <c r="AXQ13" s="30"/>
      <c r="AXR13" s="30"/>
      <c r="AXS13" s="30"/>
      <c r="AXT13" s="30"/>
      <c r="AXU13" s="30"/>
      <c r="AXV13" s="30"/>
      <c r="AXW13" s="30"/>
      <c r="AXX13" s="30"/>
      <c r="AXY13" s="56"/>
      <c r="AXZ13" s="30"/>
      <c r="AYA13" s="30"/>
      <c r="AYB13" s="30"/>
      <c r="AYC13" s="30"/>
      <c r="AYD13" s="30"/>
      <c r="AYE13" s="30"/>
      <c r="AYF13" s="30"/>
      <c r="AYG13" s="30"/>
      <c r="AYH13" s="30"/>
      <c r="AYI13" s="30"/>
      <c r="AYJ13" s="30"/>
      <c r="AYK13" s="30"/>
      <c r="AYL13" s="30"/>
      <c r="AYM13" s="30"/>
      <c r="AYN13" s="30"/>
      <c r="AYO13" s="30"/>
      <c r="AYP13" s="30"/>
      <c r="AYQ13" s="30"/>
      <c r="AYR13" s="30"/>
      <c r="AYS13" s="30"/>
      <c r="AYT13" s="30"/>
      <c r="AYU13" s="30"/>
      <c r="AYV13" s="30"/>
      <c r="AYW13" s="30"/>
      <c r="AYX13" s="30"/>
      <c r="AYY13" s="30"/>
      <c r="AYZ13" s="30"/>
      <c r="AZA13" s="30"/>
      <c r="AZB13" s="30"/>
      <c r="AZC13" s="30"/>
      <c r="AZD13" s="30"/>
      <c r="AZE13" s="30"/>
      <c r="AZF13" s="56"/>
      <c r="AZG13" s="30"/>
      <c r="AZH13" s="30"/>
      <c r="AZI13" s="30"/>
      <c r="AZJ13" s="30"/>
      <c r="AZK13" s="30"/>
      <c r="AZL13" s="30"/>
      <c r="AZM13" s="30"/>
      <c r="AZN13" s="30"/>
      <c r="AZO13" s="30"/>
      <c r="AZP13" s="30"/>
      <c r="AZQ13" s="30"/>
      <c r="AZR13" s="30"/>
      <c r="AZS13" s="30"/>
      <c r="AZT13" s="30"/>
      <c r="AZU13" s="30"/>
      <c r="AZV13" s="30"/>
      <c r="AZW13" s="30"/>
      <c r="AZX13" s="30"/>
      <c r="AZY13" s="30"/>
      <c r="AZZ13" s="30"/>
      <c r="BAA13" s="30"/>
      <c r="BAB13" s="30"/>
      <c r="BAC13" s="30"/>
      <c r="BAD13" s="30"/>
      <c r="BAE13" s="30"/>
      <c r="BAF13" s="30"/>
      <c r="BAG13" s="30"/>
      <c r="BAH13" s="30"/>
      <c r="BAI13" s="30"/>
      <c r="BAJ13" s="30"/>
      <c r="BAK13" s="30"/>
      <c r="BAL13" s="30"/>
      <c r="BAM13" s="56"/>
      <c r="BAN13" s="30"/>
      <c r="BAO13" s="30"/>
      <c r="BAP13" s="30"/>
      <c r="BAQ13" s="30"/>
      <c r="BAR13" s="30"/>
      <c r="BAS13" s="30"/>
      <c r="BAT13" s="30"/>
      <c r="BAU13" s="30"/>
      <c r="BAV13" s="30"/>
      <c r="BAW13" s="30"/>
      <c r="BAX13" s="30"/>
      <c r="BAY13" s="30"/>
      <c r="BAZ13" s="30"/>
      <c r="BBA13" s="30"/>
      <c r="BBB13" s="30"/>
      <c r="BBC13" s="30"/>
      <c r="BBD13" s="30"/>
      <c r="BBE13" s="30"/>
      <c r="BBF13" s="30"/>
      <c r="BBG13" s="30"/>
      <c r="BBH13" s="30"/>
      <c r="BBI13" s="30"/>
      <c r="BBJ13" s="30"/>
      <c r="BBK13" s="30"/>
      <c r="BBL13" s="30"/>
      <c r="BBM13" s="30"/>
      <c r="BBN13" s="30"/>
      <c r="BBO13" s="30"/>
      <c r="BBP13" s="30"/>
      <c r="BBQ13" s="30"/>
      <c r="BBR13" s="30"/>
      <c r="BBS13" s="30"/>
      <c r="BBT13" s="56"/>
      <c r="BBU13" s="30"/>
      <c r="BBV13" s="30"/>
      <c r="BBW13" s="30"/>
      <c r="BBX13" s="30"/>
      <c r="BBY13" s="30"/>
      <c r="BBZ13" s="30"/>
      <c r="BCA13" s="30"/>
      <c r="BCB13" s="30"/>
      <c r="BCC13" s="30"/>
      <c r="BCD13" s="30"/>
      <c r="BCE13" s="30"/>
      <c r="BCF13" s="30"/>
      <c r="BCG13" s="30"/>
      <c r="BCH13" s="30"/>
      <c r="BCI13" s="30"/>
      <c r="BCJ13" s="30"/>
      <c r="BCK13" s="30"/>
      <c r="BCL13" s="30"/>
      <c r="BCM13" s="30"/>
      <c r="BCN13" s="30"/>
      <c r="BCO13" s="30"/>
      <c r="BCP13" s="30"/>
      <c r="BCQ13" s="30"/>
      <c r="BCR13" s="30"/>
      <c r="BCS13" s="30"/>
      <c r="BCT13" s="30"/>
      <c r="BCU13" s="30"/>
      <c r="BCV13" s="30"/>
      <c r="BCW13" s="30"/>
      <c r="BCX13" s="30"/>
      <c r="BCY13" s="30"/>
      <c r="BCZ13" s="30"/>
      <c r="BDA13" s="56"/>
      <c r="BDB13" s="30"/>
      <c r="BDC13" s="30"/>
      <c r="BDD13" s="30"/>
      <c r="BDE13" s="30"/>
      <c r="BDF13" s="30"/>
      <c r="BDG13" s="30"/>
      <c r="BDH13" s="30"/>
      <c r="BDI13" s="30"/>
      <c r="BDJ13" s="30"/>
      <c r="BDK13" s="30"/>
      <c r="BDL13" s="30"/>
      <c r="BDM13" s="30"/>
      <c r="BDN13" s="30"/>
      <c r="BDO13" s="30"/>
      <c r="BDP13" s="30"/>
      <c r="BDQ13" s="30"/>
      <c r="BDR13" s="30"/>
      <c r="BDS13" s="30"/>
      <c r="BDT13" s="30"/>
      <c r="BDU13" s="30"/>
      <c r="BDV13" s="30"/>
      <c r="BDW13" s="30"/>
      <c r="BDX13" s="30"/>
      <c r="BDY13" s="30"/>
      <c r="BDZ13" s="30"/>
      <c r="BEA13" s="30"/>
      <c r="BEB13" s="30"/>
      <c r="BEC13" s="30"/>
      <c r="BED13" s="30"/>
      <c r="BEE13" s="30"/>
      <c r="BEF13" s="30"/>
      <c r="BEG13" s="30"/>
      <c r="BEH13" s="56"/>
      <c r="BEI13" s="30"/>
      <c r="BEJ13" s="30"/>
      <c r="BEK13" s="30"/>
      <c r="BEL13" s="30"/>
      <c r="BEM13" s="30"/>
      <c r="BEN13" s="30"/>
      <c r="BEO13" s="30"/>
      <c r="BEP13" s="30"/>
      <c r="BEQ13" s="30"/>
      <c r="BER13" s="30"/>
      <c r="BES13" s="30"/>
      <c r="BET13" s="30"/>
      <c r="BEU13" s="30"/>
      <c r="BEV13" s="30"/>
      <c r="BEW13" s="30"/>
      <c r="BEX13" s="30"/>
      <c r="BEY13" s="30"/>
      <c r="BEZ13" s="30"/>
      <c r="BFA13" s="30"/>
      <c r="BFB13" s="30"/>
      <c r="BFC13" s="30"/>
      <c r="BFD13" s="30"/>
      <c r="BFE13" s="30"/>
      <c r="BFF13" s="30"/>
      <c r="BFG13" s="30"/>
      <c r="BFH13" s="30"/>
      <c r="BFI13" s="30"/>
      <c r="BFJ13" s="30"/>
      <c r="BFK13" s="30"/>
      <c r="BFL13" s="30"/>
      <c r="BFM13" s="30"/>
      <c r="BFN13" s="30"/>
      <c r="BFO13" s="56"/>
      <c r="BFP13" s="30"/>
      <c r="BFQ13" s="30"/>
      <c r="BFR13" s="30"/>
      <c r="BFS13" s="30"/>
      <c r="BFT13" s="30"/>
      <c r="BFU13" s="30"/>
      <c r="BFV13" s="30"/>
      <c r="BFW13" s="30"/>
      <c r="BFX13" s="30"/>
      <c r="BFY13" s="30"/>
      <c r="BFZ13" s="30"/>
      <c r="BGA13" s="30"/>
      <c r="BGB13" s="30"/>
      <c r="BGC13" s="30"/>
      <c r="BGD13" s="30"/>
      <c r="BGE13" s="30"/>
      <c r="BGF13" s="30"/>
      <c r="BGG13" s="30"/>
      <c r="BGH13" s="30"/>
      <c r="BGI13" s="30"/>
      <c r="BGJ13" s="30"/>
      <c r="BGK13" s="30"/>
      <c r="BGL13" s="30"/>
      <c r="BGM13" s="30"/>
      <c r="BGN13" s="30"/>
      <c r="BGO13" s="30"/>
      <c r="BGP13" s="30"/>
      <c r="BGQ13" s="30"/>
      <c r="BGR13" s="30"/>
      <c r="BGS13" s="30"/>
      <c r="BGT13" s="30"/>
      <c r="BGU13" s="30"/>
      <c r="BGV13" s="56"/>
      <c r="BGW13" s="30"/>
      <c r="BGX13" s="30"/>
      <c r="BGY13" s="30"/>
      <c r="BGZ13" s="30"/>
      <c r="BHA13" s="30"/>
      <c r="BHB13" s="30"/>
      <c r="BHC13" s="30"/>
      <c r="BHD13" s="30"/>
      <c r="BHE13" s="30"/>
      <c r="BHF13" s="30"/>
      <c r="BHG13" s="30"/>
      <c r="BHH13" s="30"/>
      <c r="BHI13" s="30"/>
      <c r="BHJ13" s="30"/>
      <c r="BHK13" s="30"/>
      <c r="BHL13" s="30"/>
      <c r="BHM13" s="30"/>
      <c r="BHN13" s="30"/>
      <c r="BHO13" s="30"/>
      <c r="BHP13" s="30"/>
      <c r="BHQ13" s="30"/>
      <c r="BHR13" s="30"/>
      <c r="BHS13" s="30"/>
      <c r="BHT13" s="30"/>
      <c r="BHU13" s="30"/>
      <c r="BHV13" s="30"/>
      <c r="BHW13" s="30"/>
      <c r="BHX13" s="30"/>
      <c r="BHY13" s="30"/>
      <c r="BHZ13" s="30"/>
      <c r="BIA13" s="30"/>
      <c r="BIB13" s="30"/>
      <c r="BIC13" s="56"/>
      <c r="BID13" s="57"/>
    </row>
    <row r="14" spans="1:1590" ht="14.45" x14ac:dyDescent="0.3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56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56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56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56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56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56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56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56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56"/>
      <c r="KN14" s="30"/>
      <c r="KO14" s="30"/>
      <c r="KP14" s="30"/>
      <c r="KQ14" s="30"/>
      <c r="KR14" s="30"/>
      <c r="KS14" s="30"/>
      <c r="KT14" s="30"/>
      <c r="KU14" s="30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56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56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56"/>
      <c r="OI14" s="57"/>
      <c r="OJ14" s="30"/>
      <c r="OK14" s="30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56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56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56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56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56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56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56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56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56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56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56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56"/>
      <c r="ADP14" s="57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56"/>
      <c r="AEX14" s="30"/>
      <c r="AEY14" s="30"/>
      <c r="AEZ14" s="30"/>
      <c r="AFA14" s="30"/>
      <c r="AFB14" s="30"/>
      <c r="AFC14" s="30"/>
      <c r="AFD14" s="30"/>
      <c r="AFE14" s="30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56"/>
      <c r="AGE14" s="30"/>
      <c r="AGF14" s="30"/>
      <c r="AGG14" s="30"/>
      <c r="AGH14" s="30"/>
      <c r="AGI14" s="30"/>
      <c r="AGJ14" s="30"/>
      <c r="AGK14" s="30"/>
      <c r="AGL14" s="30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56"/>
      <c r="AHL14" s="30"/>
      <c r="AHM14" s="30"/>
      <c r="AHN14" s="30"/>
      <c r="AHO14" s="30"/>
      <c r="AHP14" s="30"/>
      <c r="AHQ14" s="30"/>
      <c r="AHR14" s="30"/>
      <c r="AHS14" s="30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56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56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56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56"/>
      <c r="AMN14" s="30"/>
      <c r="AMO14" s="30"/>
      <c r="AMP14" s="30"/>
      <c r="AMQ14" s="30"/>
      <c r="AMR14" s="30"/>
      <c r="AMS14" s="30"/>
      <c r="AMT14" s="30"/>
      <c r="AMU14" s="30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56"/>
      <c r="ANU14" s="30"/>
      <c r="ANV14" s="30"/>
      <c r="ANW14" s="30"/>
      <c r="ANX14" s="30"/>
      <c r="ANY14" s="30"/>
      <c r="ANZ14" s="30"/>
      <c r="AOA14" s="30"/>
      <c r="AOB14" s="30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56"/>
      <c r="APB14" s="30"/>
      <c r="APC14" s="30"/>
      <c r="APD14" s="30"/>
      <c r="APE14" s="30"/>
      <c r="APF14" s="30"/>
      <c r="APG14" s="30"/>
      <c r="APH14" s="30"/>
      <c r="API14" s="30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30"/>
      <c r="AQF14" s="30"/>
      <c r="AQG14" s="30"/>
      <c r="AQH14" s="56"/>
      <c r="AQI14" s="30"/>
      <c r="AQJ14" s="30"/>
      <c r="AQK14" s="30"/>
      <c r="AQL14" s="30"/>
      <c r="AQM14" s="30"/>
      <c r="AQN14" s="30"/>
      <c r="AQO14" s="30"/>
      <c r="AQP14" s="30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30"/>
      <c r="ARM14" s="30"/>
      <c r="ARN14" s="30"/>
      <c r="ARO14" s="56"/>
      <c r="ARP14" s="30"/>
      <c r="ARQ14" s="30"/>
      <c r="ARR14" s="30"/>
      <c r="ARS14" s="30"/>
      <c r="ART14" s="30"/>
      <c r="ARU14" s="30"/>
      <c r="ARV14" s="30"/>
      <c r="ARW14" s="30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30"/>
      <c r="AST14" s="30"/>
      <c r="ASU14" s="30"/>
      <c r="ASV14" s="56"/>
      <c r="ASW14" s="57"/>
      <c r="ASX14" s="30"/>
      <c r="ASY14" s="30"/>
      <c r="ASZ14" s="30"/>
      <c r="ATA14" s="30"/>
      <c r="ATB14" s="30"/>
      <c r="ATC14" s="30"/>
      <c r="ATD14" s="30"/>
      <c r="ATE14" s="30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30"/>
      <c r="AUA14" s="30"/>
      <c r="AUB14" s="30"/>
      <c r="AUC14" s="30"/>
      <c r="AUD14" s="56"/>
      <c r="AUE14" s="30"/>
      <c r="AUF14" s="30"/>
      <c r="AUG14" s="30"/>
      <c r="AUH14" s="30"/>
      <c r="AUI14" s="30"/>
      <c r="AUJ14" s="30"/>
      <c r="AUK14" s="30"/>
      <c r="AUL14" s="30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30"/>
      <c r="AVI14" s="30"/>
      <c r="AVJ14" s="30"/>
      <c r="AVK14" s="56"/>
      <c r="AVL14" s="30"/>
      <c r="AVM14" s="30"/>
      <c r="AVN14" s="30"/>
      <c r="AVO14" s="30"/>
      <c r="AVP14" s="30"/>
      <c r="AVQ14" s="30"/>
      <c r="AVR14" s="30"/>
      <c r="AVS14" s="30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30"/>
      <c r="AWP14" s="30"/>
      <c r="AWQ14" s="30"/>
      <c r="AWR14" s="56"/>
      <c r="AWS14" s="30"/>
      <c r="AWT14" s="30"/>
      <c r="AWU14" s="30"/>
      <c r="AWV14" s="30"/>
      <c r="AWW14" s="30"/>
      <c r="AWX14" s="30"/>
      <c r="AWY14" s="30"/>
      <c r="AWZ14" s="30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30"/>
      <c r="AXW14" s="30"/>
      <c r="AXX14" s="30"/>
      <c r="AXY14" s="56"/>
      <c r="AXZ14" s="30"/>
      <c r="AYA14" s="30"/>
      <c r="AYB14" s="30"/>
      <c r="AYC14" s="30"/>
      <c r="AYD14" s="30"/>
      <c r="AYE14" s="30"/>
      <c r="AYF14" s="30"/>
      <c r="AYG14" s="30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30"/>
      <c r="AZD14" s="30"/>
      <c r="AZE14" s="30"/>
      <c r="AZF14" s="56"/>
      <c r="AZG14" s="30"/>
      <c r="AZH14" s="30"/>
      <c r="AZI14" s="30"/>
      <c r="AZJ14" s="30"/>
      <c r="AZK14" s="30"/>
      <c r="AZL14" s="30"/>
      <c r="AZM14" s="30"/>
      <c r="AZN14" s="30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30"/>
      <c r="BAK14" s="30"/>
      <c r="BAL14" s="30"/>
      <c r="BAM14" s="56"/>
      <c r="BAN14" s="30"/>
      <c r="BAO14" s="30"/>
      <c r="BAP14" s="30"/>
      <c r="BAQ14" s="30"/>
      <c r="BAR14" s="30"/>
      <c r="BAS14" s="30"/>
      <c r="BAT14" s="30"/>
      <c r="BAU14" s="30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30"/>
      <c r="BBR14" s="30"/>
      <c r="BBS14" s="30"/>
      <c r="BBT14" s="56"/>
      <c r="BBU14" s="30"/>
      <c r="BBV14" s="30"/>
      <c r="BBW14" s="30"/>
      <c r="BBX14" s="30"/>
      <c r="BBY14" s="30"/>
      <c r="BBZ14" s="30"/>
      <c r="BCA14" s="30"/>
      <c r="BCB14" s="30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30"/>
      <c r="BCY14" s="30"/>
      <c r="BCZ14" s="30"/>
      <c r="BDA14" s="56"/>
      <c r="BDB14" s="30"/>
      <c r="BDC14" s="30"/>
      <c r="BDD14" s="30"/>
      <c r="BDE14" s="30"/>
      <c r="BDF14" s="30"/>
      <c r="BDG14" s="30"/>
      <c r="BDH14" s="30"/>
      <c r="BDI14" s="30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30"/>
      <c r="BEF14" s="30"/>
      <c r="BEG14" s="30"/>
      <c r="BEH14" s="56"/>
      <c r="BEI14" s="30"/>
      <c r="BEJ14" s="30"/>
      <c r="BEK14" s="30"/>
      <c r="BEL14" s="30"/>
      <c r="BEM14" s="30"/>
      <c r="BEN14" s="30"/>
      <c r="BEO14" s="30"/>
      <c r="BEP14" s="30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30"/>
      <c r="BFM14" s="30"/>
      <c r="BFN14" s="30"/>
      <c r="BFO14" s="56"/>
      <c r="BFP14" s="30"/>
      <c r="BFQ14" s="30"/>
      <c r="BFR14" s="30"/>
      <c r="BFS14" s="30"/>
      <c r="BFT14" s="30"/>
      <c r="BFU14" s="30"/>
      <c r="BFV14" s="30"/>
      <c r="BFW14" s="30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30"/>
      <c r="BGT14" s="30"/>
      <c r="BGU14" s="30"/>
      <c r="BGV14" s="56"/>
      <c r="BGW14" s="30"/>
      <c r="BGX14" s="30"/>
      <c r="BGY14" s="30"/>
      <c r="BGZ14" s="30"/>
      <c r="BHA14" s="30"/>
      <c r="BHB14" s="30"/>
      <c r="BHC14" s="30"/>
      <c r="BHD14" s="30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30"/>
      <c r="BIA14" s="30"/>
      <c r="BIB14" s="30"/>
      <c r="BIC14" s="56"/>
      <c r="BID14" s="57"/>
    </row>
    <row r="15" spans="1:1590" ht="14.45" x14ac:dyDescent="0.3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56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56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56"/>
      <c r="CX15" s="30"/>
      <c r="CY15" s="30"/>
      <c r="CZ15" s="30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30"/>
      <c r="ED15" s="56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56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56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56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56"/>
      <c r="JG15" s="30"/>
      <c r="JH15" s="30"/>
      <c r="JI15" s="30"/>
      <c r="JJ15" s="30"/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30"/>
      <c r="JV15" s="30"/>
      <c r="JW15" s="30"/>
      <c r="JX15" s="30"/>
      <c r="JY15" s="30"/>
      <c r="JZ15" s="30"/>
      <c r="KA15" s="30"/>
      <c r="KB15" s="30"/>
      <c r="KC15" s="30"/>
      <c r="KD15" s="30"/>
      <c r="KE15" s="30"/>
      <c r="KF15" s="30"/>
      <c r="KG15" s="30"/>
      <c r="KH15" s="30"/>
      <c r="KI15" s="30"/>
      <c r="KJ15" s="30"/>
      <c r="KK15" s="30"/>
      <c r="KL15" s="30"/>
      <c r="KM15" s="56"/>
      <c r="KN15" s="30"/>
      <c r="KO15" s="30"/>
      <c r="KP15" s="30"/>
      <c r="KQ15" s="30"/>
      <c r="KR15" s="30"/>
      <c r="KS15" s="30"/>
      <c r="KT15" s="30"/>
      <c r="KU15" s="30"/>
      <c r="KV15" s="30"/>
      <c r="KW15" s="30"/>
      <c r="KX15" s="30"/>
      <c r="KY15" s="30"/>
      <c r="KZ15" s="30"/>
      <c r="LA15" s="30"/>
      <c r="LB15" s="30"/>
      <c r="LC15" s="30"/>
      <c r="LD15" s="30"/>
      <c r="LE15" s="30"/>
      <c r="LF15" s="30"/>
      <c r="LG15" s="30"/>
      <c r="LH15" s="30"/>
      <c r="LI15" s="30"/>
      <c r="LJ15" s="30"/>
      <c r="LK15" s="30"/>
      <c r="LL15" s="30"/>
      <c r="LM15" s="30"/>
      <c r="LN15" s="30"/>
      <c r="LO15" s="30"/>
      <c r="LP15" s="30"/>
      <c r="LQ15" s="30"/>
      <c r="LR15" s="30"/>
      <c r="LS15" s="30"/>
      <c r="LT15" s="56"/>
      <c r="LU15" s="30"/>
      <c r="LV15" s="30"/>
      <c r="LW15" s="30"/>
      <c r="LX15" s="30"/>
      <c r="LY15" s="30"/>
      <c r="LZ15" s="30"/>
      <c r="MA15" s="30"/>
      <c r="MB15" s="30"/>
      <c r="MC15" s="30"/>
      <c r="MD15" s="30"/>
      <c r="ME15" s="30"/>
      <c r="MF15" s="30"/>
      <c r="MG15" s="30"/>
      <c r="MH15" s="30"/>
      <c r="MI15" s="30"/>
      <c r="MJ15" s="30"/>
      <c r="MK15" s="30"/>
      <c r="ML15" s="30"/>
      <c r="MM15" s="30"/>
      <c r="MN15" s="30"/>
      <c r="MO15" s="30"/>
      <c r="MP15" s="30"/>
      <c r="MQ15" s="30"/>
      <c r="MR15" s="30"/>
      <c r="MS15" s="30"/>
      <c r="MT15" s="30"/>
      <c r="MU15" s="30"/>
      <c r="MV15" s="30"/>
      <c r="MW15" s="30"/>
      <c r="MX15" s="30"/>
      <c r="MY15" s="30"/>
      <c r="MZ15" s="30"/>
      <c r="NA15" s="56"/>
      <c r="NB15" s="30"/>
      <c r="NC15" s="30"/>
      <c r="ND15" s="30"/>
      <c r="NE15" s="30"/>
      <c r="NF15" s="30"/>
      <c r="NG15" s="30"/>
      <c r="NH15" s="30"/>
      <c r="NI15" s="30"/>
      <c r="NJ15" s="30"/>
      <c r="NK15" s="30"/>
      <c r="NL15" s="30"/>
      <c r="NM15" s="30"/>
      <c r="NN15" s="30"/>
      <c r="NO15" s="30"/>
      <c r="NP15" s="30"/>
      <c r="NQ15" s="30"/>
      <c r="NR15" s="30"/>
      <c r="NS15" s="30"/>
      <c r="NT15" s="30"/>
      <c r="NU15" s="30"/>
      <c r="NV15" s="30"/>
      <c r="NW15" s="30"/>
      <c r="NX15" s="30"/>
      <c r="NY15" s="30"/>
      <c r="NZ15" s="30"/>
      <c r="OA15" s="30"/>
      <c r="OB15" s="30"/>
      <c r="OC15" s="30"/>
      <c r="OD15" s="30"/>
      <c r="OE15" s="30"/>
      <c r="OF15" s="30"/>
      <c r="OG15" s="30"/>
      <c r="OH15" s="56"/>
      <c r="OI15" s="57"/>
      <c r="OJ15" s="30"/>
      <c r="OK15" s="30"/>
      <c r="OL15" s="30"/>
      <c r="OM15" s="30"/>
      <c r="ON15" s="30"/>
      <c r="OO15" s="30"/>
      <c r="OP15" s="30"/>
      <c r="OQ15" s="30"/>
      <c r="OR15" s="30"/>
      <c r="OS15" s="30"/>
      <c r="OT15" s="30"/>
      <c r="OU15" s="30"/>
      <c r="OV15" s="30"/>
      <c r="OW15" s="30"/>
      <c r="OX15" s="30"/>
      <c r="OY15" s="30"/>
      <c r="OZ15" s="30"/>
      <c r="PA15" s="30"/>
      <c r="PB15" s="30"/>
      <c r="PC15" s="30"/>
      <c r="PD15" s="30"/>
      <c r="PE15" s="30"/>
      <c r="PF15" s="30"/>
      <c r="PG15" s="30"/>
      <c r="PH15" s="30"/>
      <c r="PI15" s="30"/>
      <c r="PJ15" s="30"/>
      <c r="PK15" s="30"/>
      <c r="PL15" s="30"/>
      <c r="PM15" s="30"/>
      <c r="PN15" s="30"/>
      <c r="PO15" s="30"/>
      <c r="PP15" s="56"/>
      <c r="PQ15" s="30"/>
      <c r="PR15" s="30"/>
      <c r="PS15" s="30"/>
      <c r="PT15" s="30"/>
      <c r="PU15" s="30"/>
      <c r="PV15" s="30"/>
      <c r="PW15" s="30"/>
      <c r="PX15" s="30"/>
      <c r="PY15" s="30"/>
      <c r="PZ15" s="30"/>
      <c r="QA15" s="30"/>
      <c r="QB15" s="30"/>
      <c r="QC15" s="30"/>
      <c r="QD15" s="30"/>
      <c r="QE15" s="30"/>
      <c r="QF15" s="30"/>
      <c r="QG15" s="30"/>
      <c r="QH15" s="30"/>
      <c r="QI15" s="30"/>
      <c r="QJ15" s="30"/>
      <c r="QK15" s="30"/>
      <c r="QL15" s="30"/>
      <c r="QM15" s="30"/>
      <c r="QN15" s="30"/>
      <c r="QO15" s="30"/>
      <c r="QP15" s="30"/>
      <c r="QQ15" s="30"/>
      <c r="QR15" s="30"/>
      <c r="QS15" s="30"/>
      <c r="QT15" s="30"/>
      <c r="QU15" s="30"/>
      <c r="QV15" s="30"/>
      <c r="QW15" s="56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30"/>
      <c r="SB15" s="30"/>
      <c r="SC15" s="30"/>
      <c r="SD15" s="56"/>
      <c r="SE15" s="30"/>
      <c r="SF15" s="30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0"/>
      <c r="TF15" s="30"/>
      <c r="TG15" s="30"/>
      <c r="TH15" s="30"/>
      <c r="TI15" s="30"/>
      <c r="TJ15" s="30"/>
      <c r="TK15" s="56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30"/>
      <c r="UF15" s="30"/>
      <c r="UG15" s="30"/>
      <c r="UH15" s="30"/>
      <c r="UI15" s="30"/>
      <c r="UJ15" s="30"/>
      <c r="UK15" s="30"/>
      <c r="UL15" s="30"/>
      <c r="UM15" s="30"/>
      <c r="UN15" s="30"/>
      <c r="UO15" s="30"/>
      <c r="UP15" s="30"/>
      <c r="UQ15" s="30"/>
      <c r="UR15" s="56"/>
      <c r="US15" s="30"/>
      <c r="UT15" s="30"/>
      <c r="UU15" s="30"/>
      <c r="UV15" s="30"/>
      <c r="UW15" s="30"/>
      <c r="UX15" s="30"/>
      <c r="UY15" s="30"/>
      <c r="UZ15" s="30"/>
      <c r="VA15" s="30"/>
      <c r="VB15" s="30"/>
      <c r="VC15" s="30"/>
      <c r="VD15" s="30"/>
      <c r="VE15" s="30"/>
      <c r="VF15" s="30"/>
      <c r="VG15" s="30"/>
      <c r="VH15" s="30"/>
      <c r="VI15" s="30"/>
      <c r="VJ15" s="30"/>
      <c r="VK15" s="30"/>
      <c r="VL15" s="30"/>
      <c r="VM15" s="30"/>
      <c r="VN15" s="30"/>
      <c r="VO15" s="30"/>
      <c r="VP15" s="30"/>
      <c r="VQ15" s="30"/>
      <c r="VR15" s="30"/>
      <c r="VS15" s="30"/>
      <c r="VT15" s="30"/>
      <c r="VU15" s="30"/>
      <c r="VV15" s="30"/>
      <c r="VW15" s="30"/>
      <c r="VX15" s="30"/>
      <c r="VY15" s="56"/>
      <c r="VZ15" s="30"/>
      <c r="WA15" s="30"/>
      <c r="WB15" s="30"/>
      <c r="WC15" s="30"/>
      <c r="WD15" s="30"/>
      <c r="WE15" s="30"/>
      <c r="WF15" s="30"/>
      <c r="WG15" s="30"/>
      <c r="WH15" s="30"/>
      <c r="WI15" s="30"/>
      <c r="WJ15" s="30"/>
      <c r="WK15" s="30"/>
      <c r="WL15" s="30"/>
      <c r="WM15" s="30"/>
      <c r="WN15" s="30"/>
      <c r="WO15" s="30"/>
      <c r="WP15" s="30"/>
      <c r="WQ15" s="30"/>
      <c r="WR15" s="30"/>
      <c r="WS15" s="30"/>
      <c r="WT15" s="30"/>
      <c r="WU15" s="30"/>
      <c r="WV15" s="30"/>
      <c r="WW15" s="30"/>
      <c r="WX15" s="30"/>
      <c r="WY15" s="30"/>
      <c r="WZ15" s="30"/>
      <c r="XA15" s="30"/>
      <c r="XB15" s="30"/>
      <c r="XC15" s="30"/>
      <c r="XD15" s="30"/>
      <c r="XE15" s="30"/>
      <c r="XF15" s="56"/>
      <c r="XG15" s="30"/>
      <c r="XH15" s="30"/>
      <c r="XI15" s="30"/>
      <c r="XJ15" s="30"/>
      <c r="XK15" s="30"/>
      <c r="XL15" s="30"/>
      <c r="XM15" s="30"/>
      <c r="XN15" s="30"/>
      <c r="XO15" s="30"/>
      <c r="XP15" s="30"/>
      <c r="XQ15" s="30"/>
      <c r="XR15" s="30"/>
      <c r="XS15" s="30"/>
      <c r="XT15" s="30"/>
      <c r="XU15" s="30"/>
      <c r="XV15" s="30"/>
      <c r="XW15" s="30"/>
      <c r="XX15" s="30"/>
      <c r="XY15" s="30"/>
      <c r="XZ15" s="30"/>
      <c r="YA15" s="30"/>
      <c r="YB15" s="30"/>
      <c r="YC15" s="30"/>
      <c r="YD15" s="30"/>
      <c r="YE15" s="30"/>
      <c r="YF15" s="30"/>
      <c r="YG15" s="30"/>
      <c r="YH15" s="30"/>
      <c r="YI15" s="30"/>
      <c r="YJ15" s="30"/>
      <c r="YK15" s="30"/>
      <c r="YL15" s="30"/>
      <c r="YM15" s="56"/>
      <c r="YN15" s="30"/>
      <c r="YO15" s="30"/>
      <c r="YP15" s="30"/>
      <c r="YQ15" s="30"/>
      <c r="YR15" s="30"/>
      <c r="YS15" s="30"/>
      <c r="YT15" s="30"/>
      <c r="YU15" s="30"/>
      <c r="YV15" s="30"/>
      <c r="YW15" s="30"/>
      <c r="YX15" s="30"/>
      <c r="YY15" s="30"/>
      <c r="YZ15" s="30"/>
      <c r="ZA15" s="30"/>
      <c r="ZB15" s="30"/>
      <c r="ZC15" s="30"/>
      <c r="ZD15" s="30"/>
      <c r="ZE15" s="30"/>
      <c r="ZF15" s="30"/>
      <c r="ZG15" s="30"/>
      <c r="ZH15" s="30"/>
      <c r="ZI15" s="30"/>
      <c r="ZJ15" s="30"/>
      <c r="ZK15" s="30"/>
      <c r="ZL15" s="30"/>
      <c r="ZM15" s="30"/>
      <c r="ZN15" s="30"/>
      <c r="ZO15" s="30"/>
      <c r="ZP15" s="30"/>
      <c r="ZQ15" s="30"/>
      <c r="ZR15" s="30"/>
      <c r="ZS15" s="30"/>
      <c r="ZT15" s="56"/>
      <c r="ZU15" s="30"/>
      <c r="ZV15" s="30"/>
      <c r="ZW15" s="30"/>
      <c r="ZX15" s="30"/>
      <c r="ZY15" s="30"/>
      <c r="ZZ15" s="30"/>
      <c r="AAA15" s="30"/>
      <c r="AAB15" s="30"/>
      <c r="AAC15" s="30"/>
      <c r="AAD15" s="30"/>
      <c r="AAE15" s="30"/>
      <c r="AAF15" s="30"/>
      <c r="AAG15" s="30"/>
      <c r="AAH15" s="30"/>
      <c r="AAI15" s="30"/>
      <c r="AAJ15" s="30"/>
      <c r="AAK15" s="30"/>
      <c r="AAL15" s="30"/>
      <c r="AAM15" s="30"/>
      <c r="AAN15" s="30"/>
      <c r="AAO15" s="30"/>
      <c r="AAP15" s="30"/>
      <c r="AAQ15" s="30"/>
      <c r="AAR15" s="30"/>
      <c r="AAS15" s="30"/>
      <c r="AAT15" s="30"/>
      <c r="AAU15" s="30"/>
      <c r="AAV15" s="30"/>
      <c r="AAW15" s="30"/>
      <c r="AAX15" s="30"/>
      <c r="AAY15" s="30"/>
      <c r="AAZ15" s="30"/>
      <c r="ABA15" s="56"/>
      <c r="ABB15" s="30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  <c r="ABT15" s="30"/>
      <c r="ABU15" s="30"/>
      <c r="ABV15" s="30"/>
      <c r="ABW15" s="30"/>
      <c r="ABX15" s="30"/>
      <c r="ABY15" s="30"/>
      <c r="ABZ15" s="30"/>
      <c r="ACA15" s="30"/>
      <c r="ACB15" s="30"/>
      <c r="ACC15" s="30"/>
      <c r="ACD15" s="30"/>
      <c r="ACE15" s="30"/>
      <c r="ACF15" s="30"/>
      <c r="ACG15" s="30"/>
      <c r="ACH15" s="56"/>
      <c r="ACI15" s="30"/>
      <c r="ACJ15" s="30"/>
      <c r="ACK15" s="30"/>
      <c r="ACL15" s="30"/>
      <c r="ACM15" s="30"/>
      <c r="ACN15" s="30"/>
      <c r="ACO15" s="30"/>
      <c r="ACP15" s="30"/>
      <c r="ACQ15" s="30"/>
      <c r="ACR15" s="30"/>
      <c r="ACS15" s="30"/>
      <c r="ACT15" s="30"/>
      <c r="ACU15" s="30"/>
      <c r="ACV15" s="30"/>
      <c r="ACW15" s="30"/>
      <c r="ACX15" s="30"/>
      <c r="ACY15" s="30"/>
      <c r="ACZ15" s="30"/>
      <c r="ADA15" s="30"/>
      <c r="ADB15" s="30"/>
      <c r="ADC15" s="30"/>
      <c r="ADD15" s="30"/>
      <c r="ADE15" s="30"/>
      <c r="ADF15" s="30"/>
      <c r="ADG15" s="30"/>
      <c r="ADH15" s="30"/>
      <c r="ADI15" s="30"/>
      <c r="ADJ15" s="30"/>
      <c r="ADK15" s="30"/>
      <c r="ADL15" s="30"/>
      <c r="ADM15" s="30"/>
      <c r="ADN15" s="30"/>
      <c r="ADO15" s="56"/>
      <c r="ADP15" s="57"/>
      <c r="ADQ15" s="30"/>
      <c r="ADR15" s="30"/>
      <c r="ADS15" s="30"/>
      <c r="ADT15" s="30"/>
      <c r="ADU15" s="30"/>
      <c r="ADV15" s="30"/>
      <c r="ADW15" s="30"/>
      <c r="ADX15" s="30"/>
      <c r="ADY15" s="30"/>
      <c r="ADZ15" s="30"/>
      <c r="AEA15" s="30"/>
      <c r="AEB15" s="30"/>
      <c r="AEC15" s="30"/>
      <c r="AED15" s="30"/>
      <c r="AEE15" s="30"/>
      <c r="AEF15" s="30"/>
      <c r="AEG15" s="30"/>
      <c r="AEH15" s="30"/>
      <c r="AEI15" s="30"/>
      <c r="AEJ15" s="30"/>
      <c r="AEK15" s="30"/>
      <c r="AEL15" s="30"/>
      <c r="AEM15" s="30"/>
      <c r="AEN15" s="30"/>
      <c r="AEO15" s="30"/>
      <c r="AEP15" s="30"/>
      <c r="AEQ15" s="30"/>
      <c r="AER15" s="30"/>
      <c r="AES15" s="30"/>
      <c r="AET15" s="30"/>
      <c r="AEU15" s="30"/>
      <c r="AEV15" s="30"/>
      <c r="AEW15" s="56"/>
      <c r="AEX15" s="30"/>
      <c r="AEY15" s="30"/>
      <c r="AEZ15" s="30"/>
      <c r="AFA15" s="30"/>
      <c r="AFB15" s="30"/>
      <c r="AFC15" s="30"/>
      <c r="AFD15" s="30"/>
      <c r="AFE15" s="30"/>
      <c r="AFF15" s="30"/>
      <c r="AFG15" s="30"/>
      <c r="AFH15" s="30"/>
      <c r="AFI15" s="30"/>
      <c r="AFJ15" s="30"/>
      <c r="AFK15" s="30"/>
      <c r="AFL15" s="30"/>
      <c r="AFM15" s="30"/>
      <c r="AFN15" s="30"/>
      <c r="AFO15" s="30"/>
      <c r="AFP15" s="30"/>
      <c r="AFQ15" s="30"/>
      <c r="AFR15" s="30"/>
      <c r="AFS15" s="30"/>
      <c r="AFT15" s="30"/>
      <c r="AFU15" s="30"/>
      <c r="AFV15" s="30"/>
      <c r="AFW15" s="30"/>
      <c r="AFX15" s="30"/>
      <c r="AFY15" s="30"/>
      <c r="AFZ15" s="30"/>
      <c r="AGA15" s="30"/>
      <c r="AGB15" s="30"/>
      <c r="AGC15" s="30"/>
      <c r="AGD15" s="56"/>
      <c r="AGE15" s="30"/>
      <c r="AGF15" s="30"/>
      <c r="AGG15" s="30"/>
      <c r="AGH15" s="30"/>
      <c r="AGI15" s="30"/>
      <c r="AGJ15" s="30"/>
      <c r="AGK15" s="30"/>
      <c r="AGL15" s="30"/>
      <c r="AGM15" s="30"/>
      <c r="AGN15" s="30"/>
      <c r="AGO15" s="30"/>
      <c r="AGP15" s="30"/>
      <c r="AGQ15" s="30"/>
      <c r="AGR15" s="30"/>
      <c r="AGS15" s="30"/>
      <c r="AGT15" s="30"/>
      <c r="AGU15" s="30"/>
      <c r="AGV15" s="30"/>
      <c r="AGW15" s="30"/>
      <c r="AGX15" s="30"/>
      <c r="AGY15" s="30"/>
      <c r="AGZ15" s="30"/>
      <c r="AHA15" s="30"/>
      <c r="AHB15" s="30"/>
      <c r="AHC15" s="30"/>
      <c r="AHD15" s="30"/>
      <c r="AHE15" s="30"/>
      <c r="AHF15" s="30"/>
      <c r="AHG15" s="30"/>
      <c r="AHH15" s="30"/>
      <c r="AHI15" s="30"/>
      <c r="AHJ15" s="30"/>
      <c r="AHK15" s="56"/>
      <c r="AHL15" s="30"/>
      <c r="AHM15" s="30"/>
      <c r="AHN15" s="30"/>
      <c r="AHO15" s="30"/>
      <c r="AHP15" s="30"/>
      <c r="AHQ15" s="30"/>
      <c r="AHR15" s="30"/>
      <c r="AHS15" s="30"/>
      <c r="AHT15" s="30"/>
      <c r="AHU15" s="30"/>
      <c r="AHV15" s="30"/>
      <c r="AHW15" s="30"/>
      <c r="AHX15" s="30"/>
      <c r="AHY15" s="30"/>
      <c r="AHZ15" s="30"/>
      <c r="AIA15" s="30"/>
      <c r="AIB15" s="30"/>
      <c r="AIC15" s="30"/>
      <c r="AID15" s="30"/>
      <c r="AIE15" s="30"/>
      <c r="AIF15" s="30"/>
      <c r="AIG15" s="30"/>
      <c r="AIH15" s="30"/>
      <c r="AII15" s="30"/>
      <c r="AIJ15" s="30"/>
      <c r="AIK15" s="30"/>
      <c r="AIL15" s="30"/>
      <c r="AIM15" s="30"/>
      <c r="AIN15" s="30"/>
      <c r="AIO15" s="30"/>
      <c r="AIP15" s="30"/>
      <c r="AIQ15" s="30"/>
      <c r="AIR15" s="56"/>
      <c r="AIS15" s="30"/>
      <c r="AIT15" s="30"/>
      <c r="AIU15" s="30"/>
      <c r="AIV15" s="30"/>
      <c r="AIW15" s="30"/>
      <c r="AIX15" s="30"/>
      <c r="AIY15" s="30"/>
      <c r="AIZ15" s="30"/>
      <c r="AJA15" s="30"/>
      <c r="AJB15" s="30"/>
      <c r="AJC15" s="30"/>
      <c r="AJD15" s="30"/>
      <c r="AJE15" s="30"/>
      <c r="AJF15" s="30"/>
      <c r="AJG15" s="30"/>
      <c r="AJH15" s="30"/>
      <c r="AJI15" s="30"/>
      <c r="AJJ15" s="30"/>
      <c r="AJK15" s="30"/>
      <c r="AJL15" s="30"/>
      <c r="AJM15" s="30"/>
      <c r="AJN15" s="30"/>
      <c r="AJO15" s="30"/>
      <c r="AJP15" s="30"/>
      <c r="AJQ15" s="30"/>
      <c r="AJR15" s="30"/>
      <c r="AJS15" s="30"/>
      <c r="AJT15" s="30"/>
      <c r="AJU15" s="30"/>
      <c r="AJV15" s="30"/>
      <c r="AJW15" s="30"/>
      <c r="AJX15" s="30"/>
      <c r="AJY15" s="56"/>
      <c r="AJZ15" s="30"/>
      <c r="AKA15" s="30"/>
      <c r="AKB15" s="30"/>
      <c r="AKC15" s="30"/>
      <c r="AKD15" s="30"/>
      <c r="AKE15" s="30"/>
      <c r="AKF15" s="30"/>
      <c r="AKG15" s="30"/>
      <c r="AKH15" s="30"/>
      <c r="AKI15" s="30"/>
      <c r="AKJ15" s="30"/>
      <c r="AKK15" s="30"/>
      <c r="AKL15" s="30"/>
      <c r="AKM15" s="30"/>
      <c r="AKN15" s="30"/>
      <c r="AKO15" s="30"/>
      <c r="AKP15" s="30"/>
      <c r="AKQ15" s="30"/>
      <c r="AKR15" s="30"/>
      <c r="AKS15" s="30"/>
      <c r="AKT15" s="30"/>
      <c r="AKU15" s="30"/>
      <c r="AKV15" s="30"/>
      <c r="AKW15" s="30"/>
      <c r="AKX15" s="30"/>
      <c r="AKY15" s="30"/>
      <c r="AKZ15" s="30"/>
      <c r="ALA15" s="30"/>
      <c r="ALB15" s="30"/>
      <c r="ALC15" s="30"/>
      <c r="ALD15" s="30"/>
      <c r="ALE15" s="30"/>
      <c r="ALF15" s="56"/>
      <c r="ALG15" s="30"/>
      <c r="ALH15" s="30"/>
      <c r="ALI15" s="30"/>
      <c r="ALJ15" s="30"/>
      <c r="ALK15" s="30"/>
      <c r="ALL15" s="30"/>
      <c r="ALM15" s="30"/>
      <c r="ALN15" s="30"/>
      <c r="ALO15" s="30"/>
      <c r="ALP15" s="30"/>
      <c r="ALQ15" s="30"/>
      <c r="ALR15" s="30"/>
      <c r="ALS15" s="30"/>
      <c r="ALT15" s="30"/>
      <c r="ALU15" s="30"/>
      <c r="ALV15" s="30"/>
      <c r="ALW15" s="30"/>
      <c r="ALX15" s="30"/>
      <c r="ALY15" s="30"/>
      <c r="ALZ15" s="30"/>
      <c r="AMA15" s="30"/>
      <c r="AMB15" s="30"/>
      <c r="AMC15" s="30"/>
      <c r="AMD15" s="30"/>
      <c r="AME15" s="30"/>
      <c r="AMF15" s="30"/>
      <c r="AMG15" s="30"/>
      <c r="AMH15" s="30"/>
      <c r="AMI15" s="30"/>
      <c r="AMJ15" s="30"/>
      <c r="AMK15" s="30"/>
      <c r="AML15" s="30"/>
      <c r="AMM15" s="56"/>
      <c r="AMN15" s="30"/>
      <c r="AMO15" s="30"/>
      <c r="AMP15" s="30"/>
      <c r="AMQ15" s="30"/>
      <c r="AMR15" s="30"/>
      <c r="AMS15" s="30"/>
      <c r="AMT15" s="30"/>
      <c r="AMU15" s="30"/>
      <c r="AMV15" s="30"/>
      <c r="AMW15" s="30"/>
      <c r="AMX15" s="30"/>
      <c r="AMY15" s="30"/>
      <c r="AMZ15" s="30"/>
      <c r="ANA15" s="30"/>
      <c r="ANB15" s="30"/>
      <c r="ANC15" s="30"/>
      <c r="AND15" s="30"/>
      <c r="ANE15" s="30"/>
      <c r="ANF15" s="30"/>
      <c r="ANG15" s="30"/>
      <c r="ANH15" s="30"/>
      <c r="ANI15" s="30"/>
      <c r="ANJ15" s="30"/>
      <c r="ANK15" s="30"/>
      <c r="ANL15" s="30"/>
      <c r="ANM15" s="30"/>
      <c r="ANN15" s="30"/>
      <c r="ANO15" s="30"/>
      <c r="ANP15" s="30"/>
      <c r="ANQ15" s="30"/>
      <c r="ANR15" s="30"/>
      <c r="ANS15" s="30"/>
      <c r="ANT15" s="56"/>
      <c r="ANU15" s="30"/>
      <c r="ANV15" s="30"/>
      <c r="ANW15" s="30"/>
      <c r="ANX15" s="30"/>
      <c r="ANY15" s="30"/>
      <c r="ANZ15" s="30"/>
      <c r="AOA15" s="30"/>
      <c r="AOB15" s="30"/>
      <c r="AOC15" s="30"/>
      <c r="AOD15" s="30"/>
      <c r="AOE15" s="30"/>
      <c r="AOF15" s="30"/>
      <c r="AOG15" s="30"/>
      <c r="AOH15" s="30"/>
      <c r="AOI15" s="30"/>
      <c r="AOJ15" s="30"/>
      <c r="AOK15" s="30"/>
      <c r="AOL15" s="30"/>
      <c r="AOM15" s="30"/>
      <c r="AON15" s="30"/>
      <c r="AOO15" s="30"/>
      <c r="AOP15" s="30"/>
      <c r="AOQ15" s="30"/>
      <c r="AOR15" s="30"/>
      <c r="AOS15" s="30"/>
      <c r="AOT15" s="30"/>
      <c r="AOU15" s="30"/>
      <c r="AOV15" s="30"/>
      <c r="AOW15" s="30"/>
      <c r="AOX15" s="30"/>
      <c r="AOY15" s="30"/>
      <c r="AOZ15" s="30"/>
      <c r="APA15" s="56"/>
      <c r="APB15" s="30"/>
      <c r="APC15" s="30"/>
      <c r="APD15" s="30"/>
      <c r="APE15" s="30"/>
      <c r="APF15" s="30"/>
      <c r="APG15" s="30"/>
      <c r="APH15" s="30"/>
      <c r="API15" s="30"/>
      <c r="APJ15" s="30"/>
      <c r="APK15" s="30"/>
      <c r="APL15" s="30"/>
      <c r="APM15" s="30"/>
      <c r="APN15" s="30"/>
      <c r="APO15" s="30"/>
      <c r="APP15" s="30"/>
      <c r="APQ15" s="30"/>
      <c r="APR15" s="30"/>
      <c r="APS15" s="30"/>
      <c r="APT15" s="30"/>
      <c r="APU15" s="30"/>
      <c r="APV15" s="30"/>
      <c r="APW15" s="30"/>
      <c r="APX15" s="30"/>
      <c r="APY15" s="30"/>
      <c r="APZ15" s="30"/>
      <c r="AQA15" s="30"/>
      <c r="AQB15" s="30"/>
      <c r="AQC15" s="30"/>
      <c r="AQD15" s="30"/>
      <c r="AQE15" s="30"/>
      <c r="AQF15" s="30"/>
      <c r="AQG15" s="30"/>
      <c r="AQH15" s="56"/>
      <c r="AQI15" s="30"/>
      <c r="AQJ15" s="30"/>
      <c r="AQK15" s="30"/>
      <c r="AQL15" s="30"/>
      <c r="AQM15" s="30"/>
      <c r="AQN15" s="30"/>
      <c r="AQO15" s="30"/>
      <c r="AQP15" s="30"/>
      <c r="AQQ15" s="30"/>
      <c r="AQR15" s="30"/>
      <c r="AQS15" s="30"/>
      <c r="AQT15" s="30"/>
      <c r="AQU15" s="30"/>
      <c r="AQV15" s="30"/>
      <c r="AQW15" s="30"/>
      <c r="AQX15" s="30"/>
      <c r="AQY15" s="30"/>
      <c r="AQZ15" s="30"/>
      <c r="ARA15" s="30"/>
      <c r="ARB15" s="30"/>
      <c r="ARC15" s="30"/>
      <c r="ARD15" s="30"/>
      <c r="ARE15" s="30"/>
      <c r="ARF15" s="30"/>
      <c r="ARG15" s="30"/>
      <c r="ARH15" s="30"/>
      <c r="ARI15" s="30"/>
      <c r="ARJ15" s="30"/>
      <c r="ARK15" s="30"/>
      <c r="ARL15" s="30"/>
      <c r="ARM15" s="30"/>
      <c r="ARN15" s="30"/>
      <c r="ARO15" s="56"/>
      <c r="ARP15" s="30"/>
      <c r="ARQ15" s="30"/>
      <c r="ARR15" s="30"/>
      <c r="ARS15" s="30"/>
      <c r="ART15" s="30"/>
      <c r="ARU15" s="30"/>
      <c r="ARV15" s="30"/>
      <c r="ARW15" s="30"/>
      <c r="ARX15" s="30"/>
      <c r="ARY15" s="30"/>
      <c r="ARZ15" s="30"/>
      <c r="ASA15" s="30"/>
      <c r="ASB15" s="30"/>
      <c r="ASC15" s="30"/>
      <c r="ASD15" s="30"/>
      <c r="ASE15" s="30"/>
      <c r="ASF15" s="30"/>
      <c r="ASG15" s="30"/>
      <c r="ASH15" s="30"/>
      <c r="ASI15" s="30"/>
      <c r="ASJ15" s="30"/>
      <c r="ASK15" s="30"/>
      <c r="ASL15" s="30"/>
      <c r="ASM15" s="30"/>
      <c r="ASN15" s="30"/>
      <c r="ASO15" s="30"/>
      <c r="ASP15" s="30"/>
      <c r="ASQ15" s="30"/>
      <c r="ASR15" s="30"/>
      <c r="ASS15" s="30"/>
      <c r="AST15" s="30"/>
      <c r="ASU15" s="30"/>
      <c r="ASV15" s="56"/>
      <c r="ASW15" s="57"/>
      <c r="ASX15" s="30"/>
      <c r="ASY15" s="30"/>
      <c r="ASZ15" s="30"/>
      <c r="ATA15" s="30"/>
      <c r="ATB15" s="30"/>
      <c r="ATC15" s="30"/>
      <c r="ATD15" s="30"/>
      <c r="ATE15" s="30"/>
      <c r="ATF15" s="30"/>
      <c r="ATG15" s="30"/>
      <c r="ATH15" s="30"/>
      <c r="ATI15" s="30"/>
      <c r="ATJ15" s="30"/>
      <c r="ATK15" s="30"/>
      <c r="ATL15" s="30"/>
      <c r="ATM15" s="30"/>
      <c r="ATN15" s="30"/>
      <c r="ATO15" s="30"/>
      <c r="ATP15" s="30"/>
      <c r="ATQ15" s="30"/>
      <c r="ATR15" s="30"/>
      <c r="ATS15" s="30"/>
      <c r="ATT15" s="30"/>
      <c r="ATU15" s="30"/>
      <c r="ATV15" s="30"/>
      <c r="ATW15" s="30"/>
      <c r="ATX15" s="30"/>
      <c r="ATY15" s="30"/>
      <c r="ATZ15" s="30"/>
      <c r="AUA15" s="30"/>
      <c r="AUB15" s="30"/>
      <c r="AUC15" s="30"/>
      <c r="AUD15" s="56"/>
      <c r="AUE15" s="30"/>
      <c r="AUF15" s="30"/>
      <c r="AUG15" s="30"/>
      <c r="AUH15" s="30"/>
      <c r="AUI15" s="30"/>
      <c r="AUJ15" s="30"/>
      <c r="AUK15" s="30"/>
      <c r="AUL15" s="30"/>
      <c r="AUM15" s="30"/>
      <c r="AUN15" s="30"/>
      <c r="AUO15" s="30"/>
      <c r="AUP15" s="30"/>
      <c r="AUQ15" s="30"/>
      <c r="AUR15" s="30"/>
      <c r="AUS15" s="30"/>
      <c r="AUT15" s="30"/>
      <c r="AUU15" s="30"/>
      <c r="AUV15" s="30"/>
      <c r="AUW15" s="30"/>
      <c r="AUX15" s="30"/>
      <c r="AUY15" s="30"/>
      <c r="AUZ15" s="30"/>
      <c r="AVA15" s="30"/>
      <c r="AVB15" s="30"/>
      <c r="AVC15" s="30"/>
      <c r="AVD15" s="30"/>
      <c r="AVE15" s="30"/>
      <c r="AVF15" s="30"/>
      <c r="AVG15" s="30"/>
      <c r="AVH15" s="30"/>
      <c r="AVI15" s="30"/>
      <c r="AVJ15" s="30"/>
      <c r="AVK15" s="56"/>
      <c r="AVL15" s="30"/>
      <c r="AVM15" s="30"/>
      <c r="AVN15" s="30"/>
      <c r="AVO15" s="30"/>
      <c r="AVP15" s="30"/>
      <c r="AVQ15" s="30"/>
      <c r="AVR15" s="30"/>
      <c r="AVS15" s="30"/>
      <c r="AVT15" s="30"/>
      <c r="AVU15" s="30"/>
      <c r="AVV15" s="30"/>
      <c r="AVW15" s="30"/>
      <c r="AVX15" s="30"/>
      <c r="AVY15" s="30"/>
      <c r="AVZ15" s="30"/>
      <c r="AWA15" s="30"/>
      <c r="AWB15" s="30"/>
      <c r="AWC15" s="30"/>
      <c r="AWD15" s="30"/>
      <c r="AWE15" s="30"/>
      <c r="AWF15" s="30"/>
      <c r="AWG15" s="30"/>
      <c r="AWH15" s="30"/>
      <c r="AWI15" s="30"/>
      <c r="AWJ15" s="30"/>
      <c r="AWK15" s="30"/>
      <c r="AWL15" s="30"/>
      <c r="AWM15" s="30"/>
      <c r="AWN15" s="30"/>
      <c r="AWO15" s="30"/>
      <c r="AWP15" s="30"/>
      <c r="AWQ15" s="30"/>
      <c r="AWR15" s="56"/>
      <c r="AWS15" s="30"/>
      <c r="AWT15" s="30"/>
      <c r="AWU15" s="30"/>
      <c r="AWV15" s="30"/>
      <c r="AWW15" s="30"/>
      <c r="AWX15" s="30"/>
      <c r="AWY15" s="30"/>
      <c r="AWZ15" s="30"/>
      <c r="AXA15" s="30"/>
      <c r="AXB15" s="30"/>
      <c r="AXC15" s="30"/>
      <c r="AXD15" s="30"/>
      <c r="AXE15" s="30"/>
      <c r="AXF15" s="30"/>
      <c r="AXG15" s="30"/>
      <c r="AXH15" s="30"/>
      <c r="AXI15" s="30"/>
      <c r="AXJ15" s="30"/>
      <c r="AXK15" s="30"/>
      <c r="AXL15" s="30"/>
      <c r="AXM15" s="30"/>
      <c r="AXN15" s="30"/>
      <c r="AXO15" s="30"/>
      <c r="AXP15" s="30"/>
      <c r="AXQ15" s="30"/>
      <c r="AXR15" s="30"/>
      <c r="AXS15" s="30"/>
      <c r="AXT15" s="30"/>
      <c r="AXU15" s="30"/>
      <c r="AXV15" s="30"/>
      <c r="AXW15" s="30"/>
      <c r="AXX15" s="30"/>
      <c r="AXY15" s="56"/>
      <c r="AXZ15" s="30"/>
      <c r="AYA15" s="30"/>
      <c r="AYB15" s="30"/>
      <c r="AYC15" s="30"/>
      <c r="AYD15" s="30"/>
      <c r="AYE15" s="30"/>
      <c r="AYF15" s="30"/>
      <c r="AYG15" s="30"/>
      <c r="AYH15" s="30"/>
      <c r="AYI15" s="30"/>
      <c r="AYJ15" s="30"/>
      <c r="AYK15" s="30"/>
      <c r="AYL15" s="30"/>
      <c r="AYM15" s="30"/>
      <c r="AYN15" s="30"/>
      <c r="AYO15" s="30"/>
      <c r="AYP15" s="30"/>
      <c r="AYQ15" s="30"/>
      <c r="AYR15" s="30"/>
      <c r="AYS15" s="30"/>
      <c r="AYT15" s="30"/>
      <c r="AYU15" s="30"/>
      <c r="AYV15" s="30"/>
      <c r="AYW15" s="30"/>
      <c r="AYX15" s="30"/>
      <c r="AYY15" s="30"/>
      <c r="AYZ15" s="30"/>
      <c r="AZA15" s="30"/>
      <c r="AZB15" s="30"/>
      <c r="AZC15" s="30"/>
      <c r="AZD15" s="30"/>
      <c r="AZE15" s="30"/>
      <c r="AZF15" s="56"/>
      <c r="AZG15" s="30"/>
      <c r="AZH15" s="30"/>
      <c r="AZI15" s="30"/>
      <c r="AZJ15" s="30"/>
      <c r="AZK15" s="30"/>
      <c r="AZL15" s="30"/>
      <c r="AZM15" s="30"/>
      <c r="AZN15" s="30"/>
      <c r="AZO15" s="30"/>
      <c r="AZP15" s="30"/>
      <c r="AZQ15" s="30"/>
      <c r="AZR15" s="30"/>
      <c r="AZS15" s="30"/>
      <c r="AZT15" s="30"/>
      <c r="AZU15" s="30"/>
      <c r="AZV15" s="30"/>
      <c r="AZW15" s="30"/>
      <c r="AZX15" s="30"/>
      <c r="AZY15" s="30"/>
      <c r="AZZ15" s="30"/>
      <c r="BAA15" s="30"/>
      <c r="BAB15" s="30"/>
      <c r="BAC15" s="30"/>
      <c r="BAD15" s="30"/>
      <c r="BAE15" s="30"/>
      <c r="BAF15" s="30"/>
      <c r="BAG15" s="30"/>
      <c r="BAH15" s="30"/>
      <c r="BAI15" s="30"/>
      <c r="BAJ15" s="30"/>
      <c r="BAK15" s="30"/>
      <c r="BAL15" s="30"/>
      <c r="BAM15" s="56"/>
      <c r="BAN15" s="30"/>
      <c r="BAO15" s="30"/>
      <c r="BAP15" s="30"/>
      <c r="BAQ15" s="30"/>
      <c r="BAR15" s="30"/>
      <c r="BAS15" s="30"/>
      <c r="BAT15" s="30"/>
      <c r="BAU15" s="30"/>
      <c r="BAV15" s="30"/>
      <c r="BAW15" s="30"/>
      <c r="BAX15" s="30"/>
      <c r="BAY15" s="30"/>
      <c r="BAZ15" s="30"/>
      <c r="BBA15" s="30"/>
      <c r="BBB15" s="30"/>
      <c r="BBC15" s="30"/>
      <c r="BBD15" s="30"/>
      <c r="BBE15" s="30"/>
      <c r="BBF15" s="30"/>
      <c r="BBG15" s="30"/>
      <c r="BBH15" s="30"/>
      <c r="BBI15" s="30"/>
      <c r="BBJ15" s="30"/>
      <c r="BBK15" s="30"/>
      <c r="BBL15" s="30"/>
      <c r="BBM15" s="30"/>
      <c r="BBN15" s="30"/>
      <c r="BBO15" s="30"/>
      <c r="BBP15" s="30"/>
      <c r="BBQ15" s="30"/>
      <c r="BBR15" s="30"/>
      <c r="BBS15" s="30"/>
      <c r="BBT15" s="56"/>
      <c r="BBU15" s="30"/>
      <c r="BBV15" s="30"/>
      <c r="BBW15" s="30"/>
      <c r="BBX15" s="30"/>
      <c r="BBY15" s="30"/>
      <c r="BBZ15" s="30"/>
      <c r="BCA15" s="30"/>
      <c r="BCB15" s="30"/>
      <c r="BCC15" s="30"/>
      <c r="BCD15" s="30"/>
      <c r="BCE15" s="30"/>
      <c r="BCF15" s="30"/>
      <c r="BCG15" s="30"/>
      <c r="BCH15" s="30"/>
      <c r="BCI15" s="30"/>
      <c r="BCJ15" s="30"/>
      <c r="BCK15" s="30"/>
      <c r="BCL15" s="30"/>
      <c r="BCM15" s="30"/>
      <c r="BCN15" s="30"/>
      <c r="BCO15" s="30"/>
      <c r="BCP15" s="30"/>
      <c r="BCQ15" s="30"/>
      <c r="BCR15" s="30"/>
      <c r="BCS15" s="30"/>
      <c r="BCT15" s="30"/>
      <c r="BCU15" s="30"/>
      <c r="BCV15" s="30"/>
      <c r="BCW15" s="30"/>
      <c r="BCX15" s="30"/>
      <c r="BCY15" s="30"/>
      <c r="BCZ15" s="30"/>
      <c r="BDA15" s="56"/>
      <c r="BDB15" s="30"/>
      <c r="BDC15" s="30"/>
      <c r="BDD15" s="30"/>
      <c r="BDE15" s="30"/>
      <c r="BDF15" s="30"/>
      <c r="BDG15" s="30"/>
      <c r="BDH15" s="30"/>
      <c r="BDI15" s="30"/>
      <c r="BDJ15" s="30"/>
      <c r="BDK15" s="30"/>
      <c r="BDL15" s="30"/>
      <c r="BDM15" s="30"/>
      <c r="BDN15" s="30"/>
      <c r="BDO15" s="30"/>
      <c r="BDP15" s="30"/>
      <c r="BDQ15" s="30"/>
      <c r="BDR15" s="30"/>
      <c r="BDS15" s="30"/>
      <c r="BDT15" s="30"/>
      <c r="BDU15" s="30"/>
      <c r="BDV15" s="30"/>
      <c r="BDW15" s="30"/>
      <c r="BDX15" s="30"/>
      <c r="BDY15" s="30"/>
      <c r="BDZ15" s="30"/>
      <c r="BEA15" s="30"/>
      <c r="BEB15" s="30"/>
      <c r="BEC15" s="30"/>
      <c r="BED15" s="30"/>
      <c r="BEE15" s="30"/>
      <c r="BEF15" s="30"/>
      <c r="BEG15" s="30"/>
      <c r="BEH15" s="56"/>
      <c r="BEI15" s="30"/>
      <c r="BEJ15" s="30"/>
      <c r="BEK15" s="30"/>
      <c r="BEL15" s="30"/>
      <c r="BEM15" s="30"/>
      <c r="BEN15" s="30"/>
      <c r="BEO15" s="30"/>
      <c r="BEP15" s="30"/>
      <c r="BEQ15" s="30"/>
      <c r="BER15" s="30"/>
      <c r="BES15" s="30"/>
      <c r="BET15" s="30"/>
      <c r="BEU15" s="30"/>
      <c r="BEV15" s="30"/>
      <c r="BEW15" s="30"/>
      <c r="BEX15" s="30"/>
      <c r="BEY15" s="30"/>
      <c r="BEZ15" s="30"/>
      <c r="BFA15" s="30"/>
      <c r="BFB15" s="30"/>
      <c r="BFC15" s="30"/>
      <c r="BFD15" s="30"/>
      <c r="BFE15" s="30"/>
      <c r="BFF15" s="30"/>
      <c r="BFG15" s="30"/>
      <c r="BFH15" s="30"/>
      <c r="BFI15" s="30"/>
      <c r="BFJ15" s="30"/>
      <c r="BFK15" s="30"/>
      <c r="BFL15" s="30"/>
      <c r="BFM15" s="30"/>
      <c r="BFN15" s="30"/>
      <c r="BFO15" s="56"/>
      <c r="BFP15" s="30"/>
      <c r="BFQ15" s="30"/>
      <c r="BFR15" s="30"/>
      <c r="BFS15" s="30"/>
      <c r="BFT15" s="30"/>
      <c r="BFU15" s="30"/>
      <c r="BFV15" s="30"/>
      <c r="BFW15" s="30"/>
      <c r="BFX15" s="30"/>
      <c r="BFY15" s="30"/>
      <c r="BFZ15" s="30"/>
      <c r="BGA15" s="30"/>
      <c r="BGB15" s="30"/>
      <c r="BGC15" s="30"/>
      <c r="BGD15" s="30"/>
      <c r="BGE15" s="30"/>
      <c r="BGF15" s="30"/>
      <c r="BGG15" s="30"/>
      <c r="BGH15" s="30"/>
      <c r="BGI15" s="30"/>
      <c r="BGJ15" s="30"/>
      <c r="BGK15" s="30"/>
      <c r="BGL15" s="30"/>
      <c r="BGM15" s="30"/>
      <c r="BGN15" s="30"/>
      <c r="BGO15" s="30"/>
      <c r="BGP15" s="30"/>
      <c r="BGQ15" s="30"/>
      <c r="BGR15" s="30"/>
      <c r="BGS15" s="30"/>
      <c r="BGT15" s="30"/>
      <c r="BGU15" s="30"/>
      <c r="BGV15" s="56"/>
      <c r="BGW15" s="30"/>
      <c r="BGX15" s="30"/>
      <c r="BGY15" s="30"/>
      <c r="BGZ15" s="30"/>
      <c r="BHA15" s="30"/>
      <c r="BHB15" s="30"/>
      <c r="BHC15" s="30"/>
      <c r="BHD15" s="30"/>
      <c r="BHE15" s="30"/>
      <c r="BHF15" s="30"/>
      <c r="BHG15" s="30"/>
      <c r="BHH15" s="30"/>
      <c r="BHI15" s="30"/>
      <c r="BHJ15" s="30"/>
      <c r="BHK15" s="30"/>
      <c r="BHL15" s="30"/>
      <c r="BHM15" s="30"/>
      <c r="BHN15" s="30"/>
      <c r="BHO15" s="30"/>
      <c r="BHP15" s="30"/>
      <c r="BHQ15" s="30"/>
      <c r="BHR15" s="30"/>
      <c r="BHS15" s="30"/>
      <c r="BHT15" s="30"/>
      <c r="BHU15" s="30"/>
      <c r="BHV15" s="30"/>
      <c r="BHW15" s="30"/>
      <c r="BHX15" s="30"/>
      <c r="BHY15" s="30"/>
      <c r="BHZ15" s="30"/>
      <c r="BIA15" s="30"/>
      <c r="BIB15" s="30"/>
      <c r="BIC15" s="56"/>
      <c r="BID15" s="57"/>
    </row>
    <row r="16" spans="1:1590" ht="14.45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56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56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56"/>
      <c r="CX16" s="30"/>
      <c r="CY16" s="30"/>
      <c r="CZ16" s="30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56"/>
      <c r="EE16" s="30"/>
      <c r="EF16" s="30"/>
      <c r="EG16" s="30"/>
      <c r="EH16" s="30"/>
      <c r="EI16" s="30"/>
      <c r="EJ16" s="30"/>
      <c r="EK16" s="30"/>
      <c r="EL16" s="30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56"/>
      <c r="FL16" s="30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56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56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56"/>
      <c r="JG16" s="30"/>
      <c r="JH16" s="30"/>
      <c r="JI16" s="30"/>
      <c r="JJ16" s="30"/>
      <c r="JK16" s="30"/>
      <c r="JL16" s="30"/>
      <c r="JM16" s="30"/>
      <c r="JN16" s="30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30"/>
      <c r="KK16" s="30"/>
      <c r="KL16" s="30"/>
      <c r="KM16" s="56"/>
      <c r="KN16" s="30"/>
      <c r="KO16" s="30"/>
      <c r="KP16" s="30"/>
      <c r="KQ16" s="30"/>
      <c r="KR16" s="30"/>
      <c r="KS16" s="30"/>
      <c r="KT16" s="30"/>
      <c r="KU16" s="30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56"/>
      <c r="LU16" s="30"/>
      <c r="LV16" s="30"/>
      <c r="LW16" s="30"/>
      <c r="LX16" s="30"/>
      <c r="LY16" s="30"/>
      <c r="LZ16" s="30"/>
      <c r="MA16" s="30"/>
      <c r="MB16" s="30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56"/>
      <c r="NB16" s="30"/>
      <c r="NC16" s="30"/>
      <c r="ND16" s="30"/>
      <c r="NE16" s="30"/>
      <c r="NF16" s="30"/>
      <c r="NG16" s="30"/>
      <c r="NH16" s="30"/>
      <c r="NI16" s="30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56"/>
      <c r="OI16" s="57"/>
      <c r="OJ16" s="30"/>
      <c r="OK16" s="30"/>
      <c r="OL16" s="30"/>
      <c r="OM16" s="30"/>
      <c r="ON16" s="30"/>
      <c r="OO16" s="30"/>
      <c r="OP16" s="30"/>
      <c r="OQ16" s="30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30"/>
      <c r="PM16" s="30"/>
      <c r="PN16" s="30"/>
      <c r="PO16" s="30"/>
      <c r="PP16" s="56"/>
      <c r="PQ16" s="30"/>
      <c r="PR16" s="30"/>
      <c r="PS16" s="30"/>
      <c r="PT16" s="30"/>
      <c r="PU16" s="30"/>
      <c r="PV16" s="30"/>
      <c r="PW16" s="30"/>
      <c r="PX16" s="30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56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56"/>
      <c r="SE16" s="30"/>
      <c r="SF16" s="30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56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30"/>
      <c r="UP16" s="30"/>
      <c r="UQ16" s="30"/>
      <c r="UR16" s="56"/>
      <c r="US16" s="30"/>
      <c r="UT16" s="30"/>
      <c r="UU16" s="30"/>
      <c r="UV16" s="30"/>
      <c r="UW16" s="30"/>
      <c r="UX16" s="30"/>
      <c r="UY16" s="30"/>
      <c r="UZ16" s="30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30"/>
      <c r="VW16" s="30"/>
      <c r="VX16" s="30"/>
      <c r="VY16" s="56"/>
      <c r="VZ16" s="30"/>
      <c r="WA16" s="30"/>
      <c r="WB16" s="30"/>
      <c r="WC16" s="30"/>
      <c r="WD16" s="30"/>
      <c r="WE16" s="30"/>
      <c r="WF16" s="30"/>
      <c r="WG16" s="30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56"/>
      <c r="XG16" s="30"/>
      <c r="XH16" s="30"/>
      <c r="XI16" s="30"/>
      <c r="XJ16" s="30"/>
      <c r="XK16" s="30"/>
      <c r="XL16" s="30"/>
      <c r="XM16" s="30"/>
      <c r="XN16" s="30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56"/>
      <c r="YN16" s="30"/>
      <c r="YO16" s="30"/>
      <c r="YP16" s="30"/>
      <c r="YQ16" s="30"/>
      <c r="YR16" s="30"/>
      <c r="YS16" s="30"/>
      <c r="YT16" s="30"/>
      <c r="YU16" s="30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0"/>
      <c r="ZT16" s="56"/>
      <c r="ZU16" s="30"/>
      <c r="ZV16" s="30"/>
      <c r="ZW16" s="30"/>
      <c r="ZX16" s="30"/>
      <c r="ZY16" s="30"/>
      <c r="ZZ16" s="30"/>
      <c r="AAA16" s="30"/>
      <c r="AAB16" s="30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56"/>
      <c r="ABB16" s="30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56"/>
      <c r="ACI16" s="30"/>
      <c r="ACJ16" s="30"/>
      <c r="ACK16" s="30"/>
      <c r="ACL16" s="30"/>
      <c r="ACM16" s="30"/>
      <c r="ACN16" s="30"/>
      <c r="ACO16" s="30"/>
      <c r="ACP16" s="30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56"/>
      <c r="ADP16" s="57"/>
      <c r="ADQ16" s="30"/>
      <c r="ADR16" s="30"/>
      <c r="ADS16" s="30"/>
      <c r="ADT16" s="30"/>
      <c r="ADU16" s="30"/>
      <c r="ADV16" s="30"/>
      <c r="ADW16" s="30"/>
      <c r="ADX16" s="30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30"/>
      <c r="AET16" s="30"/>
      <c r="AEU16" s="30"/>
      <c r="AEV16" s="30"/>
      <c r="AEW16" s="56"/>
      <c r="AEX16" s="30"/>
      <c r="AEY16" s="30"/>
      <c r="AEZ16" s="30"/>
      <c r="AFA16" s="30"/>
      <c r="AFB16" s="30"/>
      <c r="AFC16" s="30"/>
      <c r="AFD16" s="30"/>
      <c r="AFE16" s="30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30"/>
      <c r="AGB16" s="30"/>
      <c r="AGC16" s="30"/>
      <c r="AGD16" s="56"/>
      <c r="AGE16" s="30"/>
      <c r="AGF16" s="30"/>
      <c r="AGG16" s="30"/>
      <c r="AGH16" s="30"/>
      <c r="AGI16" s="30"/>
      <c r="AGJ16" s="30"/>
      <c r="AGK16" s="30"/>
      <c r="AGL16" s="30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30"/>
      <c r="AHI16" s="30"/>
      <c r="AHJ16" s="30"/>
      <c r="AHK16" s="56"/>
      <c r="AHL16" s="30"/>
      <c r="AHM16" s="30"/>
      <c r="AHN16" s="30"/>
      <c r="AHO16" s="30"/>
      <c r="AHP16" s="30"/>
      <c r="AHQ16" s="30"/>
      <c r="AHR16" s="30"/>
      <c r="AHS16" s="30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56"/>
      <c r="AIS16" s="30"/>
      <c r="AIT16" s="30"/>
      <c r="AIU16" s="30"/>
      <c r="AIV16" s="30"/>
      <c r="AIW16" s="30"/>
      <c r="AIX16" s="30"/>
      <c r="AIY16" s="30"/>
      <c r="AIZ16" s="30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56"/>
      <c r="AJZ16" s="30"/>
      <c r="AKA16" s="30"/>
      <c r="AKB16" s="30"/>
      <c r="AKC16" s="30"/>
      <c r="AKD16" s="30"/>
      <c r="AKE16" s="30"/>
      <c r="AKF16" s="30"/>
      <c r="AKG16" s="30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56"/>
      <c r="ALG16" s="30"/>
      <c r="ALH16" s="30"/>
      <c r="ALI16" s="30"/>
      <c r="ALJ16" s="30"/>
      <c r="ALK16" s="30"/>
      <c r="ALL16" s="30"/>
      <c r="ALM16" s="30"/>
      <c r="ALN16" s="30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56"/>
      <c r="AMN16" s="30"/>
      <c r="AMO16" s="30"/>
      <c r="AMP16" s="30"/>
      <c r="AMQ16" s="30"/>
      <c r="AMR16" s="30"/>
      <c r="AMS16" s="30"/>
      <c r="AMT16" s="30"/>
      <c r="AMU16" s="30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56"/>
      <c r="ANU16" s="30"/>
      <c r="ANV16" s="30"/>
      <c r="ANW16" s="30"/>
      <c r="ANX16" s="30"/>
      <c r="ANY16" s="30"/>
      <c r="ANZ16" s="30"/>
      <c r="AOA16" s="30"/>
      <c r="AOB16" s="30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56"/>
      <c r="APB16" s="30"/>
      <c r="APC16" s="30"/>
      <c r="APD16" s="30"/>
      <c r="APE16" s="30"/>
      <c r="APF16" s="30"/>
      <c r="APG16" s="30"/>
      <c r="APH16" s="30"/>
      <c r="API16" s="30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30"/>
      <c r="AQF16" s="30"/>
      <c r="AQG16" s="30"/>
      <c r="AQH16" s="56"/>
      <c r="AQI16" s="30"/>
      <c r="AQJ16" s="30"/>
      <c r="AQK16" s="30"/>
      <c r="AQL16" s="30"/>
      <c r="AQM16" s="30"/>
      <c r="AQN16" s="30"/>
      <c r="AQO16" s="30"/>
      <c r="AQP16" s="30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30"/>
      <c r="ARM16" s="30"/>
      <c r="ARN16" s="30"/>
      <c r="ARO16" s="56"/>
      <c r="ARP16" s="30"/>
      <c r="ARQ16" s="30"/>
      <c r="ARR16" s="30"/>
      <c r="ARS16" s="30"/>
      <c r="ART16" s="30"/>
      <c r="ARU16" s="30"/>
      <c r="ARV16" s="30"/>
      <c r="ARW16" s="30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30"/>
      <c r="AST16" s="30"/>
      <c r="ASU16" s="30"/>
      <c r="ASV16" s="56"/>
      <c r="ASW16" s="57"/>
      <c r="ASX16" s="30"/>
      <c r="ASY16" s="30"/>
      <c r="ASZ16" s="30"/>
      <c r="ATA16" s="30"/>
      <c r="ATB16" s="30"/>
      <c r="ATC16" s="30"/>
      <c r="ATD16" s="30"/>
      <c r="ATE16" s="30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30"/>
      <c r="AUA16" s="30"/>
      <c r="AUB16" s="30"/>
      <c r="AUC16" s="30"/>
      <c r="AUD16" s="56"/>
      <c r="AUE16" s="30"/>
      <c r="AUF16" s="30"/>
      <c r="AUG16" s="30"/>
      <c r="AUH16" s="30"/>
      <c r="AUI16" s="30"/>
      <c r="AUJ16" s="30"/>
      <c r="AUK16" s="30"/>
      <c r="AUL16" s="30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30"/>
      <c r="AVI16" s="30"/>
      <c r="AVJ16" s="30"/>
      <c r="AVK16" s="56"/>
      <c r="AVL16" s="30"/>
      <c r="AVM16" s="30"/>
      <c r="AVN16" s="30"/>
      <c r="AVO16" s="30"/>
      <c r="AVP16" s="30"/>
      <c r="AVQ16" s="30"/>
      <c r="AVR16" s="30"/>
      <c r="AVS16" s="30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30"/>
      <c r="AWP16" s="30"/>
      <c r="AWQ16" s="30"/>
      <c r="AWR16" s="56"/>
      <c r="AWS16" s="30"/>
      <c r="AWT16" s="30"/>
      <c r="AWU16" s="30"/>
      <c r="AWV16" s="30"/>
      <c r="AWW16" s="30"/>
      <c r="AWX16" s="30"/>
      <c r="AWY16" s="30"/>
      <c r="AWZ16" s="30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30"/>
      <c r="AXW16" s="30"/>
      <c r="AXX16" s="30"/>
      <c r="AXY16" s="56"/>
      <c r="AXZ16" s="30"/>
      <c r="AYA16" s="30"/>
      <c r="AYB16" s="30"/>
      <c r="AYC16" s="30"/>
      <c r="AYD16" s="30"/>
      <c r="AYE16" s="30"/>
      <c r="AYF16" s="30"/>
      <c r="AYG16" s="30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30"/>
      <c r="AZD16" s="30"/>
      <c r="AZE16" s="30"/>
      <c r="AZF16" s="56"/>
      <c r="AZG16" s="30"/>
      <c r="AZH16" s="30"/>
      <c r="AZI16" s="30"/>
      <c r="AZJ16" s="30"/>
      <c r="AZK16" s="30"/>
      <c r="AZL16" s="30"/>
      <c r="AZM16" s="30"/>
      <c r="AZN16" s="30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30"/>
      <c r="BAK16" s="30"/>
      <c r="BAL16" s="30"/>
      <c r="BAM16" s="56"/>
      <c r="BAN16" s="30"/>
      <c r="BAO16" s="30"/>
      <c r="BAP16" s="30"/>
      <c r="BAQ16" s="30"/>
      <c r="BAR16" s="30"/>
      <c r="BAS16" s="30"/>
      <c r="BAT16" s="30"/>
      <c r="BAU16" s="30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30"/>
      <c r="BBR16" s="30"/>
      <c r="BBS16" s="30"/>
      <c r="BBT16" s="56"/>
      <c r="BBU16" s="30"/>
      <c r="BBV16" s="30"/>
      <c r="BBW16" s="30"/>
      <c r="BBX16" s="30"/>
      <c r="BBY16" s="30"/>
      <c r="BBZ16" s="30"/>
      <c r="BCA16" s="30"/>
      <c r="BCB16" s="30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30"/>
      <c r="BCY16" s="30"/>
      <c r="BCZ16" s="30"/>
      <c r="BDA16" s="56"/>
      <c r="BDB16" s="30"/>
      <c r="BDC16" s="30"/>
      <c r="BDD16" s="30"/>
      <c r="BDE16" s="30"/>
      <c r="BDF16" s="30"/>
      <c r="BDG16" s="30"/>
      <c r="BDH16" s="30"/>
      <c r="BDI16" s="30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30"/>
      <c r="BEF16" s="30"/>
      <c r="BEG16" s="30"/>
      <c r="BEH16" s="56"/>
      <c r="BEI16" s="30"/>
      <c r="BEJ16" s="30"/>
      <c r="BEK16" s="30"/>
      <c r="BEL16" s="30"/>
      <c r="BEM16" s="30"/>
      <c r="BEN16" s="30"/>
      <c r="BEO16" s="30"/>
      <c r="BEP16" s="30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30"/>
      <c r="BFM16" s="30"/>
      <c r="BFN16" s="30"/>
      <c r="BFO16" s="56"/>
      <c r="BFP16" s="30"/>
      <c r="BFQ16" s="30"/>
      <c r="BFR16" s="30"/>
      <c r="BFS16" s="30"/>
      <c r="BFT16" s="30"/>
      <c r="BFU16" s="30"/>
      <c r="BFV16" s="30"/>
      <c r="BFW16" s="30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30"/>
      <c r="BGT16" s="30"/>
      <c r="BGU16" s="30"/>
      <c r="BGV16" s="56"/>
      <c r="BGW16" s="30"/>
      <c r="BGX16" s="30"/>
      <c r="BGY16" s="30"/>
      <c r="BGZ16" s="30"/>
      <c r="BHA16" s="30"/>
      <c r="BHB16" s="30"/>
      <c r="BHC16" s="30"/>
      <c r="BHD16" s="30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30"/>
      <c r="BIA16" s="30"/>
      <c r="BIB16" s="30"/>
      <c r="BIC16" s="56"/>
      <c r="BID16" s="57"/>
    </row>
    <row r="17" spans="2:1590" ht="14.45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56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56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56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56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30"/>
      <c r="ER17" s="3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56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56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56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56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30"/>
      <c r="JV17" s="30"/>
      <c r="JW17" s="30"/>
      <c r="JX17" s="30"/>
      <c r="JY17" s="30"/>
      <c r="JZ17" s="30"/>
      <c r="KA17" s="30"/>
      <c r="KB17" s="30"/>
      <c r="KC17" s="30"/>
      <c r="KD17" s="30"/>
      <c r="KE17" s="30"/>
      <c r="KF17" s="30"/>
      <c r="KG17" s="30"/>
      <c r="KH17" s="30"/>
      <c r="KI17" s="30"/>
      <c r="KJ17" s="30"/>
      <c r="KK17" s="30"/>
      <c r="KL17" s="30"/>
      <c r="KM17" s="56"/>
      <c r="KN17" s="30"/>
      <c r="KO17" s="30"/>
      <c r="KP17" s="30"/>
      <c r="KQ17" s="30"/>
      <c r="KR17" s="30"/>
      <c r="KS17" s="30"/>
      <c r="KT17" s="30"/>
      <c r="KU17" s="30"/>
      <c r="KV17" s="30"/>
      <c r="KW17" s="30"/>
      <c r="KX17" s="30"/>
      <c r="KY17" s="30"/>
      <c r="KZ17" s="30"/>
      <c r="LA17" s="30"/>
      <c r="LB17" s="30"/>
      <c r="LC17" s="30"/>
      <c r="LD17" s="30"/>
      <c r="LE17" s="30"/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30"/>
      <c r="LR17" s="30"/>
      <c r="LS17" s="30"/>
      <c r="LT17" s="56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30"/>
      <c r="MH17" s="30"/>
      <c r="MI17" s="30"/>
      <c r="MJ17" s="30"/>
      <c r="MK17" s="30"/>
      <c r="ML17" s="30"/>
      <c r="MM17" s="30"/>
      <c r="MN17" s="30"/>
      <c r="MO17" s="30"/>
      <c r="MP17" s="30"/>
      <c r="MQ17" s="30"/>
      <c r="MR17" s="30"/>
      <c r="MS17" s="30"/>
      <c r="MT17" s="30"/>
      <c r="MU17" s="30"/>
      <c r="MV17" s="30"/>
      <c r="MW17" s="30"/>
      <c r="MX17" s="30"/>
      <c r="MY17" s="30"/>
      <c r="MZ17" s="30"/>
      <c r="NA17" s="56"/>
      <c r="NB17" s="30"/>
      <c r="NC17" s="30"/>
      <c r="ND17" s="30"/>
      <c r="NE17" s="30"/>
      <c r="NF17" s="30"/>
      <c r="NG17" s="30"/>
      <c r="NH17" s="30"/>
      <c r="NI17" s="30"/>
      <c r="NJ17" s="30"/>
      <c r="NK17" s="30"/>
      <c r="NL17" s="30"/>
      <c r="NM17" s="30"/>
      <c r="NN17" s="30"/>
      <c r="NO17" s="30"/>
      <c r="NP17" s="30"/>
      <c r="NQ17" s="30"/>
      <c r="NR17" s="30"/>
      <c r="NS17" s="30"/>
      <c r="NT17" s="30"/>
      <c r="NU17" s="30"/>
      <c r="NV17" s="30"/>
      <c r="NW17" s="30"/>
      <c r="NX17" s="30"/>
      <c r="NY17" s="30"/>
      <c r="NZ17" s="30"/>
      <c r="OA17" s="30"/>
      <c r="OB17" s="30"/>
      <c r="OC17" s="30"/>
      <c r="OD17" s="30"/>
      <c r="OE17" s="30"/>
      <c r="OF17" s="30"/>
      <c r="OG17" s="30"/>
      <c r="OH17" s="56"/>
      <c r="OI17" s="57"/>
      <c r="OJ17" s="30"/>
      <c r="OK17" s="30"/>
      <c r="OL17" s="30"/>
      <c r="OM17" s="30"/>
      <c r="ON17" s="30"/>
      <c r="OO17" s="30"/>
      <c r="OP17" s="30"/>
      <c r="OQ17" s="30"/>
      <c r="OR17" s="30"/>
      <c r="OS17" s="30"/>
      <c r="OT17" s="30"/>
      <c r="OU17" s="30"/>
      <c r="OV17" s="30"/>
      <c r="OW17" s="30"/>
      <c r="OX17" s="30"/>
      <c r="OY17" s="30"/>
      <c r="OZ17" s="30"/>
      <c r="PA17" s="30"/>
      <c r="PB17" s="30"/>
      <c r="PC17" s="30"/>
      <c r="PD17" s="30"/>
      <c r="PE17" s="30"/>
      <c r="PF17" s="30"/>
      <c r="PG17" s="30"/>
      <c r="PH17" s="30"/>
      <c r="PI17" s="30"/>
      <c r="PJ17" s="30"/>
      <c r="PK17" s="30"/>
      <c r="PL17" s="30"/>
      <c r="PM17" s="30"/>
      <c r="PN17" s="30"/>
      <c r="PO17" s="30"/>
      <c r="PP17" s="56"/>
      <c r="PQ17" s="30"/>
      <c r="PR17" s="30"/>
      <c r="PS17" s="30"/>
      <c r="PT17" s="30"/>
      <c r="PU17" s="30"/>
      <c r="PV17" s="30"/>
      <c r="PW17" s="30"/>
      <c r="PX17" s="30"/>
      <c r="PY17" s="30"/>
      <c r="PZ17" s="30"/>
      <c r="QA17" s="30"/>
      <c r="QB17" s="30"/>
      <c r="QC17" s="30"/>
      <c r="QD17" s="30"/>
      <c r="QE17" s="30"/>
      <c r="QF17" s="30"/>
      <c r="QG17" s="30"/>
      <c r="QH17" s="30"/>
      <c r="QI17" s="30"/>
      <c r="QJ17" s="30"/>
      <c r="QK17" s="30"/>
      <c r="QL17" s="30"/>
      <c r="QM17" s="30"/>
      <c r="QN17" s="30"/>
      <c r="QO17" s="30"/>
      <c r="QP17" s="30"/>
      <c r="QQ17" s="30"/>
      <c r="QR17" s="30"/>
      <c r="QS17" s="30"/>
      <c r="QT17" s="30"/>
      <c r="QU17" s="30"/>
      <c r="QV17" s="30"/>
      <c r="QW17" s="56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30"/>
      <c r="SB17" s="30"/>
      <c r="SC17" s="30"/>
      <c r="SD17" s="56"/>
      <c r="SE17" s="30"/>
      <c r="SF17" s="30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0"/>
      <c r="TF17" s="30"/>
      <c r="TG17" s="30"/>
      <c r="TH17" s="30"/>
      <c r="TI17" s="30"/>
      <c r="TJ17" s="30"/>
      <c r="TK17" s="56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30"/>
      <c r="UF17" s="30"/>
      <c r="UG17" s="30"/>
      <c r="UH17" s="30"/>
      <c r="UI17" s="30"/>
      <c r="UJ17" s="30"/>
      <c r="UK17" s="30"/>
      <c r="UL17" s="30"/>
      <c r="UM17" s="30"/>
      <c r="UN17" s="30"/>
      <c r="UO17" s="30"/>
      <c r="UP17" s="30"/>
      <c r="UQ17" s="30"/>
      <c r="UR17" s="56"/>
      <c r="US17" s="30"/>
      <c r="UT17" s="30"/>
      <c r="UU17" s="30"/>
      <c r="UV17" s="30"/>
      <c r="UW17" s="30"/>
      <c r="UX17" s="30"/>
      <c r="UY17" s="30"/>
      <c r="UZ17" s="30"/>
      <c r="VA17" s="30"/>
      <c r="VB17" s="30"/>
      <c r="VC17" s="30"/>
      <c r="VD17" s="30"/>
      <c r="VE17" s="30"/>
      <c r="VF17" s="30"/>
      <c r="VG17" s="30"/>
      <c r="VH17" s="30"/>
      <c r="VI17" s="30"/>
      <c r="VJ17" s="30"/>
      <c r="VK17" s="30"/>
      <c r="VL17" s="30"/>
      <c r="VM17" s="30"/>
      <c r="VN17" s="30"/>
      <c r="VO17" s="30"/>
      <c r="VP17" s="30"/>
      <c r="VQ17" s="30"/>
      <c r="VR17" s="30"/>
      <c r="VS17" s="30"/>
      <c r="VT17" s="30"/>
      <c r="VU17" s="30"/>
      <c r="VV17" s="30"/>
      <c r="VW17" s="30"/>
      <c r="VX17" s="30"/>
      <c r="VY17" s="56"/>
      <c r="VZ17" s="30"/>
      <c r="WA17" s="30"/>
      <c r="WB17" s="30"/>
      <c r="WC17" s="30"/>
      <c r="WD17" s="30"/>
      <c r="WE17" s="30"/>
      <c r="WF17" s="30"/>
      <c r="WG17" s="30"/>
      <c r="WH17" s="30"/>
      <c r="WI17" s="30"/>
      <c r="WJ17" s="30"/>
      <c r="WK17" s="30"/>
      <c r="WL17" s="30"/>
      <c r="WM17" s="30"/>
      <c r="WN17" s="30"/>
      <c r="WO17" s="30"/>
      <c r="WP17" s="30"/>
      <c r="WQ17" s="30"/>
      <c r="WR17" s="30"/>
      <c r="WS17" s="30"/>
      <c r="WT17" s="30"/>
      <c r="WU17" s="30"/>
      <c r="WV17" s="30"/>
      <c r="WW17" s="30"/>
      <c r="WX17" s="30"/>
      <c r="WY17" s="30"/>
      <c r="WZ17" s="30"/>
      <c r="XA17" s="30"/>
      <c r="XB17" s="30"/>
      <c r="XC17" s="30"/>
      <c r="XD17" s="30"/>
      <c r="XE17" s="30"/>
      <c r="XF17" s="56"/>
      <c r="XG17" s="30"/>
      <c r="XH17" s="30"/>
      <c r="XI17" s="30"/>
      <c r="XJ17" s="30"/>
      <c r="XK17" s="30"/>
      <c r="XL17" s="30"/>
      <c r="XM17" s="30"/>
      <c r="XN17" s="30"/>
      <c r="XO17" s="30"/>
      <c r="XP17" s="30"/>
      <c r="XQ17" s="30"/>
      <c r="XR17" s="30"/>
      <c r="XS17" s="30"/>
      <c r="XT17" s="30"/>
      <c r="XU17" s="30"/>
      <c r="XV17" s="30"/>
      <c r="XW17" s="30"/>
      <c r="XX17" s="30"/>
      <c r="XY17" s="30"/>
      <c r="XZ17" s="30"/>
      <c r="YA17" s="30"/>
      <c r="YB17" s="30"/>
      <c r="YC17" s="30"/>
      <c r="YD17" s="30"/>
      <c r="YE17" s="30"/>
      <c r="YF17" s="30"/>
      <c r="YG17" s="30"/>
      <c r="YH17" s="30"/>
      <c r="YI17" s="30"/>
      <c r="YJ17" s="30"/>
      <c r="YK17" s="30"/>
      <c r="YL17" s="30"/>
      <c r="YM17" s="56"/>
      <c r="YN17" s="30"/>
      <c r="YO17" s="30"/>
      <c r="YP17" s="30"/>
      <c r="YQ17" s="30"/>
      <c r="YR17" s="30"/>
      <c r="YS17" s="30"/>
      <c r="YT17" s="30"/>
      <c r="YU17" s="30"/>
      <c r="YV17" s="30"/>
      <c r="YW17" s="30"/>
      <c r="YX17" s="30"/>
      <c r="YY17" s="30"/>
      <c r="YZ17" s="30"/>
      <c r="ZA17" s="30"/>
      <c r="ZB17" s="30"/>
      <c r="ZC17" s="30"/>
      <c r="ZD17" s="30"/>
      <c r="ZE17" s="30"/>
      <c r="ZF17" s="30"/>
      <c r="ZG17" s="30"/>
      <c r="ZH17" s="30"/>
      <c r="ZI17" s="30"/>
      <c r="ZJ17" s="30"/>
      <c r="ZK17" s="30"/>
      <c r="ZL17" s="30"/>
      <c r="ZM17" s="30"/>
      <c r="ZN17" s="30"/>
      <c r="ZO17" s="30"/>
      <c r="ZP17" s="30"/>
      <c r="ZQ17" s="30"/>
      <c r="ZR17" s="30"/>
      <c r="ZS17" s="30"/>
      <c r="ZT17" s="56"/>
      <c r="ZU17" s="30"/>
      <c r="ZV17" s="30"/>
      <c r="ZW17" s="30"/>
      <c r="ZX17" s="30"/>
      <c r="ZY17" s="30"/>
      <c r="ZZ17" s="30"/>
      <c r="AAA17" s="30"/>
      <c r="AAB17" s="30"/>
      <c r="AAC17" s="30"/>
      <c r="AAD17" s="30"/>
      <c r="AAE17" s="30"/>
      <c r="AAF17" s="30"/>
      <c r="AAG17" s="30"/>
      <c r="AAH17" s="30"/>
      <c r="AAI17" s="30"/>
      <c r="AAJ17" s="30"/>
      <c r="AAK17" s="30"/>
      <c r="AAL17" s="30"/>
      <c r="AAM17" s="30"/>
      <c r="AAN17" s="30"/>
      <c r="AAO17" s="30"/>
      <c r="AAP17" s="30"/>
      <c r="AAQ17" s="30"/>
      <c r="AAR17" s="30"/>
      <c r="AAS17" s="30"/>
      <c r="AAT17" s="30"/>
      <c r="AAU17" s="30"/>
      <c r="AAV17" s="30"/>
      <c r="AAW17" s="30"/>
      <c r="AAX17" s="30"/>
      <c r="AAY17" s="30"/>
      <c r="AAZ17" s="30"/>
      <c r="ABA17" s="56"/>
      <c r="ABB17" s="30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  <c r="ABT17" s="30"/>
      <c r="ABU17" s="30"/>
      <c r="ABV17" s="30"/>
      <c r="ABW17" s="30"/>
      <c r="ABX17" s="30"/>
      <c r="ABY17" s="30"/>
      <c r="ABZ17" s="30"/>
      <c r="ACA17" s="30"/>
      <c r="ACB17" s="30"/>
      <c r="ACC17" s="30"/>
      <c r="ACD17" s="30"/>
      <c r="ACE17" s="30"/>
      <c r="ACF17" s="30"/>
      <c r="ACG17" s="30"/>
      <c r="ACH17" s="56"/>
      <c r="ACI17" s="30"/>
      <c r="ACJ17" s="30"/>
      <c r="ACK17" s="30"/>
      <c r="ACL17" s="30"/>
      <c r="ACM17" s="30"/>
      <c r="ACN17" s="30"/>
      <c r="ACO17" s="30"/>
      <c r="ACP17" s="30"/>
      <c r="ACQ17" s="30"/>
      <c r="ACR17" s="30"/>
      <c r="ACS17" s="30"/>
      <c r="ACT17" s="30"/>
      <c r="ACU17" s="30"/>
      <c r="ACV17" s="30"/>
      <c r="ACW17" s="30"/>
      <c r="ACX17" s="30"/>
      <c r="ACY17" s="30"/>
      <c r="ACZ17" s="30"/>
      <c r="ADA17" s="30"/>
      <c r="ADB17" s="30"/>
      <c r="ADC17" s="30"/>
      <c r="ADD17" s="30"/>
      <c r="ADE17" s="30"/>
      <c r="ADF17" s="30"/>
      <c r="ADG17" s="30"/>
      <c r="ADH17" s="30"/>
      <c r="ADI17" s="30"/>
      <c r="ADJ17" s="30"/>
      <c r="ADK17" s="30"/>
      <c r="ADL17" s="30"/>
      <c r="ADM17" s="30"/>
      <c r="ADN17" s="30"/>
      <c r="ADO17" s="56"/>
      <c r="ADP17" s="57"/>
      <c r="ADQ17" s="30"/>
      <c r="ADR17" s="30"/>
      <c r="ADS17" s="30"/>
      <c r="ADT17" s="30"/>
      <c r="ADU17" s="30"/>
      <c r="ADV17" s="30"/>
      <c r="ADW17" s="30"/>
      <c r="ADX17" s="30"/>
      <c r="ADY17" s="30"/>
      <c r="ADZ17" s="30"/>
      <c r="AEA17" s="30"/>
      <c r="AEB17" s="30"/>
      <c r="AEC17" s="30"/>
      <c r="AED17" s="30"/>
      <c r="AEE17" s="30"/>
      <c r="AEF17" s="30"/>
      <c r="AEG17" s="30"/>
      <c r="AEH17" s="30"/>
      <c r="AEI17" s="30"/>
      <c r="AEJ17" s="30"/>
      <c r="AEK17" s="30"/>
      <c r="AEL17" s="30"/>
      <c r="AEM17" s="30"/>
      <c r="AEN17" s="30"/>
      <c r="AEO17" s="30"/>
      <c r="AEP17" s="30"/>
      <c r="AEQ17" s="30"/>
      <c r="AER17" s="30"/>
      <c r="AES17" s="30"/>
      <c r="AET17" s="30"/>
      <c r="AEU17" s="30"/>
      <c r="AEV17" s="30"/>
      <c r="AEW17" s="56"/>
      <c r="AEX17" s="30"/>
      <c r="AEY17" s="30"/>
      <c r="AEZ17" s="30"/>
      <c r="AFA17" s="30"/>
      <c r="AFB17" s="30"/>
      <c r="AFC17" s="30"/>
      <c r="AFD17" s="30"/>
      <c r="AFE17" s="30"/>
      <c r="AFF17" s="30"/>
      <c r="AFG17" s="30"/>
      <c r="AFH17" s="30"/>
      <c r="AFI17" s="30"/>
      <c r="AFJ17" s="30"/>
      <c r="AFK17" s="30"/>
      <c r="AFL17" s="30"/>
      <c r="AFM17" s="30"/>
      <c r="AFN17" s="30"/>
      <c r="AFO17" s="30"/>
      <c r="AFP17" s="30"/>
      <c r="AFQ17" s="30"/>
      <c r="AFR17" s="30"/>
      <c r="AFS17" s="30"/>
      <c r="AFT17" s="30"/>
      <c r="AFU17" s="30"/>
      <c r="AFV17" s="30"/>
      <c r="AFW17" s="30"/>
      <c r="AFX17" s="30"/>
      <c r="AFY17" s="30"/>
      <c r="AFZ17" s="30"/>
      <c r="AGA17" s="30"/>
      <c r="AGB17" s="30"/>
      <c r="AGC17" s="30"/>
      <c r="AGD17" s="56"/>
      <c r="AGE17" s="30"/>
      <c r="AGF17" s="30"/>
      <c r="AGG17" s="30"/>
      <c r="AGH17" s="30"/>
      <c r="AGI17" s="30"/>
      <c r="AGJ17" s="30"/>
      <c r="AGK17" s="30"/>
      <c r="AGL17" s="30"/>
      <c r="AGM17" s="30"/>
      <c r="AGN17" s="30"/>
      <c r="AGO17" s="30"/>
      <c r="AGP17" s="30"/>
      <c r="AGQ17" s="30"/>
      <c r="AGR17" s="30"/>
      <c r="AGS17" s="30"/>
      <c r="AGT17" s="30"/>
      <c r="AGU17" s="30"/>
      <c r="AGV17" s="30"/>
      <c r="AGW17" s="30"/>
      <c r="AGX17" s="30"/>
      <c r="AGY17" s="30"/>
      <c r="AGZ17" s="30"/>
      <c r="AHA17" s="30"/>
      <c r="AHB17" s="30"/>
      <c r="AHC17" s="30"/>
      <c r="AHD17" s="30"/>
      <c r="AHE17" s="30"/>
      <c r="AHF17" s="30"/>
      <c r="AHG17" s="30"/>
      <c r="AHH17" s="30"/>
      <c r="AHI17" s="30"/>
      <c r="AHJ17" s="30"/>
      <c r="AHK17" s="56"/>
      <c r="AHL17" s="30"/>
      <c r="AHM17" s="30"/>
      <c r="AHN17" s="30"/>
      <c r="AHO17" s="30"/>
      <c r="AHP17" s="30"/>
      <c r="AHQ17" s="30"/>
      <c r="AHR17" s="30"/>
      <c r="AHS17" s="30"/>
      <c r="AHT17" s="30"/>
      <c r="AHU17" s="30"/>
      <c r="AHV17" s="30"/>
      <c r="AHW17" s="30"/>
      <c r="AHX17" s="30"/>
      <c r="AHY17" s="30"/>
      <c r="AHZ17" s="30"/>
      <c r="AIA17" s="30"/>
      <c r="AIB17" s="30"/>
      <c r="AIC17" s="30"/>
      <c r="AID17" s="30"/>
      <c r="AIE17" s="30"/>
      <c r="AIF17" s="30"/>
      <c r="AIG17" s="30"/>
      <c r="AIH17" s="30"/>
      <c r="AII17" s="30"/>
      <c r="AIJ17" s="30"/>
      <c r="AIK17" s="30"/>
      <c r="AIL17" s="30"/>
      <c r="AIM17" s="30"/>
      <c r="AIN17" s="30"/>
      <c r="AIO17" s="30"/>
      <c r="AIP17" s="30"/>
      <c r="AIQ17" s="30"/>
      <c r="AIR17" s="56"/>
      <c r="AIS17" s="30"/>
      <c r="AIT17" s="30"/>
      <c r="AIU17" s="30"/>
      <c r="AIV17" s="30"/>
      <c r="AIW17" s="30"/>
      <c r="AIX17" s="30"/>
      <c r="AIY17" s="30"/>
      <c r="AIZ17" s="30"/>
      <c r="AJA17" s="30"/>
      <c r="AJB17" s="30"/>
      <c r="AJC17" s="30"/>
      <c r="AJD17" s="30"/>
      <c r="AJE17" s="30"/>
      <c r="AJF17" s="30"/>
      <c r="AJG17" s="30"/>
      <c r="AJH17" s="30"/>
      <c r="AJI17" s="30"/>
      <c r="AJJ17" s="30"/>
      <c r="AJK17" s="30"/>
      <c r="AJL17" s="30"/>
      <c r="AJM17" s="30"/>
      <c r="AJN17" s="30"/>
      <c r="AJO17" s="30"/>
      <c r="AJP17" s="30"/>
      <c r="AJQ17" s="30"/>
      <c r="AJR17" s="30"/>
      <c r="AJS17" s="30"/>
      <c r="AJT17" s="30"/>
      <c r="AJU17" s="30"/>
      <c r="AJV17" s="30"/>
      <c r="AJW17" s="30"/>
      <c r="AJX17" s="30"/>
      <c r="AJY17" s="56"/>
      <c r="AJZ17" s="30"/>
      <c r="AKA17" s="30"/>
      <c r="AKB17" s="30"/>
      <c r="AKC17" s="30"/>
      <c r="AKD17" s="30"/>
      <c r="AKE17" s="30"/>
      <c r="AKF17" s="30"/>
      <c r="AKG17" s="30"/>
      <c r="AKH17" s="30"/>
      <c r="AKI17" s="30"/>
      <c r="AKJ17" s="30"/>
      <c r="AKK17" s="30"/>
      <c r="AKL17" s="30"/>
      <c r="AKM17" s="30"/>
      <c r="AKN17" s="30"/>
      <c r="AKO17" s="30"/>
      <c r="AKP17" s="30"/>
      <c r="AKQ17" s="30"/>
      <c r="AKR17" s="30"/>
      <c r="AKS17" s="30"/>
      <c r="AKT17" s="30"/>
      <c r="AKU17" s="30"/>
      <c r="AKV17" s="30"/>
      <c r="AKW17" s="30"/>
      <c r="AKX17" s="30"/>
      <c r="AKY17" s="30"/>
      <c r="AKZ17" s="30"/>
      <c r="ALA17" s="30"/>
      <c r="ALB17" s="30"/>
      <c r="ALC17" s="30"/>
      <c r="ALD17" s="30"/>
      <c r="ALE17" s="30"/>
      <c r="ALF17" s="56"/>
      <c r="ALG17" s="30"/>
      <c r="ALH17" s="30"/>
      <c r="ALI17" s="30"/>
      <c r="ALJ17" s="30"/>
      <c r="ALK17" s="30"/>
      <c r="ALL17" s="30"/>
      <c r="ALM17" s="30"/>
      <c r="ALN17" s="30"/>
      <c r="ALO17" s="30"/>
      <c r="ALP17" s="30"/>
      <c r="ALQ17" s="30"/>
      <c r="ALR17" s="30"/>
      <c r="ALS17" s="30"/>
      <c r="ALT17" s="30"/>
      <c r="ALU17" s="30"/>
      <c r="ALV17" s="30"/>
      <c r="ALW17" s="30"/>
      <c r="ALX17" s="30"/>
      <c r="ALY17" s="30"/>
      <c r="ALZ17" s="30"/>
      <c r="AMA17" s="30"/>
      <c r="AMB17" s="30"/>
      <c r="AMC17" s="30"/>
      <c r="AMD17" s="30"/>
      <c r="AME17" s="30"/>
      <c r="AMF17" s="30"/>
      <c r="AMG17" s="30"/>
      <c r="AMH17" s="30"/>
      <c r="AMI17" s="30"/>
      <c r="AMJ17" s="30"/>
      <c r="AMK17" s="30"/>
      <c r="AML17" s="30"/>
      <c r="AMM17" s="56"/>
      <c r="AMN17" s="30"/>
      <c r="AMO17" s="30"/>
      <c r="AMP17" s="30"/>
      <c r="AMQ17" s="30"/>
      <c r="AMR17" s="30"/>
      <c r="AMS17" s="30"/>
      <c r="AMT17" s="30"/>
      <c r="AMU17" s="30"/>
      <c r="AMV17" s="30"/>
      <c r="AMW17" s="30"/>
      <c r="AMX17" s="30"/>
      <c r="AMY17" s="30"/>
      <c r="AMZ17" s="30"/>
      <c r="ANA17" s="30"/>
      <c r="ANB17" s="30"/>
      <c r="ANC17" s="30"/>
      <c r="AND17" s="30"/>
      <c r="ANE17" s="30"/>
      <c r="ANF17" s="30"/>
      <c r="ANG17" s="30"/>
      <c r="ANH17" s="30"/>
      <c r="ANI17" s="30"/>
      <c r="ANJ17" s="30"/>
      <c r="ANK17" s="30"/>
      <c r="ANL17" s="30"/>
      <c r="ANM17" s="30"/>
      <c r="ANN17" s="30"/>
      <c r="ANO17" s="30"/>
      <c r="ANP17" s="30"/>
      <c r="ANQ17" s="30"/>
      <c r="ANR17" s="30"/>
      <c r="ANS17" s="30"/>
      <c r="ANT17" s="56"/>
      <c r="ANU17" s="30"/>
      <c r="ANV17" s="30"/>
      <c r="ANW17" s="30"/>
      <c r="ANX17" s="30"/>
      <c r="ANY17" s="30"/>
      <c r="ANZ17" s="30"/>
      <c r="AOA17" s="30"/>
      <c r="AOB17" s="30"/>
      <c r="AOC17" s="30"/>
      <c r="AOD17" s="30"/>
      <c r="AOE17" s="30"/>
      <c r="AOF17" s="30"/>
      <c r="AOG17" s="30"/>
      <c r="AOH17" s="30"/>
      <c r="AOI17" s="30"/>
      <c r="AOJ17" s="30"/>
      <c r="AOK17" s="30"/>
      <c r="AOL17" s="30"/>
      <c r="AOM17" s="30"/>
      <c r="AON17" s="30"/>
      <c r="AOO17" s="30"/>
      <c r="AOP17" s="30"/>
      <c r="AOQ17" s="30"/>
      <c r="AOR17" s="30"/>
      <c r="AOS17" s="30"/>
      <c r="AOT17" s="30"/>
      <c r="AOU17" s="30"/>
      <c r="AOV17" s="30"/>
      <c r="AOW17" s="30"/>
      <c r="AOX17" s="30"/>
      <c r="AOY17" s="30"/>
      <c r="AOZ17" s="30"/>
      <c r="APA17" s="56"/>
      <c r="APB17" s="30"/>
      <c r="APC17" s="30"/>
      <c r="APD17" s="30"/>
      <c r="APE17" s="30"/>
      <c r="APF17" s="30"/>
      <c r="APG17" s="30"/>
      <c r="APH17" s="30"/>
      <c r="API17" s="30"/>
      <c r="APJ17" s="30"/>
      <c r="APK17" s="30"/>
      <c r="APL17" s="30"/>
      <c r="APM17" s="30"/>
      <c r="APN17" s="30"/>
      <c r="APO17" s="30"/>
      <c r="APP17" s="30"/>
      <c r="APQ17" s="30"/>
      <c r="APR17" s="30"/>
      <c r="APS17" s="30"/>
      <c r="APT17" s="30"/>
      <c r="APU17" s="30"/>
      <c r="APV17" s="30"/>
      <c r="APW17" s="30"/>
      <c r="APX17" s="30"/>
      <c r="APY17" s="30"/>
      <c r="APZ17" s="30"/>
      <c r="AQA17" s="30"/>
      <c r="AQB17" s="30"/>
      <c r="AQC17" s="30"/>
      <c r="AQD17" s="30"/>
      <c r="AQE17" s="30"/>
      <c r="AQF17" s="30"/>
      <c r="AQG17" s="30"/>
      <c r="AQH17" s="56"/>
      <c r="AQI17" s="30"/>
      <c r="AQJ17" s="30"/>
      <c r="AQK17" s="30"/>
      <c r="AQL17" s="30"/>
      <c r="AQM17" s="30"/>
      <c r="AQN17" s="30"/>
      <c r="AQO17" s="30"/>
      <c r="AQP17" s="30"/>
      <c r="AQQ17" s="30"/>
      <c r="AQR17" s="30"/>
      <c r="AQS17" s="30"/>
      <c r="AQT17" s="30"/>
      <c r="AQU17" s="30"/>
      <c r="AQV17" s="30"/>
      <c r="AQW17" s="30"/>
      <c r="AQX17" s="30"/>
      <c r="AQY17" s="30"/>
      <c r="AQZ17" s="30"/>
      <c r="ARA17" s="30"/>
      <c r="ARB17" s="30"/>
      <c r="ARC17" s="30"/>
      <c r="ARD17" s="30"/>
      <c r="ARE17" s="30"/>
      <c r="ARF17" s="30"/>
      <c r="ARG17" s="30"/>
      <c r="ARH17" s="30"/>
      <c r="ARI17" s="30"/>
      <c r="ARJ17" s="30"/>
      <c r="ARK17" s="30"/>
      <c r="ARL17" s="30"/>
      <c r="ARM17" s="30"/>
      <c r="ARN17" s="30"/>
      <c r="ARO17" s="56"/>
      <c r="ARP17" s="30"/>
      <c r="ARQ17" s="30"/>
      <c r="ARR17" s="30"/>
      <c r="ARS17" s="30"/>
      <c r="ART17" s="30"/>
      <c r="ARU17" s="30"/>
      <c r="ARV17" s="30"/>
      <c r="ARW17" s="30"/>
      <c r="ARX17" s="30"/>
      <c r="ARY17" s="30"/>
      <c r="ARZ17" s="30"/>
      <c r="ASA17" s="30"/>
      <c r="ASB17" s="30"/>
      <c r="ASC17" s="30"/>
      <c r="ASD17" s="30"/>
      <c r="ASE17" s="30"/>
      <c r="ASF17" s="30"/>
      <c r="ASG17" s="30"/>
      <c r="ASH17" s="30"/>
      <c r="ASI17" s="30"/>
      <c r="ASJ17" s="30"/>
      <c r="ASK17" s="30"/>
      <c r="ASL17" s="30"/>
      <c r="ASM17" s="30"/>
      <c r="ASN17" s="30"/>
      <c r="ASO17" s="30"/>
      <c r="ASP17" s="30"/>
      <c r="ASQ17" s="30"/>
      <c r="ASR17" s="30"/>
      <c r="ASS17" s="30"/>
      <c r="AST17" s="30"/>
      <c r="ASU17" s="30"/>
      <c r="ASV17" s="56"/>
      <c r="ASW17" s="57"/>
      <c r="ASX17" s="30"/>
      <c r="ASY17" s="30"/>
      <c r="ASZ17" s="30"/>
      <c r="ATA17" s="30"/>
      <c r="ATB17" s="30"/>
      <c r="ATC17" s="30"/>
      <c r="ATD17" s="30"/>
      <c r="ATE17" s="30"/>
      <c r="ATF17" s="30"/>
      <c r="ATG17" s="30"/>
      <c r="ATH17" s="30"/>
      <c r="ATI17" s="30"/>
      <c r="ATJ17" s="30"/>
      <c r="ATK17" s="30"/>
      <c r="ATL17" s="30"/>
      <c r="ATM17" s="30"/>
      <c r="ATN17" s="30"/>
      <c r="ATO17" s="30"/>
      <c r="ATP17" s="30"/>
      <c r="ATQ17" s="30"/>
      <c r="ATR17" s="30"/>
      <c r="ATS17" s="30"/>
      <c r="ATT17" s="30"/>
      <c r="ATU17" s="30"/>
      <c r="ATV17" s="30"/>
      <c r="ATW17" s="30"/>
      <c r="ATX17" s="30"/>
      <c r="ATY17" s="30"/>
      <c r="ATZ17" s="30"/>
      <c r="AUA17" s="30"/>
      <c r="AUB17" s="30"/>
      <c r="AUC17" s="30"/>
      <c r="AUD17" s="56"/>
      <c r="AUE17" s="30"/>
      <c r="AUF17" s="30"/>
      <c r="AUG17" s="30"/>
      <c r="AUH17" s="30"/>
      <c r="AUI17" s="30"/>
      <c r="AUJ17" s="30"/>
      <c r="AUK17" s="30"/>
      <c r="AUL17" s="30"/>
      <c r="AUM17" s="30"/>
      <c r="AUN17" s="30"/>
      <c r="AUO17" s="30"/>
      <c r="AUP17" s="30"/>
      <c r="AUQ17" s="30"/>
      <c r="AUR17" s="30"/>
      <c r="AUS17" s="30"/>
      <c r="AUT17" s="30"/>
      <c r="AUU17" s="30"/>
      <c r="AUV17" s="30"/>
      <c r="AUW17" s="30"/>
      <c r="AUX17" s="30"/>
      <c r="AUY17" s="30"/>
      <c r="AUZ17" s="30"/>
      <c r="AVA17" s="30"/>
      <c r="AVB17" s="30"/>
      <c r="AVC17" s="30"/>
      <c r="AVD17" s="30"/>
      <c r="AVE17" s="30"/>
      <c r="AVF17" s="30"/>
      <c r="AVG17" s="30"/>
      <c r="AVH17" s="30"/>
      <c r="AVI17" s="30"/>
      <c r="AVJ17" s="30"/>
      <c r="AVK17" s="56"/>
      <c r="AVL17" s="30"/>
      <c r="AVM17" s="30"/>
      <c r="AVN17" s="30"/>
      <c r="AVO17" s="30"/>
      <c r="AVP17" s="30"/>
      <c r="AVQ17" s="30"/>
      <c r="AVR17" s="30"/>
      <c r="AVS17" s="30"/>
      <c r="AVT17" s="30"/>
      <c r="AVU17" s="30"/>
      <c r="AVV17" s="30"/>
      <c r="AVW17" s="30"/>
      <c r="AVX17" s="30"/>
      <c r="AVY17" s="30"/>
      <c r="AVZ17" s="30"/>
      <c r="AWA17" s="30"/>
      <c r="AWB17" s="30"/>
      <c r="AWC17" s="30"/>
      <c r="AWD17" s="30"/>
      <c r="AWE17" s="30"/>
      <c r="AWF17" s="30"/>
      <c r="AWG17" s="30"/>
      <c r="AWH17" s="30"/>
      <c r="AWI17" s="30"/>
      <c r="AWJ17" s="30"/>
      <c r="AWK17" s="30"/>
      <c r="AWL17" s="30"/>
      <c r="AWM17" s="30"/>
      <c r="AWN17" s="30"/>
      <c r="AWO17" s="30"/>
      <c r="AWP17" s="30"/>
      <c r="AWQ17" s="30"/>
      <c r="AWR17" s="56"/>
      <c r="AWS17" s="30"/>
      <c r="AWT17" s="30"/>
      <c r="AWU17" s="30"/>
      <c r="AWV17" s="30"/>
      <c r="AWW17" s="30"/>
      <c r="AWX17" s="30"/>
      <c r="AWY17" s="30"/>
      <c r="AWZ17" s="30"/>
      <c r="AXA17" s="30"/>
      <c r="AXB17" s="30"/>
      <c r="AXC17" s="30"/>
      <c r="AXD17" s="30"/>
      <c r="AXE17" s="30"/>
      <c r="AXF17" s="30"/>
      <c r="AXG17" s="30"/>
      <c r="AXH17" s="30"/>
      <c r="AXI17" s="30"/>
      <c r="AXJ17" s="30"/>
      <c r="AXK17" s="30"/>
      <c r="AXL17" s="30"/>
      <c r="AXM17" s="30"/>
      <c r="AXN17" s="30"/>
      <c r="AXO17" s="30"/>
      <c r="AXP17" s="30"/>
      <c r="AXQ17" s="30"/>
      <c r="AXR17" s="30"/>
      <c r="AXS17" s="30"/>
      <c r="AXT17" s="30"/>
      <c r="AXU17" s="30"/>
      <c r="AXV17" s="30"/>
      <c r="AXW17" s="30"/>
      <c r="AXX17" s="30"/>
      <c r="AXY17" s="56"/>
      <c r="AXZ17" s="30"/>
      <c r="AYA17" s="30"/>
      <c r="AYB17" s="30"/>
      <c r="AYC17" s="30"/>
      <c r="AYD17" s="30"/>
      <c r="AYE17" s="30"/>
      <c r="AYF17" s="30"/>
      <c r="AYG17" s="30"/>
      <c r="AYH17" s="30"/>
      <c r="AYI17" s="30"/>
      <c r="AYJ17" s="30"/>
      <c r="AYK17" s="30"/>
      <c r="AYL17" s="30"/>
      <c r="AYM17" s="30"/>
      <c r="AYN17" s="30"/>
      <c r="AYO17" s="30"/>
      <c r="AYP17" s="30"/>
      <c r="AYQ17" s="30"/>
      <c r="AYR17" s="30"/>
      <c r="AYS17" s="30"/>
      <c r="AYT17" s="30"/>
      <c r="AYU17" s="30"/>
      <c r="AYV17" s="30"/>
      <c r="AYW17" s="30"/>
      <c r="AYX17" s="30"/>
      <c r="AYY17" s="30"/>
      <c r="AYZ17" s="30"/>
      <c r="AZA17" s="30"/>
      <c r="AZB17" s="30"/>
      <c r="AZC17" s="30"/>
      <c r="AZD17" s="30"/>
      <c r="AZE17" s="30"/>
      <c r="AZF17" s="56"/>
      <c r="AZG17" s="30"/>
      <c r="AZH17" s="30"/>
      <c r="AZI17" s="30"/>
      <c r="AZJ17" s="30"/>
      <c r="AZK17" s="30"/>
      <c r="AZL17" s="30"/>
      <c r="AZM17" s="30"/>
      <c r="AZN17" s="30"/>
      <c r="AZO17" s="30"/>
      <c r="AZP17" s="30"/>
      <c r="AZQ17" s="30"/>
      <c r="AZR17" s="30"/>
      <c r="AZS17" s="30"/>
      <c r="AZT17" s="30"/>
      <c r="AZU17" s="30"/>
      <c r="AZV17" s="30"/>
      <c r="AZW17" s="30"/>
      <c r="AZX17" s="30"/>
      <c r="AZY17" s="30"/>
      <c r="AZZ17" s="30"/>
      <c r="BAA17" s="30"/>
      <c r="BAB17" s="30"/>
      <c r="BAC17" s="30"/>
      <c r="BAD17" s="30"/>
      <c r="BAE17" s="30"/>
      <c r="BAF17" s="30"/>
      <c r="BAG17" s="30"/>
      <c r="BAH17" s="30"/>
      <c r="BAI17" s="30"/>
      <c r="BAJ17" s="30"/>
      <c r="BAK17" s="30"/>
      <c r="BAL17" s="30"/>
      <c r="BAM17" s="56"/>
      <c r="BAN17" s="30"/>
      <c r="BAO17" s="30"/>
      <c r="BAP17" s="30"/>
      <c r="BAQ17" s="30"/>
      <c r="BAR17" s="30"/>
      <c r="BAS17" s="30"/>
      <c r="BAT17" s="30"/>
      <c r="BAU17" s="30"/>
      <c r="BAV17" s="30"/>
      <c r="BAW17" s="30"/>
      <c r="BAX17" s="30"/>
      <c r="BAY17" s="30"/>
      <c r="BAZ17" s="30"/>
      <c r="BBA17" s="30"/>
      <c r="BBB17" s="30"/>
      <c r="BBC17" s="30"/>
      <c r="BBD17" s="30"/>
      <c r="BBE17" s="30"/>
      <c r="BBF17" s="30"/>
      <c r="BBG17" s="30"/>
      <c r="BBH17" s="30"/>
      <c r="BBI17" s="30"/>
      <c r="BBJ17" s="30"/>
      <c r="BBK17" s="30"/>
      <c r="BBL17" s="30"/>
      <c r="BBM17" s="30"/>
      <c r="BBN17" s="30"/>
      <c r="BBO17" s="30"/>
      <c r="BBP17" s="30"/>
      <c r="BBQ17" s="30"/>
      <c r="BBR17" s="30"/>
      <c r="BBS17" s="30"/>
      <c r="BBT17" s="56"/>
      <c r="BBU17" s="30"/>
      <c r="BBV17" s="30"/>
      <c r="BBW17" s="30"/>
      <c r="BBX17" s="30"/>
      <c r="BBY17" s="30"/>
      <c r="BBZ17" s="30"/>
      <c r="BCA17" s="30"/>
      <c r="BCB17" s="30"/>
      <c r="BCC17" s="30"/>
      <c r="BCD17" s="30"/>
      <c r="BCE17" s="30"/>
      <c r="BCF17" s="30"/>
      <c r="BCG17" s="30"/>
      <c r="BCH17" s="30"/>
      <c r="BCI17" s="30"/>
      <c r="BCJ17" s="30"/>
      <c r="BCK17" s="30"/>
      <c r="BCL17" s="30"/>
      <c r="BCM17" s="30"/>
      <c r="BCN17" s="30"/>
      <c r="BCO17" s="30"/>
      <c r="BCP17" s="30"/>
      <c r="BCQ17" s="30"/>
      <c r="BCR17" s="30"/>
      <c r="BCS17" s="30"/>
      <c r="BCT17" s="30"/>
      <c r="BCU17" s="30"/>
      <c r="BCV17" s="30"/>
      <c r="BCW17" s="30"/>
      <c r="BCX17" s="30"/>
      <c r="BCY17" s="30"/>
      <c r="BCZ17" s="30"/>
      <c r="BDA17" s="56"/>
      <c r="BDB17" s="30"/>
      <c r="BDC17" s="30"/>
      <c r="BDD17" s="30"/>
      <c r="BDE17" s="30"/>
      <c r="BDF17" s="30"/>
      <c r="BDG17" s="30"/>
      <c r="BDH17" s="30"/>
      <c r="BDI17" s="30"/>
      <c r="BDJ17" s="30"/>
      <c r="BDK17" s="30"/>
      <c r="BDL17" s="30"/>
      <c r="BDM17" s="30"/>
      <c r="BDN17" s="30"/>
      <c r="BDO17" s="30"/>
      <c r="BDP17" s="30"/>
      <c r="BDQ17" s="30"/>
      <c r="BDR17" s="30"/>
      <c r="BDS17" s="30"/>
      <c r="BDT17" s="30"/>
      <c r="BDU17" s="30"/>
      <c r="BDV17" s="30"/>
      <c r="BDW17" s="30"/>
      <c r="BDX17" s="30"/>
      <c r="BDY17" s="30"/>
      <c r="BDZ17" s="30"/>
      <c r="BEA17" s="30"/>
      <c r="BEB17" s="30"/>
      <c r="BEC17" s="30"/>
      <c r="BED17" s="30"/>
      <c r="BEE17" s="30"/>
      <c r="BEF17" s="30"/>
      <c r="BEG17" s="30"/>
      <c r="BEH17" s="56"/>
      <c r="BEI17" s="30"/>
      <c r="BEJ17" s="30"/>
      <c r="BEK17" s="30"/>
      <c r="BEL17" s="30"/>
      <c r="BEM17" s="30"/>
      <c r="BEN17" s="30"/>
      <c r="BEO17" s="30"/>
      <c r="BEP17" s="30"/>
      <c r="BEQ17" s="30"/>
      <c r="BER17" s="30"/>
      <c r="BES17" s="30"/>
      <c r="BET17" s="30"/>
      <c r="BEU17" s="30"/>
      <c r="BEV17" s="30"/>
      <c r="BEW17" s="30"/>
      <c r="BEX17" s="30"/>
      <c r="BEY17" s="30"/>
      <c r="BEZ17" s="30"/>
      <c r="BFA17" s="30"/>
      <c r="BFB17" s="30"/>
      <c r="BFC17" s="30"/>
      <c r="BFD17" s="30"/>
      <c r="BFE17" s="30"/>
      <c r="BFF17" s="30"/>
      <c r="BFG17" s="30"/>
      <c r="BFH17" s="30"/>
      <c r="BFI17" s="30"/>
      <c r="BFJ17" s="30"/>
      <c r="BFK17" s="30"/>
      <c r="BFL17" s="30"/>
      <c r="BFM17" s="30"/>
      <c r="BFN17" s="30"/>
      <c r="BFO17" s="56"/>
      <c r="BFP17" s="30"/>
      <c r="BFQ17" s="30"/>
      <c r="BFR17" s="30"/>
      <c r="BFS17" s="30"/>
      <c r="BFT17" s="30"/>
      <c r="BFU17" s="30"/>
      <c r="BFV17" s="30"/>
      <c r="BFW17" s="30"/>
      <c r="BFX17" s="30"/>
      <c r="BFY17" s="30"/>
      <c r="BFZ17" s="30"/>
      <c r="BGA17" s="30"/>
      <c r="BGB17" s="30"/>
      <c r="BGC17" s="30"/>
      <c r="BGD17" s="30"/>
      <c r="BGE17" s="30"/>
      <c r="BGF17" s="30"/>
      <c r="BGG17" s="30"/>
      <c r="BGH17" s="30"/>
      <c r="BGI17" s="30"/>
      <c r="BGJ17" s="30"/>
      <c r="BGK17" s="30"/>
      <c r="BGL17" s="30"/>
      <c r="BGM17" s="30"/>
      <c r="BGN17" s="30"/>
      <c r="BGO17" s="30"/>
      <c r="BGP17" s="30"/>
      <c r="BGQ17" s="30"/>
      <c r="BGR17" s="30"/>
      <c r="BGS17" s="30"/>
      <c r="BGT17" s="30"/>
      <c r="BGU17" s="30"/>
      <c r="BGV17" s="56"/>
      <c r="BGW17" s="30"/>
      <c r="BGX17" s="30"/>
      <c r="BGY17" s="30"/>
      <c r="BGZ17" s="30"/>
      <c r="BHA17" s="30"/>
      <c r="BHB17" s="30"/>
      <c r="BHC17" s="30"/>
      <c r="BHD17" s="30"/>
      <c r="BHE17" s="30"/>
      <c r="BHF17" s="30"/>
      <c r="BHG17" s="30"/>
      <c r="BHH17" s="30"/>
      <c r="BHI17" s="30"/>
      <c r="BHJ17" s="30"/>
      <c r="BHK17" s="30"/>
      <c r="BHL17" s="30"/>
      <c r="BHM17" s="30"/>
      <c r="BHN17" s="30"/>
      <c r="BHO17" s="30"/>
      <c r="BHP17" s="30"/>
      <c r="BHQ17" s="30"/>
      <c r="BHR17" s="30"/>
      <c r="BHS17" s="30"/>
      <c r="BHT17" s="30"/>
      <c r="BHU17" s="30"/>
      <c r="BHV17" s="30"/>
      <c r="BHW17" s="30"/>
      <c r="BHX17" s="30"/>
      <c r="BHY17" s="30"/>
      <c r="BHZ17" s="30"/>
      <c r="BIA17" s="30"/>
      <c r="BIB17" s="30"/>
      <c r="BIC17" s="56"/>
      <c r="BID17" s="57"/>
    </row>
    <row r="18" spans="2:1590" ht="14.45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56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56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56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56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56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56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56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56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56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56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/>
      <c r="MP18" s="30"/>
      <c r="MQ18" s="30"/>
      <c r="MR18" s="30"/>
      <c r="MS18" s="30"/>
      <c r="MT18" s="30"/>
      <c r="MU18" s="30"/>
      <c r="MV18" s="30"/>
      <c r="MW18" s="30"/>
      <c r="MX18" s="30"/>
      <c r="MY18" s="30"/>
      <c r="MZ18" s="30"/>
      <c r="NA18" s="56"/>
      <c r="NB18" s="30"/>
      <c r="NC18" s="30"/>
      <c r="ND18" s="30"/>
      <c r="NE18" s="30"/>
      <c r="NF18" s="30"/>
      <c r="NG18" s="30"/>
      <c r="NH18" s="30"/>
      <c r="NI18" s="30"/>
      <c r="NJ18" s="30"/>
      <c r="NK18" s="30"/>
      <c r="NL18" s="30"/>
      <c r="NM18" s="30"/>
      <c r="NN18" s="30"/>
      <c r="NO18" s="30"/>
      <c r="NP18" s="30"/>
      <c r="NQ18" s="30"/>
      <c r="NR18" s="30"/>
      <c r="NS18" s="30"/>
      <c r="NT18" s="30"/>
      <c r="NU18" s="30"/>
      <c r="NV18" s="30"/>
      <c r="NW18" s="30"/>
      <c r="NX18" s="30"/>
      <c r="NY18" s="30"/>
      <c r="NZ18" s="30"/>
      <c r="OA18" s="30"/>
      <c r="OB18" s="30"/>
      <c r="OC18" s="30"/>
      <c r="OD18" s="30"/>
      <c r="OE18" s="30"/>
      <c r="OF18" s="30"/>
      <c r="OG18" s="30"/>
      <c r="OH18" s="56"/>
      <c r="OI18" s="57"/>
      <c r="OJ18" s="30"/>
      <c r="OK18" s="30"/>
      <c r="OL18" s="30"/>
      <c r="OM18" s="30"/>
      <c r="ON18" s="30"/>
      <c r="OO18" s="30"/>
      <c r="OP18" s="30"/>
      <c r="OQ18" s="30"/>
      <c r="OR18" s="30"/>
      <c r="OS18" s="30"/>
      <c r="OT18" s="30"/>
      <c r="OU18" s="30"/>
      <c r="OV18" s="30"/>
      <c r="OW18" s="30"/>
      <c r="OX18" s="30"/>
      <c r="OY18" s="30"/>
      <c r="OZ18" s="30"/>
      <c r="PA18" s="30"/>
      <c r="PB18" s="30"/>
      <c r="PC18" s="30"/>
      <c r="PD18" s="30"/>
      <c r="PE18" s="30"/>
      <c r="PF18" s="30"/>
      <c r="PG18" s="30"/>
      <c r="PH18" s="30"/>
      <c r="PI18" s="30"/>
      <c r="PJ18" s="30"/>
      <c r="PK18" s="30"/>
      <c r="PL18" s="30"/>
      <c r="PM18" s="30"/>
      <c r="PN18" s="30"/>
      <c r="PO18" s="30"/>
      <c r="PP18" s="56"/>
      <c r="PQ18" s="30"/>
      <c r="PR18" s="30"/>
      <c r="PS18" s="30"/>
      <c r="PT18" s="30"/>
      <c r="PU18" s="30"/>
      <c r="PV18" s="30"/>
      <c r="PW18" s="30"/>
      <c r="PX18" s="30"/>
      <c r="PY18" s="30"/>
      <c r="PZ18" s="30"/>
      <c r="QA18" s="30"/>
      <c r="QB18" s="30"/>
      <c r="QC18" s="30"/>
      <c r="QD18" s="30"/>
      <c r="QE18" s="30"/>
      <c r="QF18" s="30"/>
      <c r="QG18" s="30"/>
      <c r="QH18" s="30"/>
      <c r="QI18" s="30"/>
      <c r="QJ18" s="30"/>
      <c r="QK18" s="30"/>
      <c r="QL18" s="30"/>
      <c r="QM18" s="30"/>
      <c r="QN18" s="30"/>
      <c r="QO18" s="30"/>
      <c r="QP18" s="30"/>
      <c r="QQ18" s="30"/>
      <c r="QR18" s="30"/>
      <c r="QS18" s="30"/>
      <c r="QT18" s="30"/>
      <c r="QU18" s="30"/>
      <c r="QV18" s="30"/>
      <c r="QW18" s="56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30"/>
      <c r="SB18" s="30"/>
      <c r="SC18" s="30"/>
      <c r="SD18" s="56"/>
      <c r="SE18" s="30"/>
      <c r="SF18" s="30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0"/>
      <c r="TF18" s="30"/>
      <c r="TG18" s="30"/>
      <c r="TH18" s="30"/>
      <c r="TI18" s="30"/>
      <c r="TJ18" s="30"/>
      <c r="TK18" s="56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30"/>
      <c r="UF18" s="30"/>
      <c r="UG18" s="30"/>
      <c r="UH18" s="30"/>
      <c r="UI18" s="30"/>
      <c r="UJ18" s="30"/>
      <c r="UK18" s="30"/>
      <c r="UL18" s="30"/>
      <c r="UM18" s="30"/>
      <c r="UN18" s="30"/>
      <c r="UO18" s="30"/>
      <c r="UP18" s="30"/>
      <c r="UQ18" s="30"/>
      <c r="UR18" s="56"/>
      <c r="US18" s="30"/>
      <c r="UT18" s="30"/>
      <c r="UU18" s="30"/>
      <c r="UV18" s="30"/>
      <c r="UW18" s="30"/>
      <c r="UX18" s="30"/>
      <c r="UY18" s="30"/>
      <c r="UZ18" s="30"/>
      <c r="VA18" s="30"/>
      <c r="VB18" s="30"/>
      <c r="VC18" s="30"/>
      <c r="VD18" s="30"/>
      <c r="VE18" s="30"/>
      <c r="VF18" s="30"/>
      <c r="VG18" s="30"/>
      <c r="VH18" s="30"/>
      <c r="VI18" s="30"/>
      <c r="VJ18" s="30"/>
      <c r="VK18" s="30"/>
      <c r="VL18" s="30"/>
      <c r="VM18" s="30"/>
      <c r="VN18" s="30"/>
      <c r="VO18" s="30"/>
      <c r="VP18" s="30"/>
      <c r="VQ18" s="30"/>
      <c r="VR18" s="30"/>
      <c r="VS18" s="30"/>
      <c r="VT18" s="30"/>
      <c r="VU18" s="30"/>
      <c r="VV18" s="30"/>
      <c r="VW18" s="30"/>
      <c r="VX18" s="30"/>
      <c r="VY18" s="56"/>
      <c r="VZ18" s="30"/>
      <c r="WA18" s="30"/>
      <c r="WB18" s="30"/>
      <c r="WC18" s="30"/>
      <c r="WD18" s="30"/>
      <c r="WE18" s="30"/>
      <c r="WF18" s="30"/>
      <c r="WG18" s="30"/>
      <c r="WH18" s="30"/>
      <c r="WI18" s="30"/>
      <c r="WJ18" s="30"/>
      <c r="WK18" s="30"/>
      <c r="WL18" s="30"/>
      <c r="WM18" s="30"/>
      <c r="WN18" s="30"/>
      <c r="WO18" s="30"/>
      <c r="WP18" s="30"/>
      <c r="WQ18" s="30"/>
      <c r="WR18" s="30"/>
      <c r="WS18" s="30"/>
      <c r="WT18" s="30"/>
      <c r="WU18" s="30"/>
      <c r="WV18" s="30"/>
      <c r="WW18" s="30"/>
      <c r="WX18" s="30"/>
      <c r="WY18" s="30"/>
      <c r="WZ18" s="30"/>
      <c r="XA18" s="30"/>
      <c r="XB18" s="30"/>
      <c r="XC18" s="30"/>
      <c r="XD18" s="30"/>
      <c r="XE18" s="30"/>
      <c r="XF18" s="56"/>
      <c r="XG18" s="30"/>
      <c r="XH18" s="30"/>
      <c r="XI18" s="30"/>
      <c r="XJ18" s="30"/>
      <c r="XK18" s="30"/>
      <c r="XL18" s="30"/>
      <c r="XM18" s="30"/>
      <c r="XN18" s="30"/>
      <c r="XO18" s="30"/>
      <c r="XP18" s="30"/>
      <c r="XQ18" s="30"/>
      <c r="XR18" s="30"/>
      <c r="XS18" s="30"/>
      <c r="XT18" s="30"/>
      <c r="XU18" s="30"/>
      <c r="XV18" s="30"/>
      <c r="XW18" s="30"/>
      <c r="XX18" s="30"/>
      <c r="XY18" s="30"/>
      <c r="XZ18" s="30"/>
      <c r="YA18" s="30"/>
      <c r="YB18" s="30"/>
      <c r="YC18" s="30"/>
      <c r="YD18" s="30"/>
      <c r="YE18" s="30"/>
      <c r="YF18" s="30"/>
      <c r="YG18" s="30"/>
      <c r="YH18" s="30"/>
      <c r="YI18" s="30"/>
      <c r="YJ18" s="30"/>
      <c r="YK18" s="30"/>
      <c r="YL18" s="30"/>
      <c r="YM18" s="56"/>
      <c r="YN18" s="30"/>
      <c r="YO18" s="30"/>
      <c r="YP18" s="30"/>
      <c r="YQ18" s="30"/>
      <c r="YR18" s="30"/>
      <c r="YS18" s="30"/>
      <c r="YT18" s="30"/>
      <c r="YU18" s="30"/>
      <c r="YV18" s="30"/>
      <c r="YW18" s="30"/>
      <c r="YX18" s="30"/>
      <c r="YY18" s="30"/>
      <c r="YZ18" s="30"/>
      <c r="ZA18" s="30"/>
      <c r="ZB18" s="30"/>
      <c r="ZC18" s="30"/>
      <c r="ZD18" s="30"/>
      <c r="ZE18" s="30"/>
      <c r="ZF18" s="30"/>
      <c r="ZG18" s="30"/>
      <c r="ZH18" s="30"/>
      <c r="ZI18" s="30"/>
      <c r="ZJ18" s="30"/>
      <c r="ZK18" s="30"/>
      <c r="ZL18" s="30"/>
      <c r="ZM18" s="30"/>
      <c r="ZN18" s="30"/>
      <c r="ZO18" s="30"/>
      <c r="ZP18" s="30"/>
      <c r="ZQ18" s="30"/>
      <c r="ZR18" s="30"/>
      <c r="ZS18" s="30"/>
      <c r="ZT18" s="56"/>
      <c r="ZU18" s="30"/>
      <c r="ZV18" s="30"/>
      <c r="ZW18" s="30"/>
      <c r="ZX18" s="30"/>
      <c r="ZY18" s="30"/>
      <c r="ZZ18" s="30"/>
      <c r="AAA18" s="30"/>
      <c r="AAB18" s="30"/>
      <c r="AAC18" s="30"/>
      <c r="AAD18" s="30"/>
      <c r="AAE18" s="30"/>
      <c r="AAF18" s="30"/>
      <c r="AAG18" s="30"/>
      <c r="AAH18" s="30"/>
      <c r="AAI18" s="30"/>
      <c r="AAJ18" s="30"/>
      <c r="AAK18" s="30"/>
      <c r="AAL18" s="30"/>
      <c r="AAM18" s="30"/>
      <c r="AAN18" s="30"/>
      <c r="AAO18" s="30"/>
      <c r="AAP18" s="30"/>
      <c r="AAQ18" s="30"/>
      <c r="AAR18" s="30"/>
      <c r="AAS18" s="30"/>
      <c r="AAT18" s="30"/>
      <c r="AAU18" s="30"/>
      <c r="AAV18" s="30"/>
      <c r="AAW18" s="30"/>
      <c r="AAX18" s="30"/>
      <c r="AAY18" s="30"/>
      <c r="AAZ18" s="30"/>
      <c r="ABA18" s="56"/>
      <c r="ABB18" s="30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  <c r="ABT18" s="30"/>
      <c r="ABU18" s="30"/>
      <c r="ABV18" s="30"/>
      <c r="ABW18" s="30"/>
      <c r="ABX18" s="30"/>
      <c r="ABY18" s="30"/>
      <c r="ABZ18" s="30"/>
      <c r="ACA18" s="30"/>
      <c r="ACB18" s="30"/>
      <c r="ACC18" s="30"/>
      <c r="ACD18" s="30"/>
      <c r="ACE18" s="30"/>
      <c r="ACF18" s="30"/>
      <c r="ACG18" s="30"/>
      <c r="ACH18" s="56"/>
      <c r="ACI18" s="30"/>
      <c r="ACJ18" s="30"/>
      <c r="ACK18" s="30"/>
      <c r="ACL18" s="30"/>
      <c r="ACM18" s="30"/>
      <c r="ACN18" s="30"/>
      <c r="ACO18" s="30"/>
      <c r="ACP18" s="30"/>
      <c r="ACQ18" s="30"/>
      <c r="ACR18" s="30"/>
      <c r="ACS18" s="30"/>
      <c r="ACT18" s="30"/>
      <c r="ACU18" s="30"/>
      <c r="ACV18" s="30"/>
      <c r="ACW18" s="30"/>
      <c r="ACX18" s="30"/>
      <c r="ACY18" s="30"/>
      <c r="ACZ18" s="30"/>
      <c r="ADA18" s="30"/>
      <c r="ADB18" s="30"/>
      <c r="ADC18" s="30"/>
      <c r="ADD18" s="30"/>
      <c r="ADE18" s="30"/>
      <c r="ADF18" s="30"/>
      <c r="ADG18" s="30"/>
      <c r="ADH18" s="30"/>
      <c r="ADI18" s="30"/>
      <c r="ADJ18" s="30"/>
      <c r="ADK18" s="30"/>
      <c r="ADL18" s="30"/>
      <c r="ADM18" s="30"/>
      <c r="ADN18" s="30"/>
      <c r="ADO18" s="56"/>
      <c r="ADP18" s="57"/>
      <c r="ADQ18" s="30"/>
      <c r="ADR18" s="30"/>
      <c r="ADS18" s="30"/>
      <c r="ADT18" s="30"/>
      <c r="ADU18" s="30"/>
      <c r="ADV18" s="30"/>
      <c r="ADW18" s="30"/>
      <c r="ADX18" s="30"/>
      <c r="ADY18" s="30"/>
      <c r="ADZ18" s="30"/>
      <c r="AEA18" s="30"/>
      <c r="AEB18" s="30"/>
      <c r="AEC18" s="30"/>
      <c r="AED18" s="30"/>
      <c r="AEE18" s="30"/>
      <c r="AEF18" s="30"/>
      <c r="AEG18" s="30"/>
      <c r="AEH18" s="30"/>
      <c r="AEI18" s="30"/>
      <c r="AEJ18" s="30"/>
      <c r="AEK18" s="30"/>
      <c r="AEL18" s="30"/>
      <c r="AEM18" s="30"/>
      <c r="AEN18" s="30"/>
      <c r="AEO18" s="30"/>
      <c r="AEP18" s="30"/>
      <c r="AEQ18" s="30"/>
      <c r="AER18" s="30"/>
      <c r="AES18" s="30"/>
      <c r="AET18" s="30"/>
      <c r="AEU18" s="30"/>
      <c r="AEV18" s="30"/>
      <c r="AEW18" s="56"/>
      <c r="AEX18" s="30"/>
      <c r="AEY18" s="30"/>
      <c r="AEZ18" s="30"/>
      <c r="AFA18" s="30"/>
      <c r="AFB18" s="30"/>
      <c r="AFC18" s="30"/>
      <c r="AFD18" s="30"/>
      <c r="AFE18" s="30"/>
      <c r="AFF18" s="30"/>
      <c r="AFG18" s="30"/>
      <c r="AFH18" s="30"/>
      <c r="AFI18" s="30"/>
      <c r="AFJ18" s="30"/>
      <c r="AFK18" s="30"/>
      <c r="AFL18" s="30"/>
      <c r="AFM18" s="30"/>
      <c r="AFN18" s="30"/>
      <c r="AFO18" s="30"/>
      <c r="AFP18" s="30"/>
      <c r="AFQ18" s="30"/>
      <c r="AFR18" s="30"/>
      <c r="AFS18" s="30"/>
      <c r="AFT18" s="30"/>
      <c r="AFU18" s="30"/>
      <c r="AFV18" s="30"/>
      <c r="AFW18" s="30"/>
      <c r="AFX18" s="30"/>
      <c r="AFY18" s="30"/>
      <c r="AFZ18" s="30"/>
      <c r="AGA18" s="30"/>
      <c r="AGB18" s="30"/>
      <c r="AGC18" s="30"/>
      <c r="AGD18" s="56"/>
      <c r="AGE18" s="30"/>
      <c r="AGF18" s="30"/>
      <c r="AGG18" s="30"/>
      <c r="AGH18" s="30"/>
      <c r="AGI18" s="30"/>
      <c r="AGJ18" s="30"/>
      <c r="AGK18" s="30"/>
      <c r="AGL18" s="30"/>
      <c r="AGM18" s="30"/>
      <c r="AGN18" s="30"/>
      <c r="AGO18" s="30"/>
      <c r="AGP18" s="30"/>
      <c r="AGQ18" s="30"/>
      <c r="AGR18" s="30"/>
      <c r="AGS18" s="30"/>
      <c r="AGT18" s="30"/>
      <c r="AGU18" s="30"/>
      <c r="AGV18" s="30"/>
      <c r="AGW18" s="30"/>
      <c r="AGX18" s="30"/>
      <c r="AGY18" s="30"/>
      <c r="AGZ18" s="30"/>
      <c r="AHA18" s="30"/>
      <c r="AHB18" s="30"/>
      <c r="AHC18" s="30"/>
      <c r="AHD18" s="30"/>
      <c r="AHE18" s="30"/>
      <c r="AHF18" s="30"/>
      <c r="AHG18" s="30"/>
      <c r="AHH18" s="30"/>
      <c r="AHI18" s="30"/>
      <c r="AHJ18" s="30"/>
      <c r="AHK18" s="56"/>
      <c r="AHL18" s="30"/>
      <c r="AHM18" s="30"/>
      <c r="AHN18" s="30"/>
      <c r="AHO18" s="30"/>
      <c r="AHP18" s="30"/>
      <c r="AHQ18" s="30"/>
      <c r="AHR18" s="30"/>
      <c r="AHS18" s="30"/>
      <c r="AHT18" s="30"/>
      <c r="AHU18" s="30"/>
      <c r="AHV18" s="30"/>
      <c r="AHW18" s="30"/>
      <c r="AHX18" s="30"/>
      <c r="AHY18" s="30"/>
      <c r="AHZ18" s="30"/>
      <c r="AIA18" s="30"/>
      <c r="AIB18" s="30"/>
      <c r="AIC18" s="30"/>
      <c r="AID18" s="30"/>
      <c r="AIE18" s="30"/>
      <c r="AIF18" s="30"/>
      <c r="AIG18" s="30"/>
      <c r="AIH18" s="30"/>
      <c r="AII18" s="30"/>
      <c r="AIJ18" s="30"/>
      <c r="AIK18" s="30"/>
      <c r="AIL18" s="30"/>
      <c r="AIM18" s="30"/>
      <c r="AIN18" s="30"/>
      <c r="AIO18" s="30"/>
      <c r="AIP18" s="30"/>
      <c r="AIQ18" s="30"/>
      <c r="AIR18" s="56"/>
      <c r="AIS18" s="30"/>
      <c r="AIT18" s="30"/>
      <c r="AIU18" s="30"/>
      <c r="AIV18" s="30"/>
      <c r="AIW18" s="30"/>
      <c r="AIX18" s="30"/>
      <c r="AIY18" s="30"/>
      <c r="AIZ18" s="30"/>
      <c r="AJA18" s="30"/>
      <c r="AJB18" s="30"/>
      <c r="AJC18" s="30"/>
      <c r="AJD18" s="30"/>
      <c r="AJE18" s="30"/>
      <c r="AJF18" s="30"/>
      <c r="AJG18" s="30"/>
      <c r="AJH18" s="30"/>
      <c r="AJI18" s="30"/>
      <c r="AJJ18" s="30"/>
      <c r="AJK18" s="30"/>
      <c r="AJL18" s="30"/>
      <c r="AJM18" s="30"/>
      <c r="AJN18" s="30"/>
      <c r="AJO18" s="30"/>
      <c r="AJP18" s="30"/>
      <c r="AJQ18" s="30"/>
      <c r="AJR18" s="30"/>
      <c r="AJS18" s="30"/>
      <c r="AJT18" s="30"/>
      <c r="AJU18" s="30"/>
      <c r="AJV18" s="30"/>
      <c r="AJW18" s="30"/>
      <c r="AJX18" s="30"/>
      <c r="AJY18" s="56"/>
      <c r="AJZ18" s="30"/>
      <c r="AKA18" s="30"/>
      <c r="AKB18" s="30"/>
      <c r="AKC18" s="30"/>
      <c r="AKD18" s="30"/>
      <c r="AKE18" s="30"/>
      <c r="AKF18" s="30"/>
      <c r="AKG18" s="30"/>
      <c r="AKH18" s="30"/>
      <c r="AKI18" s="30"/>
      <c r="AKJ18" s="30"/>
      <c r="AKK18" s="30"/>
      <c r="AKL18" s="30"/>
      <c r="AKM18" s="30"/>
      <c r="AKN18" s="30"/>
      <c r="AKO18" s="30"/>
      <c r="AKP18" s="30"/>
      <c r="AKQ18" s="30"/>
      <c r="AKR18" s="30"/>
      <c r="AKS18" s="30"/>
      <c r="AKT18" s="30"/>
      <c r="AKU18" s="30"/>
      <c r="AKV18" s="30"/>
      <c r="AKW18" s="30"/>
      <c r="AKX18" s="30"/>
      <c r="AKY18" s="30"/>
      <c r="AKZ18" s="30"/>
      <c r="ALA18" s="30"/>
      <c r="ALB18" s="30"/>
      <c r="ALC18" s="30"/>
      <c r="ALD18" s="30"/>
      <c r="ALE18" s="30"/>
      <c r="ALF18" s="56"/>
      <c r="ALG18" s="30"/>
      <c r="ALH18" s="30"/>
      <c r="ALI18" s="30"/>
      <c r="ALJ18" s="30"/>
      <c r="ALK18" s="30"/>
      <c r="ALL18" s="30"/>
      <c r="ALM18" s="30"/>
      <c r="ALN18" s="30"/>
      <c r="ALO18" s="30"/>
      <c r="ALP18" s="30"/>
      <c r="ALQ18" s="30"/>
      <c r="ALR18" s="30"/>
      <c r="ALS18" s="30"/>
      <c r="ALT18" s="30"/>
      <c r="ALU18" s="30"/>
      <c r="ALV18" s="30"/>
      <c r="ALW18" s="30"/>
      <c r="ALX18" s="30"/>
      <c r="ALY18" s="30"/>
      <c r="ALZ18" s="30"/>
      <c r="AMA18" s="30"/>
      <c r="AMB18" s="30"/>
      <c r="AMC18" s="30"/>
      <c r="AMD18" s="30"/>
      <c r="AME18" s="30"/>
      <c r="AMF18" s="30"/>
      <c r="AMG18" s="30"/>
      <c r="AMH18" s="30"/>
      <c r="AMI18" s="30"/>
      <c r="AMJ18" s="30"/>
      <c r="AMK18" s="30"/>
      <c r="AML18" s="30"/>
      <c r="AMM18" s="56"/>
      <c r="AMN18" s="30"/>
      <c r="AMO18" s="30"/>
      <c r="AMP18" s="30"/>
      <c r="AMQ18" s="30"/>
      <c r="AMR18" s="30"/>
      <c r="AMS18" s="30"/>
      <c r="AMT18" s="30"/>
      <c r="AMU18" s="30"/>
      <c r="AMV18" s="30"/>
      <c r="AMW18" s="30"/>
      <c r="AMX18" s="30"/>
      <c r="AMY18" s="30"/>
      <c r="AMZ18" s="30"/>
      <c r="ANA18" s="30"/>
      <c r="ANB18" s="30"/>
      <c r="ANC18" s="30"/>
      <c r="AND18" s="30"/>
      <c r="ANE18" s="30"/>
      <c r="ANF18" s="30"/>
      <c r="ANG18" s="30"/>
      <c r="ANH18" s="30"/>
      <c r="ANI18" s="30"/>
      <c r="ANJ18" s="30"/>
      <c r="ANK18" s="30"/>
      <c r="ANL18" s="30"/>
      <c r="ANM18" s="30"/>
      <c r="ANN18" s="30"/>
      <c r="ANO18" s="30"/>
      <c r="ANP18" s="30"/>
      <c r="ANQ18" s="30"/>
      <c r="ANR18" s="30"/>
      <c r="ANS18" s="30"/>
      <c r="ANT18" s="56"/>
      <c r="ANU18" s="30"/>
      <c r="ANV18" s="30"/>
      <c r="ANW18" s="30"/>
      <c r="ANX18" s="30"/>
      <c r="ANY18" s="30"/>
      <c r="ANZ18" s="30"/>
      <c r="AOA18" s="30"/>
      <c r="AOB18" s="30"/>
      <c r="AOC18" s="30"/>
      <c r="AOD18" s="30"/>
      <c r="AOE18" s="30"/>
      <c r="AOF18" s="30"/>
      <c r="AOG18" s="30"/>
      <c r="AOH18" s="30"/>
      <c r="AOI18" s="30"/>
      <c r="AOJ18" s="30"/>
      <c r="AOK18" s="30"/>
      <c r="AOL18" s="30"/>
      <c r="AOM18" s="30"/>
      <c r="AON18" s="30"/>
      <c r="AOO18" s="30"/>
      <c r="AOP18" s="30"/>
      <c r="AOQ18" s="30"/>
      <c r="AOR18" s="30"/>
      <c r="AOS18" s="30"/>
      <c r="AOT18" s="30"/>
      <c r="AOU18" s="30"/>
      <c r="AOV18" s="30"/>
      <c r="AOW18" s="30"/>
      <c r="AOX18" s="30"/>
      <c r="AOY18" s="30"/>
      <c r="AOZ18" s="30"/>
      <c r="APA18" s="56"/>
      <c r="APB18" s="30"/>
      <c r="APC18" s="30"/>
      <c r="APD18" s="30"/>
      <c r="APE18" s="30"/>
      <c r="APF18" s="30"/>
      <c r="APG18" s="30"/>
      <c r="APH18" s="30"/>
      <c r="API18" s="30"/>
      <c r="APJ18" s="30"/>
      <c r="APK18" s="30"/>
      <c r="APL18" s="30"/>
      <c r="APM18" s="30"/>
      <c r="APN18" s="30"/>
      <c r="APO18" s="30"/>
      <c r="APP18" s="30"/>
      <c r="APQ18" s="30"/>
      <c r="APR18" s="30"/>
      <c r="APS18" s="30"/>
      <c r="APT18" s="30"/>
      <c r="APU18" s="30"/>
      <c r="APV18" s="30"/>
      <c r="APW18" s="30"/>
      <c r="APX18" s="30"/>
      <c r="APY18" s="30"/>
      <c r="APZ18" s="30"/>
      <c r="AQA18" s="30"/>
      <c r="AQB18" s="30"/>
      <c r="AQC18" s="30"/>
      <c r="AQD18" s="30"/>
      <c r="AQE18" s="30"/>
      <c r="AQF18" s="30"/>
      <c r="AQG18" s="30"/>
      <c r="AQH18" s="56"/>
      <c r="AQI18" s="30"/>
      <c r="AQJ18" s="30"/>
      <c r="AQK18" s="30"/>
      <c r="AQL18" s="30"/>
      <c r="AQM18" s="30"/>
      <c r="AQN18" s="30"/>
      <c r="AQO18" s="30"/>
      <c r="AQP18" s="30"/>
      <c r="AQQ18" s="30"/>
      <c r="AQR18" s="30"/>
      <c r="AQS18" s="30"/>
      <c r="AQT18" s="30"/>
      <c r="AQU18" s="30"/>
      <c r="AQV18" s="30"/>
      <c r="AQW18" s="30"/>
      <c r="AQX18" s="30"/>
      <c r="AQY18" s="30"/>
      <c r="AQZ18" s="30"/>
      <c r="ARA18" s="30"/>
      <c r="ARB18" s="30"/>
      <c r="ARC18" s="30"/>
      <c r="ARD18" s="30"/>
      <c r="ARE18" s="30"/>
      <c r="ARF18" s="30"/>
      <c r="ARG18" s="30"/>
      <c r="ARH18" s="30"/>
      <c r="ARI18" s="30"/>
      <c r="ARJ18" s="30"/>
      <c r="ARK18" s="30"/>
      <c r="ARL18" s="30"/>
      <c r="ARM18" s="30"/>
      <c r="ARN18" s="30"/>
      <c r="ARO18" s="56"/>
      <c r="ARP18" s="30"/>
      <c r="ARQ18" s="30"/>
      <c r="ARR18" s="30"/>
      <c r="ARS18" s="30"/>
      <c r="ART18" s="30"/>
      <c r="ARU18" s="30"/>
      <c r="ARV18" s="30"/>
      <c r="ARW18" s="30"/>
      <c r="ARX18" s="30"/>
      <c r="ARY18" s="30"/>
      <c r="ARZ18" s="30"/>
      <c r="ASA18" s="30"/>
      <c r="ASB18" s="30"/>
      <c r="ASC18" s="30"/>
      <c r="ASD18" s="30"/>
      <c r="ASE18" s="30"/>
      <c r="ASF18" s="30"/>
      <c r="ASG18" s="30"/>
      <c r="ASH18" s="30"/>
      <c r="ASI18" s="30"/>
      <c r="ASJ18" s="30"/>
      <c r="ASK18" s="30"/>
      <c r="ASL18" s="30"/>
      <c r="ASM18" s="30"/>
      <c r="ASN18" s="30"/>
      <c r="ASO18" s="30"/>
      <c r="ASP18" s="30"/>
      <c r="ASQ18" s="30"/>
      <c r="ASR18" s="30"/>
      <c r="ASS18" s="30"/>
      <c r="AST18" s="30"/>
      <c r="ASU18" s="30"/>
      <c r="ASV18" s="56"/>
      <c r="ASW18" s="57"/>
      <c r="ASX18" s="30"/>
      <c r="ASY18" s="30"/>
      <c r="ASZ18" s="30"/>
      <c r="ATA18" s="30"/>
      <c r="ATB18" s="30"/>
      <c r="ATC18" s="30"/>
      <c r="ATD18" s="30"/>
      <c r="ATE18" s="30"/>
      <c r="ATF18" s="30"/>
      <c r="ATG18" s="30"/>
      <c r="ATH18" s="30"/>
      <c r="ATI18" s="30"/>
      <c r="ATJ18" s="30"/>
      <c r="ATK18" s="30"/>
      <c r="ATL18" s="30"/>
      <c r="ATM18" s="30"/>
      <c r="ATN18" s="30"/>
      <c r="ATO18" s="30"/>
      <c r="ATP18" s="30"/>
      <c r="ATQ18" s="30"/>
      <c r="ATR18" s="30"/>
      <c r="ATS18" s="30"/>
      <c r="ATT18" s="30"/>
      <c r="ATU18" s="30"/>
      <c r="ATV18" s="30"/>
      <c r="ATW18" s="30"/>
      <c r="ATX18" s="30"/>
      <c r="ATY18" s="30"/>
      <c r="ATZ18" s="30"/>
      <c r="AUA18" s="30"/>
      <c r="AUB18" s="30"/>
      <c r="AUC18" s="30"/>
      <c r="AUD18" s="56"/>
      <c r="AUE18" s="30"/>
      <c r="AUF18" s="30"/>
      <c r="AUG18" s="30"/>
      <c r="AUH18" s="30"/>
      <c r="AUI18" s="30"/>
      <c r="AUJ18" s="30"/>
      <c r="AUK18" s="30"/>
      <c r="AUL18" s="30"/>
      <c r="AUM18" s="30"/>
      <c r="AUN18" s="30"/>
      <c r="AUO18" s="30"/>
      <c r="AUP18" s="30"/>
      <c r="AUQ18" s="30"/>
      <c r="AUR18" s="30"/>
      <c r="AUS18" s="30"/>
      <c r="AUT18" s="30"/>
      <c r="AUU18" s="30"/>
      <c r="AUV18" s="30"/>
      <c r="AUW18" s="30"/>
      <c r="AUX18" s="30"/>
      <c r="AUY18" s="30"/>
      <c r="AUZ18" s="30"/>
      <c r="AVA18" s="30"/>
      <c r="AVB18" s="30"/>
      <c r="AVC18" s="30"/>
      <c r="AVD18" s="30"/>
      <c r="AVE18" s="30"/>
      <c r="AVF18" s="30"/>
      <c r="AVG18" s="30"/>
      <c r="AVH18" s="30"/>
      <c r="AVI18" s="30"/>
      <c r="AVJ18" s="30"/>
      <c r="AVK18" s="56"/>
      <c r="AVL18" s="30"/>
      <c r="AVM18" s="30"/>
      <c r="AVN18" s="30"/>
      <c r="AVO18" s="30"/>
      <c r="AVP18" s="30"/>
      <c r="AVQ18" s="30"/>
      <c r="AVR18" s="30"/>
      <c r="AVS18" s="30"/>
      <c r="AVT18" s="30"/>
      <c r="AVU18" s="30"/>
      <c r="AVV18" s="30"/>
      <c r="AVW18" s="30"/>
      <c r="AVX18" s="30"/>
      <c r="AVY18" s="30"/>
      <c r="AVZ18" s="30"/>
      <c r="AWA18" s="30"/>
      <c r="AWB18" s="30"/>
      <c r="AWC18" s="30"/>
      <c r="AWD18" s="30"/>
      <c r="AWE18" s="30"/>
      <c r="AWF18" s="30"/>
      <c r="AWG18" s="30"/>
      <c r="AWH18" s="30"/>
      <c r="AWI18" s="30"/>
      <c r="AWJ18" s="30"/>
      <c r="AWK18" s="30"/>
      <c r="AWL18" s="30"/>
      <c r="AWM18" s="30"/>
      <c r="AWN18" s="30"/>
      <c r="AWO18" s="30"/>
      <c r="AWP18" s="30"/>
      <c r="AWQ18" s="30"/>
      <c r="AWR18" s="56"/>
      <c r="AWS18" s="30"/>
      <c r="AWT18" s="30"/>
      <c r="AWU18" s="30"/>
      <c r="AWV18" s="30"/>
      <c r="AWW18" s="30"/>
      <c r="AWX18" s="30"/>
      <c r="AWY18" s="30"/>
      <c r="AWZ18" s="30"/>
      <c r="AXA18" s="30"/>
      <c r="AXB18" s="30"/>
      <c r="AXC18" s="30"/>
      <c r="AXD18" s="30"/>
      <c r="AXE18" s="30"/>
      <c r="AXF18" s="30"/>
      <c r="AXG18" s="30"/>
      <c r="AXH18" s="30"/>
      <c r="AXI18" s="30"/>
      <c r="AXJ18" s="30"/>
      <c r="AXK18" s="30"/>
      <c r="AXL18" s="30"/>
      <c r="AXM18" s="30"/>
      <c r="AXN18" s="30"/>
      <c r="AXO18" s="30"/>
      <c r="AXP18" s="30"/>
      <c r="AXQ18" s="30"/>
      <c r="AXR18" s="30"/>
      <c r="AXS18" s="30"/>
      <c r="AXT18" s="30"/>
      <c r="AXU18" s="30"/>
      <c r="AXV18" s="30"/>
      <c r="AXW18" s="30"/>
      <c r="AXX18" s="30"/>
      <c r="AXY18" s="56"/>
      <c r="AXZ18" s="30"/>
      <c r="AYA18" s="30"/>
      <c r="AYB18" s="30"/>
      <c r="AYC18" s="30"/>
      <c r="AYD18" s="30"/>
      <c r="AYE18" s="30"/>
      <c r="AYF18" s="30"/>
      <c r="AYG18" s="30"/>
      <c r="AYH18" s="30"/>
      <c r="AYI18" s="30"/>
      <c r="AYJ18" s="30"/>
      <c r="AYK18" s="30"/>
      <c r="AYL18" s="30"/>
      <c r="AYM18" s="30"/>
      <c r="AYN18" s="30"/>
      <c r="AYO18" s="30"/>
      <c r="AYP18" s="30"/>
      <c r="AYQ18" s="30"/>
      <c r="AYR18" s="30"/>
      <c r="AYS18" s="30"/>
      <c r="AYT18" s="30"/>
      <c r="AYU18" s="30"/>
      <c r="AYV18" s="30"/>
      <c r="AYW18" s="30"/>
      <c r="AYX18" s="30"/>
      <c r="AYY18" s="30"/>
      <c r="AYZ18" s="30"/>
      <c r="AZA18" s="30"/>
      <c r="AZB18" s="30"/>
      <c r="AZC18" s="30"/>
      <c r="AZD18" s="30"/>
      <c r="AZE18" s="30"/>
      <c r="AZF18" s="56"/>
      <c r="AZG18" s="30"/>
      <c r="AZH18" s="30"/>
      <c r="AZI18" s="30"/>
      <c r="AZJ18" s="30"/>
      <c r="AZK18" s="30"/>
      <c r="AZL18" s="30"/>
      <c r="AZM18" s="30"/>
      <c r="AZN18" s="30"/>
      <c r="AZO18" s="30"/>
      <c r="AZP18" s="30"/>
      <c r="AZQ18" s="30"/>
      <c r="AZR18" s="30"/>
      <c r="AZS18" s="30"/>
      <c r="AZT18" s="30"/>
      <c r="AZU18" s="30"/>
      <c r="AZV18" s="30"/>
      <c r="AZW18" s="30"/>
      <c r="AZX18" s="30"/>
      <c r="AZY18" s="30"/>
      <c r="AZZ18" s="30"/>
      <c r="BAA18" s="30"/>
      <c r="BAB18" s="30"/>
      <c r="BAC18" s="30"/>
      <c r="BAD18" s="30"/>
      <c r="BAE18" s="30"/>
      <c r="BAF18" s="30"/>
      <c r="BAG18" s="30"/>
      <c r="BAH18" s="30"/>
      <c r="BAI18" s="30"/>
      <c r="BAJ18" s="30"/>
      <c r="BAK18" s="30"/>
      <c r="BAL18" s="30"/>
      <c r="BAM18" s="56"/>
      <c r="BAN18" s="30"/>
      <c r="BAO18" s="30"/>
      <c r="BAP18" s="30"/>
      <c r="BAQ18" s="30"/>
      <c r="BAR18" s="30"/>
      <c r="BAS18" s="30"/>
      <c r="BAT18" s="30"/>
      <c r="BAU18" s="30"/>
      <c r="BAV18" s="30"/>
      <c r="BAW18" s="30"/>
      <c r="BAX18" s="30"/>
      <c r="BAY18" s="30"/>
      <c r="BAZ18" s="30"/>
      <c r="BBA18" s="30"/>
      <c r="BBB18" s="30"/>
      <c r="BBC18" s="30"/>
      <c r="BBD18" s="30"/>
      <c r="BBE18" s="30"/>
      <c r="BBF18" s="30"/>
      <c r="BBG18" s="30"/>
      <c r="BBH18" s="30"/>
      <c r="BBI18" s="30"/>
      <c r="BBJ18" s="30"/>
      <c r="BBK18" s="30"/>
      <c r="BBL18" s="30"/>
      <c r="BBM18" s="30"/>
      <c r="BBN18" s="30"/>
      <c r="BBO18" s="30"/>
      <c r="BBP18" s="30"/>
      <c r="BBQ18" s="30"/>
      <c r="BBR18" s="30"/>
      <c r="BBS18" s="30"/>
      <c r="BBT18" s="56"/>
      <c r="BBU18" s="30"/>
      <c r="BBV18" s="30"/>
      <c r="BBW18" s="30"/>
      <c r="BBX18" s="30"/>
      <c r="BBY18" s="30"/>
      <c r="BBZ18" s="30"/>
      <c r="BCA18" s="30"/>
      <c r="BCB18" s="30"/>
      <c r="BCC18" s="30"/>
      <c r="BCD18" s="30"/>
      <c r="BCE18" s="30"/>
      <c r="BCF18" s="30"/>
      <c r="BCG18" s="30"/>
      <c r="BCH18" s="30"/>
      <c r="BCI18" s="30"/>
      <c r="BCJ18" s="30"/>
      <c r="BCK18" s="30"/>
      <c r="BCL18" s="30"/>
      <c r="BCM18" s="30"/>
      <c r="BCN18" s="30"/>
      <c r="BCO18" s="30"/>
      <c r="BCP18" s="30"/>
      <c r="BCQ18" s="30"/>
      <c r="BCR18" s="30"/>
      <c r="BCS18" s="30"/>
      <c r="BCT18" s="30"/>
      <c r="BCU18" s="30"/>
      <c r="BCV18" s="30"/>
      <c r="BCW18" s="30"/>
      <c r="BCX18" s="30"/>
      <c r="BCY18" s="30"/>
      <c r="BCZ18" s="30"/>
      <c r="BDA18" s="56"/>
      <c r="BDB18" s="30"/>
      <c r="BDC18" s="30"/>
      <c r="BDD18" s="30"/>
      <c r="BDE18" s="30"/>
      <c r="BDF18" s="30"/>
      <c r="BDG18" s="30"/>
      <c r="BDH18" s="30"/>
      <c r="BDI18" s="30"/>
      <c r="BDJ18" s="30"/>
      <c r="BDK18" s="30"/>
      <c r="BDL18" s="30"/>
      <c r="BDM18" s="30"/>
      <c r="BDN18" s="30"/>
      <c r="BDO18" s="30"/>
      <c r="BDP18" s="30"/>
      <c r="BDQ18" s="30"/>
      <c r="BDR18" s="30"/>
      <c r="BDS18" s="30"/>
      <c r="BDT18" s="30"/>
      <c r="BDU18" s="30"/>
      <c r="BDV18" s="30"/>
      <c r="BDW18" s="30"/>
      <c r="BDX18" s="30"/>
      <c r="BDY18" s="30"/>
      <c r="BDZ18" s="30"/>
      <c r="BEA18" s="30"/>
      <c r="BEB18" s="30"/>
      <c r="BEC18" s="30"/>
      <c r="BED18" s="30"/>
      <c r="BEE18" s="30"/>
      <c r="BEF18" s="30"/>
      <c r="BEG18" s="30"/>
      <c r="BEH18" s="56"/>
      <c r="BEI18" s="30"/>
      <c r="BEJ18" s="30"/>
      <c r="BEK18" s="30"/>
      <c r="BEL18" s="30"/>
      <c r="BEM18" s="30"/>
      <c r="BEN18" s="30"/>
      <c r="BEO18" s="30"/>
      <c r="BEP18" s="30"/>
      <c r="BEQ18" s="30"/>
      <c r="BER18" s="30"/>
      <c r="BES18" s="30"/>
      <c r="BET18" s="30"/>
      <c r="BEU18" s="30"/>
      <c r="BEV18" s="30"/>
      <c r="BEW18" s="30"/>
      <c r="BEX18" s="30"/>
      <c r="BEY18" s="30"/>
      <c r="BEZ18" s="30"/>
      <c r="BFA18" s="30"/>
      <c r="BFB18" s="30"/>
      <c r="BFC18" s="30"/>
      <c r="BFD18" s="30"/>
      <c r="BFE18" s="30"/>
      <c r="BFF18" s="30"/>
      <c r="BFG18" s="30"/>
      <c r="BFH18" s="30"/>
      <c r="BFI18" s="30"/>
      <c r="BFJ18" s="30"/>
      <c r="BFK18" s="30"/>
      <c r="BFL18" s="30"/>
      <c r="BFM18" s="30"/>
      <c r="BFN18" s="30"/>
      <c r="BFO18" s="56"/>
      <c r="BFP18" s="30"/>
      <c r="BFQ18" s="30"/>
      <c r="BFR18" s="30"/>
      <c r="BFS18" s="30"/>
      <c r="BFT18" s="30"/>
      <c r="BFU18" s="30"/>
      <c r="BFV18" s="30"/>
      <c r="BFW18" s="30"/>
      <c r="BFX18" s="30"/>
      <c r="BFY18" s="30"/>
      <c r="BFZ18" s="30"/>
      <c r="BGA18" s="30"/>
      <c r="BGB18" s="30"/>
      <c r="BGC18" s="30"/>
      <c r="BGD18" s="30"/>
      <c r="BGE18" s="30"/>
      <c r="BGF18" s="30"/>
      <c r="BGG18" s="30"/>
      <c r="BGH18" s="30"/>
      <c r="BGI18" s="30"/>
      <c r="BGJ18" s="30"/>
      <c r="BGK18" s="30"/>
      <c r="BGL18" s="30"/>
      <c r="BGM18" s="30"/>
      <c r="BGN18" s="30"/>
      <c r="BGO18" s="30"/>
      <c r="BGP18" s="30"/>
      <c r="BGQ18" s="30"/>
      <c r="BGR18" s="30"/>
      <c r="BGS18" s="30"/>
      <c r="BGT18" s="30"/>
      <c r="BGU18" s="30"/>
      <c r="BGV18" s="56"/>
      <c r="BGW18" s="30"/>
      <c r="BGX18" s="30"/>
      <c r="BGY18" s="30"/>
      <c r="BGZ18" s="30"/>
      <c r="BHA18" s="30"/>
      <c r="BHB18" s="30"/>
      <c r="BHC18" s="30"/>
      <c r="BHD18" s="30"/>
      <c r="BHE18" s="30"/>
      <c r="BHF18" s="30"/>
      <c r="BHG18" s="30"/>
      <c r="BHH18" s="30"/>
      <c r="BHI18" s="30"/>
      <c r="BHJ18" s="30"/>
      <c r="BHK18" s="30"/>
      <c r="BHL18" s="30"/>
      <c r="BHM18" s="30"/>
      <c r="BHN18" s="30"/>
      <c r="BHO18" s="30"/>
      <c r="BHP18" s="30"/>
      <c r="BHQ18" s="30"/>
      <c r="BHR18" s="30"/>
      <c r="BHS18" s="30"/>
      <c r="BHT18" s="30"/>
      <c r="BHU18" s="30"/>
      <c r="BHV18" s="30"/>
      <c r="BHW18" s="30"/>
      <c r="BHX18" s="30"/>
      <c r="BHY18" s="30"/>
      <c r="BHZ18" s="30"/>
      <c r="BIA18" s="30"/>
      <c r="BIB18" s="30"/>
      <c r="BIC18" s="56"/>
      <c r="BID18" s="57"/>
    </row>
    <row r="19" spans="2:1590" ht="14.45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56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56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56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56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56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56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56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56"/>
      <c r="JG19" s="30"/>
      <c r="JH19" s="30"/>
      <c r="JI19" s="30"/>
      <c r="JJ19" s="30"/>
      <c r="JK19" s="30"/>
      <c r="JL19" s="30"/>
      <c r="JM19" s="30"/>
      <c r="JN19" s="30"/>
      <c r="JO19" s="30"/>
      <c r="JP19" s="30"/>
      <c r="JQ19" s="30"/>
      <c r="JR19" s="30"/>
      <c r="JS19" s="30"/>
      <c r="JT19" s="30"/>
      <c r="JU19" s="30"/>
      <c r="JV19" s="30"/>
      <c r="JW19" s="30"/>
      <c r="JX19" s="30"/>
      <c r="JY19" s="30"/>
      <c r="JZ19" s="30"/>
      <c r="KA19" s="30"/>
      <c r="KB19" s="30"/>
      <c r="KC19" s="30"/>
      <c r="KD19" s="30"/>
      <c r="KE19" s="30"/>
      <c r="KF19" s="30"/>
      <c r="KG19" s="30"/>
      <c r="KH19" s="30"/>
      <c r="KI19" s="30"/>
      <c r="KJ19" s="30"/>
      <c r="KK19" s="30"/>
      <c r="KL19" s="30"/>
      <c r="KM19" s="56"/>
      <c r="KN19" s="30"/>
      <c r="KO19" s="30"/>
      <c r="KP19" s="30"/>
      <c r="KQ19" s="30"/>
      <c r="KR19" s="30"/>
      <c r="KS19" s="30"/>
      <c r="KT19" s="30"/>
      <c r="KU19" s="30"/>
      <c r="KV19" s="30"/>
      <c r="KW19" s="30"/>
      <c r="KX19" s="30"/>
      <c r="KY19" s="30"/>
      <c r="KZ19" s="30"/>
      <c r="LA19" s="30"/>
      <c r="LB19" s="30"/>
      <c r="LC19" s="30"/>
      <c r="LD19" s="30"/>
      <c r="LE19" s="30"/>
      <c r="LF19" s="30"/>
      <c r="LG19" s="30"/>
      <c r="LH19" s="30"/>
      <c r="LI19" s="30"/>
      <c r="LJ19" s="30"/>
      <c r="LK19" s="30"/>
      <c r="LL19" s="30"/>
      <c r="LM19" s="30"/>
      <c r="LN19" s="30"/>
      <c r="LO19" s="30"/>
      <c r="LP19" s="30"/>
      <c r="LQ19" s="30"/>
      <c r="LR19" s="30"/>
      <c r="LS19" s="30"/>
      <c r="LT19" s="56"/>
      <c r="LU19" s="30"/>
      <c r="LV19" s="30"/>
      <c r="LW19" s="30"/>
      <c r="LX19" s="30"/>
      <c r="LY19" s="30"/>
      <c r="LZ19" s="30"/>
      <c r="MA19" s="30"/>
      <c r="MB19" s="30"/>
      <c r="MC19" s="30"/>
      <c r="MD19" s="30"/>
      <c r="ME19" s="30"/>
      <c r="MF19" s="30"/>
      <c r="MG19" s="30"/>
      <c r="MH19" s="30"/>
      <c r="MI19" s="30"/>
      <c r="MJ19" s="30"/>
      <c r="MK19" s="30"/>
      <c r="ML19" s="30"/>
      <c r="MM19" s="30"/>
      <c r="MN19" s="30"/>
      <c r="MO19" s="30"/>
      <c r="MP19" s="30"/>
      <c r="MQ19" s="30"/>
      <c r="MR19" s="30"/>
      <c r="MS19" s="30"/>
      <c r="MT19" s="30"/>
      <c r="MU19" s="30"/>
      <c r="MV19" s="30"/>
      <c r="MW19" s="30"/>
      <c r="MX19" s="30"/>
      <c r="MY19" s="30"/>
      <c r="MZ19" s="30"/>
      <c r="NA19" s="56"/>
      <c r="NB19" s="30"/>
      <c r="NC19" s="30"/>
      <c r="ND19" s="30"/>
      <c r="NE19" s="30"/>
      <c r="NF19" s="30"/>
      <c r="NG19" s="30"/>
      <c r="NH19" s="30"/>
      <c r="NI19" s="30"/>
      <c r="NJ19" s="30"/>
      <c r="NK19" s="30"/>
      <c r="NL19" s="30"/>
      <c r="NM19" s="30"/>
      <c r="NN19" s="30"/>
      <c r="NO19" s="30"/>
      <c r="NP19" s="30"/>
      <c r="NQ19" s="30"/>
      <c r="NR19" s="30"/>
      <c r="NS19" s="30"/>
      <c r="NT19" s="30"/>
      <c r="NU19" s="30"/>
      <c r="NV19" s="30"/>
      <c r="NW19" s="30"/>
      <c r="NX19" s="30"/>
      <c r="NY19" s="30"/>
      <c r="NZ19" s="30"/>
      <c r="OA19" s="30"/>
      <c r="OB19" s="30"/>
      <c r="OC19" s="30"/>
      <c r="OD19" s="30"/>
      <c r="OE19" s="30"/>
      <c r="OF19" s="30"/>
      <c r="OG19" s="30"/>
      <c r="OH19" s="56"/>
      <c r="OI19" s="57"/>
      <c r="OJ19" s="30"/>
      <c r="OK19" s="30"/>
      <c r="OL19" s="30"/>
      <c r="OM19" s="30"/>
      <c r="ON19" s="30"/>
      <c r="OO19" s="30"/>
      <c r="OP19" s="30"/>
      <c r="OQ19" s="30"/>
      <c r="OR19" s="30"/>
      <c r="OS19" s="30"/>
      <c r="OT19" s="30"/>
      <c r="OU19" s="30"/>
      <c r="OV19" s="30"/>
      <c r="OW19" s="30"/>
      <c r="OX19" s="30"/>
      <c r="OY19" s="30"/>
      <c r="OZ19" s="30"/>
      <c r="PA19" s="30"/>
      <c r="PB19" s="30"/>
      <c r="PC19" s="30"/>
      <c r="PD19" s="30"/>
      <c r="PE19" s="30"/>
      <c r="PF19" s="30"/>
      <c r="PG19" s="30"/>
      <c r="PH19" s="30"/>
      <c r="PI19" s="30"/>
      <c r="PJ19" s="30"/>
      <c r="PK19" s="30"/>
      <c r="PL19" s="30"/>
      <c r="PM19" s="30"/>
      <c r="PN19" s="30"/>
      <c r="PO19" s="30"/>
      <c r="PP19" s="56"/>
      <c r="PQ19" s="30"/>
      <c r="PR19" s="30"/>
      <c r="PS19" s="30"/>
      <c r="PT19" s="30"/>
      <c r="PU19" s="30"/>
      <c r="PV19" s="30"/>
      <c r="PW19" s="30"/>
      <c r="PX19" s="30"/>
      <c r="PY19" s="30"/>
      <c r="PZ19" s="30"/>
      <c r="QA19" s="30"/>
      <c r="QB19" s="30"/>
      <c r="QC19" s="30"/>
      <c r="QD19" s="30"/>
      <c r="QE19" s="30"/>
      <c r="QF19" s="30"/>
      <c r="QG19" s="30"/>
      <c r="QH19" s="30"/>
      <c r="QI19" s="30"/>
      <c r="QJ19" s="30"/>
      <c r="QK19" s="30"/>
      <c r="QL19" s="30"/>
      <c r="QM19" s="30"/>
      <c r="QN19" s="30"/>
      <c r="QO19" s="30"/>
      <c r="QP19" s="30"/>
      <c r="QQ19" s="30"/>
      <c r="QR19" s="30"/>
      <c r="QS19" s="30"/>
      <c r="QT19" s="30"/>
      <c r="QU19" s="30"/>
      <c r="QV19" s="30"/>
      <c r="QW19" s="56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30"/>
      <c r="SB19" s="30"/>
      <c r="SC19" s="30"/>
      <c r="SD19" s="56"/>
      <c r="SE19" s="30"/>
      <c r="SF19" s="30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0"/>
      <c r="TF19" s="30"/>
      <c r="TG19" s="30"/>
      <c r="TH19" s="30"/>
      <c r="TI19" s="30"/>
      <c r="TJ19" s="30"/>
      <c r="TK19" s="56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30"/>
      <c r="UF19" s="30"/>
      <c r="UG19" s="30"/>
      <c r="UH19" s="30"/>
      <c r="UI19" s="30"/>
      <c r="UJ19" s="30"/>
      <c r="UK19" s="30"/>
      <c r="UL19" s="30"/>
      <c r="UM19" s="30"/>
      <c r="UN19" s="30"/>
      <c r="UO19" s="30"/>
      <c r="UP19" s="30"/>
      <c r="UQ19" s="30"/>
      <c r="UR19" s="56"/>
      <c r="US19" s="30"/>
      <c r="UT19" s="30"/>
      <c r="UU19" s="30"/>
      <c r="UV19" s="30"/>
      <c r="UW19" s="30"/>
      <c r="UX19" s="30"/>
      <c r="UY19" s="30"/>
      <c r="UZ19" s="30"/>
      <c r="VA19" s="30"/>
      <c r="VB19" s="30"/>
      <c r="VC19" s="30"/>
      <c r="VD19" s="30"/>
      <c r="VE19" s="30"/>
      <c r="VF19" s="30"/>
      <c r="VG19" s="30"/>
      <c r="VH19" s="30"/>
      <c r="VI19" s="30"/>
      <c r="VJ19" s="30"/>
      <c r="VK19" s="30"/>
      <c r="VL19" s="30"/>
      <c r="VM19" s="30"/>
      <c r="VN19" s="30"/>
      <c r="VO19" s="30"/>
      <c r="VP19" s="30"/>
      <c r="VQ19" s="30"/>
      <c r="VR19" s="30"/>
      <c r="VS19" s="30"/>
      <c r="VT19" s="30"/>
      <c r="VU19" s="30"/>
      <c r="VV19" s="30"/>
      <c r="VW19" s="30"/>
      <c r="VX19" s="30"/>
      <c r="VY19" s="56"/>
      <c r="VZ19" s="30"/>
      <c r="WA19" s="30"/>
      <c r="WB19" s="30"/>
      <c r="WC19" s="30"/>
      <c r="WD19" s="30"/>
      <c r="WE19" s="30"/>
      <c r="WF19" s="30"/>
      <c r="WG19" s="30"/>
      <c r="WH19" s="30"/>
      <c r="WI19" s="30"/>
      <c r="WJ19" s="30"/>
      <c r="WK19" s="30"/>
      <c r="WL19" s="30"/>
      <c r="WM19" s="30"/>
      <c r="WN19" s="30"/>
      <c r="WO19" s="30"/>
      <c r="WP19" s="30"/>
      <c r="WQ19" s="30"/>
      <c r="WR19" s="30"/>
      <c r="WS19" s="30"/>
      <c r="WT19" s="30"/>
      <c r="WU19" s="30"/>
      <c r="WV19" s="30"/>
      <c r="WW19" s="30"/>
      <c r="WX19" s="30"/>
      <c r="WY19" s="30"/>
      <c r="WZ19" s="30"/>
      <c r="XA19" s="30"/>
      <c r="XB19" s="30"/>
      <c r="XC19" s="30"/>
      <c r="XD19" s="30"/>
      <c r="XE19" s="30"/>
      <c r="XF19" s="56"/>
      <c r="XG19" s="30"/>
      <c r="XH19" s="30"/>
      <c r="XI19" s="30"/>
      <c r="XJ19" s="30"/>
      <c r="XK19" s="30"/>
      <c r="XL19" s="30"/>
      <c r="XM19" s="30"/>
      <c r="XN19" s="30"/>
      <c r="XO19" s="30"/>
      <c r="XP19" s="30"/>
      <c r="XQ19" s="30"/>
      <c r="XR19" s="30"/>
      <c r="XS19" s="30"/>
      <c r="XT19" s="30"/>
      <c r="XU19" s="30"/>
      <c r="XV19" s="30"/>
      <c r="XW19" s="30"/>
      <c r="XX19" s="30"/>
      <c r="XY19" s="30"/>
      <c r="XZ19" s="30"/>
      <c r="YA19" s="30"/>
      <c r="YB19" s="30"/>
      <c r="YC19" s="30"/>
      <c r="YD19" s="30"/>
      <c r="YE19" s="30"/>
      <c r="YF19" s="30"/>
      <c r="YG19" s="30"/>
      <c r="YH19" s="30"/>
      <c r="YI19" s="30"/>
      <c r="YJ19" s="30"/>
      <c r="YK19" s="30"/>
      <c r="YL19" s="30"/>
      <c r="YM19" s="56"/>
      <c r="YN19" s="30"/>
      <c r="YO19" s="30"/>
      <c r="YP19" s="30"/>
      <c r="YQ19" s="30"/>
      <c r="YR19" s="30"/>
      <c r="YS19" s="30"/>
      <c r="YT19" s="30"/>
      <c r="YU19" s="30"/>
      <c r="YV19" s="30"/>
      <c r="YW19" s="30"/>
      <c r="YX19" s="30"/>
      <c r="YY19" s="30"/>
      <c r="YZ19" s="30"/>
      <c r="ZA19" s="30"/>
      <c r="ZB19" s="30"/>
      <c r="ZC19" s="30"/>
      <c r="ZD19" s="30"/>
      <c r="ZE19" s="30"/>
      <c r="ZF19" s="30"/>
      <c r="ZG19" s="30"/>
      <c r="ZH19" s="30"/>
      <c r="ZI19" s="30"/>
      <c r="ZJ19" s="30"/>
      <c r="ZK19" s="30"/>
      <c r="ZL19" s="30"/>
      <c r="ZM19" s="30"/>
      <c r="ZN19" s="30"/>
      <c r="ZO19" s="30"/>
      <c r="ZP19" s="30"/>
      <c r="ZQ19" s="30"/>
      <c r="ZR19" s="30"/>
      <c r="ZS19" s="30"/>
      <c r="ZT19" s="56"/>
      <c r="ZU19" s="30"/>
      <c r="ZV19" s="30"/>
      <c r="ZW19" s="30"/>
      <c r="ZX19" s="30"/>
      <c r="ZY19" s="30"/>
      <c r="ZZ19" s="30"/>
      <c r="AAA19" s="30"/>
      <c r="AAB19" s="30"/>
      <c r="AAC19" s="30"/>
      <c r="AAD19" s="30"/>
      <c r="AAE19" s="30"/>
      <c r="AAF19" s="30"/>
      <c r="AAG19" s="30"/>
      <c r="AAH19" s="30"/>
      <c r="AAI19" s="30"/>
      <c r="AAJ19" s="30"/>
      <c r="AAK19" s="30"/>
      <c r="AAL19" s="30"/>
      <c r="AAM19" s="30"/>
      <c r="AAN19" s="30"/>
      <c r="AAO19" s="30"/>
      <c r="AAP19" s="30"/>
      <c r="AAQ19" s="30"/>
      <c r="AAR19" s="30"/>
      <c r="AAS19" s="30"/>
      <c r="AAT19" s="30"/>
      <c r="AAU19" s="30"/>
      <c r="AAV19" s="30"/>
      <c r="AAW19" s="30"/>
      <c r="AAX19" s="30"/>
      <c r="AAY19" s="30"/>
      <c r="AAZ19" s="30"/>
      <c r="ABA19" s="56"/>
      <c r="ABB19" s="30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  <c r="ABT19" s="30"/>
      <c r="ABU19" s="30"/>
      <c r="ABV19" s="30"/>
      <c r="ABW19" s="30"/>
      <c r="ABX19" s="30"/>
      <c r="ABY19" s="30"/>
      <c r="ABZ19" s="30"/>
      <c r="ACA19" s="30"/>
      <c r="ACB19" s="30"/>
      <c r="ACC19" s="30"/>
      <c r="ACD19" s="30"/>
      <c r="ACE19" s="30"/>
      <c r="ACF19" s="30"/>
      <c r="ACG19" s="30"/>
      <c r="ACH19" s="56"/>
      <c r="ACI19" s="30"/>
      <c r="ACJ19" s="30"/>
      <c r="ACK19" s="30"/>
      <c r="ACL19" s="30"/>
      <c r="ACM19" s="30"/>
      <c r="ACN19" s="30"/>
      <c r="ACO19" s="30"/>
      <c r="ACP19" s="30"/>
      <c r="ACQ19" s="30"/>
      <c r="ACR19" s="30"/>
      <c r="ACS19" s="30"/>
      <c r="ACT19" s="30"/>
      <c r="ACU19" s="30"/>
      <c r="ACV19" s="30"/>
      <c r="ACW19" s="30"/>
      <c r="ACX19" s="30"/>
      <c r="ACY19" s="30"/>
      <c r="ACZ19" s="30"/>
      <c r="ADA19" s="30"/>
      <c r="ADB19" s="30"/>
      <c r="ADC19" s="30"/>
      <c r="ADD19" s="30"/>
      <c r="ADE19" s="30"/>
      <c r="ADF19" s="30"/>
      <c r="ADG19" s="30"/>
      <c r="ADH19" s="30"/>
      <c r="ADI19" s="30"/>
      <c r="ADJ19" s="30"/>
      <c r="ADK19" s="30"/>
      <c r="ADL19" s="30"/>
      <c r="ADM19" s="30"/>
      <c r="ADN19" s="30"/>
      <c r="ADO19" s="56"/>
      <c r="ADP19" s="57"/>
      <c r="ADQ19" s="30"/>
      <c r="ADR19" s="30"/>
      <c r="ADS19" s="30"/>
      <c r="ADT19" s="30"/>
      <c r="ADU19" s="30"/>
      <c r="ADV19" s="30"/>
      <c r="ADW19" s="30"/>
      <c r="ADX19" s="30"/>
      <c r="ADY19" s="30"/>
      <c r="ADZ19" s="30"/>
      <c r="AEA19" s="30"/>
      <c r="AEB19" s="30"/>
      <c r="AEC19" s="30"/>
      <c r="AED19" s="30"/>
      <c r="AEE19" s="30"/>
      <c r="AEF19" s="30"/>
      <c r="AEG19" s="30"/>
      <c r="AEH19" s="30"/>
      <c r="AEI19" s="30"/>
      <c r="AEJ19" s="30"/>
      <c r="AEK19" s="30"/>
      <c r="AEL19" s="30"/>
      <c r="AEM19" s="30"/>
      <c r="AEN19" s="30"/>
      <c r="AEO19" s="30"/>
      <c r="AEP19" s="30"/>
      <c r="AEQ19" s="30"/>
      <c r="AER19" s="30"/>
      <c r="AES19" s="30"/>
      <c r="AET19" s="30"/>
      <c r="AEU19" s="30"/>
      <c r="AEV19" s="30"/>
      <c r="AEW19" s="56"/>
      <c r="AEX19" s="30"/>
      <c r="AEY19" s="30"/>
      <c r="AEZ19" s="30"/>
      <c r="AFA19" s="30"/>
      <c r="AFB19" s="30"/>
      <c r="AFC19" s="30"/>
      <c r="AFD19" s="30"/>
      <c r="AFE19" s="30"/>
      <c r="AFF19" s="30"/>
      <c r="AFG19" s="30"/>
      <c r="AFH19" s="30"/>
      <c r="AFI19" s="30"/>
      <c r="AFJ19" s="30"/>
      <c r="AFK19" s="30"/>
      <c r="AFL19" s="30"/>
      <c r="AFM19" s="30"/>
      <c r="AFN19" s="30"/>
      <c r="AFO19" s="30"/>
      <c r="AFP19" s="30"/>
      <c r="AFQ19" s="30"/>
      <c r="AFR19" s="30"/>
      <c r="AFS19" s="30"/>
      <c r="AFT19" s="30"/>
      <c r="AFU19" s="30"/>
      <c r="AFV19" s="30"/>
      <c r="AFW19" s="30"/>
      <c r="AFX19" s="30"/>
      <c r="AFY19" s="30"/>
      <c r="AFZ19" s="30"/>
      <c r="AGA19" s="30"/>
      <c r="AGB19" s="30"/>
      <c r="AGC19" s="30"/>
      <c r="AGD19" s="56"/>
      <c r="AGE19" s="30"/>
      <c r="AGF19" s="30"/>
      <c r="AGG19" s="30"/>
      <c r="AGH19" s="30"/>
      <c r="AGI19" s="30"/>
      <c r="AGJ19" s="30"/>
      <c r="AGK19" s="30"/>
      <c r="AGL19" s="30"/>
      <c r="AGM19" s="30"/>
      <c r="AGN19" s="30"/>
      <c r="AGO19" s="30"/>
      <c r="AGP19" s="30"/>
      <c r="AGQ19" s="30"/>
      <c r="AGR19" s="30"/>
      <c r="AGS19" s="30"/>
      <c r="AGT19" s="30"/>
      <c r="AGU19" s="30"/>
      <c r="AGV19" s="30"/>
      <c r="AGW19" s="30"/>
      <c r="AGX19" s="30"/>
      <c r="AGY19" s="30"/>
      <c r="AGZ19" s="30"/>
      <c r="AHA19" s="30"/>
      <c r="AHB19" s="30"/>
      <c r="AHC19" s="30"/>
      <c r="AHD19" s="30"/>
      <c r="AHE19" s="30"/>
      <c r="AHF19" s="30"/>
      <c r="AHG19" s="30"/>
      <c r="AHH19" s="30"/>
      <c r="AHI19" s="30"/>
      <c r="AHJ19" s="30"/>
      <c r="AHK19" s="56"/>
      <c r="AHL19" s="30"/>
      <c r="AHM19" s="30"/>
      <c r="AHN19" s="30"/>
      <c r="AHO19" s="30"/>
      <c r="AHP19" s="30"/>
      <c r="AHQ19" s="30"/>
      <c r="AHR19" s="30"/>
      <c r="AHS19" s="30"/>
      <c r="AHT19" s="30"/>
      <c r="AHU19" s="30"/>
      <c r="AHV19" s="30"/>
      <c r="AHW19" s="30"/>
      <c r="AHX19" s="30"/>
      <c r="AHY19" s="30"/>
      <c r="AHZ19" s="30"/>
      <c r="AIA19" s="30"/>
      <c r="AIB19" s="30"/>
      <c r="AIC19" s="30"/>
      <c r="AID19" s="30"/>
      <c r="AIE19" s="30"/>
      <c r="AIF19" s="30"/>
      <c r="AIG19" s="30"/>
      <c r="AIH19" s="30"/>
      <c r="AII19" s="30"/>
      <c r="AIJ19" s="30"/>
      <c r="AIK19" s="30"/>
      <c r="AIL19" s="30"/>
      <c r="AIM19" s="30"/>
      <c r="AIN19" s="30"/>
      <c r="AIO19" s="30"/>
      <c r="AIP19" s="30"/>
      <c r="AIQ19" s="30"/>
      <c r="AIR19" s="56"/>
      <c r="AIS19" s="30"/>
      <c r="AIT19" s="30"/>
      <c r="AIU19" s="30"/>
      <c r="AIV19" s="30"/>
      <c r="AIW19" s="30"/>
      <c r="AIX19" s="30"/>
      <c r="AIY19" s="30"/>
      <c r="AIZ19" s="30"/>
      <c r="AJA19" s="30"/>
      <c r="AJB19" s="30"/>
      <c r="AJC19" s="30"/>
      <c r="AJD19" s="30"/>
      <c r="AJE19" s="30"/>
      <c r="AJF19" s="30"/>
      <c r="AJG19" s="30"/>
      <c r="AJH19" s="30"/>
      <c r="AJI19" s="30"/>
      <c r="AJJ19" s="30"/>
      <c r="AJK19" s="30"/>
      <c r="AJL19" s="30"/>
      <c r="AJM19" s="30"/>
      <c r="AJN19" s="30"/>
      <c r="AJO19" s="30"/>
      <c r="AJP19" s="30"/>
      <c r="AJQ19" s="30"/>
      <c r="AJR19" s="30"/>
      <c r="AJS19" s="30"/>
      <c r="AJT19" s="30"/>
      <c r="AJU19" s="30"/>
      <c r="AJV19" s="30"/>
      <c r="AJW19" s="30"/>
      <c r="AJX19" s="30"/>
      <c r="AJY19" s="56"/>
      <c r="AJZ19" s="30"/>
      <c r="AKA19" s="30"/>
      <c r="AKB19" s="30"/>
      <c r="AKC19" s="30"/>
      <c r="AKD19" s="30"/>
      <c r="AKE19" s="30"/>
      <c r="AKF19" s="30"/>
      <c r="AKG19" s="30"/>
      <c r="AKH19" s="30"/>
      <c r="AKI19" s="30"/>
      <c r="AKJ19" s="30"/>
      <c r="AKK19" s="30"/>
      <c r="AKL19" s="30"/>
      <c r="AKM19" s="30"/>
      <c r="AKN19" s="30"/>
      <c r="AKO19" s="30"/>
      <c r="AKP19" s="30"/>
      <c r="AKQ19" s="30"/>
      <c r="AKR19" s="30"/>
      <c r="AKS19" s="30"/>
      <c r="AKT19" s="30"/>
      <c r="AKU19" s="30"/>
      <c r="AKV19" s="30"/>
      <c r="AKW19" s="30"/>
      <c r="AKX19" s="30"/>
      <c r="AKY19" s="30"/>
      <c r="AKZ19" s="30"/>
      <c r="ALA19" s="30"/>
      <c r="ALB19" s="30"/>
      <c r="ALC19" s="30"/>
      <c r="ALD19" s="30"/>
      <c r="ALE19" s="30"/>
      <c r="ALF19" s="56"/>
      <c r="ALG19" s="30"/>
      <c r="ALH19" s="30"/>
      <c r="ALI19" s="30"/>
      <c r="ALJ19" s="30"/>
      <c r="ALK19" s="30"/>
      <c r="ALL19" s="30"/>
      <c r="ALM19" s="30"/>
      <c r="ALN19" s="30"/>
      <c r="ALO19" s="30"/>
      <c r="ALP19" s="30"/>
      <c r="ALQ19" s="30"/>
      <c r="ALR19" s="30"/>
      <c r="ALS19" s="30"/>
      <c r="ALT19" s="30"/>
      <c r="ALU19" s="30"/>
      <c r="ALV19" s="30"/>
      <c r="ALW19" s="30"/>
      <c r="ALX19" s="30"/>
      <c r="ALY19" s="30"/>
      <c r="ALZ19" s="30"/>
      <c r="AMA19" s="30"/>
      <c r="AMB19" s="30"/>
      <c r="AMC19" s="30"/>
      <c r="AMD19" s="30"/>
      <c r="AME19" s="30"/>
      <c r="AMF19" s="30"/>
      <c r="AMG19" s="30"/>
      <c r="AMH19" s="30"/>
      <c r="AMI19" s="30"/>
      <c r="AMJ19" s="30"/>
      <c r="AMK19" s="30"/>
      <c r="AML19" s="30"/>
      <c r="AMM19" s="56"/>
      <c r="AMN19" s="30"/>
      <c r="AMO19" s="30"/>
      <c r="AMP19" s="30"/>
      <c r="AMQ19" s="30"/>
      <c r="AMR19" s="30"/>
      <c r="AMS19" s="30"/>
      <c r="AMT19" s="30"/>
      <c r="AMU19" s="30"/>
      <c r="AMV19" s="30"/>
      <c r="AMW19" s="30"/>
      <c r="AMX19" s="30"/>
      <c r="AMY19" s="30"/>
      <c r="AMZ19" s="30"/>
      <c r="ANA19" s="30"/>
      <c r="ANB19" s="30"/>
      <c r="ANC19" s="30"/>
      <c r="AND19" s="30"/>
      <c r="ANE19" s="30"/>
      <c r="ANF19" s="30"/>
      <c r="ANG19" s="30"/>
      <c r="ANH19" s="30"/>
      <c r="ANI19" s="30"/>
      <c r="ANJ19" s="30"/>
      <c r="ANK19" s="30"/>
      <c r="ANL19" s="30"/>
      <c r="ANM19" s="30"/>
      <c r="ANN19" s="30"/>
      <c r="ANO19" s="30"/>
      <c r="ANP19" s="30"/>
      <c r="ANQ19" s="30"/>
      <c r="ANR19" s="30"/>
      <c r="ANS19" s="30"/>
      <c r="ANT19" s="56"/>
      <c r="ANU19" s="30"/>
      <c r="ANV19" s="30"/>
      <c r="ANW19" s="30"/>
      <c r="ANX19" s="30"/>
      <c r="ANY19" s="30"/>
      <c r="ANZ19" s="30"/>
      <c r="AOA19" s="30"/>
      <c r="AOB19" s="30"/>
      <c r="AOC19" s="30"/>
      <c r="AOD19" s="30"/>
      <c r="AOE19" s="30"/>
      <c r="AOF19" s="30"/>
      <c r="AOG19" s="30"/>
      <c r="AOH19" s="30"/>
      <c r="AOI19" s="30"/>
      <c r="AOJ19" s="30"/>
      <c r="AOK19" s="30"/>
      <c r="AOL19" s="30"/>
      <c r="AOM19" s="30"/>
      <c r="AON19" s="30"/>
      <c r="AOO19" s="30"/>
      <c r="AOP19" s="30"/>
      <c r="AOQ19" s="30"/>
      <c r="AOR19" s="30"/>
      <c r="AOS19" s="30"/>
      <c r="AOT19" s="30"/>
      <c r="AOU19" s="30"/>
      <c r="AOV19" s="30"/>
      <c r="AOW19" s="30"/>
      <c r="AOX19" s="30"/>
      <c r="AOY19" s="30"/>
      <c r="AOZ19" s="30"/>
      <c r="APA19" s="56"/>
      <c r="APB19" s="30"/>
      <c r="APC19" s="30"/>
      <c r="APD19" s="30"/>
      <c r="APE19" s="30"/>
      <c r="APF19" s="30"/>
      <c r="APG19" s="30"/>
      <c r="APH19" s="30"/>
      <c r="API19" s="30"/>
      <c r="APJ19" s="30"/>
      <c r="APK19" s="30"/>
      <c r="APL19" s="30"/>
      <c r="APM19" s="30"/>
      <c r="APN19" s="30"/>
      <c r="APO19" s="30"/>
      <c r="APP19" s="30"/>
      <c r="APQ19" s="30"/>
      <c r="APR19" s="30"/>
      <c r="APS19" s="30"/>
      <c r="APT19" s="30"/>
      <c r="APU19" s="30"/>
      <c r="APV19" s="30"/>
      <c r="APW19" s="30"/>
      <c r="APX19" s="30"/>
      <c r="APY19" s="30"/>
      <c r="APZ19" s="30"/>
      <c r="AQA19" s="30"/>
      <c r="AQB19" s="30"/>
      <c r="AQC19" s="30"/>
      <c r="AQD19" s="30"/>
      <c r="AQE19" s="30"/>
      <c r="AQF19" s="30"/>
      <c r="AQG19" s="30"/>
      <c r="AQH19" s="56"/>
      <c r="AQI19" s="30"/>
      <c r="AQJ19" s="30"/>
      <c r="AQK19" s="30"/>
      <c r="AQL19" s="30"/>
      <c r="AQM19" s="30"/>
      <c r="AQN19" s="30"/>
      <c r="AQO19" s="30"/>
      <c r="AQP19" s="30"/>
      <c r="AQQ19" s="30"/>
      <c r="AQR19" s="30"/>
      <c r="AQS19" s="30"/>
      <c r="AQT19" s="30"/>
      <c r="AQU19" s="30"/>
      <c r="AQV19" s="30"/>
      <c r="AQW19" s="30"/>
      <c r="AQX19" s="30"/>
      <c r="AQY19" s="30"/>
      <c r="AQZ19" s="30"/>
      <c r="ARA19" s="30"/>
      <c r="ARB19" s="30"/>
      <c r="ARC19" s="30"/>
      <c r="ARD19" s="30"/>
      <c r="ARE19" s="30"/>
      <c r="ARF19" s="30"/>
      <c r="ARG19" s="30"/>
      <c r="ARH19" s="30"/>
      <c r="ARI19" s="30"/>
      <c r="ARJ19" s="30"/>
      <c r="ARK19" s="30"/>
      <c r="ARL19" s="30"/>
      <c r="ARM19" s="30"/>
      <c r="ARN19" s="30"/>
      <c r="ARO19" s="56"/>
      <c r="ARP19" s="30"/>
      <c r="ARQ19" s="30"/>
      <c r="ARR19" s="30"/>
      <c r="ARS19" s="30"/>
      <c r="ART19" s="30"/>
      <c r="ARU19" s="30"/>
      <c r="ARV19" s="30"/>
      <c r="ARW19" s="30"/>
      <c r="ARX19" s="30"/>
      <c r="ARY19" s="30"/>
      <c r="ARZ19" s="30"/>
      <c r="ASA19" s="30"/>
      <c r="ASB19" s="30"/>
      <c r="ASC19" s="30"/>
      <c r="ASD19" s="30"/>
      <c r="ASE19" s="30"/>
      <c r="ASF19" s="30"/>
      <c r="ASG19" s="30"/>
      <c r="ASH19" s="30"/>
      <c r="ASI19" s="30"/>
      <c r="ASJ19" s="30"/>
      <c r="ASK19" s="30"/>
      <c r="ASL19" s="30"/>
      <c r="ASM19" s="30"/>
      <c r="ASN19" s="30"/>
      <c r="ASO19" s="30"/>
      <c r="ASP19" s="30"/>
      <c r="ASQ19" s="30"/>
      <c r="ASR19" s="30"/>
      <c r="ASS19" s="30"/>
      <c r="AST19" s="30"/>
      <c r="ASU19" s="30"/>
      <c r="ASV19" s="56"/>
      <c r="ASW19" s="57"/>
      <c r="ASX19" s="30"/>
      <c r="ASY19" s="30"/>
      <c r="ASZ19" s="30"/>
      <c r="ATA19" s="30"/>
      <c r="ATB19" s="30"/>
      <c r="ATC19" s="30"/>
      <c r="ATD19" s="30"/>
      <c r="ATE19" s="30"/>
      <c r="ATF19" s="30"/>
      <c r="ATG19" s="30"/>
      <c r="ATH19" s="30"/>
      <c r="ATI19" s="30"/>
      <c r="ATJ19" s="30"/>
      <c r="ATK19" s="30"/>
      <c r="ATL19" s="30"/>
      <c r="ATM19" s="30"/>
      <c r="ATN19" s="30"/>
      <c r="ATO19" s="30"/>
      <c r="ATP19" s="30"/>
      <c r="ATQ19" s="30"/>
      <c r="ATR19" s="30"/>
      <c r="ATS19" s="30"/>
      <c r="ATT19" s="30"/>
      <c r="ATU19" s="30"/>
      <c r="ATV19" s="30"/>
      <c r="ATW19" s="30"/>
      <c r="ATX19" s="30"/>
      <c r="ATY19" s="30"/>
      <c r="ATZ19" s="30"/>
      <c r="AUA19" s="30"/>
      <c r="AUB19" s="30"/>
      <c r="AUC19" s="30"/>
      <c r="AUD19" s="56"/>
      <c r="AUE19" s="30"/>
      <c r="AUF19" s="30"/>
      <c r="AUG19" s="30"/>
      <c r="AUH19" s="30"/>
      <c r="AUI19" s="30"/>
      <c r="AUJ19" s="30"/>
      <c r="AUK19" s="30"/>
      <c r="AUL19" s="30"/>
      <c r="AUM19" s="30"/>
      <c r="AUN19" s="30"/>
      <c r="AUO19" s="30"/>
      <c r="AUP19" s="30"/>
      <c r="AUQ19" s="30"/>
      <c r="AUR19" s="30"/>
      <c r="AUS19" s="30"/>
      <c r="AUT19" s="30"/>
      <c r="AUU19" s="30"/>
      <c r="AUV19" s="30"/>
      <c r="AUW19" s="30"/>
      <c r="AUX19" s="30"/>
      <c r="AUY19" s="30"/>
      <c r="AUZ19" s="30"/>
      <c r="AVA19" s="30"/>
      <c r="AVB19" s="30"/>
      <c r="AVC19" s="30"/>
      <c r="AVD19" s="30"/>
      <c r="AVE19" s="30"/>
      <c r="AVF19" s="30"/>
      <c r="AVG19" s="30"/>
      <c r="AVH19" s="30"/>
      <c r="AVI19" s="30"/>
      <c r="AVJ19" s="30"/>
      <c r="AVK19" s="56"/>
      <c r="AVL19" s="30"/>
      <c r="AVM19" s="30"/>
      <c r="AVN19" s="30"/>
      <c r="AVO19" s="30"/>
      <c r="AVP19" s="30"/>
      <c r="AVQ19" s="30"/>
      <c r="AVR19" s="30"/>
      <c r="AVS19" s="30"/>
      <c r="AVT19" s="30"/>
      <c r="AVU19" s="30"/>
      <c r="AVV19" s="30"/>
      <c r="AVW19" s="30"/>
      <c r="AVX19" s="30"/>
      <c r="AVY19" s="30"/>
      <c r="AVZ19" s="30"/>
      <c r="AWA19" s="30"/>
      <c r="AWB19" s="30"/>
      <c r="AWC19" s="30"/>
      <c r="AWD19" s="30"/>
      <c r="AWE19" s="30"/>
      <c r="AWF19" s="30"/>
      <c r="AWG19" s="30"/>
      <c r="AWH19" s="30"/>
      <c r="AWI19" s="30"/>
      <c r="AWJ19" s="30"/>
      <c r="AWK19" s="30"/>
      <c r="AWL19" s="30"/>
      <c r="AWM19" s="30"/>
      <c r="AWN19" s="30"/>
      <c r="AWO19" s="30"/>
      <c r="AWP19" s="30"/>
      <c r="AWQ19" s="30"/>
      <c r="AWR19" s="56"/>
      <c r="AWS19" s="30"/>
      <c r="AWT19" s="30"/>
      <c r="AWU19" s="30"/>
      <c r="AWV19" s="30"/>
      <c r="AWW19" s="30"/>
      <c r="AWX19" s="30"/>
      <c r="AWY19" s="30"/>
      <c r="AWZ19" s="30"/>
      <c r="AXA19" s="30"/>
      <c r="AXB19" s="30"/>
      <c r="AXC19" s="30"/>
      <c r="AXD19" s="30"/>
      <c r="AXE19" s="30"/>
      <c r="AXF19" s="30"/>
      <c r="AXG19" s="30"/>
      <c r="AXH19" s="30"/>
      <c r="AXI19" s="30"/>
      <c r="AXJ19" s="30"/>
      <c r="AXK19" s="30"/>
      <c r="AXL19" s="30"/>
      <c r="AXM19" s="30"/>
      <c r="AXN19" s="30"/>
      <c r="AXO19" s="30"/>
      <c r="AXP19" s="30"/>
      <c r="AXQ19" s="30"/>
      <c r="AXR19" s="30"/>
      <c r="AXS19" s="30"/>
      <c r="AXT19" s="30"/>
      <c r="AXU19" s="30"/>
      <c r="AXV19" s="30"/>
      <c r="AXW19" s="30"/>
      <c r="AXX19" s="30"/>
      <c r="AXY19" s="56"/>
      <c r="AXZ19" s="30"/>
      <c r="AYA19" s="30"/>
      <c r="AYB19" s="30"/>
      <c r="AYC19" s="30"/>
      <c r="AYD19" s="30"/>
      <c r="AYE19" s="30"/>
      <c r="AYF19" s="30"/>
      <c r="AYG19" s="30"/>
      <c r="AYH19" s="30"/>
      <c r="AYI19" s="30"/>
      <c r="AYJ19" s="30"/>
      <c r="AYK19" s="30"/>
      <c r="AYL19" s="30"/>
      <c r="AYM19" s="30"/>
      <c r="AYN19" s="30"/>
      <c r="AYO19" s="30"/>
      <c r="AYP19" s="30"/>
      <c r="AYQ19" s="30"/>
      <c r="AYR19" s="30"/>
      <c r="AYS19" s="30"/>
      <c r="AYT19" s="30"/>
      <c r="AYU19" s="30"/>
      <c r="AYV19" s="30"/>
      <c r="AYW19" s="30"/>
      <c r="AYX19" s="30"/>
      <c r="AYY19" s="30"/>
      <c r="AYZ19" s="30"/>
      <c r="AZA19" s="30"/>
      <c r="AZB19" s="30"/>
      <c r="AZC19" s="30"/>
      <c r="AZD19" s="30"/>
      <c r="AZE19" s="30"/>
      <c r="AZF19" s="56"/>
      <c r="AZG19" s="30"/>
      <c r="AZH19" s="30"/>
      <c r="AZI19" s="30"/>
      <c r="AZJ19" s="30"/>
      <c r="AZK19" s="30"/>
      <c r="AZL19" s="30"/>
      <c r="AZM19" s="30"/>
      <c r="AZN19" s="30"/>
      <c r="AZO19" s="30"/>
      <c r="AZP19" s="30"/>
      <c r="AZQ19" s="30"/>
      <c r="AZR19" s="30"/>
      <c r="AZS19" s="30"/>
      <c r="AZT19" s="30"/>
      <c r="AZU19" s="30"/>
      <c r="AZV19" s="30"/>
      <c r="AZW19" s="30"/>
      <c r="AZX19" s="30"/>
      <c r="AZY19" s="30"/>
      <c r="AZZ19" s="30"/>
      <c r="BAA19" s="30"/>
      <c r="BAB19" s="30"/>
      <c r="BAC19" s="30"/>
      <c r="BAD19" s="30"/>
      <c r="BAE19" s="30"/>
      <c r="BAF19" s="30"/>
      <c r="BAG19" s="30"/>
      <c r="BAH19" s="30"/>
      <c r="BAI19" s="30"/>
      <c r="BAJ19" s="30"/>
      <c r="BAK19" s="30"/>
      <c r="BAL19" s="30"/>
      <c r="BAM19" s="56"/>
      <c r="BAN19" s="30"/>
      <c r="BAO19" s="30"/>
      <c r="BAP19" s="30"/>
      <c r="BAQ19" s="30"/>
      <c r="BAR19" s="30"/>
      <c r="BAS19" s="30"/>
      <c r="BAT19" s="30"/>
      <c r="BAU19" s="30"/>
      <c r="BAV19" s="30"/>
      <c r="BAW19" s="30"/>
      <c r="BAX19" s="30"/>
      <c r="BAY19" s="30"/>
      <c r="BAZ19" s="30"/>
      <c r="BBA19" s="30"/>
      <c r="BBB19" s="30"/>
      <c r="BBC19" s="30"/>
      <c r="BBD19" s="30"/>
      <c r="BBE19" s="30"/>
      <c r="BBF19" s="30"/>
      <c r="BBG19" s="30"/>
      <c r="BBH19" s="30"/>
      <c r="BBI19" s="30"/>
      <c r="BBJ19" s="30"/>
      <c r="BBK19" s="30"/>
      <c r="BBL19" s="30"/>
      <c r="BBM19" s="30"/>
      <c r="BBN19" s="30"/>
      <c r="BBO19" s="30"/>
      <c r="BBP19" s="30"/>
      <c r="BBQ19" s="30"/>
      <c r="BBR19" s="30"/>
      <c r="BBS19" s="30"/>
      <c r="BBT19" s="56"/>
      <c r="BBU19" s="30"/>
      <c r="BBV19" s="30"/>
      <c r="BBW19" s="30"/>
      <c r="BBX19" s="30"/>
      <c r="BBY19" s="30"/>
      <c r="BBZ19" s="30"/>
      <c r="BCA19" s="30"/>
      <c r="BCB19" s="30"/>
      <c r="BCC19" s="30"/>
      <c r="BCD19" s="30"/>
      <c r="BCE19" s="30"/>
      <c r="BCF19" s="30"/>
      <c r="BCG19" s="30"/>
      <c r="BCH19" s="30"/>
      <c r="BCI19" s="30"/>
      <c r="BCJ19" s="30"/>
      <c r="BCK19" s="30"/>
      <c r="BCL19" s="30"/>
      <c r="BCM19" s="30"/>
      <c r="BCN19" s="30"/>
      <c r="BCO19" s="30"/>
      <c r="BCP19" s="30"/>
      <c r="BCQ19" s="30"/>
      <c r="BCR19" s="30"/>
      <c r="BCS19" s="30"/>
      <c r="BCT19" s="30"/>
      <c r="BCU19" s="30"/>
      <c r="BCV19" s="30"/>
      <c r="BCW19" s="30"/>
      <c r="BCX19" s="30"/>
      <c r="BCY19" s="30"/>
      <c r="BCZ19" s="30"/>
      <c r="BDA19" s="56"/>
      <c r="BDB19" s="30"/>
      <c r="BDC19" s="30"/>
      <c r="BDD19" s="30"/>
      <c r="BDE19" s="30"/>
      <c r="BDF19" s="30"/>
      <c r="BDG19" s="30"/>
      <c r="BDH19" s="30"/>
      <c r="BDI19" s="30"/>
      <c r="BDJ19" s="30"/>
      <c r="BDK19" s="30"/>
      <c r="BDL19" s="30"/>
      <c r="BDM19" s="30"/>
      <c r="BDN19" s="30"/>
      <c r="BDO19" s="30"/>
      <c r="BDP19" s="30"/>
      <c r="BDQ19" s="30"/>
      <c r="BDR19" s="30"/>
      <c r="BDS19" s="30"/>
      <c r="BDT19" s="30"/>
      <c r="BDU19" s="30"/>
      <c r="BDV19" s="30"/>
      <c r="BDW19" s="30"/>
      <c r="BDX19" s="30"/>
      <c r="BDY19" s="30"/>
      <c r="BDZ19" s="30"/>
      <c r="BEA19" s="30"/>
      <c r="BEB19" s="30"/>
      <c r="BEC19" s="30"/>
      <c r="BED19" s="30"/>
      <c r="BEE19" s="30"/>
      <c r="BEF19" s="30"/>
      <c r="BEG19" s="30"/>
      <c r="BEH19" s="56"/>
      <c r="BEI19" s="30"/>
      <c r="BEJ19" s="30"/>
      <c r="BEK19" s="30"/>
      <c r="BEL19" s="30"/>
      <c r="BEM19" s="30"/>
      <c r="BEN19" s="30"/>
      <c r="BEO19" s="30"/>
      <c r="BEP19" s="30"/>
      <c r="BEQ19" s="30"/>
      <c r="BER19" s="30"/>
      <c r="BES19" s="30"/>
      <c r="BET19" s="30"/>
      <c r="BEU19" s="30"/>
      <c r="BEV19" s="30"/>
      <c r="BEW19" s="30"/>
      <c r="BEX19" s="30"/>
      <c r="BEY19" s="30"/>
      <c r="BEZ19" s="30"/>
      <c r="BFA19" s="30"/>
      <c r="BFB19" s="30"/>
      <c r="BFC19" s="30"/>
      <c r="BFD19" s="30"/>
      <c r="BFE19" s="30"/>
      <c r="BFF19" s="30"/>
      <c r="BFG19" s="30"/>
      <c r="BFH19" s="30"/>
      <c r="BFI19" s="30"/>
      <c r="BFJ19" s="30"/>
      <c r="BFK19" s="30"/>
      <c r="BFL19" s="30"/>
      <c r="BFM19" s="30"/>
      <c r="BFN19" s="30"/>
      <c r="BFO19" s="56"/>
      <c r="BFP19" s="30"/>
      <c r="BFQ19" s="30"/>
      <c r="BFR19" s="30"/>
      <c r="BFS19" s="30"/>
      <c r="BFT19" s="30"/>
      <c r="BFU19" s="30"/>
      <c r="BFV19" s="30"/>
      <c r="BFW19" s="30"/>
      <c r="BFX19" s="30"/>
      <c r="BFY19" s="30"/>
      <c r="BFZ19" s="30"/>
      <c r="BGA19" s="30"/>
      <c r="BGB19" s="30"/>
      <c r="BGC19" s="30"/>
      <c r="BGD19" s="30"/>
      <c r="BGE19" s="30"/>
      <c r="BGF19" s="30"/>
      <c r="BGG19" s="30"/>
      <c r="BGH19" s="30"/>
      <c r="BGI19" s="30"/>
      <c r="BGJ19" s="30"/>
      <c r="BGK19" s="30"/>
      <c r="BGL19" s="30"/>
      <c r="BGM19" s="30"/>
      <c r="BGN19" s="30"/>
      <c r="BGO19" s="30"/>
      <c r="BGP19" s="30"/>
      <c r="BGQ19" s="30"/>
      <c r="BGR19" s="30"/>
      <c r="BGS19" s="30"/>
      <c r="BGT19" s="30"/>
      <c r="BGU19" s="30"/>
      <c r="BGV19" s="56"/>
      <c r="BGW19" s="30"/>
      <c r="BGX19" s="30"/>
      <c r="BGY19" s="30"/>
      <c r="BGZ19" s="30"/>
      <c r="BHA19" s="30"/>
      <c r="BHB19" s="30"/>
      <c r="BHC19" s="30"/>
      <c r="BHD19" s="30"/>
      <c r="BHE19" s="30"/>
      <c r="BHF19" s="30"/>
      <c r="BHG19" s="30"/>
      <c r="BHH19" s="30"/>
      <c r="BHI19" s="30"/>
      <c r="BHJ19" s="30"/>
      <c r="BHK19" s="30"/>
      <c r="BHL19" s="30"/>
      <c r="BHM19" s="30"/>
      <c r="BHN19" s="30"/>
      <c r="BHO19" s="30"/>
      <c r="BHP19" s="30"/>
      <c r="BHQ19" s="30"/>
      <c r="BHR19" s="30"/>
      <c r="BHS19" s="30"/>
      <c r="BHT19" s="30"/>
      <c r="BHU19" s="30"/>
      <c r="BHV19" s="30"/>
      <c r="BHW19" s="30"/>
      <c r="BHX19" s="30"/>
      <c r="BHY19" s="30"/>
      <c r="BHZ19" s="30"/>
      <c r="BIA19" s="30"/>
      <c r="BIB19" s="30"/>
      <c r="BIC19" s="56"/>
      <c r="BID19" s="57"/>
    </row>
    <row r="20" spans="2:1590" ht="14.45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56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56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56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56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30"/>
      <c r="ER20" s="30"/>
      <c r="ES20" s="30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0"/>
      <c r="FI20" s="30"/>
      <c r="FJ20" s="30"/>
      <c r="FK20" s="56"/>
      <c r="FL20" s="3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56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56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56"/>
      <c r="JG20" s="30"/>
      <c r="JH20" s="30"/>
      <c r="JI20" s="30"/>
      <c r="JJ20" s="30"/>
      <c r="JK20" s="30"/>
      <c r="JL20" s="30"/>
      <c r="JM20" s="30"/>
      <c r="JN20" s="30"/>
      <c r="JO20" s="30"/>
      <c r="JP20" s="30"/>
      <c r="JQ20" s="30"/>
      <c r="JR20" s="30"/>
      <c r="JS20" s="30"/>
      <c r="JT20" s="30"/>
      <c r="JU20" s="30"/>
      <c r="JV20" s="30"/>
      <c r="JW20" s="30"/>
      <c r="JX20" s="30"/>
      <c r="JY20" s="30"/>
      <c r="JZ20" s="30"/>
      <c r="KA20" s="30"/>
      <c r="KB20" s="30"/>
      <c r="KC20" s="30"/>
      <c r="KD20" s="30"/>
      <c r="KE20" s="30"/>
      <c r="KF20" s="30"/>
      <c r="KG20" s="30"/>
      <c r="KH20" s="30"/>
      <c r="KI20" s="30"/>
      <c r="KJ20" s="30"/>
      <c r="KK20" s="30"/>
      <c r="KL20" s="30"/>
      <c r="KM20" s="56"/>
      <c r="KN20" s="30"/>
      <c r="KO20" s="30"/>
      <c r="KP20" s="30"/>
      <c r="KQ20" s="30"/>
      <c r="KR20" s="30"/>
      <c r="KS20" s="30"/>
      <c r="KT20" s="30"/>
      <c r="KU20" s="30"/>
      <c r="KV20" s="30"/>
      <c r="KW20" s="30"/>
      <c r="KX20" s="30"/>
      <c r="KY20" s="30"/>
      <c r="KZ20" s="30"/>
      <c r="LA20" s="30"/>
      <c r="LB20" s="30"/>
      <c r="LC20" s="30"/>
      <c r="LD20" s="30"/>
      <c r="LE20" s="30"/>
      <c r="LF20" s="30"/>
      <c r="LG20" s="30"/>
      <c r="LH20" s="30"/>
      <c r="LI20" s="30"/>
      <c r="LJ20" s="30"/>
      <c r="LK20" s="30"/>
      <c r="LL20" s="30"/>
      <c r="LM20" s="30"/>
      <c r="LN20" s="30"/>
      <c r="LO20" s="30"/>
      <c r="LP20" s="30"/>
      <c r="LQ20" s="30"/>
      <c r="LR20" s="30"/>
      <c r="LS20" s="30"/>
      <c r="LT20" s="56"/>
      <c r="LU20" s="30"/>
      <c r="LV20" s="30"/>
      <c r="LW20" s="30"/>
      <c r="LX20" s="30"/>
      <c r="LY20" s="30"/>
      <c r="LZ20" s="30"/>
      <c r="MA20" s="30"/>
      <c r="MB20" s="30"/>
      <c r="MC20" s="30"/>
      <c r="MD20" s="30"/>
      <c r="ME20" s="30"/>
      <c r="MF20" s="30"/>
      <c r="MG20" s="30"/>
      <c r="MH20" s="30"/>
      <c r="MI20" s="30"/>
      <c r="MJ20" s="30"/>
      <c r="MK20" s="30"/>
      <c r="ML20" s="30"/>
      <c r="MM20" s="30"/>
      <c r="MN20" s="30"/>
      <c r="MO20" s="30"/>
      <c r="MP20" s="30"/>
      <c r="MQ20" s="30"/>
      <c r="MR20" s="30"/>
      <c r="MS20" s="30"/>
      <c r="MT20" s="30"/>
      <c r="MU20" s="30"/>
      <c r="MV20" s="30"/>
      <c r="MW20" s="30"/>
      <c r="MX20" s="30"/>
      <c r="MY20" s="30"/>
      <c r="MZ20" s="30"/>
      <c r="NA20" s="56"/>
      <c r="NB20" s="30"/>
      <c r="NC20" s="30"/>
      <c r="ND20" s="30"/>
      <c r="NE20" s="30"/>
      <c r="NF20" s="30"/>
      <c r="NG20" s="30"/>
      <c r="NH20" s="30"/>
      <c r="NI20" s="30"/>
      <c r="NJ20" s="30"/>
      <c r="NK20" s="30"/>
      <c r="NL20" s="30"/>
      <c r="NM20" s="30"/>
      <c r="NN20" s="30"/>
      <c r="NO20" s="30"/>
      <c r="NP20" s="30"/>
      <c r="NQ20" s="30"/>
      <c r="NR20" s="30"/>
      <c r="NS20" s="30"/>
      <c r="NT20" s="30"/>
      <c r="NU20" s="30"/>
      <c r="NV20" s="30"/>
      <c r="NW20" s="30"/>
      <c r="NX20" s="30"/>
      <c r="NY20" s="30"/>
      <c r="NZ20" s="30"/>
      <c r="OA20" s="30"/>
      <c r="OB20" s="30"/>
      <c r="OC20" s="30"/>
      <c r="OD20" s="30"/>
      <c r="OE20" s="30"/>
      <c r="OF20" s="30"/>
      <c r="OG20" s="30"/>
      <c r="OH20" s="56"/>
      <c r="OI20" s="57"/>
      <c r="OJ20" s="30"/>
      <c r="OK20" s="30"/>
      <c r="OL20" s="30"/>
      <c r="OM20" s="30"/>
      <c r="ON20" s="30"/>
      <c r="OO20" s="30"/>
      <c r="OP20" s="30"/>
      <c r="OQ20" s="30"/>
      <c r="OR20" s="30"/>
      <c r="OS20" s="30"/>
      <c r="OT20" s="30"/>
      <c r="OU20" s="30"/>
      <c r="OV20" s="30"/>
      <c r="OW20" s="30"/>
      <c r="OX20" s="30"/>
      <c r="OY20" s="30"/>
      <c r="OZ20" s="30"/>
      <c r="PA20" s="30"/>
      <c r="PB20" s="30"/>
      <c r="PC20" s="30"/>
      <c r="PD20" s="30"/>
      <c r="PE20" s="30"/>
      <c r="PF20" s="30"/>
      <c r="PG20" s="30"/>
      <c r="PH20" s="30"/>
      <c r="PI20" s="30"/>
      <c r="PJ20" s="30"/>
      <c r="PK20" s="30"/>
      <c r="PL20" s="30"/>
      <c r="PM20" s="30"/>
      <c r="PN20" s="30"/>
      <c r="PO20" s="30"/>
      <c r="PP20" s="56"/>
      <c r="PQ20" s="30"/>
      <c r="PR20" s="30"/>
      <c r="PS20" s="30"/>
      <c r="PT20" s="30"/>
      <c r="PU20" s="30"/>
      <c r="PV20" s="30"/>
      <c r="PW20" s="30"/>
      <c r="PX20" s="30"/>
      <c r="PY20" s="30"/>
      <c r="PZ20" s="30"/>
      <c r="QA20" s="30"/>
      <c r="QB20" s="30"/>
      <c r="QC20" s="30"/>
      <c r="QD20" s="30"/>
      <c r="QE20" s="30"/>
      <c r="QF20" s="30"/>
      <c r="QG20" s="30"/>
      <c r="QH20" s="30"/>
      <c r="QI20" s="30"/>
      <c r="QJ20" s="30"/>
      <c r="QK20" s="30"/>
      <c r="QL20" s="30"/>
      <c r="QM20" s="30"/>
      <c r="QN20" s="30"/>
      <c r="QO20" s="30"/>
      <c r="QP20" s="30"/>
      <c r="QQ20" s="30"/>
      <c r="QR20" s="30"/>
      <c r="QS20" s="30"/>
      <c r="QT20" s="30"/>
      <c r="QU20" s="30"/>
      <c r="QV20" s="30"/>
      <c r="QW20" s="56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30"/>
      <c r="SB20" s="30"/>
      <c r="SC20" s="30"/>
      <c r="SD20" s="56"/>
      <c r="SE20" s="30"/>
      <c r="SF20" s="30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0"/>
      <c r="TF20" s="30"/>
      <c r="TG20" s="30"/>
      <c r="TH20" s="30"/>
      <c r="TI20" s="30"/>
      <c r="TJ20" s="30"/>
      <c r="TK20" s="56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30"/>
      <c r="UF20" s="30"/>
      <c r="UG20" s="30"/>
      <c r="UH20" s="30"/>
      <c r="UI20" s="30"/>
      <c r="UJ20" s="30"/>
      <c r="UK20" s="30"/>
      <c r="UL20" s="30"/>
      <c r="UM20" s="30"/>
      <c r="UN20" s="30"/>
      <c r="UO20" s="30"/>
      <c r="UP20" s="30"/>
      <c r="UQ20" s="30"/>
      <c r="UR20" s="56"/>
      <c r="US20" s="30"/>
      <c r="UT20" s="30"/>
      <c r="UU20" s="30"/>
      <c r="UV20" s="30"/>
      <c r="UW20" s="30"/>
      <c r="UX20" s="30"/>
      <c r="UY20" s="30"/>
      <c r="UZ20" s="30"/>
      <c r="VA20" s="30"/>
      <c r="VB20" s="30"/>
      <c r="VC20" s="30"/>
      <c r="VD20" s="30"/>
      <c r="VE20" s="30"/>
      <c r="VF20" s="30"/>
      <c r="VG20" s="30"/>
      <c r="VH20" s="30"/>
      <c r="VI20" s="30"/>
      <c r="VJ20" s="30"/>
      <c r="VK20" s="30"/>
      <c r="VL20" s="30"/>
      <c r="VM20" s="30"/>
      <c r="VN20" s="30"/>
      <c r="VO20" s="30"/>
      <c r="VP20" s="30"/>
      <c r="VQ20" s="30"/>
      <c r="VR20" s="30"/>
      <c r="VS20" s="30"/>
      <c r="VT20" s="30"/>
      <c r="VU20" s="30"/>
      <c r="VV20" s="30"/>
      <c r="VW20" s="30"/>
      <c r="VX20" s="30"/>
      <c r="VY20" s="56"/>
      <c r="VZ20" s="30"/>
      <c r="WA20" s="30"/>
      <c r="WB20" s="30"/>
      <c r="WC20" s="30"/>
      <c r="WD20" s="30"/>
      <c r="WE20" s="30"/>
      <c r="WF20" s="30"/>
      <c r="WG20" s="30"/>
      <c r="WH20" s="30"/>
      <c r="WI20" s="30"/>
      <c r="WJ20" s="30"/>
      <c r="WK20" s="30"/>
      <c r="WL20" s="30"/>
      <c r="WM20" s="30"/>
      <c r="WN20" s="30"/>
      <c r="WO20" s="30"/>
      <c r="WP20" s="30"/>
      <c r="WQ20" s="30"/>
      <c r="WR20" s="30"/>
      <c r="WS20" s="30"/>
      <c r="WT20" s="30"/>
      <c r="WU20" s="30"/>
      <c r="WV20" s="30"/>
      <c r="WW20" s="30"/>
      <c r="WX20" s="30"/>
      <c r="WY20" s="30"/>
      <c r="WZ20" s="30"/>
      <c r="XA20" s="30"/>
      <c r="XB20" s="30"/>
      <c r="XC20" s="30"/>
      <c r="XD20" s="30"/>
      <c r="XE20" s="30"/>
      <c r="XF20" s="56"/>
      <c r="XG20" s="30"/>
      <c r="XH20" s="30"/>
      <c r="XI20" s="30"/>
      <c r="XJ20" s="30"/>
      <c r="XK20" s="30"/>
      <c r="XL20" s="30"/>
      <c r="XM20" s="30"/>
      <c r="XN20" s="30"/>
      <c r="XO20" s="30"/>
      <c r="XP20" s="30"/>
      <c r="XQ20" s="30"/>
      <c r="XR20" s="30"/>
      <c r="XS20" s="30"/>
      <c r="XT20" s="30"/>
      <c r="XU20" s="30"/>
      <c r="XV20" s="30"/>
      <c r="XW20" s="30"/>
      <c r="XX20" s="30"/>
      <c r="XY20" s="30"/>
      <c r="XZ20" s="30"/>
      <c r="YA20" s="30"/>
      <c r="YB20" s="30"/>
      <c r="YC20" s="30"/>
      <c r="YD20" s="30"/>
      <c r="YE20" s="30"/>
      <c r="YF20" s="30"/>
      <c r="YG20" s="30"/>
      <c r="YH20" s="30"/>
      <c r="YI20" s="30"/>
      <c r="YJ20" s="30"/>
      <c r="YK20" s="30"/>
      <c r="YL20" s="30"/>
      <c r="YM20" s="56"/>
      <c r="YN20" s="30"/>
      <c r="YO20" s="30"/>
      <c r="YP20" s="30"/>
      <c r="YQ20" s="30"/>
      <c r="YR20" s="30"/>
      <c r="YS20" s="30"/>
      <c r="YT20" s="30"/>
      <c r="YU20" s="30"/>
      <c r="YV20" s="30"/>
      <c r="YW20" s="30"/>
      <c r="YX20" s="30"/>
      <c r="YY20" s="30"/>
      <c r="YZ20" s="30"/>
      <c r="ZA20" s="30"/>
      <c r="ZB20" s="30"/>
      <c r="ZC20" s="30"/>
      <c r="ZD20" s="30"/>
      <c r="ZE20" s="30"/>
      <c r="ZF20" s="30"/>
      <c r="ZG20" s="30"/>
      <c r="ZH20" s="30"/>
      <c r="ZI20" s="30"/>
      <c r="ZJ20" s="30"/>
      <c r="ZK20" s="30"/>
      <c r="ZL20" s="30"/>
      <c r="ZM20" s="30"/>
      <c r="ZN20" s="30"/>
      <c r="ZO20" s="30"/>
      <c r="ZP20" s="30"/>
      <c r="ZQ20" s="30"/>
      <c r="ZR20" s="30"/>
      <c r="ZS20" s="30"/>
      <c r="ZT20" s="56"/>
      <c r="ZU20" s="30"/>
      <c r="ZV20" s="30"/>
      <c r="ZW20" s="30"/>
      <c r="ZX20" s="30"/>
      <c r="ZY20" s="30"/>
      <c r="ZZ20" s="30"/>
      <c r="AAA20" s="30"/>
      <c r="AAB20" s="30"/>
      <c r="AAC20" s="30"/>
      <c r="AAD20" s="30"/>
      <c r="AAE20" s="30"/>
      <c r="AAF20" s="30"/>
      <c r="AAG20" s="30"/>
      <c r="AAH20" s="30"/>
      <c r="AAI20" s="30"/>
      <c r="AAJ20" s="30"/>
      <c r="AAK20" s="30"/>
      <c r="AAL20" s="30"/>
      <c r="AAM20" s="30"/>
      <c r="AAN20" s="30"/>
      <c r="AAO20" s="30"/>
      <c r="AAP20" s="30"/>
      <c r="AAQ20" s="30"/>
      <c r="AAR20" s="30"/>
      <c r="AAS20" s="30"/>
      <c r="AAT20" s="30"/>
      <c r="AAU20" s="30"/>
      <c r="AAV20" s="30"/>
      <c r="AAW20" s="30"/>
      <c r="AAX20" s="30"/>
      <c r="AAY20" s="30"/>
      <c r="AAZ20" s="30"/>
      <c r="ABA20" s="56"/>
      <c r="ABB20" s="30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  <c r="ABT20" s="30"/>
      <c r="ABU20" s="30"/>
      <c r="ABV20" s="30"/>
      <c r="ABW20" s="30"/>
      <c r="ABX20" s="30"/>
      <c r="ABY20" s="30"/>
      <c r="ABZ20" s="30"/>
      <c r="ACA20" s="30"/>
      <c r="ACB20" s="30"/>
      <c r="ACC20" s="30"/>
      <c r="ACD20" s="30"/>
      <c r="ACE20" s="30"/>
      <c r="ACF20" s="30"/>
      <c r="ACG20" s="30"/>
      <c r="ACH20" s="56"/>
      <c r="ACI20" s="30"/>
      <c r="ACJ20" s="30"/>
      <c r="ACK20" s="30"/>
      <c r="ACL20" s="30"/>
      <c r="ACM20" s="30"/>
      <c r="ACN20" s="30"/>
      <c r="ACO20" s="30"/>
      <c r="ACP20" s="30"/>
      <c r="ACQ20" s="30"/>
      <c r="ACR20" s="30"/>
      <c r="ACS20" s="30"/>
      <c r="ACT20" s="30"/>
      <c r="ACU20" s="30"/>
      <c r="ACV20" s="30"/>
      <c r="ACW20" s="30"/>
      <c r="ACX20" s="30"/>
      <c r="ACY20" s="30"/>
      <c r="ACZ20" s="30"/>
      <c r="ADA20" s="30"/>
      <c r="ADB20" s="30"/>
      <c r="ADC20" s="30"/>
      <c r="ADD20" s="30"/>
      <c r="ADE20" s="30"/>
      <c r="ADF20" s="30"/>
      <c r="ADG20" s="30"/>
      <c r="ADH20" s="30"/>
      <c r="ADI20" s="30"/>
      <c r="ADJ20" s="30"/>
      <c r="ADK20" s="30"/>
      <c r="ADL20" s="30"/>
      <c r="ADM20" s="30"/>
      <c r="ADN20" s="30"/>
      <c r="ADO20" s="56"/>
      <c r="ADP20" s="57"/>
      <c r="ADQ20" s="30"/>
      <c r="ADR20" s="30"/>
      <c r="ADS20" s="30"/>
      <c r="ADT20" s="30"/>
      <c r="ADU20" s="30"/>
      <c r="ADV20" s="30"/>
      <c r="ADW20" s="30"/>
      <c r="ADX20" s="30"/>
      <c r="ADY20" s="30"/>
      <c r="ADZ20" s="30"/>
      <c r="AEA20" s="30"/>
      <c r="AEB20" s="30"/>
      <c r="AEC20" s="30"/>
      <c r="AED20" s="30"/>
      <c r="AEE20" s="30"/>
      <c r="AEF20" s="30"/>
      <c r="AEG20" s="30"/>
      <c r="AEH20" s="30"/>
      <c r="AEI20" s="30"/>
      <c r="AEJ20" s="30"/>
      <c r="AEK20" s="30"/>
      <c r="AEL20" s="30"/>
      <c r="AEM20" s="30"/>
      <c r="AEN20" s="30"/>
      <c r="AEO20" s="30"/>
      <c r="AEP20" s="30"/>
      <c r="AEQ20" s="30"/>
      <c r="AER20" s="30"/>
      <c r="AES20" s="30"/>
      <c r="AET20" s="30"/>
      <c r="AEU20" s="30"/>
      <c r="AEV20" s="30"/>
      <c r="AEW20" s="56"/>
      <c r="AEX20" s="30"/>
      <c r="AEY20" s="30"/>
      <c r="AEZ20" s="30"/>
      <c r="AFA20" s="30"/>
      <c r="AFB20" s="30"/>
      <c r="AFC20" s="30"/>
      <c r="AFD20" s="30"/>
      <c r="AFE20" s="30"/>
      <c r="AFF20" s="30"/>
      <c r="AFG20" s="30"/>
      <c r="AFH20" s="30"/>
      <c r="AFI20" s="30"/>
      <c r="AFJ20" s="30"/>
      <c r="AFK20" s="30"/>
      <c r="AFL20" s="30"/>
      <c r="AFM20" s="30"/>
      <c r="AFN20" s="30"/>
      <c r="AFO20" s="30"/>
      <c r="AFP20" s="30"/>
      <c r="AFQ20" s="30"/>
      <c r="AFR20" s="30"/>
      <c r="AFS20" s="30"/>
      <c r="AFT20" s="30"/>
      <c r="AFU20" s="30"/>
      <c r="AFV20" s="30"/>
      <c r="AFW20" s="30"/>
      <c r="AFX20" s="30"/>
      <c r="AFY20" s="30"/>
      <c r="AFZ20" s="30"/>
      <c r="AGA20" s="30"/>
      <c r="AGB20" s="30"/>
      <c r="AGC20" s="30"/>
      <c r="AGD20" s="56"/>
      <c r="AGE20" s="30"/>
      <c r="AGF20" s="30"/>
      <c r="AGG20" s="30"/>
      <c r="AGH20" s="30"/>
      <c r="AGI20" s="30"/>
      <c r="AGJ20" s="30"/>
      <c r="AGK20" s="30"/>
      <c r="AGL20" s="30"/>
      <c r="AGM20" s="30"/>
      <c r="AGN20" s="30"/>
      <c r="AGO20" s="30"/>
      <c r="AGP20" s="30"/>
      <c r="AGQ20" s="30"/>
      <c r="AGR20" s="30"/>
      <c r="AGS20" s="30"/>
      <c r="AGT20" s="30"/>
      <c r="AGU20" s="30"/>
      <c r="AGV20" s="30"/>
      <c r="AGW20" s="30"/>
      <c r="AGX20" s="30"/>
      <c r="AGY20" s="30"/>
      <c r="AGZ20" s="30"/>
      <c r="AHA20" s="30"/>
      <c r="AHB20" s="30"/>
      <c r="AHC20" s="30"/>
      <c r="AHD20" s="30"/>
      <c r="AHE20" s="30"/>
      <c r="AHF20" s="30"/>
      <c r="AHG20" s="30"/>
      <c r="AHH20" s="30"/>
      <c r="AHI20" s="30"/>
      <c r="AHJ20" s="30"/>
      <c r="AHK20" s="56"/>
      <c r="AHL20" s="30"/>
      <c r="AHM20" s="30"/>
      <c r="AHN20" s="30"/>
      <c r="AHO20" s="30"/>
      <c r="AHP20" s="30"/>
      <c r="AHQ20" s="30"/>
      <c r="AHR20" s="30"/>
      <c r="AHS20" s="30"/>
      <c r="AHT20" s="30"/>
      <c r="AHU20" s="30"/>
      <c r="AHV20" s="30"/>
      <c r="AHW20" s="30"/>
      <c r="AHX20" s="30"/>
      <c r="AHY20" s="30"/>
      <c r="AHZ20" s="30"/>
      <c r="AIA20" s="30"/>
      <c r="AIB20" s="30"/>
      <c r="AIC20" s="30"/>
      <c r="AID20" s="30"/>
      <c r="AIE20" s="30"/>
      <c r="AIF20" s="30"/>
      <c r="AIG20" s="30"/>
      <c r="AIH20" s="30"/>
      <c r="AII20" s="30"/>
      <c r="AIJ20" s="30"/>
      <c r="AIK20" s="30"/>
      <c r="AIL20" s="30"/>
      <c r="AIM20" s="30"/>
      <c r="AIN20" s="30"/>
      <c r="AIO20" s="30"/>
      <c r="AIP20" s="30"/>
      <c r="AIQ20" s="30"/>
      <c r="AIR20" s="56"/>
      <c r="AIS20" s="30"/>
      <c r="AIT20" s="30"/>
      <c r="AIU20" s="30"/>
      <c r="AIV20" s="30"/>
      <c r="AIW20" s="30"/>
      <c r="AIX20" s="30"/>
      <c r="AIY20" s="30"/>
      <c r="AIZ20" s="30"/>
      <c r="AJA20" s="30"/>
      <c r="AJB20" s="30"/>
      <c r="AJC20" s="30"/>
      <c r="AJD20" s="30"/>
      <c r="AJE20" s="30"/>
      <c r="AJF20" s="30"/>
      <c r="AJG20" s="30"/>
      <c r="AJH20" s="30"/>
      <c r="AJI20" s="30"/>
      <c r="AJJ20" s="30"/>
      <c r="AJK20" s="30"/>
      <c r="AJL20" s="30"/>
      <c r="AJM20" s="30"/>
      <c r="AJN20" s="30"/>
      <c r="AJO20" s="30"/>
      <c r="AJP20" s="30"/>
      <c r="AJQ20" s="30"/>
      <c r="AJR20" s="30"/>
      <c r="AJS20" s="30"/>
      <c r="AJT20" s="30"/>
      <c r="AJU20" s="30"/>
      <c r="AJV20" s="30"/>
      <c r="AJW20" s="30"/>
      <c r="AJX20" s="30"/>
      <c r="AJY20" s="56"/>
      <c r="AJZ20" s="30"/>
      <c r="AKA20" s="30"/>
      <c r="AKB20" s="30"/>
      <c r="AKC20" s="30"/>
      <c r="AKD20" s="30"/>
      <c r="AKE20" s="30"/>
      <c r="AKF20" s="30"/>
      <c r="AKG20" s="30"/>
      <c r="AKH20" s="30"/>
      <c r="AKI20" s="30"/>
      <c r="AKJ20" s="30"/>
      <c r="AKK20" s="30"/>
      <c r="AKL20" s="30"/>
      <c r="AKM20" s="30"/>
      <c r="AKN20" s="30"/>
      <c r="AKO20" s="30"/>
      <c r="AKP20" s="30"/>
      <c r="AKQ20" s="30"/>
      <c r="AKR20" s="30"/>
      <c r="AKS20" s="30"/>
      <c r="AKT20" s="30"/>
      <c r="AKU20" s="30"/>
      <c r="AKV20" s="30"/>
      <c r="AKW20" s="30"/>
      <c r="AKX20" s="30"/>
      <c r="AKY20" s="30"/>
      <c r="AKZ20" s="30"/>
      <c r="ALA20" s="30"/>
      <c r="ALB20" s="30"/>
      <c r="ALC20" s="30"/>
      <c r="ALD20" s="30"/>
      <c r="ALE20" s="30"/>
      <c r="ALF20" s="56"/>
      <c r="ALG20" s="30"/>
      <c r="ALH20" s="30"/>
      <c r="ALI20" s="30"/>
      <c r="ALJ20" s="30"/>
      <c r="ALK20" s="30"/>
      <c r="ALL20" s="30"/>
      <c r="ALM20" s="30"/>
      <c r="ALN20" s="30"/>
      <c r="ALO20" s="30"/>
      <c r="ALP20" s="30"/>
      <c r="ALQ20" s="30"/>
      <c r="ALR20" s="30"/>
      <c r="ALS20" s="30"/>
      <c r="ALT20" s="30"/>
      <c r="ALU20" s="30"/>
      <c r="ALV20" s="30"/>
      <c r="ALW20" s="30"/>
      <c r="ALX20" s="30"/>
      <c r="ALY20" s="30"/>
      <c r="ALZ20" s="30"/>
      <c r="AMA20" s="30"/>
      <c r="AMB20" s="30"/>
      <c r="AMC20" s="30"/>
      <c r="AMD20" s="30"/>
      <c r="AME20" s="30"/>
      <c r="AMF20" s="30"/>
      <c r="AMG20" s="30"/>
      <c r="AMH20" s="30"/>
      <c r="AMI20" s="30"/>
      <c r="AMJ20" s="30"/>
      <c r="AMK20" s="30"/>
      <c r="AML20" s="30"/>
      <c r="AMM20" s="56"/>
      <c r="AMN20" s="30"/>
      <c r="AMO20" s="30"/>
      <c r="AMP20" s="30"/>
      <c r="AMQ20" s="30"/>
      <c r="AMR20" s="30"/>
      <c r="AMS20" s="30"/>
      <c r="AMT20" s="30"/>
      <c r="AMU20" s="30"/>
      <c r="AMV20" s="30"/>
      <c r="AMW20" s="30"/>
      <c r="AMX20" s="30"/>
      <c r="AMY20" s="30"/>
      <c r="AMZ20" s="30"/>
      <c r="ANA20" s="30"/>
      <c r="ANB20" s="30"/>
      <c r="ANC20" s="30"/>
      <c r="AND20" s="30"/>
      <c r="ANE20" s="30"/>
      <c r="ANF20" s="30"/>
      <c r="ANG20" s="30"/>
      <c r="ANH20" s="30"/>
      <c r="ANI20" s="30"/>
      <c r="ANJ20" s="30"/>
      <c r="ANK20" s="30"/>
      <c r="ANL20" s="30"/>
      <c r="ANM20" s="30"/>
      <c r="ANN20" s="30"/>
      <c r="ANO20" s="30"/>
      <c r="ANP20" s="30"/>
      <c r="ANQ20" s="30"/>
      <c r="ANR20" s="30"/>
      <c r="ANS20" s="30"/>
      <c r="ANT20" s="56"/>
      <c r="ANU20" s="30"/>
      <c r="ANV20" s="30"/>
      <c r="ANW20" s="30"/>
      <c r="ANX20" s="30"/>
      <c r="ANY20" s="30"/>
      <c r="ANZ20" s="30"/>
      <c r="AOA20" s="30"/>
      <c r="AOB20" s="30"/>
      <c r="AOC20" s="30"/>
      <c r="AOD20" s="30"/>
      <c r="AOE20" s="30"/>
      <c r="AOF20" s="30"/>
      <c r="AOG20" s="30"/>
      <c r="AOH20" s="30"/>
      <c r="AOI20" s="30"/>
      <c r="AOJ20" s="30"/>
      <c r="AOK20" s="30"/>
      <c r="AOL20" s="30"/>
      <c r="AOM20" s="30"/>
      <c r="AON20" s="30"/>
      <c r="AOO20" s="30"/>
      <c r="AOP20" s="30"/>
      <c r="AOQ20" s="30"/>
      <c r="AOR20" s="30"/>
      <c r="AOS20" s="30"/>
      <c r="AOT20" s="30"/>
      <c r="AOU20" s="30"/>
      <c r="AOV20" s="30"/>
      <c r="AOW20" s="30"/>
      <c r="AOX20" s="30"/>
      <c r="AOY20" s="30"/>
      <c r="AOZ20" s="30"/>
      <c r="APA20" s="56"/>
      <c r="APB20" s="30"/>
      <c r="APC20" s="30"/>
      <c r="APD20" s="30"/>
      <c r="APE20" s="30"/>
      <c r="APF20" s="30"/>
      <c r="APG20" s="30"/>
      <c r="APH20" s="30"/>
      <c r="API20" s="30"/>
      <c r="APJ20" s="30"/>
      <c r="APK20" s="30"/>
      <c r="APL20" s="30"/>
      <c r="APM20" s="30"/>
      <c r="APN20" s="30"/>
      <c r="APO20" s="30"/>
      <c r="APP20" s="30"/>
      <c r="APQ20" s="30"/>
      <c r="APR20" s="30"/>
      <c r="APS20" s="30"/>
      <c r="APT20" s="30"/>
      <c r="APU20" s="30"/>
      <c r="APV20" s="30"/>
      <c r="APW20" s="30"/>
      <c r="APX20" s="30"/>
      <c r="APY20" s="30"/>
      <c r="APZ20" s="30"/>
      <c r="AQA20" s="30"/>
      <c r="AQB20" s="30"/>
      <c r="AQC20" s="30"/>
      <c r="AQD20" s="30"/>
      <c r="AQE20" s="30"/>
      <c r="AQF20" s="30"/>
      <c r="AQG20" s="30"/>
      <c r="AQH20" s="56"/>
      <c r="AQI20" s="30"/>
      <c r="AQJ20" s="30"/>
      <c r="AQK20" s="30"/>
      <c r="AQL20" s="30"/>
      <c r="AQM20" s="30"/>
      <c r="AQN20" s="30"/>
      <c r="AQO20" s="30"/>
      <c r="AQP20" s="30"/>
      <c r="AQQ20" s="30"/>
      <c r="AQR20" s="30"/>
      <c r="AQS20" s="30"/>
      <c r="AQT20" s="30"/>
      <c r="AQU20" s="30"/>
      <c r="AQV20" s="30"/>
      <c r="AQW20" s="30"/>
      <c r="AQX20" s="30"/>
      <c r="AQY20" s="30"/>
      <c r="AQZ20" s="30"/>
      <c r="ARA20" s="30"/>
      <c r="ARB20" s="30"/>
      <c r="ARC20" s="30"/>
      <c r="ARD20" s="30"/>
      <c r="ARE20" s="30"/>
      <c r="ARF20" s="30"/>
      <c r="ARG20" s="30"/>
      <c r="ARH20" s="30"/>
      <c r="ARI20" s="30"/>
      <c r="ARJ20" s="30"/>
      <c r="ARK20" s="30"/>
      <c r="ARL20" s="30"/>
      <c r="ARM20" s="30"/>
      <c r="ARN20" s="30"/>
      <c r="ARO20" s="56"/>
      <c r="ARP20" s="30"/>
      <c r="ARQ20" s="30"/>
      <c r="ARR20" s="30"/>
      <c r="ARS20" s="30"/>
      <c r="ART20" s="30"/>
      <c r="ARU20" s="30"/>
      <c r="ARV20" s="30"/>
      <c r="ARW20" s="30"/>
      <c r="ARX20" s="30"/>
      <c r="ARY20" s="30"/>
      <c r="ARZ20" s="30"/>
      <c r="ASA20" s="30"/>
      <c r="ASB20" s="30"/>
      <c r="ASC20" s="30"/>
      <c r="ASD20" s="30"/>
      <c r="ASE20" s="30"/>
      <c r="ASF20" s="30"/>
      <c r="ASG20" s="30"/>
      <c r="ASH20" s="30"/>
      <c r="ASI20" s="30"/>
      <c r="ASJ20" s="30"/>
      <c r="ASK20" s="30"/>
      <c r="ASL20" s="30"/>
      <c r="ASM20" s="30"/>
      <c r="ASN20" s="30"/>
      <c r="ASO20" s="30"/>
      <c r="ASP20" s="30"/>
      <c r="ASQ20" s="30"/>
      <c r="ASR20" s="30"/>
      <c r="ASS20" s="30"/>
      <c r="AST20" s="30"/>
      <c r="ASU20" s="30"/>
      <c r="ASV20" s="56"/>
      <c r="ASW20" s="57"/>
      <c r="ASX20" s="30"/>
      <c r="ASY20" s="30"/>
      <c r="ASZ20" s="30"/>
      <c r="ATA20" s="30"/>
      <c r="ATB20" s="30"/>
      <c r="ATC20" s="30"/>
      <c r="ATD20" s="30"/>
      <c r="ATE20" s="30"/>
      <c r="ATF20" s="30"/>
      <c r="ATG20" s="30"/>
      <c r="ATH20" s="30"/>
      <c r="ATI20" s="30"/>
      <c r="ATJ20" s="30"/>
      <c r="ATK20" s="30"/>
      <c r="ATL20" s="30"/>
      <c r="ATM20" s="30"/>
      <c r="ATN20" s="30"/>
      <c r="ATO20" s="30"/>
      <c r="ATP20" s="30"/>
      <c r="ATQ20" s="30"/>
      <c r="ATR20" s="30"/>
      <c r="ATS20" s="30"/>
      <c r="ATT20" s="30"/>
      <c r="ATU20" s="30"/>
      <c r="ATV20" s="30"/>
      <c r="ATW20" s="30"/>
      <c r="ATX20" s="30"/>
      <c r="ATY20" s="30"/>
      <c r="ATZ20" s="30"/>
      <c r="AUA20" s="30"/>
      <c r="AUB20" s="30"/>
      <c r="AUC20" s="30"/>
      <c r="AUD20" s="56"/>
      <c r="AUE20" s="30"/>
      <c r="AUF20" s="30"/>
      <c r="AUG20" s="30"/>
      <c r="AUH20" s="30"/>
      <c r="AUI20" s="30"/>
      <c r="AUJ20" s="30"/>
      <c r="AUK20" s="30"/>
      <c r="AUL20" s="30"/>
      <c r="AUM20" s="30"/>
      <c r="AUN20" s="30"/>
      <c r="AUO20" s="30"/>
      <c r="AUP20" s="30"/>
      <c r="AUQ20" s="30"/>
      <c r="AUR20" s="30"/>
      <c r="AUS20" s="30"/>
      <c r="AUT20" s="30"/>
      <c r="AUU20" s="30"/>
      <c r="AUV20" s="30"/>
      <c r="AUW20" s="30"/>
      <c r="AUX20" s="30"/>
      <c r="AUY20" s="30"/>
      <c r="AUZ20" s="30"/>
      <c r="AVA20" s="30"/>
      <c r="AVB20" s="30"/>
      <c r="AVC20" s="30"/>
      <c r="AVD20" s="30"/>
      <c r="AVE20" s="30"/>
      <c r="AVF20" s="30"/>
      <c r="AVG20" s="30"/>
      <c r="AVH20" s="30"/>
      <c r="AVI20" s="30"/>
      <c r="AVJ20" s="30"/>
      <c r="AVK20" s="56"/>
      <c r="AVL20" s="30"/>
      <c r="AVM20" s="30"/>
      <c r="AVN20" s="30"/>
      <c r="AVO20" s="30"/>
      <c r="AVP20" s="30"/>
      <c r="AVQ20" s="30"/>
      <c r="AVR20" s="30"/>
      <c r="AVS20" s="30"/>
      <c r="AVT20" s="30"/>
      <c r="AVU20" s="30"/>
      <c r="AVV20" s="30"/>
      <c r="AVW20" s="30"/>
      <c r="AVX20" s="30"/>
      <c r="AVY20" s="30"/>
      <c r="AVZ20" s="30"/>
      <c r="AWA20" s="30"/>
      <c r="AWB20" s="30"/>
      <c r="AWC20" s="30"/>
      <c r="AWD20" s="30"/>
      <c r="AWE20" s="30"/>
      <c r="AWF20" s="30"/>
      <c r="AWG20" s="30"/>
      <c r="AWH20" s="30"/>
      <c r="AWI20" s="30"/>
      <c r="AWJ20" s="30"/>
      <c r="AWK20" s="30"/>
      <c r="AWL20" s="30"/>
      <c r="AWM20" s="30"/>
      <c r="AWN20" s="30"/>
      <c r="AWO20" s="30"/>
      <c r="AWP20" s="30"/>
      <c r="AWQ20" s="30"/>
      <c r="AWR20" s="56"/>
      <c r="AWS20" s="30"/>
      <c r="AWT20" s="30"/>
      <c r="AWU20" s="30"/>
      <c r="AWV20" s="30"/>
      <c r="AWW20" s="30"/>
      <c r="AWX20" s="30"/>
      <c r="AWY20" s="30"/>
      <c r="AWZ20" s="30"/>
      <c r="AXA20" s="30"/>
      <c r="AXB20" s="30"/>
      <c r="AXC20" s="30"/>
      <c r="AXD20" s="30"/>
      <c r="AXE20" s="30"/>
      <c r="AXF20" s="30"/>
      <c r="AXG20" s="30"/>
      <c r="AXH20" s="30"/>
      <c r="AXI20" s="30"/>
      <c r="AXJ20" s="30"/>
      <c r="AXK20" s="30"/>
      <c r="AXL20" s="30"/>
      <c r="AXM20" s="30"/>
      <c r="AXN20" s="30"/>
      <c r="AXO20" s="30"/>
      <c r="AXP20" s="30"/>
      <c r="AXQ20" s="30"/>
      <c r="AXR20" s="30"/>
      <c r="AXS20" s="30"/>
      <c r="AXT20" s="30"/>
      <c r="AXU20" s="30"/>
      <c r="AXV20" s="30"/>
      <c r="AXW20" s="30"/>
      <c r="AXX20" s="30"/>
      <c r="AXY20" s="56"/>
      <c r="AXZ20" s="30"/>
      <c r="AYA20" s="30"/>
      <c r="AYB20" s="30"/>
      <c r="AYC20" s="30"/>
      <c r="AYD20" s="30"/>
      <c r="AYE20" s="30"/>
      <c r="AYF20" s="30"/>
      <c r="AYG20" s="30"/>
      <c r="AYH20" s="30"/>
      <c r="AYI20" s="30"/>
      <c r="AYJ20" s="30"/>
      <c r="AYK20" s="30"/>
      <c r="AYL20" s="30"/>
      <c r="AYM20" s="30"/>
      <c r="AYN20" s="30"/>
      <c r="AYO20" s="30"/>
      <c r="AYP20" s="30"/>
      <c r="AYQ20" s="30"/>
      <c r="AYR20" s="30"/>
      <c r="AYS20" s="30"/>
      <c r="AYT20" s="30"/>
      <c r="AYU20" s="30"/>
      <c r="AYV20" s="30"/>
      <c r="AYW20" s="30"/>
      <c r="AYX20" s="30"/>
      <c r="AYY20" s="30"/>
      <c r="AYZ20" s="30"/>
      <c r="AZA20" s="30"/>
      <c r="AZB20" s="30"/>
      <c r="AZC20" s="30"/>
      <c r="AZD20" s="30"/>
      <c r="AZE20" s="30"/>
      <c r="AZF20" s="56"/>
      <c r="AZG20" s="30"/>
      <c r="AZH20" s="30"/>
      <c r="AZI20" s="30"/>
      <c r="AZJ20" s="30"/>
      <c r="AZK20" s="30"/>
      <c r="AZL20" s="30"/>
      <c r="AZM20" s="30"/>
      <c r="AZN20" s="30"/>
      <c r="AZO20" s="30"/>
      <c r="AZP20" s="30"/>
      <c r="AZQ20" s="30"/>
      <c r="AZR20" s="30"/>
      <c r="AZS20" s="30"/>
      <c r="AZT20" s="30"/>
      <c r="AZU20" s="30"/>
      <c r="AZV20" s="30"/>
      <c r="AZW20" s="30"/>
      <c r="AZX20" s="30"/>
      <c r="AZY20" s="30"/>
      <c r="AZZ20" s="30"/>
      <c r="BAA20" s="30"/>
      <c r="BAB20" s="30"/>
      <c r="BAC20" s="30"/>
      <c r="BAD20" s="30"/>
      <c r="BAE20" s="30"/>
      <c r="BAF20" s="30"/>
      <c r="BAG20" s="30"/>
      <c r="BAH20" s="30"/>
      <c r="BAI20" s="30"/>
      <c r="BAJ20" s="30"/>
      <c r="BAK20" s="30"/>
      <c r="BAL20" s="30"/>
      <c r="BAM20" s="56"/>
      <c r="BAN20" s="30"/>
      <c r="BAO20" s="30"/>
      <c r="BAP20" s="30"/>
      <c r="BAQ20" s="30"/>
      <c r="BAR20" s="30"/>
      <c r="BAS20" s="30"/>
      <c r="BAT20" s="30"/>
      <c r="BAU20" s="30"/>
      <c r="BAV20" s="30"/>
      <c r="BAW20" s="30"/>
      <c r="BAX20" s="30"/>
      <c r="BAY20" s="30"/>
      <c r="BAZ20" s="30"/>
      <c r="BBA20" s="30"/>
      <c r="BBB20" s="30"/>
      <c r="BBC20" s="30"/>
      <c r="BBD20" s="30"/>
      <c r="BBE20" s="30"/>
      <c r="BBF20" s="30"/>
      <c r="BBG20" s="30"/>
      <c r="BBH20" s="30"/>
      <c r="BBI20" s="30"/>
      <c r="BBJ20" s="30"/>
      <c r="BBK20" s="30"/>
      <c r="BBL20" s="30"/>
      <c r="BBM20" s="30"/>
      <c r="BBN20" s="30"/>
      <c r="BBO20" s="30"/>
      <c r="BBP20" s="30"/>
      <c r="BBQ20" s="30"/>
      <c r="BBR20" s="30"/>
      <c r="BBS20" s="30"/>
      <c r="BBT20" s="56"/>
      <c r="BBU20" s="30"/>
      <c r="BBV20" s="30"/>
      <c r="BBW20" s="30"/>
      <c r="BBX20" s="30"/>
      <c r="BBY20" s="30"/>
      <c r="BBZ20" s="30"/>
      <c r="BCA20" s="30"/>
      <c r="BCB20" s="30"/>
      <c r="BCC20" s="30"/>
      <c r="BCD20" s="30"/>
      <c r="BCE20" s="30"/>
      <c r="BCF20" s="30"/>
      <c r="BCG20" s="30"/>
      <c r="BCH20" s="30"/>
      <c r="BCI20" s="30"/>
      <c r="BCJ20" s="30"/>
      <c r="BCK20" s="30"/>
      <c r="BCL20" s="30"/>
      <c r="BCM20" s="30"/>
      <c r="BCN20" s="30"/>
      <c r="BCO20" s="30"/>
      <c r="BCP20" s="30"/>
      <c r="BCQ20" s="30"/>
      <c r="BCR20" s="30"/>
      <c r="BCS20" s="30"/>
      <c r="BCT20" s="30"/>
      <c r="BCU20" s="30"/>
      <c r="BCV20" s="30"/>
      <c r="BCW20" s="30"/>
      <c r="BCX20" s="30"/>
      <c r="BCY20" s="30"/>
      <c r="BCZ20" s="30"/>
      <c r="BDA20" s="56"/>
      <c r="BDB20" s="30"/>
      <c r="BDC20" s="30"/>
      <c r="BDD20" s="30"/>
      <c r="BDE20" s="30"/>
      <c r="BDF20" s="30"/>
      <c r="BDG20" s="30"/>
      <c r="BDH20" s="30"/>
      <c r="BDI20" s="30"/>
      <c r="BDJ20" s="30"/>
      <c r="BDK20" s="30"/>
      <c r="BDL20" s="30"/>
      <c r="BDM20" s="30"/>
      <c r="BDN20" s="30"/>
      <c r="BDO20" s="30"/>
      <c r="BDP20" s="30"/>
      <c r="BDQ20" s="30"/>
      <c r="BDR20" s="30"/>
      <c r="BDS20" s="30"/>
      <c r="BDT20" s="30"/>
      <c r="BDU20" s="30"/>
      <c r="BDV20" s="30"/>
      <c r="BDW20" s="30"/>
      <c r="BDX20" s="30"/>
      <c r="BDY20" s="30"/>
      <c r="BDZ20" s="30"/>
      <c r="BEA20" s="30"/>
      <c r="BEB20" s="30"/>
      <c r="BEC20" s="30"/>
      <c r="BED20" s="30"/>
      <c r="BEE20" s="30"/>
      <c r="BEF20" s="30"/>
      <c r="BEG20" s="30"/>
      <c r="BEH20" s="56"/>
      <c r="BEI20" s="30"/>
      <c r="BEJ20" s="30"/>
      <c r="BEK20" s="30"/>
      <c r="BEL20" s="30"/>
      <c r="BEM20" s="30"/>
      <c r="BEN20" s="30"/>
      <c r="BEO20" s="30"/>
      <c r="BEP20" s="30"/>
      <c r="BEQ20" s="30"/>
      <c r="BER20" s="30"/>
      <c r="BES20" s="30"/>
      <c r="BET20" s="30"/>
      <c r="BEU20" s="30"/>
      <c r="BEV20" s="30"/>
      <c r="BEW20" s="30"/>
      <c r="BEX20" s="30"/>
      <c r="BEY20" s="30"/>
      <c r="BEZ20" s="30"/>
      <c r="BFA20" s="30"/>
      <c r="BFB20" s="30"/>
      <c r="BFC20" s="30"/>
      <c r="BFD20" s="30"/>
      <c r="BFE20" s="30"/>
      <c r="BFF20" s="30"/>
      <c r="BFG20" s="30"/>
      <c r="BFH20" s="30"/>
      <c r="BFI20" s="30"/>
      <c r="BFJ20" s="30"/>
      <c r="BFK20" s="30"/>
      <c r="BFL20" s="30"/>
      <c r="BFM20" s="30"/>
      <c r="BFN20" s="30"/>
      <c r="BFO20" s="56"/>
      <c r="BFP20" s="30"/>
      <c r="BFQ20" s="30"/>
      <c r="BFR20" s="30"/>
      <c r="BFS20" s="30"/>
      <c r="BFT20" s="30"/>
      <c r="BFU20" s="30"/>
      <c r="BFV20" s="30"/>
      <c r="BFW20" s="30"/>
      <c r="BFX20" s="30"/>
      <c r="BFY20" s="30"/>
      <c r="BFZ20" s="30"/>
      <c r="BGA20" s="30"/>
      <c r="BGB20" s="30"/>
      <c r="BGC20" s="30"/>
      <c r="BGD20" s="30"/>
      <c r="BGE20" s="30"/>
      <c r="BGF20" s="30"/>
      <c r="BGG20" s="30"/>
      <c r="BGH20" s="30"/>
      <c r="BGI20" s="30"/>
      <c r="BGJ20" s="30"/>
      <c r="BGK20" s="30"/>
      <c r="BGL20" s="30"/>
      <c r="BGM20" s="30"/>
      <c r="BGN20" s="30"/>
      <c r="BGO20" s="30"/>
      <c r="BGP20" s="30"/>
      <c r="BGQ20" s="30"/>
      <c r="BGR20" s="30"/>
      <c r="BGS20" s="30"/>
      <c r="BGT20" s="30"/>
      <c r="BGU20" s="30"/>
      <c r="BGV20" s="56"/>
      <c r="BGW20" s="30"/>
      <c r="BGX20" s="30"/>
      <c r="BGY20" s="30"/>
      <c r="BGZ20" s="30"/>
      <c r="BHA20" s="30"/>
      <c r="BHB20" s="30"/>
      <c r="BHC20" s="30"/>
      <c r="BHD20" s="30"/>
      <c r="BHE20" s="30"/>
      <c r="BHF20" s="30"/>
      <c r="BHG20" s="30"/>
      <c r="BHH20" s="30"/>
      <c r="BHI20" s="30"/>
      <c r="BHJ20" s="30"/>
      <c r="BHK20" s="30"/>
      <c r="BHL20" s="30"/>
      <c r="BHM20" s="30"/>
      <c r="BHN20" s="30"/>
      <c r="BHO20" s="30"/>
      <c r="BHP20" s="30"/>
      <c r="BHQ20" s="30"/>
      <c r="BHR20" s="30"/>
      <c r="BHS20" s="30"/>
      <c r="BHT20" s="30"/>
      <c r="BHU20" s="30"/>
      <c r="BHV20" s="30"/>
      <c r="BHW20" s="30"/>
      <c r="BHX20" s="30"/>
      <c r="BHY20" s="30"/>
      <c r="BHZ20" s="30"/>
      <c r="BIA20" s="30"/>
      <c r="BIB20" s="30"/>
      <c r="BIC20" s="56"/>
      <c r="BID20" s="57"/>
    </row>
    <row r="21" spans="2:1590" ht="14.45" x14ac:dyDescent="0.3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56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56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56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56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56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56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56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56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30"/>
      <c r="KK21" s="30"/>
      <c r="KL21" s="30"/>
      <c r="KM21" s="56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56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0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30"/>
      <c r="MY21" s="30"/>
      <c r="MZ21" s="30"/>
      <c r="NA21" s="56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0"/>
      <c r="NP21" s="30"/>
      <c r="NQ21" s="30"/>
      <c r="NR21" s="30"/>
      <c r="NS21" s="30"/>
      <c r="NT21" s="30"/>
      <c r="NU21" s="30"/>
      <c r="NV21" s="30"/>
      <c r="NW21" s="30"/>
      <c r="NX21" s="30"/>
      <c r="NY21" s="30"/>
      <c r="NZ21" s="30"/>
      <c r="OA21" s="30"/>
      <c r="OB21" s="30"/>
      <c r="OC21" s="30"/>
      <c r="OD21" s="30"/>
      <c r="OE21" s="30"/>
      <c r="OF21" s="30"/>
      <c r="OG21" s="30"/>
      <c r="OH21" s="56"/>
      <c r="OI21" s="57"/>
      <c r="OJ21" s="30"/>
      <c r="OK21" s="30"/>
      <c r="OL21" s="30"/>
      <c r="OM21" s="30"/>
      <c r="ON21" s="30"/>
      <c r="OO21" s="30"/>
      <c r="OP21" s="30"/>
      <c r="OQ21" s="30"/>
      <c r="OR21" s="30"/>
      <c r="OS21" s="30"/>
      <c r="OT21" s="30"/>
      <c r="OU21" s="30"/>
      <c r="OV21" s="30"/>
      <c r="OW21" s="30"/>
      <c r="OX21" s="30"/>
      <c r="OY21" s="30"/>
      <c r="OZ21" s="30"/>
      <c r="PA21" s="30"/>
      <c r="PB21" s="30"/>
      <c r="PC21" s="30"/>
      <c r="PD21" s="30"/>
      <c r="PE21" s="30"/>
      <c r="PF21" s="30"/>
      <c r="PG21" s="30"/>
      <c r="PH21" s="30"/>
      <c r="PI21" s="30"/>
      <c r="PJ21" s="30"/>
      <c r="PK21" s="30"/>
      <c r="PL21" s="30"/>
      <c r="PM21" s="30"/>
      <c r="PN21" s="30"/>
      <c r="PO21" s="30"/>
      <c r="PP21" s="56"/>
      <c r="PQ21" s="30"/>
      <c r="PR21" s="30"/>
      <c r="PS21" s="30"/>
      <c r="PT21" s="30"/>
      <c r="PU21" s="30"/>
      <c r="PV21" s="30"/>
      <c r="PW21" s="30"/>
      <c r="PX21" s="30"/>
      <c r="PY21" s="30"/>
      <c r="PZ21" s="30"/>
      <c r="QA21" s="30"/>
      <c r="QB21" s="30"/>
      <c r="QC21" s="30"/>
      <c r="QD21" s="30"/>
      <c r="QE21" s="30"/>
      <c r="QF21" s="30"/>
      <c r="QG21" s="30"/>
      <c r="QH21" s="30"/>
      <c r="QI21" s="30"/>
      <c r="QJ21" s="30"/>
      <c r="QK21" s="30"/>
      <c r="QL21" s="30"/>
      <c r="QM21" s="30"/>
      <c r="QN21" s="30"/>
      <c r="QO21" s="30"/>
      <c r="QP21" s="30"/>
      <c r="QQ21" s="30"/>
      <c r="QR21" s="30"/>
      <c r="QS21" s="30"/>
      <c r="QT21" s="30"/>
      <c r="QU21" s="30"/>
      <c r="QV21" s="30"/>
      <c r="QW21" s="56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30"/>
      <c r="SB21" s="30"/>
      <c r="SC21" s="30"/>
      <c r="SD21" s="56"/>
      <c r="SE21" s="30"/>
      <c r="SF21" s="30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0"/>
      <c r="TF21" s="30"/>
      <c r="TG21" s="30"/>
      <c r="TH21" s="30"/>
      <c r="TI21" s="30"/>
      <c r="TJ21" s="30"/>
      <c r="TK21" s="56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30"/>
      <c r="UF21" s="30"/>
      <c r="UG21" s="30"/>
      <c r="UH21" s="30"/>
      <c r="UI21" s="30"/>
      <c r="UJ21" s="30"/>
      <c r="UK21" s="30"/>
      <c r="UL21" s="30"/>
      <c r="UM21" s="30"/>
      <c r="UN21" s="30"/>
      <c r="UO21" s="30"/>
      <c r="UP21" s="30"/>
      <c r="UQ21" s="30"/>
      <c r="UR21" s="56"/>
      <c r="US21" s="30"/>
      <c r="UT21" s="30"/>
      <c r="UU21" s="30"/>
      <c r="UV21" s="30"/>
      <c r="UW21" s="30"/>
      <c r="UX21" s="30"/>
      <c r="UY21" s="30"/>
      <c r="UZ21" s="30"/>
      <c r="VA21" s="30"/>
      <c r="VB21" s="30"/>
      <c r="VC21" s="30"/>
      <c r="VD21" s="30"/>
      <c r="VE21" s="30"/>
      <c r="VF21" s="30"/>
      <c r="VG21" s="30"/>
      <c r="VH21" s="30"/>
      <c r="VI21" s="30"/>
      <c r="VJ21" s="30"/>
      <c r="VK21" s="30"/>
      <c r="VL21" s="30"/>
      <c r="VM21" s="30"/>
      <c r="VN21" s="30"/>
      <c r="VO21" s="30"/>
      <c r="VP21" s="30"/>
      <c r="VQ21" s="30"/>
      <c r="VR21" s="30"/>
      <c r="VS21" s="30"/>
      <c r="VT21" s="30"/>
      <c r="VU21" s="30"/>
      <c r="VV21" s="30"/>
      <c r="VW21" s="30"/>
      <c r="VX21" s="30"/>
      <c r="VY21" s="56"/>
      <c r="VZ21" s="30"/>
      <c r="WA21" s="30"/>
      <c r="WB21" s="30"/>
      <c r="WC21" s="30"/>
      <c r="WD21" s="30"/>
      <c r="WE21" s="30"/>
      <c r="WF21" s="30"/>
      <c r="WG21" s="30"/>
      <c r="WH21" s="30"/>
      <c r="WI21" s="30"/>
      <c r="WJ21" s="30"/>
      <c r="WK21" s="30"/>
      <c r="WL21" s="30"/>
      <c r="WM21" s="30"/>
      <c r="WN21" s="30"/>
      <c r="WO21" s="30"/>
      <c r="WP21" s="30"/>
      <c r="WQ21" s="30"/>
      <c r="WR21" s="30"/>
      <c r="WS21" s="30"/>
      <c r="WT21" s="30"/>
      <c r="WU21" s="30"/>
      <c r="WV21" s="30"/>
      <c r="WW21" s="30"/>
      <c r="WX21" s="30"/>
      <c r="WY21" s="30"/>
      <c r="WZ21" s="30"/>
      <c r="XA21" s="30"/>
      <c r="XB21" s="30"/>
      <c r="XC21" s="30"/>
      <c r="XD21" s="30"/>
      <c r="XE21" s="30"/>
      <c r="XF21" s="56"/>
      <c r="XG21" s="30"/>
      <c r="XH21" s="30"/>
      <c r="XI21" s="30"/>
      <c r="XJ21" s="30"/>
      <c r="XK21" s="30"/>
      <c r="XL21" s="30"/>
      <c r="XM21" s="30"/>
      <c r="XN21" s="30"/>
      <c r="XO21" s="30"/>
      <c r="XP21" s="30"/>
      <c r="XQ21" s="30"/>
      <c r="XR21" s="30"/>
      <c r="XS21" s="30"/>
      <c r="XT21" s="30"/>
      <c r="XU21" s="30"/>
      <c r="XV21" s="30"/>
      <c r="XW21" s="30"/>
      <c r="XX21" s="30"/>
      <c r="XY21" s="30"/>
      <c r="XZ21" s="30"/>
      <c r="YA21" s="30"/>
      <c r="YB21" s="30"/>
      <c r="YC21" s="30"/>
      <c r="YD21" s="30"/>
      <c r="YE21" s="30"/>
      <c r="YF21" s="30"/>
      <c r="YG21" s="30"/>
      <c r="YH21" s="30"/>
      <c r="YI21" s="30"/>
      <c r="YJ21" s="30"/>
      <c r="YK21" s="30"/>
      <c r="YL21" s="30"/>
      <c r="YM21" s="56"/>
      <c r="YN21" s="30"/>
      <c r="YO21" s="30"/>
      <c r="YP21" s="30"/>
      <c r="YQ21" s="30"/>
      <c r="YR21" s="30"/>
      <c r="YS21" s="30"/>
      <c r="YT21" s="30"/>
      <c r="YU21" s="30"/>
      <c r="YV21" s="30"/>
      <c r="YW21" s="30"/>
      <c r="YX21" s="30"/>
      <c r="YY21" s="30"/>
      <c r="YZ21" s="30"/>
      <c r="ZA21" s="30"/>
      <c r="ZB21" s="30"/>
      <c r="ZC21" s="30"/>
      <c r="ZD21" s="30"/>
      <c r="ZE21" s="30"/>
      <c r="ZF21" s="30"/>
      <c r="ZG21" s="30"/>
      <c r="ZH21" s="30"/>
      <c r="ZI21" s="30"/>
      <c r="ZJ21" s="30"/>
      <c r="ZK21" s="30"/>
      <c r="ZL21" s="30"/>
      <c r="ZM21" s="30"/>
      <c r="ZN21" s="30"/>
      <c r="ZO21" s="30"/>
      <c r="ZP21" s="30"/>
      <c r="ZQ21" s="30"/>
      <c r="ZR21" s="30"/>
      <c r="ZS21" s="30"/>
      <c r="ZT21" s="56"/>
      <c r="ZU21" s="30"/>
      <c r="ZV21" s="30"/>
      <c r="ZW21" s="30"/>
      <c r="ZX21" s="30"/>
      <c r="ZY21" s="30"/>
      <c r="ZZ21" s="30"/>
      <c r="AAA21" s="30"/>
      <c r="AAB21" s="30"/>
      <c r="AAC21" s="30"/>
      <c r="AAD21" s="30"/>
      <c r="AAE21" s="30"/>
      <c r="AAF21" s="30"/>
      <c r="AAG21" s="30"/>
      <c r="AAH21" s="30"/>
      <c r="AAI21" s="30"/>
      <c r="AAJ21" s="30"/>
      <c r="AAK21" s="30"/>
      <c r="AAL21" s="30"/>
      <c r="AAM21" s="30"/>
      <c r="AAN21" s="30"/>
      <c r="AAO21" s="30"/>
      <c r="AAP21" s="30"/>
      <c r="AAQ21" s="30"/>
      <c r="AAR21" s="30"/>
      <c r="AAS21" s="30"/>
      <c r="AAT21" s="30"/>
      <c r="AAU21" s="30"/>
      <c r="AAV21" s="30"/>
      <c r="AAW21" s="30"/>
      <c r="AAX21" s="30"/>
      <c r="AAY21" s="30"/>
      <c r="AAZ21" s="30"/>
      <c r="ABA21" s="56"/>
      <c r="ABB21" s="30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  <c r="ABT21" s="30"/>
      <c r="ABU21" s="30"/>
      <c r="ABV21" s="30"/>
      <c r="ABW21" s="30"/>
      <c r="ABX21" s="30"/>
      <c r="ABY21" s="30"/>
      <c r="ABZ21" s="30"/>
      <c r="ACA21" s="30"/>
      <c r="ACB21" s="30"/>
      <c r="ACC21" s="30"/>
      <c r="ACD21" s="30"/>
      <c r="ACE21" s="30"/>
      <c r="ACF21" s="30"/>
      <c r="ACG21" s="30"/>
      <c r="ACH21" s="56"/>
      <c r="ACI21" s="30"/>
      <c r="ACJ21" s="30"/>
      <c r="ACK21" s="30"/>
      <c r="ACL21" s="30"/>
      <c r="ACM21" s="30"/>
      <c r="ACN21" s="30"/>
      <c r="ACO21" s="30"/>
      <c r="ACP21" s="30"/>
      <c r="ACQ21" s="30"/>
      <c r="ACR21" s="30"/>
      <c r="ACS21" s="30"/>
      <c r="ACT21" s="30"/>
      <c r="ACU21" s="30"/>
      <c r="ACV21" s="30"/>
      <c r="ACW21" s="30"/>
      <c r="ACX21" s="30"/>
      <c r="ACY21" s="30"/>
      <c r="ACZ21" s="30"/>
      <c r="ADA21" s="30"/>
      <c r="ADB21" s="30"/>
      <c r="ADC21" s="30"/>
      <c r="ADD21" s="30"/>
      <c r="ADE21" s="30"/>
      <c r="ADF21" s="30"/>
      <c r="ADG21" s="30"/>
      <c r="ADH21" s="30"/>
      <c r="ADI21" s="30"/>
      <c r="ADJ21" s="30"/>
      <c r="ADK21" s="30"/>
      <c r="ADL21" s="30"/>
      <c r="ADM21" s="30"/>
      <c r="ADN21" s="30"/>
      <c r="ADO21" s="56"/>
      <c r="ADP21" s="57"/>
      <c r="ADQ21" s="30"/>
      <c r="ADR21" s="30"/>
      <c r="ADS21" s="30"/>
      <c r="ADT21" s="30"/>
      <c r="ADU21" s="30"/>
      <c r="ADV21" s="30"/>
      <c r="ADW21" s="30"/>
      <c r="ADX21" s="30"/>
      <c r="ADY21" s="30"/>
      <c r="ADZ21" s="30"/>
      <c r="AEA21" s="30"/>
      <c r="AEB21" s="30"/>
      <c r="AEC21" s="30"/>
      <c r="AED21" s="30"/>
      <c r="AEE21" s="30"/>
      <c r="AEF21" s="30"/>
      <c r="AEG21" s="30"/>
      <c r="AEH21" s="30"/>
      <c r="AEI21" s="30"/>
      <c r="AEJ21" s="30"/>
      <c r="AEK21" s="30"/>
      <c r="AEL21" s="30"/>
      <c r="AEM21" s="30"/>
      <c r="AEN21" s="30"/>
      <c r="AEO21" s="30"/>
      <c r="AEP21" s="30"/>
      <c r="AEQ21" s="30"/>
      <c r="AER21" s="30"/>
      <c r="AES21" s="30"/>
      <c r="AET21" s="30"/>
      <c r="AEU21" s="30"/>
      <c r="AEV21" s="30"/>
      <c r="AEW21" s="56"/>
      <c r="AEX21" s="30"/>
      <c r="AEY21" s="30"/>
      <c r="AEZ21" s="30"/>
      <c r="AFA21" s="30"/>
      <c r="AFB21" s="30"/>
      <c r="AFC21" s="30"/>
      <c r="AFD21" s="30"/>
      <c r="AFE21" s="30"/>
      <c r="AFF21" s="30"/>
      <c r="AFG21" s="30"/>
      <c r="AFH21" s="30"/>
      <c r="AFI21" s="30"/>
      <c r="AFJ21" s="30"/>
      <c r="AFK21" s="30"/>
      <c r="AFL21" s="30"/>
      <c r="AFM21" s="30"/>
      <c r="AFN21" s="30"/>
      <c r="AFO21" s="30"/>
      <c r="AFP21" s="30"/>
      <c r="AFQ21" s="30"/>
      <c r="AFR21" s="30"/>
      <c r="AFS21" s="30"/>
      <c r="AFT21" s="30"/>
      <c r="AFU21" s="30"/>
      <c r="AFV21" s="30"/>
      <c r="AFW21" s="30"/>
      <c r="AFX21" s="30"/>
      <c r="AFY21" s="30"/>
      <c r="AFZ21" s="30"/>
      <c r="AGA21" s="30"/>
      <c r="AGB21" s="30"/>
      <c r="AGC21" s="30"/>
      <c r="AGD21" s="56"/>
      <c r="AGE21" s="30"/>
      <c r="AGF21" s="30"/>
      <c r="AGG21" s="30"/>
      <c r="AGH21" s="30"/>
      <c r="AGI21" s="30"/>
      <c r="AGJ21" s="30"/>
      <c r="AGK21" s="30"/>
      <c r="AGL21" s="30"/>
      <c r="AGM21" s="30"/>
      <c r="AGN21" s="30"/>
      <c r="AGO21" s="30"/>
      <c r="AGP21" s="30"/>
      <c r="AGQ21" s="30"/>
      <c r="AGR21" s="30"/>
      <c r="AGS21" s="30"/>
      <c r="AGT21" s="30"/>
      <c r="AGU21" s="30"/>
      <c r="AGV21" s="30"/>
      <c r="AGW21" s="30"/>
      <c r="AGX21" s="30"/>
      <c r="AGY21" s="30"/>
      <c r="AGZ21" s="30"/>
      <c r="AHA21" s="30"/>
      <c r="AHB21" s="30"/>
      <c r="AHC21" s="30"/>
      <c r="AHD21" s="30"/>
      <c r="AHE21" s="30"/>
      <c r="AHF21" s="30"/>
      <c r="AHG21" s="30"/>
      <c r="AHH21" s="30"/>
      <c r="AHI21" s="30"/>
      <c r="AHJ21" s="30"/>
      <c r="AHK21" s="56"/>
      <c r="AHL21" s="30"/>
      <c r="AHM21" s="30"/>
      <c r="AHN21" s="30"/>
      <c r="AHO21" s="30"/>
      <c r="AHP21" s="30"/>
      <c r="AHQ21" s="30"/>
      <c r="AHR21" s="30"/>
      <c r="AHS21" s="30"/>
      <c r="AHT21" s="30"/>
      <c r="AHU21" s="30"/>
      <c r="AHV21" s="30"/>
      <c r="AHW21" s="30"/>
      <c r="AHX21" s="30"/>
      <c r="AHY21" s="30"/>
      <c r="AHZ21" s="30"/>
      <c r="AIA21" s="30"/>
      <c r="AIB21" s="30"/>
      <c r="AIC21" s="30"/>
      <c r="AID21" s="30"/>
      <c r="AIE21" s="30"/>
      <c r="AIF21" s="30"/>
      <c r="AIG21" s="30"/>
      <c r="AIH21" s="30"/>
      <c r="AII21" s="30"/>
      <c r="AIJ21" s="30"/>
      <c r="AIK21" s="30"/>
      <c r="AIL21" s="30"/>
      <c r="AIM21" s="30"/>
      <c r="AIN21" s="30"/>
      <c r="AIO21" s="30"/>
      <c r="AIP21" s="30"/>
      <c r="AIQ21" s="30"/>
      <c r="AIR21" s="56"/>
      <c r="AIS21" s="30"/>
      <c r="AIT21" s="30"/>
      <c r="AIU21" s="30"/>
      <c r="AIV21" s="30"/>
      <c r="AIW21" s="30"/>
      <c r="AIX21" s="30"/>
      <c r="AIY21" s="30"/>
      <c r="AIZ21" s="30"/>
      <c r="AJA21" s="30"/>
      <c r="AJB21" s="30"/>
      <c r="AJC21" s="30"/>
      <c r="AJD21" s="30"/>
      <c r="AJE21" s="30"/>
      <c r="AJF21" s="30"/>
      <c r="AJG21" s="30"/>
      <c r="AJH21" s="30"/>
      <c r="AJI21" s="30"/>
      <c r="AJJ21" s="30"/>
      <c r="AJK21" s="30"/>
      <c r="AJL21" s="30"/>
      <c r="AJM21" s="30"/>
      <c r="AJN21" s="30"/>
      <c r="AJO21" s="30"/>
      <c r="AJP21" s="30"/>
      <c r="AJQ21" s="30"/>
      <c r="AJR21" s="30"/>
      <c r="AJS21" s="30"/>
      <c r="AJT21" s="30"/>
      <c r="AJU21" s="30"/>
      <c r="AJV21" s="30"/>
      <c r="AJW21" s="30"/>
      <c r="AJX21" s="30"/>
      <c r="AJY21" s="56"/>
      <c r="AJZ21" s="30"/>
      <c r="AKA21" s="30"/>
      <c r="AKB21" s="30"/>
      <c r="AKC21" s="30"/>
      <c r="AKD21" s="30"/>
      <c r="AKE21" s="30"/>
      <c r="AKF21" s="30"/>
      <c r="AKG21" s="30"/>
      <c r="AKH21" s="30"/>
      <c r="AKI21" s="30"/>
      <c r="AKJ21" s="30"/>
      <c r="AKK21" s="30"/>
      <c r="AKL21" s="30"/>
      <c r="AKM21" s="30"/>
      <c r="AKN21" s="30"/>
      <c r="AKO21" s="30"/>
      <c r="AKP21" s="30"/>
      <c r="AKQ21" s="30"/>
      <c r="AKR21" s="30"/>
      <c r="AKS21" s="30"/>
      <c r="AKT21" s="30"/>
      <c r="AKU21" s="30"/>
      <c r="AKV21" s="30"/>
      <c r="AKW21" s="30"/>
      <c r="AKX21" s="30"/>
      <c r="AKY21" s="30"/>
      <c r="AKZ21" s="30"/>
      <c r="ALA21" s="30"/>
      <c r="ALB21" s="30"/>
      <c r="ALC21" s="30"/>
      <c r="ALD21" s="30"/>
      <c r="ALE21" s="30"/>
      <c r="ALF21" s="56"/>
      <c r="ALG21" s="30"/>
      <c r="ALH21" s="30"/>
      <c r="ALI21" s="30"/>
      <c r="ALJ21" s="30"/>
      <c r="ALK21" s="30"/>
      <c r="ALL21" s="30"/>
      <c r="ALM21" s="30"/>
      <c r="ALN21" s="30"/>
      <c r="ALO21" s="30"/>
      <c r="ALP21" s="30"/>
      <c r="ALQ21" s="30"/>
      <c r="ALR21" s="30"/>
      <c r="ALS21" s="30"/>
      <c r="ALT21" s="30"/>
      <c r="ALU21" s="30"/>
      <c r="ALV21" s="30"/>
      <c r="ALW21" s="30"/>
      <c r="ALX21" s="30"/>
      <c r="ALY21" s="30"/>
      <c r="ALZ21" s="30"/>
      <c r="AMA21" s="30"/>
      <c r="AMB21" s="30"/>
      <c r="AMC21" s="30"/>
      <c r="AMD21" s="30"/>
      <c r="AME21" s="30"/>
      <c r="AMF21" s="30"/>
      <c r="AMG21" s="30"/>
      <c r="AMH21" s="30"/>
      <c r="AMI21" s="30"/>
      <c r="AMJ21" s="30"/>
      <c r="AMK21" s="30"/>
      <c r="AML21" s="30"/>
      <c r="AMM21" s="56"/>
      <c r="AMN21" s="30"/>
      <c r="AMO21" s="30"/>
      <c r="AMP21" s="30"/>
      <c r="AMQ21" s="30"/>
      <c r="AMR21" s="30"/>
      <c r="AMS21" s="30"/>
      <c r="AMT21" s="30"/>
      <c r="AMU21" s="30"/>
      <c r="AMV21" s="30"/>
      <c r="AMW21" s="30"/>
      <c r="AMX21" s="30"/>
      <c r="AMY21" s="30"/>
      <c r="AMZ21" s="30"/>
      <c r="ANA21" s="30"/>
      <c r="ANB21" s="30"/>
      <c r="ANC21" s="30"/>
      <c r="AND21" s="30"/>
      <c r="ANE21" s="30"/>
      <c r="ANF21" s="30"/>
      <c r="ANG21" s="30"/>
      <c r="ANH21" s="30"/>
      <c r="ANI21" s="30"/>
      <c r="ANJ21" s="30"/>
      <c r="ANK21" s="30"/>
      <c r="ANL21" s="30"/>
      <c r="ANM21" s="30"/>
      <c r="ANN21" s="30"/>
      <c r="ANO21" s="30"/>
      <c r="ANP21" s="30"/>
      <c r="ANQ21" s="30"/>
      <c r="ANR21" s="30"/>
      <c r="ANS21" s="30"/>
      <c r="ANT21" s="56"/>
      <c r="ANU21" s="30"/>
      <c r="ANV21" s="30"/>
      <c r="ANW21" s="30"/>
      <c r="ANX21" s="30"/>
      <c r="ANY21" s="30"/>
      <c r="ANZ21" s="30"/>
      <c r="AOA21" s="30"/>
      <c r="AOB21" s="30"/>
      <c r="AOC21" s="30"/>
      <c r="AOD21" s="30"/>
      <c r="AOE21" s="30"/>
      <c r="AOF21" s="30"/>
      <c r="AOG21" s="30"/>
      <c r="AOH21" s="30"/>
      <c r="AOI21" s="30"/>
      <c r="AOJ21" s="30"/>
      <c r="AOK21" s="30"/>
      <c r="AOL21" s="30"/>
      <c r="AOM21" s="30"/>
      <c r="AON21" s="30"/>
      <c r="AOO21" s="30"/>
      <c r="AOP21" s="30"/>
      <c r="AOQ21" s="30"/>
      <c r="AOR21" s="30"/>
      <c r="AOS21" s="30"/>
      <c r="AOT21" s="30"/>
      <c r="AOU21" s="30"/>
      <c r="AOV21" s="30"/>
      <c r="AOW21" s="30"/>
      <c r="AOX21" s="30"/>
      <c r="AOY21" s="30"/>
      <c r="AOZ21" s="30"/>
      <c r="APA21" s="56"/>
      <c r="APB21" s="30"/>
      <c r="APC21" s="30"/>
      <c r="APD21" s="30"/>
      <c r="APE21" s="30"/>
      <c r="APF21" s="30"/>
      <c r="APG21" s="30"/>
      <c r="APH21" s="30"/>
      <c r="API21" s="30"/>
      <c r="APJ21" s="30"/>
      <c r="APK21" s="30"/>
      <c r="APL21" s="30"/>
      <c r="APM21" s="30"/>
      <c r="APN21" s="30"/>
      <c r="APO21" s="30"/>
      <c r="APP21" s="30"/>
      <c r="APQ21" s="30"/>
      <c r="APR21" s="30"/>
      <c r="APS21" s="30"/>
      <c r="APT21" s="30"/>
      <c r="APU21" s="30"/>
      <c r="APV21" s="30"/>
      <c r="APW21" s="30"/>
      <c r="APX21" s="30"/>
      <c r="APY21" s="30"/>
      <c r="APZ21" s="30"/>
      <c r="AQA21" s="30"/>
      <c r="AQB21" s="30"/>
      <c r="AQC21" s="30"/>
      <c r="AQD21" s="30"/>
      <c r="AQE21" s="30"/>
      <c r="AQF21" s="30"/>
      <c r="AQG21" s="30"/>
      <c r="AQH21" s="56"/>
      <c r="AQI21" s="30"/>
      <c r="AQJ21" s="30"/>
      <c r="AQK21" s="30"/>
      <c r="AQL21" s="30"/>
      <c r="AQM21" s="30"/>
      <c r="AQN21" s="30"/>
      <c r="AQO21" s="30"/>
      <c r="AQP21" s="30"/>
      <c r="AQQ21" s="30"/>
      <c r="AQR21" s="30"/>
      <c r="AQS21" s="30"/>
      <c r="AQT21" s="30"/>
      <c r="AQU21" s="30"/>
      <c r="AQV21" s="30"/>
      <c r="AQW21" s="30"/>
      <c r="AQX21" s="30"/>
      <c r="AQY21" s="30"/>
      <c r="AQZ21" s="30"/>
      <c r="ARA21" s="30"/>
      <c r="ARB21" s="30"/>
      <c r="ARC21" s="30"/>
      <c r="ARD21" s="30"/>
      <c r="ARE21" s="30"/>
      <c r="ARF21" s="30"/>
      <c r="ARG21" s="30"/>
      <c r="ARH21" s="30"/>
      <c r="ARI21" s="30"/>
      <c r="ARJ21" s="30"/>
      <c r="ARK21" s="30"/>
      <c r="ARL21" s="30"/>
      <c r="ARM21" s="30"/>
      <c r="ARN21" s="30"/>
      <c r="ARO21" s="56"/>
      <c r="ARP21" s="30"/>
      <c r="ARQ21" s="30"/>
      <c r="ARR21" s="30"/>
      <c r="ARS21" s="30"/>
      <c r="ART21" s="30"/>
      <c r="ARU21" s="30"/>
      <c r="ARV21" s="30"/>
      <c r="ARW21" s="30"/>
      <c r="ARX21" s="30"/>
      <c r="ARY21" s="30"/>
      <c r="ARZ21" s="30"/>
      <c r="ASA21" s="30"/>
      <c r="ASB21" s="30"/>
      <c r="ASC21" s="30"/>
      <c r="ASD21" s="30"/>
      <c r="ASE21" s="30"/>
      <c r="ASF21" s="30"/>
      <c r="ASG21" s="30"/>
      <c r="ASH21" s="30"/>
      <c r="ASI21" s="30"/>
      <c r="ASJ21" s="30"/>
      <c r="ASK21" s="30"/>
      <c r="ASL21" s="30"/>
      <c r="ASM21" s="30"/>
      <c r="ASN21" s="30"/>
      <c r="ASO21" s="30"/>
      <c r="ASP21" s="30"/>
      <c r="ASQ21" s="30"/>
      <c r="ASR21" s="30"/>
      <c r="ASS21" s="30"/>
      <c r="AST21" s="30"/>
      <c r="ASU21" s="30"/>
      <c r="ASV21" s="56"/>
      <c r="ASW21" s="57"/>
      <c r="ASX21" s="30"/>
      <c r="ASY21" s="30"/>
      <c r="ASZ21" s="30"/>
      <c r="ATA21" s="30"/>
      <c r="ATB21" s="30"/>
      <c r="ATC21" s="30"/>
      <c r="ATD21" s="30"/>
      <c r="ATE21" s="30"/>
      <c r="ATF21" s="30"/>
      <c r="ATG21" s="30"/>
      <c r="ATH21" s="30"/>
      <c r="ATI21" s="30"/>
      <c r="ATJ21" s="30"/>
      <c r="ATK21" s="30"/>
      <c r="ATL21" s="30"/>
      <c r="ATM21" s="30"/>
      <c r="ATN21" s="30"/>
      <c r="ATO21" s="30"/>
      <c r="ATP21" s="30"/>
      <c r="ATQ21" s="30"/>
      <c r="ATR21" s="30"/>
      <c r="ATS21" s="30"/>
      <c r="ATT21" s="30"/>
      <c r="ATU21" s="30"/>
      <c r="ATV21" s="30"/>
      <c r="ATW21" s="30"/>
      <c r="ATX21" s="30"/>
      <c r="ATY21" s="30"/>
      <c r="ATZ21" s="30"/>
      <c r="AUA21" s="30"/>
      <c r="AUB21" s="30"/>
      <c r="AUC21" s="30"/>
      <c r="AUD21" s="56"/>
      <c r="AUE21" s="30"/>
      <c r="AUF21" s="30"/>
      <c r="AUG21" s="30"/>
      <c r="AUH21" s="30"/>
      <c r="AUI21" s="30"/>
      <c r="AUJ21" s="30"/>
      <c r="AUK21" s="30"/>
      <c r="AUL21" s="30"/>
      <c r="AUM21" s="30"/>
      <c r="AUN21" s="30"/>
      <c r="AUO21" s="30"/>
      <c r="AUP21" s="30"/>
      <c r="AUQ21" s="30"/>
      <c r="AUR21" s="30"/>
      <c r="AUS21" s="30"/>
      <c r="AUT21" s="30"/>
      <c r="AUU21" s="30"/>
      <c r="AUV21" s="30"/>
      <c r="AUW21" s="30"/>
      <c r="AUX21" s="30"/>
      <c r="AUY21" s="30"/>
      <c r="AUZ21" s="30"/>
      <c r="AVA21" s="30"/>
      <c r="AVB21" s="30"/>
      <c r="AVC21" s="30"/>
      <c r="AVD21" s="30"/>
      <c r="AVE21" s="30"/>
      <c r="AVF21" s="30"/>
      <c r="AVG21" s="30"/>
      <c r="AVH21" s="30"/>
      <c r="AVI21" s="30"/>
      <c r="AVJ21" s="30"/>
      <c r="AVK21" s="56"/>
      <c r="AVL21" s="30"/>
      <c r="AVM21" s="30"/>
      <c r="AVN21" s="30"/>
      <c r="AVO21" s="30"/>
      <c r="AVP21" s="30"/>
      <c r="AVQ21" s="30"/>
      <c r="AVR21" s="30"/>
      <c r="AVS21" s="30"/>
      <c r="AVT21" s="30"/>
      <c r="AVU21" s="30"/>
      <c r="AVV21" s="30"/>
      <c r="AVW21" s="30"/>
      <c r="AVX21" s="30"/>
      <c r="AVY21" s="30"/>
      <c r="AVZ21" s="30"/>
      <c r="AWA21" s="30"/>
      <c r="AWB21" s="30"/>
      <c r="AWC21" s="30"/>
      <c r="AWD21" s="30"/>
      <c r="AWE21" s="30"/>
      <c r="AWF21" s="30"/>
      <c r="AWG21" s="30"/>
      <c r="AWH21" s="30"/>
      <c r="AWI21" s="30"/>
      <c r="AWJ21" s="30"/>
      <c r="AWK21" s="30"/>
      <c r="AWL21" s="30"/>
      <c r="AWM21" s="30"/>
      <c r="AWN21" s="30"/>
      <c r="AWO21" s="30"/>
      <c r="AWP21" s="30"/>
      <c r="AWQ21" s="30"/>
      <c r="AWR21" s="56"/>
      <c r="AWS21" s="30"/>
      <c r="AWT21" s="30"/>
      <c r="AWU21" s="30"/>
      <c r="AWV21" s="30"/>
      <c r="AWW21" s="30"/>
      <c r="AWX21" s="30"/>
      <c r="AWY21" s="30"/>
      <c r="AWZ21" s="30"/>
      <c r="AXA21" s="30"/>
      <c r="AXB21" s="30"/>
      <c r="AXC21" s="30"/>
      <c r="AXD21" s="30"/>
      <c r="AXE21" s="30"/>
      <c r="AXF21" s="30"/>
      <c r="AXG21" s="30"/>
      <c r="AXH21" s="30"/>
      <c r="AXI21" s="30"/>
      <c r="AXJ21" s="30"/>
      <c r="AXK21" s="30"/>
      <c r="AXL21" s="30"/>
      <c r="AXM21" s="30"/>
      <c r="AXN21" s="30"/>
      <c r="AXO21" s="30"/>
      <c r="AXP21" s="30"/>
      <c r="AXQ21" s="30"/>
      <c r="AXR21" s="30"/>
      <c r="AXS21" s="30"/>
      <c r="AXT21" s="30"/>
      <c r="AXU21" s="30"/>
      <c r="AXV21" s="30"/>
      <c r="AXW21" s="30"/>
      <c r="AXX21" s="30"/>
      <c r="AXY21" s="56"/>
      <c r="AXZ21" s="30"/>
      <c r="AYA21" s="30"/>
      <c r="AYB21" s="30"/>
      <c r="AYC21" s="30"/>
      <c r="AYD21" s="30"/>
      <c r="AYE21" s="30"/>
      <c r="AYF21" s="30"/>
      <c r="AYG21" s="30"/>
      <c r="AYH21" s="30"/>
      <c r="AYI21" s="30"/>
      <c r="AYJ21" s="30"/>
      <c r="AYK21" s="30"/>
      <c r="AYL21" s="30"/>
      <c r="AYM21" s="30"/>
      <c r="AYN21" s="30"/>
      <c r="AYO21" s="30"/>
      <c r="AYP21" s="30"/>
      <c r="AYQ21" s="30"/>
      <c r="AYR21" s="30"/>
      <c r="AYS21" s="30"/>
      <c r="AYT21" s="30"/>
      <c r="AYU21" s="30"/>
      <c r="AYV21" s="30"/>
      <c r="AYW21" s="30"/>
      <c r="AYX21" s="30"/>
      <c r="AYY21" s="30"/>
      <c r="AYZ21" s="30"/>
      <c r="AZA21" s="30"/>
      <c r="AZB21" s="30"/>
      <c r="AZC21" s="30"/>
      <c r="AZD21" s="30"/>
      <c r="AZE21" s="30"/>
      <c r="AZF21" s="56"/>
      <c r="AZG21" s="30"/>
      <c r="AZH21" s="30"/>
      <c r="AZI21" s="30"/>
      <c r="AZJ21" s="30"/>
      <c r="AZK21" s="30"/>
      <c r="AZL21" s="30"/>
      <c r="AZM21" s="30"/>
      <c r="AZN21" s="30"/>
      <c r="AZO21" s="30"/>
      <c r="AZP21" s="30"/>
      <c r="AZQ21" s="30"/>
      <c r="AZR21" s="30"/>
      <c r="AZS21" s="30"/>
      <c r="AZT21" s="30"/>
      <c r="AZU21" s="30"/>
      <c r="AZV21" s="30"/>
      <c r="AZW21" s="30"/>
      <c r="AZX21" s="30"/>
      <c r="AZY21" s="30"/>
      <c r="AZZ21" s="30"/>
      <c r="BAA21" s="30"/>
      <c r="BAB21" s="30"/>
      <c r="BAC21" s="30"/>
      <c r="BAD21" s="30"/>
      <c r="BAE21" s="30"/>
      <c r="BAF21" s="30"/>
      <c r="BAG21" s="30"/>
      <c r="BAH21" s="30"/>
      <c r="BAI21" s="30"/>
      <c r="BAJ21" s="30"/>
      <c r="BAK21" s="30"/>
      <c r="BAL21" s="30"/>
      <c r="BAM21" s="56"/>
      <c r="BAN21" s="30"/>
      <c r="BAO21" s="30"/>
      <c r="BAP21" s="30"/>
      <c r="BAQ21" s="30"/>
      <c r="BAR21" s="30"/>
      <c r="BAS21" s="30"/>
      <c r="BAT21" s="30"/>
      <c r="BAU21" s="30"/>
      <c r="BAV21" s="30"/>
      <c r="BAW21" s="30"/>
      <c r="BAX21" s="30"/>
      <c r="BAY21" s="30"/>
      <c r="BAZ21" s="30"/>
      <c r="BBA21" s="30"/>
      <c r="BBB21" s="30"/>
      <c r="BBC21" s="30"/>
      <c r="BBD21" s="30"/>
      <c r="BBE21" s="30"/>
      <c r="BBF21" s="30"/>
      <c r="BBG21" s="30"/>
      <c r="BBH21" s="30"/>
      <c r="BBI21" s="30"/>
      <c r="BBJ21" s="30"/>
      <c r="BBK21" s="30"/>
      <c r="BBL21" s="30"/>
      <c r="BBM21" s="30"/>
      <c r="BBN21" s="30"/>
      <c r="BBO21" s="30"/>
      <c r="BBP21" s="30"/>
      <c r="BBQ21" s="30"/>
      <c r="BBR21" s="30"/>
      <c r="BBS21" s="30"/>
      <c r="BBT21" s="56"/>
      <c r="BBU21" s="30"/>
      <c r="BBV21" s="30"/>
      <c r="BBW21" s="30"/>
      <c r="BBX21" s="30"/>
      <c r="BBY21" s="30"/>
      <c r="BBZ21" s="30"/>
      <c r="BCA21" s="30"/>
      <c r="BCB21" s="30"/>
      <c r="BCC21" s="30"/>
      <c r="BCD21" s="30"/>
      <c r="BCE21" s="30"/>
      <c r="BCF21" s="30"/>
      <c r="BCG21" s="30"/>
      <c r="BCH21" s="30"/>
      <c r="BCI21" s="30"/>
      <c r="BCJ21" s="30"/>
      <c r="BCK21" s="30"/>
      <c r="BCL21" s="30"/>
      <c r="BCM21" s="30"/>
      <c r="BCN21" s="30"/>
      <c r="BCO21" s="30"/>
      <c r="BCP21" s="30"/>
      <c r="BCQ21" s="30"/>
      <c r="BCR21" s="30"/>
      <c r="BCS21" s="30"/>
      <c r="BCT21" s="30"/>
      <c r="BCU21" s="30"/>
      <c r="BCV21" s="30"/>
      <c r="BCW21" s="30"/>
      <c r="BCX21" s="30"/>
      <c r="BCY21" s="30"/>
      <c r="BCZ21" s="30"/>
      <c r="BDA21" s="56"/>
      <c r="BDB21" s="30"/>
      <c r="BDC21" s="30"/>
      <c r="BDD21" s="30"/>
      <c r="BDE21" s="30"/>
      <c r="BDF21" s="30"/>
      <c r="BDG21" s="30"/>
      <c r="BDH21" s="30"/>
      <c r="BDI21" s="30"/>
      <c r="BDJ21" s="30"/>
      <c r="BDK21" s="30"/>
      <c r="BDL21" s="30"/>
      <c r="BDM21" s="30"/>
      <c r="BDN21" s="30"/>
      <c r="BDO21" s="30"/>
      <c r="BDP21" s="30"/>
      <c r="BDQ21" s="30"/>
      <c r="BDR21" s="30"/>
      <c r="BDS21" s="30"/>
      <c r="BDT21" s="30"/>
      <c r="BDU21" s="30"/>
      <c r="BDV21" s="30"/>
      <c r="BDW21" s="30"/>
      <c r="BDX21" s="30"/>
      <c r="BDY21" s="30"/>
      <c r="BDZ21" s="30"/>
      <c r="BEA21" s="30"/>
      <c r="BEB21" s="30"/>
      <c r="BEC21" s="30"/>
      <c r="BED21" s="30"/>
      <c r="BEE21" s="30"/>
      <c r="BEF21" s="30"/>
      <c r="BEG21" s="30"/>
      <c r="BEH21" s="56"/>
      <c r="BEI21" s="30"/>
      <c r="BEJ21" s="30"/>
      <c r="BEK21" s="30"/>
      <c r="BEL21" s="30"/>
      <c r="BEM21" s="30"/>
      <c r="BEN21" s="30"/>
      <c r="BEO21" s="30"/>
      <c r="BEP21" s="30"/>
      <c r="BEQ21" s="30"/>
      <c r="BER21" s="30"/>
      <c r="BES21" s="30"/>
      <c r="BET21" s="30"/>
      <c r="BEU21" s="30"/>
      <c r="BEV21" s="30"/>
      <c r="BEW21" s="30"/>
      <c r="BEX21" s="30"/>
      <c r="BEY21" s="30"/>
      <c r="BEZ21" s="30"/>
      <c r="BFA21" s="30"/>
      <c r="BFB21" s="30"/>
      <c r="BFC21" s="30"/>
      <c r="BFD21" s="30"/>
      <c r="BFE21" s="30"/>
      <c r="BFF21" s="30"/>
      <c r="BFG21" s="30"/>
      <c r="BFH21" s="30"/>
      <c r="BFI21" s="30"/>
      <c r="BFJ21" s="30"/>
      <c r="BFK21" s="30"/>
      <c r="BFL21" s="30"/>
      <c r="BFM21" s="30"/>
      <c r="BFN21" s="30"/>
      <c r="BFO21" s="56"/>
      <c r="BFP21" s="30"/>
      <c r="BFQ21" s="30"/>
      <c r="BFR21" s="30"/>
      <c r="BFS21" s="30"/>
      <c r="BFT21" s="30"/>
      <c r="BFU21" s="30"/>
      <c r="BFV21" s="30"/>
      <c r="BFW21" s="30"/>
      <c r="BFX21" s="30"/>
      <c r="BFY21" s="30"/>
      <c r="BFZ21" s="30"/>
      <c r="BGA21" s="30"/>
      <c r="BGB21" s="30"/>
      <c r="BGC21" s="30"/>
      <c r="BGD21" s="30"/>
      <c r="BGE21" s="30"/>
      <c r="BGF21" s="30"/>
      <c r="BGG21" s="30"/>
      <c r="BGH21" s="30"/>
      <c r="BGI21" s="30"/>
      <c r="BGJ21" s="30"/>
      <c r="BGK21" s="30"/>
      <c r="BGL21" s="30"/>
      <c r="BGM21" s="30"/>
      <c r="BGN21" s="30"/>
      <c r="BGO21" s="30"/>
      <c r="BGP21" s="30"/>
      <c r="BGQ21" s="30"/>
      <c r="BGR21" s="30"/>
      <c r="BGS21" s="30"/>
      <c r="BGT21" s="30"/>
      <c r="BGU21" s="30"/>
      <c r="BGV21" s="56"/>
      <c r="BGW21" s="30"/>
      <c r="BGX21" s="30"/>
      <c r="BGY21" s="30"/>
      <c r="BGZ21" s="30"/>
      <c r="BHA21" s="30"/>
      <c r="BHB21" s="30"/>
      <c r="BHC21" s="30"/>
      <c r="BHD21" s="30"/>
      <c r="BHE21" s="30"/>
      <c r="BHF21" s="30"/>
      <c r="BHG21" s="30"/>
      <c r="BHH21" s="30"/>
      <c r="BHI21" s="30"/>
      <c r="BHJ21" s="30"/>
      <c r="BHK21" s="30"/>
      <c r="BHL21" s="30"/>
      <c r="BHM21" s="30"/>
      <c r="BHN21" s="30"/>
      <c r="BHO21" s="30"/>
      <c r="BHP21" s="30"/>
      <c r="BHQ21" s="30"/>
      <c r="BHR21" s="30"/>
      <c r="BHS21" s="30"/>
      <c r="BHT21" s="30"/>
      <c r="BHU21" s="30"/>
      <c r="BHV21" s="30"/>
      <c r="BHW21" s="30"/>
      <c r="BHX21" s="30"/>
      <c r="BHY21" s="30"/>
      <c r="BHZ21" s="30"/>
      <c r="BIA21" s="30"/>
      <c r="BIB21" s="30"/>
      <c r="BIC21" s="56"/>
      <c r="BID21" s="57"/>
    </row>
    <row r="22" spans="2:1590" ht="14.45" x14ac:dyDescent="0.3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56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56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56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56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56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56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56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56"/>
      <c r="JG22" s="30"/>
      <c r="JH22" s="30"/>
      <c r="JI22" s="30"/>
      <c r="JJ22" s="30"/>
      <c r="JK22" s="30"/>
      <c r="JL22" s="30"/>
      <c r="JM22" s="30"/>
      <c r="JN22" s="30"/>
      <c r="JO22" s="30"/>
      <c r="JP22" s="30"/>
      <c r="JQ22" s="30"/>
      <c r="JR22" s="30"/>
      <c r="JS22" s="30"/>
      <c r="JT22" s="30"/>
      <c r="JU22" s="30"/>
      <c r="JV22" s="30"/>
      <c r="JW22" s="30"/>
      <c r="JX22" s="30"/>
      <c r="JY22" s="30"/>
      <c r="JZ22" s="30"/>
      <c r="KA22" s="30"/>
      <c r="KB22" s="30"/>
      <c r="KC22" s="30"/>
      <c r="KD22" s="30"/>
      <c r="KE22" s="30"/>
      <c r="KF22" s="30"/>
      <c r="KG22" s="30"/>
      <c r="KH22" s="30"/>
      <c r="KI22" s="30"/>
      <c r="KJ22" s="30"/>
      <c r="KK22" s="30"/>
      <c r="KL22" s="30"/>
      <c r="KM22" s="56"/>
      <c r="KN22" s="30"/>
      <c r="KO22" s="30"/>
      <c r="KP22" s="30"/>
      <c r="KQ22" s="30"/>
      <c r="KR22" s="30"/>
      <c r="KS22" s="30"/>
      <c r="KT22" s="30"/>
      <c r="KU22" s="30"/>
      <c r="KV22" s="30"/>
      <c r="KW22" s="30"/>
      <c r="KX22" s="30"/>
      <c r="KY22" s="30"/>
      <c r="KZ22" s="30"/>
      <c r="LA22" s="30"/>
      <c r="LB22" s="30"/>
      <c r="LC22" s="30"/>
      <c r="LD22" s="30"/>
      <c r="LE22" s="30"/>
      <c r="LF22" s="30"/>
      <c r="LG22" s="30"/>
      <c r="LH22" s="30"/>
      <c r="LI22" s="30"/>
      <c r="LJ22" s="30"/>
      <c r="LK22" s="30"/>
      <c r="LL22" s="30"/>
      <c r="LM22" s="30"/>
      <c r="LN22" s="30"/>
      <c r="LO22" s="30"/>
      <c r="LP22" s="30"/>
      <c r="LQ22" s="30"/>
      <c r="LR22" s="30"/>
      <c r="LS22" s="30"/>
      <c r="LT22" s="56"/>
      <c r="LU22" s="30"/>
      <c r="LV22" s="30"/>
      <c r="LW22" s="30"/>
      <c r="LX22" s="30"/>
      <c r="LY22" s="30"/>
      <c r="LZ22" s="30"/>
      <c r="MA22" s="30"/>
      <c r="MB22" s="30"/>
      <c r="MC22" s="30"/>
      <c r="MD22" s="30"/>
      <c r="ME22" s="30"/>
      <c r="MF22" s="30"/>
      <c r="MG22" s="30"/>
      <c r="MH22" s="30"/>
      <c r="MI22" s="30"/>
      <c r="MJ22" s="30"/>
      <c r="MK22" s="30"/>
      <c r="ML22" s="30"/>
      <c r="MM22" s="30"/>
      <c r="MN22" s="30"/>
      <c r="MO22" s="30"/>
      <c r="MP22" s="30"/>
      <c r="MQ22" s="30"/>
      <c r="MR22" s="30"/>
      <c r="MS22" s="30"/>
      <c r="MT22" s="30"/>
      <c r="MU22" s="30"/>
      <c r="MV22" s="30"/>
      <c r="MW22" s="30"/>
      <c r="MX22" s="30"/>
      <c r="MY22" s="30"/>
      <c r="MZ22" s="30"/>
      <c r="NA22" s="56"/>
      <c r="NB22" s="30"/>
      <c r="NC22" s="30"/>
      <c r="ND22" s="30"/>
      <c r="NE22" s="30"/>
      <c r="NF22" s="30"/>
      <c r="NG22" s="30"/>
      <c r="NH22" s="30"/>
      <c r="NI22" s="30"/>
      <c r="NJ22" s="30"/>
      <c r="NK22" s="30"/>
      <c r="NL22" s="30"/>
      <c r="NM22" s="30"/>
      <c r="NN22" s="30"/>
      <c r="NO22" s="30"/>
      <c r="NP22" s="30"/>
      <c r="NQ22" s="30"/>
      <c r="NR22" s="30"/>
      <c r="NS22" s="30"/>
      <c r="NT22" s="30"/>
      <c r="NU22" s="30"/>
      <c r="NV22" s="30"/>
      <c r="NW22" s="30"/>
      <c r="NX22" s="30"/>
      <c r="NY22" s="30"/>
      <c r="NZ22" s="30"/>
      <c r="OA22" s="30"/>
      <c r="OB22" s="30"/>
      <c r="OC22" s="30"/>
      <c r="OD22" s="30"/>
      <c r="OE22" s="30"/>
      <c r="OF22" s="30"/>
      <c r="OG22" s="30"/>
      <c r="OH22" s="56"/>
      <c r="OI22" s="57"/>
      <c r="OJ22" s="30"/>
      <c r="OK22" s="30"/>
      <c r="OL22" s="30"/>
      <c r="OM22" s="30"/>
      <c r="ON22" s="30"/>
      <c r="OO22" s="30"/>
      <c r="OP22" s="30"/>
      <c r="OQ22" s="30"/>
      <c r="OR22" s="30"/>
      <c r="OS22" s="30"/>
      <c r="OT22" s="30"/>
      <c r="OU22" s="30"/>
      <c r="OV22" s="30"/>
      <c r="OW22" s="30"/>
      <c r="OX22" s="30"/>
      <c r="OY22" s="30"/>
      <c r="OZ22" s="30"/>
      <c r="PA22" s="30"/>
      <c r="PB22" s="30"/>
      <c r="PC22" s="30"/>
      <c r="PD22" s="30"/>
      <c r="PE22" s="30"/>
      <c r="PF22" s="30"/>
      <c r="PG22" s="30"/>
      <c r="PH22" s="30"/>
      <c r="PI22" s="30"/>
      <c r="PJ22" s="30"/>
      <c r="PK22" s="30"/>
      <c r="PL22" s="30"/>
      <c r="PM22" s="30"/>
      <c r="PN22" s="30"/>
      <c r="PO22" s="30"/>
      <c r="PP22" s="56"/>
      <c r="PQ22" s="30"/>
      <c r="PR22" s="30"/>
      <c r="PS22" s="30"/>
      <c r="PT22" s="30"/>
      <c r="PU22" s="30"/>
      <c r="PV22" s="30"/>
      <c r="PW22" s="30"/>
      <c r="PX22" s="30"/>
      <c r="PY22" s="30"/>
      <c r="PZ22" s="30"/>
      <c r="QA22" s="30"/>
      <c r="QB22" s="30"/>
      <c r="QC22" s="30"/>
      <c r="QD22" s="30"/>
      <c r="QE22" s="30"/>
      <c r="QF22" s="30"/>
      <c r="QG22" s="30"/>
      <c r="QH22" s="30"/>
      <c r="QI22" s="30"/>
      <c r="QJ22" s="30"/>
      <c r="QK22" s="30"/>
      <c r="QL22" s="30"/>
      <c r="QM22" s="30"/>
      <c r="QN22" s="30"/>
      <c r="QO22" s="30"/>
      <c r="QP22" s="30"/>
      <c r="QQ22" s="30"/>
      <c r="QR22" s="30"/>
      <c r="QS22" s="30"/>
      <c r="QT22" s="30"/>
      <c r="QU22" s="30"/>
      <c r="QV22" s="30"/>
      <c r="QW22" s="56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30"/>
      <c r="SB22" s="30"/>
      <c r="SC22" s="30"/>
      <c r="SD22" s="56"/>
      <c r="SE22" s="30"/>
      <c r="SF22" s="30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0"/>
      <c r="TF22" s="30"/>
      <c r="TG22" s="30"/>
      <c r="TH22" s="30"/>
      <c r="TI22" s="30"/>
      <c r="TJ22" s="30"/>
      <c r="TK22" s="56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30"/>
      <c r="UF22" s="30"/>
      <c r="UG22" s="30"/>
      <c r="UH22" s="30"/>
      <c r="UI22" s="30"/>
      <c r="UJ22" s="30"/>
      <c r="UK22" s="30"/>
      <c r="UL22" s="30"/>
      <c r="UM22" s="30"/>
      <c r="UN22" s="30"/>
      <c r="UO22" s="30"/>
      <c r="UP22" s="30"/>
      <c r="UQ22" s="30"/>
      <c r="UR22" s="56"/>
      <c r="US22" s="30"/>
      <c r="UT22" s="30"/>
      <c r="UU22" s="30"/>
      <c r="UV22" s="30"/>
      <c r="UW22" s="30"/>
      <c r="UX22" s="30"/>
      <c r="UY22" s="30"/>
      <c r="UZ22" s="30"/>
      <c r="VA22" s="30"/>
      <c r="VB22" s="30"/>
      <c r="VC22" s="30"/>
      <c r="VD22" s="30"/>
      <c r="VE22" s="30"/>
      <c r="VF22" s="30"/>
      <c r="VG22" s="30"/>
      <c r="VH22" s="30"/>
      <c r="VI22" s="30"/>
      <c r="VJ22" s="30"/>
      <c r="VK22" s="30"/>
      <c r="VL22" s="30"/>
      <c r="VM22" s="30"/>
      <c r="VN22" s="30"/>
      <c r="VO22" s="30"/>
      <c r="VP22" s="30"/>
      <c r="VQ22" s="30"/>
      <c r="VR22" s="30"/>
      <c r="VS22" s="30"/>
      <c r="VT22" s="30"/>
      <c r="VU22" s="30"/>
      <c r="VV22" s="30"/>
      <c r="VW22" s="30"/>
      <c r="VX22" s="30"/>
      <c r="VY22" s="56"/>
      <c r="VZ22" s="30"/>
      <c r="WA22" s="30"/>
      <c r="WB22" s="30"/>
      <c r="WC22" s="30"/>
      <c r="WD22" s="30"/>
      <c r="WE22" s="30"/>
      <c r="WF22" s="30"/>
      <c r="WG22" s="30"/>
      <c r="WH22" s="30"/>
      <c r="WI22" s="30"/>
      <c r="WJ22" s="30"/>
      <c r="WK22" s="30"/>
      <c r="WL22" s="30"/>
      <c r="WM22" s="30"/>
      <c r="WN22" s="30"/>
      <c r="WO22" s="30"/>
      <c r="WP22" s="30"/>
      <c r="WQ22" s="30"/>
      <c r="WR22" s="30"/>
      <c r="WS22" s="30"/>
      <c r="WT22" s="30"/>
      <c r="WU22" s="30"/>
      <c r="WV22" s="30"/>
      <c r="WW22" s="30"/>
      <c r="WX22" s="30"/>
      <c r="WY22" s="30"/>
      <c r="WZ22" s="30"/>
      <c r="XA22" s="30"/>
      <c r="XB22" s="30"/>
      <c r="XC22" s="30"/>
      <c r="XD22" s="30"/>
      <c r="XE22" s="30"/>
      <c r="XF22" s="56"/>
      <c r="XG22" s="30"/>
      <c r="XH22" s="30"/>
      <c r="XI22" s="30"/>
      <c r="XJ22" s="30"/>
      <c r="XK22" s="30"/>
      <c r="XL22" s="30"/>
      <c r="XM22" s="30"/>
      <c r="XN22" s="30"/>
      <c r="XO22" s="30"/>
      <c r="XP22" s="30"/>
      <c r="XQ22" s="30"/>
      <c r="XR22" s="30"/>
      <c r="XS22" s="30"/>
      <c r="XT22" s="30"/>
      <c r="XU22" s="30"/>
      <c r="XV22" s="30"/>
      <c r="XW22" s="30"/>
      <c r="XX22" s="30"/>
      <c r="XY22" s="30"/>
      <c r="XZ22" s="30"/>
      <c r="YA22" s="30"/>
      <c r="YB22" s="30"/>
      <c r="YC22" s="30"/>
      <c r="YD22" s="30"/>
      <c r="YE22" s="30"/>
      <c r="YF22" s="30"/>
      <c r="YG22" s="30"/>
      <c r="YH22" s="30"/>
      <c r="YI22" s="30"/>
      <c r="YJ22" s="30"/>
      <c r="YK22" s="30"/>
      <c r="YL22" s="30"/>
      <c r="YM22" s="56"/>
      <c r="YN22" s="30"/>
      <c r="YO22" s="30"/>
      <c r="YP22" s="30"/>
      <c r="YQ22" s="30"/>
      <c r="YR22" s="30"/>
      <c r="YS22" s="30"/>
      <c r="YT22" s="30"/>
      <c r="YU22" s="30"/>
      <c r="YV22" s="30"/>
      <c r="YW22" s="30"/>
      <c r="YX22" s="30"/>
      <c r="YY22" s="30"/>
      <c r="YZ22" s="30"/>
      <c r="ZA22" s="30"/>
      <c r="ZB22" s="30"/>
      <c r="ZC22" s="30"/>
      <c r="ZD22" s="30"/>
      <c r="ZE22" s="30"/>
      <c r="ZF22" s="30"/>
      <c r="ZG22" s="30"/>
      <c r="ZH22" s="30"/>
      <c r="ZI22" s="30"/>
      <c r="ZJ22" s="30"/>
      <c r="ZK22" s="30"/>
      <c r="ZL22" s="30"/>
      <c r="ZM22" s="30"/>
      <c r="ZN22" s="30"/>
      <c r="ZO22" s="30"/>
      <c r="ZP22" s="30"/>
      <c r="ZQ22" s="30"/>
      <c r="ZR22" s="30"/>
      <c r="ZS22" s="30"/>
      <c r="ZT22" s="56"/>
      <c r="ZU22" s="30"/>
      <c r="ZV22" s="30"/>
      <c r="ZW22" s="30"/>
      <c r="ZX22" s="30"/>
      <c r="ZY22" s="30"/>
      <c r="ZZ22" s="30"/>
      <c r="AAA22" s="30"/>
      <c r="AAB22" s="30"/>
      <c r="AAC22" s="30"/>
      <c r="AAD22" s="30"/>
      <c r="AAE22" s="30"/>
      <c r="AAF22" s="30"/>
      <c r="AAG22" s="30"/>
      <c r="AAH22" s="30"/>
      <c r="AAI22" s="30"/>
      <c r="AAJ22" s="30"/>
      <c r="AAK22" s="30"/>
      <c r="AAL22" s="30"/>
      <c r="AAM22" s="30"/>
      <c r="AAN22" s="30"/>
      <c r="AAO22" s="30"/>
      <c r="AAP22" s="30"/>
      <c r="AAQ22" s="30"/>
      <c r="AAR22" s="30"/>
      <c r="AAS22" s="30"/>
      <c r="AAT22" s="30"/>
      <c r="AAU22" s="30"/>
      <c r="AAV22" s="30"/>
      <c r="AAW22" s="30"/>
      <c r="AAX22" s="30"/>
      <c r="AAY22" s="30"/>
      <c r="AAZ22" s="30"/>
      <c r="ABA22" s="56"/>
      <c r="ABB22" s="30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  <c r="ABT22" s="30"/>
      <c r="ABU22" s="30"/>
      <c r="ABV22" s="30"/>
      <c r="ABW22" s="30"/>
      <c r="ABX22" s="30"/>
      <c r="ABY22" s="30"/>
      <c r="ABZ22" s="30"/>
      <c r="ACA22" s="30"/>
      <c r="ACB22" s="30"/>
      <c r="ACC22" s="30"/>
      <c r="ACD22" s="30"/>
      <c r="ACE22" s="30"/>
      <c r="ACF22" s="30"/>
      <c r="ACG22" s="30"/>
      <c r="ACH22" s="56"/>
      <c r="ACI22" s="30"/>
      <c r="ACJ22" s="30"/>
      <c r="ACK22" s="30"/>
      <c r="ACL22" s="30"/>
      <c r="ACM22" s="30"/>
      <c r="ACN22" s="30"/>
      <c r="ACO22" s="30"/>
      <c r="ACP22" s="30"/>
      <c r="ACQ22" s="30"/>
      <c r="ACR22" s="30"/>
      <c r="ACS22" s="30"/>
      <c r="ACT22" s="30"/>
      <c r="ACU22" s="30"/>
      <c r="ACV22" s="30"/>
      <c r="ACW22" s="30"/>
      <c r="ACX22" s="30"/>
      <c r="ACY22" s="30"/>
      <c r="ACZ22" s="30"/>
      <c r="ADA22" s="30"/>
      <c r="ADB22" s="30"/>
      <c r="ADC22" s="30"/>
      <c r="ADD22" s="30"/>
      <c r="ADE22" s="30"/>
      <c r="ADF22" s="30"/>
      <c r="ADG22" s="30"/>
      <c r="ADH22" s="30"/>
      <c r="ADI22" s="30"/>
      <c r="ADJ22" s="30"/>
      <c r="ADK22" s="30"/>
      <c r="ADL22" s="30"/>
      <c r="ADM22" s="30"/>
      <c r="ADN22" s="30"/>
      <c r="ADO22" s="56"/>
      <c r="ADP22" s="57"/>
      <c r="ADQ22" s="30"/>
      <c r="ADR22" s="30"/>
      <c r="ADS22" s="30"/>
      <c r="ADT22" s="30"/>
      <c r="ADU22" s="30"/>
      <c r="ADV22" s="30"/>
      <c r="ADW22" s="30"/>
      <c r="ADX22" s="30"/>
      <c r="ADY22" s="30"/>
      <c r="ADZ22" s="30"/>
      <c r="AEA22" s="30"/>
      <c r="AEB22" s="30"/>
      <c r="AEC22" s="30"/>
      <c r="AED22" s="30"/>
      <c r="AEE22" s="30"/>
      <c r="AEF22" s="30"/>
      <c r="AEG22" s="30"/>
      <c r="AEH22" s="30"/>
      <c r="AEI22" s="30"/>
      <c r="AEJ22" s="30"/>
      <c r="AEK22" s="30"/>
      <c r="AEL22" s="30"/>
      <c r="AEM22" s="30"/>
      <c r="AEN22" s="30"/>
      <c r="AEO22" s="30"/>
      <c r="AEP22" s="30"/>
      <c r="AEQ22" s="30"/>
      <c r="AER22" s="30"/>
      <c r="AES22" s="30"/>
      <c r="AET22" s="30"/>
      <c r="AEU22" s="30"/>
      <c r="AEV22" s="30"/>
      <c r="AEW22" s="56"/>
      <c r="AEX22" s="30"/>
      <c r="AEY22" s="30"/>
      <c r="AEZ22" s="30"/>
      <c r="AFA22" s="30"/>
      <c r="AFB22" s="30"/>
      <c r="AFC22" s="30"/>
      <c r="AFD22" s="30"/>
      <c r="AFE22" s="30"/>
      <c r="AFF22" s="30"/>
      <c r="AFG22" s="30"/>
      <c r="AFH22" s="30"/>
      <c r="AFI22" s="30"/>
      <c r="AFJ22" s="30"/>
      <c r="AFK22" s="30"/>
      <c r="AFL22" s="30"/>
      <c r="AFM22" s="30"/>
      <c r="AFN22" s="30"/>
      <c r="AFO22" s="30"/>
      <c r="AFP22" s="30"/>
      <c r="AFQ22" s="30"/>
      <c r="AFR22" s="30"/>
      <c r="AFS22" s="30"/>
      <c r="AFT22" s="30"/>
      <c r="AFU22" s="30"/>
      <c r="AFV22" s="30"/>
      <c r="AFW22" s="30"/>
      <c r="AFX22" s="30"/>
      <c r="AFY22" s="30"/>
      <c r="AFZ22" s="30"/>
      <c r="AGA22" s="30"/>
      <c r="AGB22" s="30"/>
      <c r="AGC22" s="30"/>
      <c r="AGD22" s="56"/>
      <c r="AGE22" s="30"/>
      <c r="AGF22" s="30"/>
      <c r="AGG22" s="30"/>
      <c r="AGH22" s="30"/>
      <c r="AGI22" s="30"/>
      <c r="AGJ22" s="30"/>
      <c r="AGK22" s="30"/>
      <c r="AGL22" s="30"/>
      <c r="AGM22" s="30"/>
      <c r="AGN22" s="30"/>
      <c r="AGO22" s="30"/>
      <c r="AGP22" s="30"/>
      <c r="AGQ22" s="30"/>
      <c r="AGR22" s="30"/>
      <c r="AGS22" s="30"/>
      <c r="AGT22" s="30"/>
      <c r="AGU22" s="30"/>
      <c r="AGV22" s="30"/>
      <c r="AGW22" s="30"/>
      <c r="AGX22" s="30"/>
      <c r="AGY22" s="30"/>
      <c r="AGZ22" s="30"/>
      <c r="AHA22" s="30"/>
      <c r="AHB22" s="30"/>
      <c r="AHC22" s="30"/>
      <c r="AHD22" s="30"/>
      <c r="AHE22" s="30"/>
      <c r="AHF22" s="30"/>
      <c r="AHG22" s="30"/>
      <c r="AHH22" s="30"/>
      <c r="AHI22" s="30"/>
      <c r="AHJ22" s="30"/>
      <c r="AHK22" s="56"/>
      <c r="AHL22" s="30"/>
      <c r="AHM22" s="30"/>
      <c r="AHN22" s="30"/>
      <c r="AHO22" s="30"/>
      <c r="AHP22" s="30"/>
      <c r="AHQ22" s="30"/>
      <c r="AHR22" s="30"/>
      <c r="AHS22" s="30"/>
      <c r="AHT22" s="30"/>
      <c r="AHU22" s="30"/>
      <c r="AHV22" s="30"/>
      <c r="AHW22" s="30"/>
      <c r="AHX22" s="30"/>
      <c r="AHY22" s="30"/>
      <c r="AHZ22" s="30"/>
      <c r="AIA22" s="30"/>
      <c r="AIB22" s="30"/>
      <c r="AIC22" s="30"/>
      <c r="AID22" s="30"/>
      <c r="AIE22" s="30"/>
      <c r="AIF22" s="30"/>
      <c r="AIG22" s="30"/>
      <c r="AIH22" s="30"/>
      <c r="AII22" s="30"/>
      <c r="AIJ22" s="30"/>
      <c r="AIK22" s="30"/>
      <c r="AIL22" s="30"/>
      <c r="AIM22" s="30"/>
      <c r="AIN22" s="30"/>
      <c r="AIO22" s="30"/>
      <c r="AIP22" s="30"/>
      <c r="AIQ22" s="30"/>
      <c r="AIR22" s="56"/>
      <c r="AIS22" s="30"/>
      <c r="AIT22" s="30"/>
      <c r="AIU22" s="30"/>
      <c r="AIV22" s="30"/>
      <c r="AIW22" s="30"/>
      <c r="AIX22" s="30"/>
      <c r="AIY22" s="30"/>
      <c r="AIZ22" s="30"/>
      <c r="AJA22" s="30"/>
      <c r="AJB22" s="30"/>
      <c r="AJC22" s="30"/>
      <c r="AJD22" s="30"/>
      <c r="AJE22" s="30"/>
      <c r="AJF22" s="30"/>
      <c r="AJG22" s="30"/>
      <c r="AJH22" s="30"/>
      <c r="AJI22" s="30"/>
      <c r="AJJ22" s="30"/>
      <c r="AJK22" s="30"/>
      <c r="AJL22" s="30"/>
      <c r="AJM22" s="30"/>
      <c r="AJN22" s="30"/>
      <c r="AJO22" s="30"/>
      <c r="AJP22" s="30"/>
      <c r="AJQ22" s="30"/>
      <c r="AJR22" s="30"/>
      <c r="AJS22" s="30"/>
      <c r="AJT22" s="30"/>
      <c r="AJU22" s="30"/>
      <c r="AJV22" s="30"/>
      <c r="AJW22" s="30"/>
      <c r="AJX22" s="30"/>
      <c r="AJY22" s="56"/>
      <c r="AJZ22" s="30"/>
      <c r="AKA22" s="30"/>
      <c r="AKB22" s="30"/>
      <c r="AKC22" s="30"/>
      <c r="AKD22" s="30"/>
      <c r="AKE22" s="30"/>
      <c r="AKF22" s="30"/>
      <c r="AKG22" s="30"/>
      <c r="AKH22" s="30"/>
      <c r="AKI22" s="30"/>
      <c r="AKJ22" s="30"/>
      <c r="AKK22" s="30"/>
      <c r="AKL22" s="30"/>
      <c r="AKM22" s="30"/>
      <c r="AKN22" s="30"/>
      <c r="AKO22" s="30"/>
      <c r="AKP22" s="30"/>
      <c r="AKQ22" s="30"/>
      <c r="AKR22" s="30"/>
      <c r="AKS22" s="30"/>
      <c r="AKT22" s="30"/>
      <c r="AKU22" s="30"/>
      <c r="AKV22" s="30"/>
      <c r="AKW22" s="30"/>
      <c r="AKX22" s="30"/>
      <c r="AKY22" s="30"/>
      <c r="AKZ22" s="30"/>
      <c r="ALA22" s="30"/>
      <c r="ALB22" s="30"/>
      <c r="ALC22" s="30"/>
      <c r="ALD22" s="30"/>
      <c r="ALE22" s="30"/>
      <c r="ALF22" s="56"/>
      <c r="ALG22" s="30"/>
      <c r="ALH22" s="30"/>
      <c r="ALI22" s="30"/>
      <c r="ALJ22" s="30"/>
      <c r="ALK22" s="30"/>
      <c r="ALL22" s="30"/>
      <c r="ALM22" s="30"/>
      <c r="ALN22" s="30"/>
      <c r="ALO22" s="30"/>
      <c r="ALP22" s="30"/>
      <c r="ALQ22" s="30"/>
      <c r="ALR22" s="30"/>
      <c r="ALS22" s="30"/>
      <c r="ALT22" s="30"/>
      <c r="ALU22" s="30"/>
      <c r="ALV22" s="30"/>
      <c r="ALW22" s="30"/>
      <c r="ALX22" s="30"/>
      <c r="ALY22" s="30"/>
      <c r="ALZ22" s="30"/>
      <c r="AMA22" s="30"/>
      <c r="AMB22" s="30"/>
      <c r="AMC22" s="30"/>
      <c r="AMD22" s="30"/>
      <c r="AME22" s="30"/>
      <c r="AMF22" s="30"/>
      <c r="AMG22" s="30"/>
      <c r="AMH22" s="30"/>
      <c r="AMI22" s="30"/>
      <c r="AMJ22" s="30"/>
      <c r="AMK22" s="30"/>
      <c r="AML22" s="30"/>
      <c r="AMM22" s="56"/>
      <c r="AMN22" s="30"/>
      <c r="AMO22" s="30"/>
      <c r="AMP22" s="30"/>
      <c r="AMQ22" s="30"/>
      <c r="AMR22" s="30"/>
      <c r="AMS22" s="30"/>
      <c r="AMT22" s="30"/>
      <c r="AMU22" s="30"/>
      <c r="AMV22" s="30"/>
      <c r="AMW22" s="30"/>
      <c r="AMX22" s="30"/>
      <c r="AMY22" s="30"/>
      <c r="AMZ22" s="30"/>
      <c r="ANA22" s="30"/>
      <c r="ANB22" s="30"/>
      <c r="ANC22" s="30"/>
      <c r="AND22" s="30"/>
      <c r="ANE22" s="30"/>
      <c r="ANF22" s="30"/>
      <c r="ANG22" s="30"/>
      <c r="ANH22" s="30"/>
      <c r="ANI22" s="30"/>
      <c r="ANJ22" s="30"/>
      <c r="ANK22" s="30"/>
      <c r="ANL22" s="30"/>
      <c r="ANM22" s="30"/>
      <c r="ANN22" s="30"/>
      <c r="ANO22" s="30"/>
      <c r="ANP22" s="30"/>
      <c r="ANQ22" s="30"/>
      <c r="ANR22" s="30"/>
      <c r="ANS22" s="30"/>
      <c r="ANT22" s="56"/>
      <c r="ANU22" s="30"/>
      <c r="ANV22" s="30"/>
      <c r="ANW22" s="30"/>
      <c r="ANX22" s="30"/>
      <c r="ANY22" s="30"/>
      <c r="ANZ22" s="30"/>
      <c r="AOA22" s="30"/>
      <c r="AOB22" s="30"/>
      <c r="AOC22" s="30"/>
      <c r="AOD22" s="30"/>
      <c r="AOE22" s="30"/>
      <c r="AOF22" s="30"/>
      <c r="AOG22" s="30"/>
      <c r="AOH22" s="30"/>
      <c r="AOI22" s="30"/>
      <c r="AOJ22" s="30"/>
      <c r="AOK22" s="30"/>
      <c r="AOL22" s="30"/>
      <c r="AOM22" s="30"/>
      <c r="AON22" s="30"/>
      <c r="AOO22" s="30"/>
      <c r="AOP22" s="30"/>
      <c r="AOQ22" s="30"/>
      <c r="AOR22" s="30"/>
      <c r="AOS22" s="30"/>
      <c r="AOT22" s="30"/>
      <c r="AOU22" s="30"/>
      <c r="AOV22" s="30"/>
      <c r="AOW22" s="30"/>
      <c r="AOX22" s="30"/>
      <c r="AOY22" s="30"/>
      <c r="AOZ22" s="30"/>
      <c r="APA22" s="56"/>
      <c r="APB22" s="30"/>
      <c r="APC22" s="30"/>
      <c r="APD22" s="30"/>
      <c r="APE22" s="30"/>
      <c r="APF22" s="30"/>
      <c r="APG22" s="30"/>
      <c r="APH22" s="30"/>
      <c r="API22" s="30"/>
      <c r="APJ22" s="30"/>
      <c r="APK22" s="30"/>
      <c r="APL22" s="30"/>
      <c r="APM22" s="30"/>
      <c r="APN22" s="30"/>
      <c r="APO22" s="30"/>
      <c r="APP22" s="30"/>
      <c r="APQ22" s="30"/>
      <c r="APR22" s="30"/>
      <c r="APS22" s="30"/>
      <c r="APT22" s="30"/>
      <c r="APU22" s="30"/>
      <c r="APV22" s="30"/>
      <c r="APW22" s="30"/>
      <c r="APX22" s="30"/>
      <c r="APY22" s="30"/>
      <c r="APZ22" s="30"/>
      <c r="AQA22" s="30"/>
      <c r="AQB22" s="30"/>
      <c r="AQC22" s="30"/>
      <c r="AQD22" s="30"/>
      <c r="AQE22" s="30"/>
      <c r="AQF22" s="30"/>
      <c r="AQG22" s="30"/>
      <c r="AQH22" s="56"/>
      <c r="AQI22" s="30"/>
      <c r="AQJ22" s="30"/>
      <c r="AQK22" s="30"/>
      <c r="AQL22" s="30"/>
      <c r="AQM22" s="30"/>
      <c r="AQN22" s="30"/>
      <c r="AQO22" s="30"/>
      <c r="AQP22" s="30"/>
      <c r="AQQ22" s="30"/>
      <c r="AQR22" s="30"/>
      <c r="AQS22" s="30"/>
      <c r="AQT22" s="30"/>
      <c r="AQU22" s="30"/>
      <c r="AQV22" s="30"/>
      <c r="AQW22" s="30"/>
      <c r="AQX22" s="30"/>
      <c r="AQY22" s="30"/>
      <c r="AQZ22" s="30"/>
      <c r="ARA22" s="30"/>
      <c r="ARB22" s="30"/>
      <c r="ARC22" s="30"/>
      <c r="ARD22" s="30"/>
      <c r="ARE22" s="30"/>
      <c r="ARF22" s="30"/>
      <c r="ARG22" s="30"/>
      <c r="ARH22" s="30"/>
      <c r="ARI22" s="30"/>
      <c r="ARJ22" s="30"/>
      <c r="ARK22" s="30"/>
      <c r="ARL22" s="30"/>
      <c r="ARM22" s="30"/>
      <c r="ARN22" s="30"/>
      <c r="ARO22" s="56"/>
      <c r="ARP22" s="30"/>
      <c r="ARQ22" s="30"/>
      <c r="ARR22" s="30"/>
      <c r="ARS22" s="30"/>
      <c r="ART22" s="30"/>
      <c r="ARU22" s="30"/>
      <c r="ARV22" s="30"/>
      <c r="ARW22" s="30"/>
      <c r="ARX22" s="30"/>
      <c r="ARY22" s="30"/>
      <c r="ARZ22" s="30"/>
      <c r="ASA22" s="30"/>
      <c r="ASB22" s="30"/>
      <c r="ASC22" s="30"/>
      <c r="ASD22" s="30"/>
      <c r="ASE22" s="30"/>
      <c r="ASF22" s="30"/>
      <c r="ASG22" s="30"/>
      <c r="ASH22" s="30"/>
      <c r="ASI22" s="30"/>
      <c r="ASJ22" s="30"/>
      <c r="ASK22" s="30"/>
      <c r="ASL22" s="30"/>
      <c r="ASM22" s="30"/>
      <c r="ASN22" s="30"/>
      <c r="ASO22" s="30"/>
      <c r="ASP22" s="30"/>
      <c r="ASQ22" s="30"/>
      <c r="ASR22" s="30"/>
      <c r="ASS22" s="30"/>
      <c r="AST22" s="30"/>
      <c r="ASU22" s="30"/>
      <c r="ASV22" s="56"/>
      <c r="ASW22" s="57"/>
      <c r="ASX22" s="30"/>
      <c r="ASY22" s="30"/>
      <c r="ASZ22" s="30"/>
      <c r="ATA22" s="30"/>
      <c r="ATB22" s="30"/>
      <c r="ATC22" s="30"/>
      <c r="ATD22" s="30"/>
      <c r="ATE22" s="30"/>
      <c r="ATF22" s="30"/>
      <c r="ATG22" s="30"/>
      <c r="ATH22" s="30"/>
      <c r="ATI22" s="30"/>
      <c r="ATJ22" s="30"/>
      <c r="ATK22" s="30"/>
      <c r="ATL22" s="30"/>
      <c r="ATM22" s="30"/>
      <c r="ATN22" s="30"/>
      <c r="ATO22" s="30"/>
      <c r="ATP22" s="30"/>
      <c r="ATQ22" s="30"/>
      <c r="ATR22" s="30"/>
      <c r="ATS22" s="30"/>
      <c r="ATT22" s="30"/>
      <c r="ATU22" s="30"/>
      <c r="ATV22" s="30"/>
      <c r="ATW22" s="30"/>
      <c r="ATX22" s="30"/>
      <c r="ATY22" s="30"/>
      <c r="ATZ22" s="30"/>
      <c r="AUA22" s="30"/>
      <c r="AUB22" s="30"/>
      <c r="AUC22" s="30"/>
      <c r="AUD22" s="56"/>
      <c r="AUE22" s="30"/>
      <c r="AUF22" s="30"/>
      <c r="AUG22" s="30"/>
      <c r="AUH22" s="30"/>
      <c r="AUI22" s="30"/>
      <c r="AUJ22" s="30"/>
      <c r="AUK22" s="30"/>
      <c r="AUL22" s="30"/>
      <c r="AUM22" s="30"/>
      <c r="AUN22" s="30"/>
      <c r="AUO22" s="30"/>
      <c r="AUP22" s="30"/>
      <c r="AUQ22" s="30"/>
      <c r="AUR22" s="30"/>
      <c r="AUS22" s="30"/>
      <c r="AUT22" s="30"/>
      <c r="AUU22" s="30"/>
      <c r="AUV22" s="30"/>
      <c r="AUW22" s="30"/>
      <c r="AUX22" s="30"/>
      <c r="AUY22" s="30"/>
      <c r="AUZ22" s="30"/>
      <c r="AVA22" s="30"/>
      <c r="AVB22" s="30"/>
      <c r="AVC22" s="30"/>
      <c r="AVD22" s="30"/>
      <c r="AVE22" s="30"/>
      <c r="AVF22" s="30"/>
      <c r="AVG22" s="30"/>
      <c r="AVH22" s="30"/>
      <c r="AVI22" s="30"/>
      <c r="AVJ22" s="30"/>
      <c r="AVK22" s="56"/>
      <c r="AVL22" s="30"/>
      <c r="AVM22" s="30"/>
      <c r="AVN22" s="30"/>
      <c r="AVO22" s="30"/>
      <c r="AVP22" s="30"/>
      <c r="AVQ22" s="30"/>
      <c r="AVR22" s="30"/>
      <c r="AVS22" s="30"/>
      <c r="AVT22" s="30"/>
      <c r="AVU22" s="30"/>
      <c r="AVV22" s="30"/>
      <c r="AVW22" s="30"/>
      <c r="AVX22" s="30"/>
      <c r="AVY22" s="30"/>
      <c r="AVZ22" s="30"/>
      <c r="AWA22" s="30"/>
      <c r="AWB22" s="30"/>
      <c r="AWC22" s="30"/>
      <c r="AWD22" s="30"/>
      <c r="AWE22" s="30"/>
      <c r="AWF22" s="30"/>
      <c r="AWG22" s="30"/>
      <c r="AWH22" s="30"/>
      <c r="AWI22" s="30"/>
      <c r="AWJ22" s="30"/>
      <c r="AWK22" s="30"/>
      <c r="AWL22" s="30"/>
      <c r="AWM22" s="30"/>
      <c r="AWN22" s="30"/>
      <c r="AWO22" s="30"/>
      <c r="AWP22" s="30"/>
      <c r="AWQ22" s="30"/>
      <c r="AWR22" s="56"/>
      <c r="AWS22" s="30"/>
      <c r="AWT22" s="30"/>
      <c r="AWU22" s="30"/>
      <c r="AWV22" s="30"/>
      <c r="AWW22" s="30"/>
      <c r="AWX22" s="30"/>
      <c r="AWY22" s="30"/>
      <c r="AWZ22" s="30"/>
      <c r="AXA22" s="30"/>
      <c r="AXB22" s="30"/>
      <c r="AXC22" s="30"/>
      <c r="AXD22" s="30"/>
      <c r="AXE22" s="30"/>
      <c r="AXF22" s="30"/>
      <c r="AXG22" s="30"/>
      <c r="AXH22" s="30"/>
      <c r="AXI22" s="30"/>
      <c r="AXJ22" s="30"/>
      <c r="AXK22" s="30"/>
      <c r="AXL22" s="30"/>
      <c r="AXM22" s="30"/>
      <c r="AXN22" s="30"/>
      <c r="AXO22" s="30"/>
      <c r="AXP22" s="30"/>
      <c r="AXQ22" s="30"/>
      <c r="AXR22" s="30"/>
      <c r="AXS22" s="30"/>
      <c r="AXT22" s="30"/>
      <c r="AXU22" s="30"/>
      <c r="AXV22" s="30"/>
      <c r="AXW22" s="30"/>
      <c r="AXX22" s="30"/>
      <c r="AXY22" s="56"/>
      <c r="AXZ22" s="30"/>
      <c r="AYA22" s="30"/>
      <c r="AYB22" s="30"/>
      <c r="AYC22" s="30"/>
      <c r="AYD22" s="30"/>
      <c r="AYE22" s="30"/>
      <c r="AYF22" s="30"/>
      <c r="AYG22" s="30"/>
      <c r="AYH22" s="30"/>
      <c r="AYI22" s="30"/>
      <c r="AYJ22" s="30"/>
      <c r="AYK22" s="30"/>
      <c r="AYL22" s="30"/>
      <c r="AYM22" s="30"/>
      <c r="AYN22" s="30"/>
      <c r="AYO22" s="30"/>
      <c r="AYP22" s="30"/>
      <c r="AYQ22" s="30"/>
      <c r="AYR22" s="30"/>
      <c r="AYS22" s="30"/>
      <c r="AYT22" s="30"/>
      <c r="AYU22" s="30"/>
      <c r="AYV22" s="30"/>
      <c r="AYW22" s="30"/>
      <c r="AYX22" s="30"/>
      <c r="AYY22" s="30"/>
      <c r="AYZ22" s="30"/>
      <c r="AZA22" s="30"/>
      <c r="AZB22" s="30"/>
      <c r="AZC22" s="30"/>
      <c r="AZD22" s="30"/>
      <c r="AZE22" s="30"/>
      <c r="AZF22" s="56"/>
      <c r="AZG22" s="30"/>
      <c r="AZH22" s="30"/>
      <c r="AZI22" s="30"/>
      <c r="AZJ22" s="30"/>
      <c r="AZK22" s="30"/>
      <c r="AZL22" s="30"/>
      <c r="AZM22" s="30"/>
      <c r="AZN22" s="30"/>
      <c r="AZO22" s="30"/>
      <c r="AZP22" s="30"/>
      <c r="AZQ22" s="30"/>
      <c r="AZR22" s="30"/>
      <c r="AZS22" s="30"/>
      <c r="AZT22" s="30"/>
      <c r="AZU22" s="30"/>
      <c r="AZV22" s="30"/>
      <c r="AZW22" s="30"/>
      <c r="AZX22" s="30"/>
      <c r="AZY22" s="30"/>
      <c r="AZZ22" s="30"/>
      <c r="BAA22" s="30"/>
      <c r="BAB22" s="30"/>
      <c r="BAC22" s="30"/>
      <c r="BAD22" s="30"/>
      <c r="BAE22" s="30"/>
      <c r="BAF22" s="30"/>
      <c r="BAG22" s="30"/>
      <c r="BAH22" s="30"/>
      <c r="BAI22" s="30"/>
      <c r="BAJ22" s="30"/>
      <c r="BAK22" s="30"/>
      <c r="BAL22" s="30"/>
      <c r="BAM22" s="56"/>
      <c r="BAN22" s="30"/>
      <c r="BAO22" s="30"/>
      <c r="BAP22" s="30"/>
      <c r="BAQ22" s="30"/>
      <c r="BAR22" s="30"/>
      <c r="BAS22" s="30"/>
      <c r="BAT22" s="30"/>
      <c r="BAU22" s="30"/>
      <c r="BAV22" s="30"/>
      <c r="BAW22" s="30"/>
      <c r="BAX22" s="30"/>
      <c r="BAY22" s="30"/>
      <c r="BAZ22" s="30"/>
      <c r="BBA22" s="30"/>
      <c r="BBB22" s="30"/>
      <c r="BBC22" s="30"/>
      <c r="BBD22" s="30"/>
      <c r="BBE22" s="30"/>
      <c r="BBF22" s="30"/>
      <c r="BBG22" s="30"/>
      <c r="BBH22" s="30"/>
      <c r="BBI22" s="30"/>
      <c r="BBJ22" s="30"/>
      <c r="BBK22" s="30"/>
      <c r="BBL22" s="30"/>
      <c r="BBM22" s="30"/>
      <c r="BBN22" s="30"/>
      <c r="BBO22" s="30"/>
      <c r="BBP22" s="30"/>
      <c r="BBQ22" s="30"/>
      <c r="BBR22" s="30"/>
      <c r="BBS22" s="30"/>
      <c r="BBT22" s="56"/>
      <c r="BBU22" s="30"/>
      <c r="BBV22" s="30"/>
      <c r="BBW22" s="30"/>
      <c r="BBX22" s="30"/>
      <c r="BBY22" s="30"/>
      <c r="BBZ22" s="30"/>
      <c r="BCA22" s="30"/>
      <c r="BCB22" s="30"/>
      <c r="BCC22" s="30"/>
      <c r="BCD22" s="30"/>
      <c r="BCE22" s="30"/>
      <c r="BCF22" s="30"/>
      <c r="BCG22" s="30"/>
      <c r="BCH22" s="30"/>
      <c r="BCI22" s="30"/>
      <c r="BCJ22" s="30"/>
      <c r="BCK22" s="30"/>
      <c r="BCL22" s="30"/>
      <c r="BCM22" s="30"/>
      <c r="BCN22" s="30"/>
      <c r="BCO22" s="30"/>
      <c r="BCP22" s="30"/>
      <c r="BCQ22" s="30"/>
      <c r="BCR22" s="30"/>
      <c r="BCS22" s="30"/>
      <c r="BCT22" s="30"/>
      <c r="BCU22" s="30"/>
      <c r="BCV22" s="30"/>
      <c r="BCW22" s="30"/>
      <c r="BCX22" s="30"/>
      <c r="BCY22" s="30"/>
      <c r="BCZ22" s="30"/>
      <c r="BDA22" s="56"/>
      <c r="BDB22" s="30"/>
      <c r="BDC22" s="30"/>
      <c r="BDD22" s="30"/>
      <c r="BDE22" s="30"/>
      <c r="BDF22" s="30"/>
      <c r="BDG22" s="30"/>
      <c r="BDH22" s="30"/>
      <c r="BDI22" s="30"/>
      <c r="BDJ22" s="30"/>
      <c r="BDK22" s="30"/>
      <c r="BDL22" s="30"/>
      <c r="BDM22" s="30"/>
      <c r="BDN22" s="30"/>
      <c r="BDO22" s="30"/>
      <c r="BDP22" s="30"/>
      <c r="BDQ22" s="30"/>
      <c r="BDR22" s="30"/>
      <c r="BDS22" s="30"/>
      <c r="BDT22" s="30"/>
      <c r="BDU22" s="30"/>
      <c r="BDV22" s="30"/>
      <c r="BDW22" s="30"/>
      <c r="BDX22" s="30"/>
      <c r="BDY22" s="30"/>
      <c r="BDZ22" s="30"/>
      <c r="BEA22" s="30"/>
      <c r="BEB22" s="30"/>
      <c r="BEC22" s="30"/>
      <c r="BED22" s="30"/>
      <c r="BEE22" s="30"/>
      <c r="BEF22" s="30"/>
      <c r="BEG22" s="30"/>
      <c r="BEH22" s="56"/>
      <c r="BEI22" s="30"/>
      <c r="BEJ22" s="30"/>
      <c r="BEK22" s="30"/>
      <c r="BEL22" s="30"/>
      <c r="BEM22" s="30"/>
      <c r="BEN22" s="30"/>
      <c r="BEO22" s="30"/>
      <c r="BEP22" s="30"/>
      <c r="BEQ22" s="30"/>
      <c r="BER22" s="30"/>
      <c r="BES22" s="30"/>
      <c r="BET22" s="30"/>
      <c r="BEU22" s="30"/>
      <c r="BEV22" s="30"/>
      <c r="BEW22" s="30"/>
      <c r="BEX22" s="30"/>
      <c r="BEY22" s="30"/>
      <c r="BEZ22" s="30"/>
      <c r="BFA22" s="30"/>
      <c r="BFB22" s="30"/>
      <c r="BFC22" s="30"/>
      <c r="BFD22" s="30"/>
      <c r="BFE22" s="30"/>
      <c r="BFF22" s="30"/>
      <c r="BFG22" s="30"/>
      <c r="BFH22" s="30"/>
      <c r="BFI22" s="30"/>
      <c r="BFJ22" s="30"/>
      <c r="BFK22" s="30"/>
      <c r="BFL22" s="30"/>
      <c r="BFM22" s="30"/>
      <c r="BFN22" s="30"/>
      <c r="BFO22" s="56"/>
      <c r="BFP22" s="30"/>
      <c r="BFQ22" s="30"/>
      <c r="BFR22" s="30"/>
      <c r="BFS22" s="30"/>
      <c r="BFT22" s="30"/>
      <c r="BFU22" s="30"/>
      <c r="BFV22" s="30"/>
      <c r="BFW22" s="30"/>
      <c r="BFX22" s="30"/>
      <c r="BFY22" s="30"/>
      <c r="BFZ22" s="30"/>
      <c r="BGA22" s="30"/>
      <c r="BGB22" s="30"/>
      <c r="BGC22" s="30"/>
      <c r="BGD22" s="30"/>
      <c r="BGE22" s="30"/>
      <c r="BGF22" s="30"/>
      <c r="BGG22" s="30"/>
      <c r="BGH22" s="30"/>
      <c r="BGI22" s="30"/>
      <c r="BGJ22" s="30"/>
      <c r="BGK22" s="30"/>
      <c r="BGL22" s="30"/>
      <c r="BGM22" s="30"/>
      <c r="BGN22" s="30"/>
      <c r="BGO22" s="30"/>
      <c r="BGP22" s="30"/>
      <c r="BGQ22" s="30"/>
      <c r="BGR22" s="30"/>
      <c r="BGS22" s="30"/>
      <c r="BGT22" s="30"/>
      <c r="BGU22" s="30"/>
      <c r="BGV22" s="56"/>
      <c r="BGW22" s="30"/>
      <c r="BGX22" s="30"/>
      <c r="BGY22" s="30"/>
      <c r="BGZ22" s="30"/>
      <c r="BHA22" s="30"/>
      <c r="BHB22" s="30"/>
      <c r="BHC22" s="30"/>
      <c r="BHD22" s="30"/>
      <c r="BHE22" s="30"/>
      <c r="BHF22" s="30"/>
      <c r="BHG22" s="30"/>
      <c r="BHH22" s="30"/>
      <c r="BHI22" s="30"/>
      <c r="BHJ22" s="30"/>
      <c r="BHK22" s="30"/>
      <c r="BHL22" s="30"/>
      <c r="BHM22" s="30"/>
      <c r="BHN22" s="30"/>
      <c r="BHO22" s="30"/>
      <c r="BHP22" s="30"/>
      <c r="BHQ22" s="30"/>
      <c r="BHR22" s="30"/>
      <c r="BHS22" s="30"/>
      <c r="BHT22" s="30"/>
      <c r="BHU22" s="30"/>
      <c r="BHV22" s="30"/>
      <c r="BHW22" s="30"/>
      <c r="BHX22" s="30"/>
      <c r="BHY22" s="30"/>
      <c r="BHZ22" s="30"/>
      <c r="BIA22" s="30"/>
      <c r="BIB22" s="30"/>
      <c r="BIC22" s="56"/>
      <c r="BID22" s="57"/>
    </row>
  </sheetData>
  <mergeCells count="53">
    <mergeCell ref="BQ4:CV4"/>
    <mergeCell ref="CX4:EC4"/>
    <mergeCell ref="B4:AG4"/>
    <mergeCell ref="AJ4:BO4"/>
    <mergeCell ref="LU4:MZ4"/>
    <mergeCell ref="NB4:OG4"/>
    <mergeCell ref="OJ4:PO4"/>
    <mergeCell ref="EE4:FJ4"/>
    <mergeCell ref="FL4:GQ4"/>
    <mergeCell ref="GS4:HX4"/>
    <mergeCell ref="HZ4:JE4"/>
    <mergeCell ref="JG4:KL4"/>
    <mergeCell ref="KN4:LS4"/>
    <mergeCell ref="ACI4:ADN4"/>
    <mergeCell ref="PQ4:QV4"/>
    <mergeCell ref="QX4:SC4"/>
    <mergeCell ref="SE4:TJ4"/>
    <mergeCell ref="TL4:UQ4"/>
    <mergeCell ref="US4:VX4"/>
    <mergeCell ref="VZ4:XE4"/>
    <mergeCell ref="XG4:YL4"/>
    <mergeCell ref="ARP4:ASU4"/>
    <mergeCell ref="B3:OI3"/>
    <mergeCell ref="OJ3:ADP3"/>
    <mergeCell ref="ADQ3:ASW3"/>
    <mergeCell ref="ADQ4:AEV4"/>
    <mergeCell ref="AEX4:AGC4"/>
    <mergeCell ref="AGE4:AHJ4"/>
    <mergeCell ref="AHL4:AIQ4"/>
    <mergeCell ref="AIS4:AJX4"/>
    <mergeCell ref="AJZ4:ALE4"/>
    <mergeCell ref="ALG4:AML4"/>
    <mergeCell ref="AMN4:ANS4"/>
    <mergeCell ref="ANU4:AOZ4"/>
    <mergeCell ref="YN4:ZS4"/>
    <mergeCell ref="ZU4:AAZ4"/>
    <mergeCell ref="ABB4:ACG4"/>
    <mergeCell ref="AUD3:BID3"/>
    <mergeCell ref="B2:BID2"/>
    <mergeCell ref="BBU4:BCZ4"/>
    <mergeCell ref="BDB4:BEG4"/>
    <mergeCell ref="BEI4:BFN4"/>
    <mergeCell ref="BFP4:BGU4"/>
    <mergeCell ref="BGW4:BIB4"/>
    <mergeCell ref="ASX4:AUC4"/>
    <mergeCell ref="AUE4:AVJ4"/>
    <mergeCell ref="AVL4:AWQ4"/>
    <mergeCell ref="AWS4:AXX4"/>
    <mergeCell ref="AXZ4:AZE4"/>
    <mergeCell ref="AZG4:BAL4"/>
    <mergeCell ref="BAN4:BBS4"/>
    <mergeCell ref="APB4:AQG4"/>
    <mergeCell ref="AQI4:ARN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BIL47"/>
  <sheetViews>
    <sheetView showGridLines="0" zoomScale="60" zoomScaleNormal="60" workbookViewId="0">
      <selection activeCell="G9" sqref="G9"/>
    </sheetView>
  </sheetViews>
  <sheetFormatPr defaultRowHeight="15" outlineLevelCol="3" x14ac:dyDescent="0.25"/>
  <cols>
    <col min="3" max="3" width="0" hidden="1" customWidth="1"/>
    <col min="5" max="5" width="0" hidden="1" customWidth="1"/>
    <col min="9" max="9" width="24.7109375" hidden="1" customWidth="1" outlineLevel="2"/>
    <col min="10" max="40" width="3.5703125" hidden="1" customWidth="1" outlineLevel="2"/>
    <col min="41" max="41" width="3.5703125" customWidth="1" outlineLevel="1" collapsed="1"/>
    <col min="42" max="42" width="8.7109375" customWidth="1" outlineLevel="1" collapsed="1"/>
    <col min="43" max="74" width="3.5703125" hidden="1" customWidth="1" outlineLevel="2"/>
    <col min="75" max="75" width="3.5703125" customWidth="1" outlineLevel="1" collapsed="1"/>
    <col min="76" max="76" width="9" customWidth="1" outlineLevel="1"/>
    <col min="77" max="108" width="4.42578125" hidden="1" customWidth="1" outlineLevel="2"/>
    <col min="109" max="109" width="8" customWidth="1" outlineLevel="1" collapsed="1"/>
    <col min="110" max="141" width="9.140625" hidden="1" customWidth="1" outlineLevel="2"/>
    <col min="142" max="142" width="9.140625" customWidth="1" outlineLevel="1" collapsed="1"/>
    <col min="143" max="174" width="9.140625" hidden="1" customWidth="1" outlineLevel="2"/>
    <col min="175" max="175" width="9.140625" customWidth="1" outlineLevel="1" collapsed="1"/>
    <col min="176" max="207" width="9.140625" hidden="1" customWidth="1" outlineLevel="2"/>
    <col min="208" max="208" width="9.140625" customWidth="1" outlineLevel="1" collapsed="1"/>
    <col min="209" max="240" width="9.140625" hidden="1" customWidth="1" outlineLevel="2"/>
    <col min="241" max="241" width="9.140625" customWidth="1" outlineLevel="1" collapsed="1"/>
    <col min="242" max="273" width="9.140625" hidden="1" customWidth="1" outlineLevel="2"/>
    <col min="274" max="274" width="9.140625" customWidth="1" outlineLevel="1" collapsed="1"/>
    <col min="275" max="306" width="9.140625" hidden="1" customWidth="1" outlineLevel="2"/>
    <col min="307" max="307" width="9.140625" customWidth="1" outlineLevel="1" collapsed="1"/>
    <col min="308" max="339" width="9.140625" hidden="1" customWidth="1" outlineLevel="2"/>
    <col min="340" max="340" width="9.140625" customWidth="1" outlineLevel="1" collapsed="1"/>
    <col min="341" max="372" width="9.140625" hidden="1" customWidth="1" outlineLevel="2"/>
    <col min="373" max="373" width="9.140625" customWidth="1" outlineLevel="1" collapsed="1"/>
    <col min="374" max="405" width="9.140625" hidden="1" customWidth="1" outlineLevel="2"/>
    <col min="406" max="406" width="9.140625" customWidth="1" outlineLevel="1" collapsed="1"/>
    <col min="407" max="407" width="9.140625" customWidth="1"/>
    <col min="408" max="439" width="9.140625" hidden="1" customWidth="1" outlineLevel="2"/>
    <col min="440" max="440" width="9.140625" hidden="1" customWidth="1" outlineLevel="1"/>
    <col min="441" max="472" width="3.5703125" hidden="1" customWidth="1" outlineLevel="2"/>
    <col min="473" max="473" width="9" hidden="1" customWidth="1" outlineLevel="1"/>
    <col min="474" max="505" width="4.42578125" hidden="1" customWidth="1" outlineLevel="2"/>
    <col min="506" max="506" width="8" hidden="1" customWidth="1" outlineLevel="1"/>
    <col min="507" max="538" width="9.140625" hidden="1" customWidth="1" outlineLevel="2"/>
    <col min="539" max="539" width="9.140625" hidden="1" customWidth="1" outlineLevel="1"/>
    <col min="540" max="571" width="9.140625" hidden="1" customWidth="1" outlineLevel="2"/>
    <col min="572" max="572" width="9.140625" hidden="1" customWidth="1" outlineLevel="1"/>
    <col min="573" max="604" width="9.140625" hidden="1" customWidth="1" outlineLevel="2"/>
    <col min="605" max="605" width="9.140625" hidden="1" customWidth="1" outlineLevel="1"/>
    <col min="606" max="637" width="9.140625" hidden="1" customWidth="1" outlineLevel="2"/>
    <col min="638" max="638" width="9.140625" hidden="1" customWidth="1" outlineLevel="1"/>
    <col min="639" max="670" width="9.140625" hidden="1" customWidth="1" outlineLevel="2"/>
    <col min="671" max="671" width="9.140625" hidden="1" customWidth="1" outlineLevel="1"/>
    <col min="672" max="703" width="9.140625" hidden="1" customWidth="1" outlineLevel="2"/>
    <col min="704" max="704" width="9.140625" hidden="1" customWidth="1" outlineLevel="1"/>
    <col min="705" max="736" width="9.140625" hidden="1" customWidth="1" outlineLevel="2"/>
    <col min="737" max="737" width="9.140625" hidden="1" customWidth="1" outlineLevel="1"/>
    <col min="738" max="769" width="9.140625" hidden="1" customWidth="1" outlineLevel="2"/>
    <col min="770" max="770" width="9.140625" hidden="1" customWidth="1" outlineLevel="1"/>
    <col min="771" max="802" width="9.140625" hidden="1" customWidth="1" outlineLevel="2"/>
    <col min="803" max="803" width="9.140625" hidden="1" customWidth="1" outlineLevel="1"/>
    <col min="804" max="804" width="9.140625" collapsed="1"/>
    <col min="805" max="836" width="9.140625" hidden="1" customWidth="1" outlineLevel="2"/>
    <col min="837" max="837" width="9.140625" hidden="1" customWidth="1" outlineLevel="1"/>
    <col min="838" max="869" width="3.5703125" hidden="1" customWidth="1" outlineLevel="2"/>
    <col min="870" max="870" width="9" hidden="1" customWidth="1" outlineLevel="1"/>
    <col min="871" max="902" width="4.42578125" hidden="1" customWidth="1" outlineLevel="2"/>
    <col min="903" max="903" width="8" hidden="1" customWidth="1" outlineLevel="1"/>
    <col min="904" max="935" width="9.140625" hidden="1" customWidth="1" outlineLevel="2"/>
    <col min="936" max="936" width="9.140625" hidden="1" customWidth="1" outlineLevel="1"/>
    <col min="937" max="968" width="9.140625" hidden="1" customWidth="1" outlineLevel="3"/>
    <col min="969" max="969" width="9.140625" hidden="1" customWidth="1" outlineLevel="1"/>
    <col min="970" max="1001" width="9.140625" hidden="1" customWidth="1" outlineLevel="2"/>
    <col min="1002" max="1002" width="9.140625" hidden="1" customWidth="1" outlineLevel="1"/>
    <col min="1003" max="1034" width="9.140625" hidden="1" customWidth="1" outlineLevel="2"/>
    <col min="1035" max="1035" width="9.140625" hidden="1" customWidth="1" outlineLevel="1"/>
    <col min="1036" max="1067" width="9.140625" hidden="1" customWidth="1" outlineLevel="2"/>
    <col min="1068" max="1068" width="9.140625" hidden="1" customWidth="1" outlineLevel="1"/>
    <col min="1069" max="1100" width="9.140625" hidden="1" customWidth="1" outlineLevel="2"/>
    <col min="1101" max="1101" width="9.140625" hidden="1" customWidth="1" outlineLevel="1"/>
    <col min="1102" max="1133" width="9.140625" hidden="1" customWidth="1" outlineLevel="2"/>
    <col min="1134" max="1134" width="9.140625" hidden="1" customWidth="1" outlineLevel="1"/>
    <col min="1135" max="1166" width="9.140625" hidden="1" customWidth="1" outlineLevel="2"/>
    <col min="1167" max="1167" width="9.140625" hidden="1" customWidth="1" outlineLevel="1"/>
    <col min="1168" max="1199" width="9.140625" hidden="1" customWidth="1" outlineLevel="2"/>
    <col min="1200" max="1200" width="9.140625" hidden="1" customWidth="1" outlineLevel="1"/>
    <col min="1201" max="1201" width="9.140625" collapsed="1"/>
    <col min="1202" max="1233" width="9.140625" hidden="1" customWidth="1" outlineLevel="2"/>
    <col min="1234" max="1234" width="9.140625" hidden="1" customWidth="1" outlineLevel="1"/>
    <col min="1235" max="1266" width="3.5703125" hidden="1" customWidth="1" outlineLevel="2"/>
    <col min="1267" max="1267" width="9" hidden="1" customWidth="1" outlineLevel="1"/>
    <col min="1268" max="1299" width="4.42578125" hidden="1" customWidth="1" outlineLevel="2"/>
    <col min="1300" max="1300" width="8" hidden="1" customWidth="1" outlineLevel="1"/>
    <col min="1301" max="1332" width="9.140625" hidden="1" customWidth="1" outlineLevel="2"/>
    <col min="1333" max="1333" width="9.140625" hidden="1" customWidth="1" outlineLevel="1"/>
    <col min="1334" max="1365" width="9.140625" hidden="1" customWidth="1" outlineLevel="3"/>
    <col min="1366" max="1366" width="9.140625" hidden="1" customWidth="1" outlineLevel="1"/>
    <col min="1367" max="1398" width="9.140625" hidden="1" customWidth="1" outlineLevel="2"/>
    <col min="1399" max="1399" width="9.140625" hidden="1" customWidth="1" outlineLevel="1"/>
    <col min="1400" max="1431" width="9.140625" hidden="1" customWidth="1" outlineLevel="2"/>
    <col min="1432" max="1432" width="9.140625" hidden="1" customWidth="1" outlineLevel="1"/>
    <col min="1433" max="1464" width="9.140625" hidden="1" customWidth="1" outlineLevel="2"/>
    <col min="1465" max="1465" width="9.140625" hidden="1" customWidth="1" outlineLevel="1"/>
    <col min="1466" max="1497" width="9.140625" hidden="1" customWidth="1" outlineLevel="2"/>
    <col min="1498" max="1498" width="9.140625" hidden="1" customWidth="1" outlineLevel="1"/>
    <col min="1499" max="1530" width="9.140625" hidden="1" customWidth="1" outlineLevel="2"/>
    <col min="1531" max="1531" width="9.140625" hidden="1" customWidth="1" outlineLevel="1"/>
    <col min="1532" max="1563" width="9.140625" hidden="1" customWidth="1" outlineLevel="2"/>
    <col min="1564" max="1564" width="9.140625" hidden="1" customWidth="1" outlineLevel="1"/>
    <col min="1565" max="1596" width="9.140625" hidden="1" customWidth="1" outlineLevel="2"/>
    <col min="1597" max="1597" width="9.140625" hidden="1" customWidth="1" outlineLevel="1"/>
    <col min="1598" max="1598" width="9.140625" collapsed="1"/>
  </cols>
  <sheetData>
    <row r="3" spans="2:1598" ht="36" customHeight="1" x14ac:dyDescent="0.3">
      <c r="F3" s="10"/>
      <c r="G3" s="10"/>
      <c r="H3" s="10"/>
      <c r="I3" s="143" t="s">
        <v>45</v>
      </c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  <c r="DR3" s="143"/>
      <c r="DS3" s="143"/>
      <c r="DT3" s="143"/>
      <c r="DU3" s="143"/>
      <c r="DV3" s="143"/>
      <c r="DW3" s="143"/>
      <c r="DX3" s="143"/>
      <c r="DY3" s="143"/>
      <c r="DZ3" s="143"/>
      <c r="EA3" s="143"/>
      <c r="EB3" s="143"/>
      <c r="EC3" s="143"/>
      <c r="ED3" s="143"/>
      <c r="EE3" s="143"/>
      <c r="EF3" s="143"/>
      <c r="EG3" s="143"/>
      <c r="EH3" s="143"/>
      <c r="EI3" s="143"/>
      <c r="EJ3" s="143"/>
      <c r="EK3" s="143"/>
      <c r="EL3" s="143"/>
      <c r="EM3" s="143"/>
      <c r="EN3" s="143"/>
      <c r="EO3" s="143"/>
      <c r="EP3" s="143"/>
      <c r="EQ3" s="143"/>
      <c r="ER3" s="143"/>
      <c r="ES3" s="143"/>
      <c r="ET3" s="143"/>
      <c r="EU3" s="143"/>
      <c r="EV3" s="143"/>
      <c r="EW3" s="143"/>
      <c r="EX3" s="143"/>
      <c r="EY3" s="143"/>
      <c r="EZ3" s="143"/>
      <c r="FA3" s="143"/>
      <c r="FB3" s="143"/>
      <c r="FC3" s="143"/>
      <c r="FD3" s="143"/>
      <c r="FE3" s="143"/>
      <c r="FF3" s="143"/>
      <c r="FG3" s="143"/>
      <c r="FH3" s="143"/>
      <c r="FI3" s="143"/>
      <c r="FJ3" s="143"/>
      <c r="FK3" s="143"/>
      <c r="FL3" s="143"/>
      <c r="FM3" s="143"/>
      <c r="FN3" s="143"/>
      <c r="FO3" s="143"/>
      <c r="FP3" s="143"/>
      <c r="FQ3" s="143"/>
      <c r="FR3" s="143"/>
      <c r="FS3" s="143"/>
      <c r="FT3" s="143"/>
      <c r="FU3" s="143"/>
      <c r="FV3" s="143"/>
      <c r="FW3" s="143"/>
      <c r="FX3" s="143"/>
      <c r="FY3" s="143"/>
      <c r="FZ3" s="143"/>
      <c r="GA3" s="143"/>
      <c r="GB3" s="143"/>
      <c r="GC3" s="143"/>
      <c r="GD3" s="143"/>
      <c r="GE3" s="143"/>
      <c r="GF3" s="143"/>
      <c r="GG3" s="143"/>
      <c r="GH3" s="143"/>
      <c r="GI3" s="143"/>
      <c r="GJ3" s="143"/>
      <c r="GK3" s="143"/>
      <c r="GL3" s="143"/>
      <c r="GM3" s="143"/>
      <c r="GN3" s="143"/>
      <c r="GO3" s="143"/>
      <c r="GP3" s="143"/>
      <c r="GQ3" s="143"/>
      <c r="GR3" s="143"/>
      <c r="GS3" s="143"/>
      <c r="GT3" s="143"/>
      <c r="GU3" s="143"/>
      <c r="GV3" s="143"/>
      <c r="GW3" s="143"/>
      <c r="GX3" s="143"/>
      <c r="GY3" s="143"/>
      <c r="GZ3" s="143"/>
      <c r="HA3" s="143"/>
      <c r="HB3" s="143"/>
      <c r="HC3" s="143"/>
      <c r="HD3" s="143"/>
      <c r="HE3" s="143"/>
      <c r="HF3" s="143"/>
      <c r="HG3" s="143"/>
      <c r="HH3" s="143"/>
      <c r="HI3" s="143"/>
      <c r="HJ3" s="143"/>
      <c r="HK3" s="143"/>
      <c r="HL3" s="143"/>
      <c r="HM3" s="143"/>
      <c r="HN3" s="143"/>
      <c r="HO3" s="143"/>
      <c r="HP3" s="143"/>
      <c r="HQ3" s="143"/>
      <c r="HR3" s="143"/>
      <c r="HS3" s="143"/>
      <c r="HT3" s="143"/>
      <c r="HU3" s="143"/>
      <c r="HV3" s="143"/>
      <c r="HW3" s="143"/>
      <c r="HX3" s="143"/>
      <c r="HY3" s="143"/>
      <c r="HZ3" s="143"/>
      <c r="IA3" s="143"/>
      <c r="IB3" s="143"/>
      <c r="IC3" s="143"/>
      <c r="ID3" s="143"/>
      <c r="IE3" s="143"/>
      <c r="IF3" s="143"/>
      <c r="IG3" s="143"/>
      <c r="IH3" s="143"/>
      <c r="II3" s="143"/>
      <c r="IJ3" s="143"/>
      <c r="IK3" s="143"/>
      <c r="IL3" s="143"/>
      <c r="IM3" s="143"/>
      <c r="IN3" s="143"/>
      <c r="IO3" s="143"/>
      <c r="IP3" s="143"/>
      <c r="IQ3" s="143"/>
      <c r="IR3" s="143"/>
      <c r="IS3" s="143"/>
      <c r="IT3" s="143"/>
      <c r="IU3" s="143"/>
      <c r="IV3" s="143"/>
      <c r="IW3" s="143"/>
      <c r="IX3" s="143"/>
      <c r="IY3" s="143"/>
      <c r="IZ3" s="143"/>
      <c r="JA3" s="143"/>
      <c r="JB3" s="143"/>
      <c r="JC3" s="143"/>
      <c r="JD3" s="143"/>
      <c r="JE3" s="143"/>
      <c r="JF3" s="143"/>
      <c r="JG3" s="143"/>
      <c r="JH3" s="143"/>
      <c r="JI3" s="143"/>
      <c r="JJ3" s="143"/>
      <c r="JK3" s="143"/>
      <c r="JL3" s="143"/>
      <c r="JM3" s="143"/>
      <c r="JN3" s="143"/>
      <c r="JO3" s="143"/>
      <c r="JP3" s="143"/>
      <c r="JQ3" s="143"/>
      <c r="JR3" s="143"/>
      <c r="JS3" s="143"/>
      <c r="JT3" s="143"/>
      <c r="JU3" s="143"/>
      <c r="JV3" s="143"/>
      <c r="JW3" s="143"/>
      <c r="JX3" s="143"/>
      <c r="JY3" s="143"/>
      <c r="JZ3" s="143"/>
      <c r="KA3" s="143"/>
      <c r="KB3" s="143"/>
      <c r="KC3" s="143"/>
      <c r="KD3" s="143"/>
      <c r="KE3" s="143"/>
      <c r="KF3" s="143"/>
      <c r="KG3" s="143"/>
      <c r="KH3" s="143"/>
      <c r="KI3" s="143"/>
      <c r="KJ3" s="143"/>
      <c r="KK3" s="143"/>
      <c r="KL3" s="143"/>
      <c r="KM3" s="143"/>
      <c r="KN3" s="143"/>
      <c r="KO3" s="143"/>
      <c r="KP3" s="143"/>
      <c r="KQ3" s="143"/>
      <c r="KR3" s="143"/>
      <c r="KS3" s="143"/>
      <c r="KT3" s="143"/>
      <c r="KU3" s="143"/>
      <c r="KV3" s="143"/>
      <c r="KW3" s="143"/>
      <c r="KX3" s="143"/>
      <c r="KY3" s="143"/>
      <c r="KZ3" s="143"/>
      <c r="LA3" s="143"/>
      <c r="LB3" s="143"/>
      <c r="LC3" s="143"/>
      <c r="LD3" s="143"/>
      <c r="LE3" s="143"/>
      <c r="LF3" s="143"/>
      <c r="LG3" s="143"/>
      <c r="LH3" s="143"/>
      <c r="LI3" s="143"/>
      <c r="LJ3" s="143"/>
      <c r="LK3" s="143"/>
      <c r="LL3" s="143"/>
      <c r="LM3" s="143"/>
      <c r="LN3" s="143"/>
      <c r="LO3" s="143"/>
      <c r="LP3" s="143"/>
      <c r="LQ3" s="143"/>
      <c r="LR3" s="143"/>
      <c r="LS3" s="143"/>
      <c r="LT3" s="143"/>
      <c r="LU3" s="143"/>
      <c r="LV3" s="143"/>
      <c r="LW3" s="143"/>
      <c r="LX3" s="143"/>
      <c r="LY3" s="143"/>
      <c r="LZ3" s="143"/>
      <c r="MA3" s="143"/>
      <c r="MB3" s="143"/>
      <c r="MC3" s="143"/>
      <c r="MD3" s="143"/>
      <c r="ME3" s="143"/>
      <c r="MF3" s="143"/>
      <c r="MG3" s="143"/>
      <c r="MH3" s="143"/>
      <c r="MI3" s="143"/>
      <c r="MJ3" s="143"/>
      <c r="MK3" s="143"/>
      <c r="ML3" s="143"/>
      <c r="MM3" s="143"/>
      <c r="MN3" s="143"/>
      <c r="MO3" s="143"/>
      <c r="MP3" s="143"/>
      <c r="MQ3" s="143"/>
      <c r="MR3" s="143"/>
      <c r="MS3" s="143"/>
      <c r="MT3" s="143"/>
      <c r="MU3" s="143"/>
      <c r="MV3" s="143"/>
      <c r="MW3" s="143"/>
      <c r="MX3" s="143"/>
      <c r="MY3" s="143"/>
      <c r="MZ3" s="143"/>
      <c r="NA3" s="143"/>
      <c r="NB3" s="143"/>
      <c r="NC3" s="143"/>
      <c r="ND3" s="143"/>
      <c r="NE3" s="143"/>
      <c r="NF3" s="143"/>
      <c r="NG3" s="143"/>
      <c r="NH3" s="143"/>
      <c r="NI3" s="143"/>
      <c r="NJ3" s="143"/>
      <c r="NK3" s="143"/>
      <c r="NL3" s="143"/>
      <c r="NM3" s="143"/>
      <c r="NN3" s="143"/>
      <c r="NO3" s="143"/>
      <c r="NP3" s="143"/>
      <c r="NQ3" s="143"/>
      <c r="NR3" s="143"/>
      <c r="NS3" s="143"/>
      <c r="NT3" s="143"/>
      <c r="NU3" s="143"/>
      <c r="NV3" s="143"/>
      <c r="NW3" s="143"/>
      <c r="NX3" s="143"/>
      <c r="NY3" s="143"/>
      <c r="NZ3" s="143"/>
      <c r="OA3" s="143"/>
      <c r="OB3" s="143"/>
      <c r="OC3" s="143"/>
      <c r="OD3" s="143"/>
      <c r="OE3" s="143"/>
      <c r="OF3" s="143"/>
      <c r="OG3" s="143"/>
      <c r="OH3" s="143"/>
      <c r="OI3" s="143"/>
      <c r="OJ3" s="143"/>
      <c r="OK3" s="143"/>
      <c r="OL3" s="143"/>
      <c r="OM3" s="143"/>
      <c r="ON3" s="143"/>
      <c r="OO3" s="143"/>
      <c r="OP3" s="143"/>
      <c r="OQ3" s="143"/>
      <c r="OR3" s="143"/>
      <c r="OS3" s="143"/>
      <c r="OT3" s="143"/>
      <c r="OU3" s="143"/>
      <c r="OV3" s="143"/>
      <c r="OW3" s="143"/>
      <c r="OX3" s="143"/>
      <c r="OY3" s="143"/>
      <c r="OZ3" s="143"/>
      <c r="PA3" s="143"/>
      <c r="PB3" s="143"/>
      <c r="PC3" s="143"/>
      <c r="PD3" s="143"/>
      <c r="PE3" s="143"/>
      <c r="PF3" s="143"/>
      <c r="PG3" s="143"/>
      <c r="PH3" s="143"/>
      <c r="PI3" s="143"/>
      <c r="PJ3" s="143"/>
      <c r="PK3" s="143"/>
      <c r="PL3" s="143"/>
      <c r="PM3" s="143"/>
      <c r="PN3" s="143"/>
      <c r="PO3" s="143"/>
      <c r="PP3" s="143"/>
      <c r="PQ3" s="143"/>
      <c r="PR3" s="143"/>
      <c r="PS3" s="143"/>
      <c r="PT3" s="143"/>
      <c r="PU3" s="143"/>
      <c r="PV3" s="143"/>
      <c r="PW3" s="143"/>
      <c r="PX3" s="143"/>
      <c r="PY3" s="143"/>
      <c r="PZ3" s="143"/>
      <c r="QA3" s="143"/>
      <c r="QB3" s="143"/>
      <c r="QC3" s="143"/>
      <c r="QD3" s="143"/>
      <c r="QE3" s="143"/>
      <c r="QF3" s="143"/>
      <c r="QG3" s="143"/>
      <c r="QH3" s="143"/>
      <c r="QI3" s="143"/>
      <c r="QJ3" s="143"/>
      <c r="QK3" s="143"/>
      <c r="QL3" s="143"/>
      <c r="QM3" s="143"/>
      <c r="QN3" s="143"/>
      <c r="QO3" s="143"/>
      <c r="QP3" s="143"/>
      <c r="QQ3" s="143"/>
      <c r="QR3" s="143"/>
      <c r="QS3" s="143"/>
      <c r="QT3" s="143"/>
      <c r="QU3" s="143"/>
      <c r="QV3" s="143"/>
      <c r="QW3" s="143"/>
      <c r="QX3" s="143"/>
      <c r="QY3" s="143"/>
      <c r="QZ3" s="143"/>
      <c r="RA3" s="143"/>
      <c r="RB3" s="143"/>
      <c r="RC3" s="143"/>
      <c r="RD3" s="143"/>
      <c r="RE3" s="143"/>
      <c r="RF3" s="143"/>
      <c r="RG3" s="143"/>
      <c r="RH3" s="143"/>
      <c r="RI3" s="143"/>
      <c r="RJ3" s="143"/>
      <c r="RK3" s="143"/>
      <c r="RL3" s="143"/>
      <c r="RM3" s="143"/>
      <c r="RN3" s="143"/>
      <c r="RO3" s="143"/>
      <c r="RP3" s="143"/>
      <c r="RQ3" s="143"/>
      <c r="RR3" s="143"/>
      <c r="RS3" s="143"/>
      <c r="RT3" s="143"/>
      <c r="RU3" s="143"/>
      <c r="RV3" s="143"/>
      <c r="RW3" s="143"/>
      <c r="RX3" s="143"/>
      <c r="RY3" s="143"/>
      <c r="RZ3" s="143"/>
      <c r="SA3" s="143"/>
      <c r="SB3" s="143"/>
      <c r="SC3" s="143"/>
      <c r="SD3" s="143"/>
      <c r="SE3" s="143"/>
      <c r="SF3" s="143"/>
      <c r="SG3" s="143"/>
      <c r="SH3" s="143"/>
      <c r="SI3" s="143"/>
      <c r="SJ3" s="143"/>
      <c r="SK3" s="143"/>
      <c r="SL3" s="143"/>
      <c r="SM3" s="143"/>
      <c r="SN3" s="143"/>
      <c r="SO3" s="143"/>
      <c r="SP3" s="143"/>
      <c r="SQ3" s="143"/>
      <c r="SR3" s="143"/>
      <c r="SS3" s="143"/>
      <c r="ST3" s="143"/>
      <c r="SU3" s="143"/>
      <c r="SV3" s="143"/>
      <c r="SW3" s="143"/>
      <c r="SX3" s="143"/>
      <c r="SY3" s="143"/>
      <c r="SZ3" s="143"/>
      <c r="TA3" s="143"/>
      <c r="TB3" s="143"/>
      <c r="TC3" s="143"/>
      <c r="TD3" s="143"/>
      <c r="TE3" s="143"/>
      <c r="TF3" s="143"/>
      <c r="TG3" s="143"/>
      <c r="TH3" s="143"/>
      <c r="TI3" s="143"/>
      <c r="TJ3" s="143"/>
      <c r="TK3" s="143"/>
      <c r="TL3" s="143"/>
      <c r="TM3" s="143"/>
      <c r="TN3" s="143"/>
      <c r="TO3" s="143"/>
      <c r="TP3" s="143"/>
      <c r="TQ3" s="143"/>
      <c r="TR3" s="143"/>
      <c r="TS3" s="143"/>
      <c r="TT3" s="143"/>
      <c r="TU3" s="143"/>
      <c r="TV3" s="143"/>
      <c r="TW3" s="143"/>
      <c r="TX3" s="143"/>
      <c r="TY3" s="143"/>
      <c r="TZ3" s="143"/>
      <c r="UA3" s="143"/>
      <c r="UB3" s="143"/>
      <c r="UC3" s="143"/>
      <c r="UD3" s="143"/>
      <c r="UE3" s="143"/>
      <c r="UF3" s="143"/>
      <c r="UG3" s="143"/>
      <c r="UH3" s="143"/>
      <c r="UI3" s="143"/>
      <c r="UJ3" s="143"/>
      <c r="UK3" s="143"/>
      <c r="UL3" s="143"/>
      <c r="UM3" s="143"/>
      <c r="UN3" s="143"/>
      <c r="UO3" s="143"/>
      <c r="UP3" s="143"/>
      <c r="UQ3" s="143"/>
      <c r="UR3" s="143"/>
      <c r="US3" s="143"/>
      <c r="UT3" s="143"/>
      <c r="UU3" s="143"/>
      <c r="UV3" s="143"/>
      <c r="UW3" s="143"/>
      <c r="UX3" s="143"/>
      <c r="UY3" s="143"/>
      <c r="UZ3" s="143"/>
      <c r="VA3" s="143"/>
      <c r="VB3" s="143"/>
      <c r="VC3" s="143"/>
      <c r="VD3" s="143"/>
      <c r="VE3" s="143"/>
      <c r="VF3" s="143"/>
      <c r="VG3" s="143"/>
      <c r="VH3" s="143"/>
      <c r="VI3" s="143"/>
      <c r="VJ3" s="143"/>
      <c r="VK3" s="143"/>
      <c r="VL3" s="143"/>
      <c r="VM3" s="143"/>
      <c r="VN3" s="143"/>
      <c r="VO3" s="143"/>
      <c r="VP3" s="143"/>
      <c r="VQ3" s="143"/>
      <c r="VR3" s="143"/>
      <c r="VS3" s="143"/>
      <c r="VT3" s="143"/>
      <c r="VU3" s="143"/>
      <c r="VV3" s="143"/>
      <c r="VW3" s="143"/>
      <c r="VX3" s="143"/>
      <c r="VY3" s="143"/>
      <c r="VZ3" s="143"/>
      <c r="WA3" s="143"/>
      <c r="WB3" s="143"/>
      <c r="WC3" s="143"/>
      <c r="WD3" s="143"/>
      <c r="WE3" s="143"/>
      <c r="WF3" s="143"/>
      <c r="WG3" s="143"/>
      <c r="WH3" s="143"/>
      <c r="WI3" s="143"/>
      <c r="WJ3" s="143"/>
      <c r="WK3" s="143"/>
      <c r="WL3" s="143"/>
      <c r="WM3" s="143"/>
      <c r="WN3" s="143"/>
      <c r="WO3" s="143"/>
      <c r="WP3" s="143"/>
      <c r="WQ3" s="143"/>
      <c r="WR3" s="143"/>
      <c r="WS3" s="143"/>
      <c r="WT3" s="143"/>
      <c r="WU3" s="143"/>
      <c r="WV3" s="143"/>
      <c r="WW3" s="143"/>
      <c r="WX3" s="143"/>
      <c r="WY3" s="143"/>
      <c r="WZ3" s="143"/>
      <c r="XA3" s="143"/>
      <c r="XB3" s="143"/>
      <c r="XC3" s="143"/>
      <c r="XD3" s="143"/>
      <c r="XE3" s="143"/>
      <c r="XF3" s="143"/>
      <c r="XG3" s="143"/>
      <c r="XH3" s="143"/>
      <c r="XI3" s="143"/>
      <c r="XJ3" s="143"/>
      <c r="XK3" s="143"/>
      <c r="XL3" s="143"/>
      <c r="XM3" s="143"/>
      <c r="XN3" s="143"/>
      <c r="XO3" s="143"/>
      <c r="XP3" s="143"/>
      <c r="XQ3" s="143"/>
      <c r="XR3" s="143"/>
      <c r="XS3" s="143"/>
      <c r="XT3" s="143"/>
      <c r="XU3" s="143"/>
      <c r="XV3" s="143"/>
      <c r="XW3" s="143"/>
      <c r="XX3" s="143"/>
      <c r="XY3" s="143"/>
      <c r="XZ3" s="143"/>
      <c r="YA3" s="143"/>
      <c r="YB3" s="143"/>
      <c r="YC3" s="143"/>
      <c r="YD3" s="143"/>
      <c r="YE3" s="143"/>
      <c r="YF3" s="143"/>
      <c r="YG3" s="143"/>
      <c r="YH3" s="143"/>
      <c r="YI3" s="143"/>
      <c r="YJ3" s="143"/>
      <c r="YK3" s="143"/>
      <c r="YL3" s="143"/>
      <c r="YM3" s="143"/>
      <c r="YN3" s="143"/>
      <c r="YO3" s="143"/>
      <c r="YP3" s="143"/>
      <c r="YQ3" s="143"/>
      <c r="YR3" s="143"/>
      <c r="YS3" s="143"/>
      <c r="YT3" s="143"/>
      <c r="YU3" s="143"/>
      <c r="YV3" s="143"/>
      <c r="YW3" s="143"/>
      <c r="YX3" s="143"/>
      <c r="YY3" s="143"/>
      <c r="YZ3" s="143"/>
      <c r="ZA3" s="143"/>
      <c r="ZB3" s="143"/>
      <c r="ZC3" s="143"/>
      <c r="ZD3" s="143"/>
      <c r="ZE3" s="143"/>
      <c r="ZF3" s="143"/>
      <c r="ZG3" s="143"/>
      <c r="ZH3" s="143"/>
      <c r="ZI3" s="143"/>
      <c r="ZJ3" s="143"/>
      <c r="ZK3" s="143"/>
      <c r="ZL3" s="143"/>
      <c r="ZM3" s="143"/>
      <c r="ZN3" s="143"/>
      <c r="ZO3" s="143"/>
      <c r="ZP3" s="143"/>
      <c r="ZQ3" s="143"/>
      <c r="ZR3" s="143"/>
      <c r="ZS3" s="143"/>
      <c r="ZT3" s="143"/>
      <c r="ZU3" s="143"/>
      <c r="ZV3" s="143"/>
      <c r="ZW3" s="143"/>
      <c r="ZX3" s="143"/>
      <c r="ZY3" s="143"/>
      <c r="ZZ3" s="143"/>
      <c r="AAA3" s="143"/>
      <c r="AAB3" s="143"/>
      <c r="AAC3" s="143"/>
      <c r="AAD3" s="143"/>
      <c r="AAE3" s="143"/>
      <c r="AAF3" s="143"/>
      <c r="AAG3" s="143"/>
      <c r="AAH3" s="143"/>
      <c r="AAI3" s="143"/>
      <c r="AAJ3" s="143"/>
      <c r="AAK3" s="143"/>
      <c r="AAL3" s="143"/>
      <c r="AAM3" s="143"/>
      <c r="AAN3" s="143"/>
      <c r="AAO3" s="143"/>
      <c r="AAP3" s="143"/>
      <c r="AAQ3" s="143"/>
      <c r="AAR3" s="143"/>
      <c r="AAS3" s="143"/>
      <c r="AAT3" s="143"/>
      <c r="AAU3" s="143"/>
      <c r="AAV3" s="143"/>
      <c r="AAW3" s="143"/>
      <c r="AAX3" s="143"/>
      <c r="AAY3" s="143"/>
      <c r="AAZ3" s="143"/>
      <c r="ABA3" s="143"/>
      <c r="ABB3" s="143"/>
      <c r="ABC3" s="143"/>
      <c r="ABD3" s="143"/>
      <c r="ABE3" s="143"/>
      <c r="ABF3" s="143"/>
      <c r="ABG3" s="143"/>
      <c r="ABH3" s="143"/>
      <c r="ABI3" s="143"/>
      <c r="ABJ3" s="143"/>
      <c r="ABK3" s="143"/>
      <c r="ABL3" s="143"/>
      <c r="ABM3" s="143"/>
      <c r="ABN3" s="143"/>
      <c r="ABO3" s="143"/>
      <c r="ABP3" s="143"/>
      <c r="ABQ3" s="143"/>
      <c r="ABR3" s="143"/>
      <c r="ABS3" s="143"/>
      <c r="ABT3" s="143"/>
      <c r="ABU3" s="143"/>
      <c r="ABV3" s="143"/>
      <c r="ABW3" s="143"/>
      <c r="ABX3" s="143"/>
      <c r="ABY3" s="143"/>
      <c r="ABZ3" s="143"/>
      <c r="ACA3" s="143"/>
      <c r="ACB3" s="143"/>
      <c r="ACC3" s="143"/>
      <c r="ACD3" s="143"/>
      <c r="ACE3" s="143"/>
      <c r="ACF3" s="143"/>
      <c r="ACG3" s="143"/>
      <c r="ACH3" s="143"/>
      <c r="ACI3" s="143"/>
      <c r="ACJ3" s="143"/>
      <c r="ACK3" s="143"/>
      <c r="ACL3" s="143"/>
      <c r="ACM3" s="143"/>
      <c r="ACN3" s="143"/>
      <c r="ACO3" s="143"/>
      <c r="ACP3" s="143"/>
      <c r="ACQ3" s="143"/>
      <c r="ACR3" s="143"/>
      <c r="ACS3" s="143"/>
      <c r="ACT3" s="143"/>
      <c r="ACU3" s="143"/>
      <c r="ACV3" s="143"/>
      <c r="ACW3" s="143"/>
      <c r="ACX3" s="143"/>
      <c r="ACY3" s="143"/>
      <c r="ACZ3" s="143"/>
      <c r="ADA3" s="143"/>
      <c r="ADB3" s="143"/>
      <c r="ADC3" s="143"/>
      <c r="ADD3" s="143"/>
      <c r="ADE3" s="143"/>
      <c r="ADF3" s="143"/>
      <c r="ADG3" s="143"/>
      <c r="ADH3" s="143"/>
      <c r="ADI3" s="143"/>
      <c r="ADJ3" s="143"/>
      <c r="ADK3" s="143"/>
      <c r="ADL3" s="143"/>
      <c r="ADM3" s="143"/>
      <c r="ADN3" s="143"/>
      <c r="ADO3" s="143"/>
      <c r="ADP3" s="143"/>
      <c r="ADQ3" s="143"/>
      <c r="ADR3" s="143"/>
      <c r="ADS3" s="143"/>
      <c r="ADT3" s="143"/>
      <c r="ADU3" s="143"/>
      <c r="ADV3" s="143"/>
      <c r="ADW3" s="143"/>
      <c r="ADX3" s="143"/>
      <c r="ADY3" s="143"/>
      <c r="ADZ3" s="143"/>
      <c r="AEA3" s="143"/>
      <c r="AEB3" s="143"/>
      <c r="AEC3" s="143"/>
      <c r="AED3" s="143"/>
      <c r="AEE3" s="143"/>
      <c r="AEF3" s="143"/>
      <c r="AEG3" s="143"/>
      <c r="AEH3" s="143"/>
      <c r="AEI3" s="143"/>
      <c r="AEJ3" s="143"/>
      <c r="AEK3" s="143"/>
      <c r="AEL3" s="143"/>
      <c r="AEM3" s="143"/>
      <c r="AEN3" s="143"/>
      <c r="AEO3" s="143"/>
      <c r="AEP3" s="143"/>
      <c r="AEQ3" s="143"/>
      <c r="AER3" s="143"/>
      <c r="AES3" s="143"/>
      <c r="AET3" s="143"/>
      <c r="AEU3" s="143"/>
      <c r="AEV3" s="143"/>
      <c r="AEW3" s="143"/>
      <c r="AEX3" s="143"/>
      <c r="AEY3" s="143"/>
      <c r="AEZ3" s="143"/>
      <c r="AFA3" s="143"/>
      <c r="AFB3" s="143"/>
      <c r="AFC3" s="143"/>
      <c r="AFD3" s="143"/>
      <c r="AFE3" s="143"/>
      <c r="AFF3" s="143"/>
      <c r="AFG3" s="143"/>
      <c r="AFH3" s="143"/>
      <c r="AFI3" s="143"/>
      <c r="AFJ3" s="143"/>
      <c r="AFK3" s="143"/>
      <c r="AFL3" s="143"/>
      <c r="AFM3" s="143"/>
      <c r="AFN3" s="143"/>
      <c r="AFO3" s="143"/>
      <c r="AFP3" s="143"/>
      <c r="AFQ3" s="143"/>
      <c r="AFR3" s="143"/>
      <c r="AFS3" s="143"/>
      <c r="AFT3" s="143"/>
      <c r="AFU3" s="143"/>
      <c r="AFV3" s="143"/>
      <c r="AFW3" s="143"/>
      <c r="AFX3" s="143"/>
      <c r="AFY3" s="143"/>
      <c r="AFZ3" s="143"/>
      <c r="AGA3" s="143"/>
      <c r="AGB3" s="143"/>
      <c r="AGC3" s="143"/>
      <c r="AGD3" s="143"/>
      <c r="AGE3" s="143"/>
      <c r="AGF3" s="143"/>
      <c r="AGG3" s="143"/>
      <c r="AGH3" s="143"/>
      <c r="AGI3" s="143"/>
      <c r="AGJ3" s="143"/>
      <c r="AGK3" s="143"/>
      <c r="AGL3" s="143"/>
      <c r="AGM3" s="143"/>
      <c r="AGN3" s="143"/>
      <c r="AGO3" s="143"/>
      <c r="AGP3" s="143"/>
      <c r="AGQ3" s="143"/>
      <c r="AGR3" s="143"/>
      <c r="AGS3" s="143"/>
      <c r="AGT3" s="143"/>
      <c r="AGU3" s="143"/>
      <c r="AGV3" s="143"/>
      <c r="AGW3" s="143"/>
      <c r="AGX3" s="143"/>
      <c r="AGY3" s="143"/>
      <c r="AGZ3" s="143"/>
      <c r="AHA3" s="143"/>
      <c r="AHB3" s="143"/>
      <c r="AHC3" s="143"/>
      <c r="AHD3" s="143"/>
      <c r="AHE3" s="143"/>
      <c r="AHF3" s="143"/>
      <c r="AHG3" s="143"/>
      <c r="AHH3" s="143"/>
      <c r="AHI3" s="143"/>
      <c r="AHJ3" s="143"/>
      <c r="AHK3" s="143"/>
      <c r="AHL3" s="143"/>
      <c r="AHM3" s="143"/>
      <c r="AHN3" s="143"/>
      <c r="AHO3" s="143"/>
      <c r="AHP3" s="143"/>
      <c r="AHQ3" s="143"/>
      <c r="AHR3" s="143"/>
      <c r="AHS3" s="143"/>
      <c r="AHT3" s="143"/>
      <c r="AHU3" s="143"/>
      <c r="AHV3" s="143"/>
      <c r="AHW3" s="143"/>
      <c r="AHX3" s="143"/>
      <c r="AHY3" s="143"/>
      <c r="AHZ3" s="143"/>
      <c r="AIA3" s="143"/>
      <c r="AIB3" s="143"/>
      <c r="AIC3" s="143"/>
      <c r="AID3" s="143"/>
      <c r="AIE3" s="143"/>
      <c r="AIF3" s="143"/>
      <c r="AIG3" s="143"/>
      <c r="AIH3" s="143"/>
      <c r="AII3" s="143"/>
      <c r="AIJ3" s="143"/>
      <c r="AIK3" s="143"/>
      <c r="AIL3" s="143"/>
      <c r="AIM3" s="143"/>
      <c r="AIN3" s="143"/>
      <c r="AIO3" s="143"/>
      <c r="AIP3" s="143"/>
      <c r="AIQ3" s="143"/>
      <c r="AIR3" s="143"/>
      <c r="AIS3" s="143"/>
      <c r="AIT3" s="143"/>
      <c r="AIU3" s="143"/>
      <c r="AIV3" s="143"/>
      <c r="AIW3" s="143"/>
      <c r="AIX3" s="143"/>
      <c r="AIY3" s="143"/>
      <c r="AIZ3" s="143"/>
      <c r="AJA3" s="143"/>
      <c r="AJB3" s="143"/>
      <c r="AJC3" s="143"/>
      <c r="AJD3" s="143"/>
      <c r="AJE3" s="143"/>
      <c r="AJF3" s="143"/>
      <c r="AJG3" s="143"/>
      <c r="AJH3" s="143"/>
      <c r="AJI3" s="143"/>
      <c r="AJJ3" s="143"/>
      <c r="AJK3" s="143"/>
      <c r="AJL3" s="143"/>
      <c r="AJM3" s="143"/>
      <c r="AJN3" s="143"/>
      <c r="AJO3" s="143"/>
      <c r="AJP3" s="143"/>
      <c r="AJQ3" s="143"/>
      <c r="AJR3" s="143"/>
      <c r="AJS3" s="143"/>
      <c r="AJT3" s="143"/>
      <c r="AJU3" s="143"/>
      <c r="AJV3" s="143"/>
      <c r="AJW3" s="143"/>
      <c r="AJX3" s="143"/>
      <c r="AJY3" s="143"/>
      <c r="AJZ3" s="143"/>
      <c r="AKA3" s="143"/>
      <c r="AKB3" s="143"/>
      <c r="AKC3" s="143"/>
      <c r="AKD3" s="143"/>
      <c r="AKE3" s="143"/>
      <c r="AKF3" s="143"/>
      <c r="AKG3" s="143"/>
      <c r="AKH3" s="143"/>
      <c r="AKI3" s="143"/>
      <c r="AKJ3" s="143"/>
      <c r="AKK3" s="143"/>
      <c r="AKL3" s="143"/>
      <c r="AKM3" s="143"/>
      <c r="AKN3" s="143"/>
      <c r="AKO3" s="143"/>
      <c r="AKP3" s="143"/>
      <c r="AKQ3" s="143"/>
      <c r="AKR3" s="143"/>
      <c r="AKS3" s="143"/>
      <c r="AKT3" s="143"/>
      <c r="AKU3" s="143"/>
      <c r="AKV3" s="143"/>
      <c r="AKW3" s="143"/>
      <c r="AKX3" s="143"/>
      <c r="AKY3" s="143"/>
      <c r="AKZ3" s="143"/>
      <c r="ALA3" s="143"/>
      <c r="ALB3" s="143"/>
      <c r="ALC3" s="143"/>
      <c r="ALD3" s="143"/>
      <c r="ALE3" s="143"/>
      <c r="ALF3" s="143"/>
      <c r="ALG3" s="143"/>
      <c r="ALH3" s="143"/>
      <c r="ALI3" s="143"/>
      <c r="ALJ3" s="143"/>
      <c r="ALK3" s="143"/>
      <c r="ALL3" s="143"/>
      <c r="ALM3" s="143"/>
      <c r="ALN3" s="143"/>
      <c r="ALO3" s="143"/>
      <c r="ALP3" s="143"/>
      <c r="ALQ3" s="143"/>
      <c r="ALR3" s="143"/>
      <c r="ALS3" s="143"/>
      <c r="ALT3" s="143"/>
      <c r="ALU3" s="143"/>
      <c r="ALV3" s="143"/>
      <c r="ALW3" s="143"/>
      <c r="ALX3" s="143"/>
      <c r="ALY3" s="143"/>
      <c r="ALZ3" s="143"/>
      <c r="AMA3" s="143"/>
      <c r="AMB3" s="143"/>
      <c r="AMC3" s="143"/>
      <c r="AMD3" s="143"/>
      <c r="AME3" s="143"/>
      <c r="AMF3" s="143"/>
      <c r="AMG3" s="143"/>
      <c r="AMH3" s="143"/>
      <c r="AMI3" s="143"/>
      <c r="AMJ3" s="143"/>
      <c r="AMK3" s="143"/>
      <c r="AML3" s="143"/>
      <c r="AMM3" s="143"/>
      <c r="AMN3" s="143"/>
      <c r="AMO3" s="143"/>
      <c r="AMP3" s="143"/>
      <c r="AMQ3" s="143"/>
      <c r="AMR3" s="143"/>
      <c r="AMS3" s="143"/>
      <c r="AMT3" s="143"/>
      <c r="AMU3" s="143"/>
      <c r="AMV3" s="143"/>
      <c r="AMW3" s="143"/>
      <c r="AMX3" s="143"/>
      <c r="AMY3" s="143"/>
      <c r="AMZ3" s="143"/>
      <c r="ANA3" s="143"/>
      <c r="ANB3" s="143"/>
      <c r="ANC3" s="143"/>
      <c r="AND3" s="143"/>
      <c r="ANE3" s="143"/>
      <c r="ANF3" s="143"/>
      <c r="ANG3" s="143"/>
      <c r="ANH3" s="143"/>
      <c r="ANI3" s="143"/>
      <c r="ANJ3" s="143"/>
      <c r="ANK3" s="143"/>
      <c r="ANL3" s="143"/>
      <c r="ANM3" s="143"/>
      <c r="ANN3" s="143"/>
      <c r="ANO3" s="143"/>
      <c r="ANP3" s="143"/>
      <c r="ANQ3" s="143"/>
      <c r="ANR3" s="143"/>
      <c r="ANS3" s="143"/>
      <c r="ANT3" s="143"/>
      <c r="ANU3" s="143"/>
      <c r="ANV3" s="143"/>
      <c r="ANW3" s="143"/>
      <c r="ANX3" s="143"/>
      <c r="ANY3" s="143"/>
      <c r="ANZ3" s="143"/>
      <c r="AOA3" s="143"/>
      <c r="AOB3" s="143"/>
      <c r="AOC3" s="143"/>
      <c r="AOD3" s="143"/>
      <c r="AOE3" s="143"/>
      <c r="AOF3" s="143"/>
      <c r="AOG3" s="143"/>
      <c r="AOH3" s="143"/>
      <c r="AOI3" s="143"/>
      <c r="AOJ3" s="143"/>
      <c r="AOK3" s="143"/>
      <c r="AOL3" s="143"/>
      <c r="AOM3" s="143"/>
      <c r="AON3" s="143"/>
      <c r="AOO3" s="143"/>
      <c r="AOP3" s="143"/>
      <c r="AOQ3" s="143"/>
      <c r="AOR3" s="143"/>
      <c r="AOS3" s="143"/>
      <c r="AOT3" s="143"/>
      <c r="AOU3" s="143"/>
      <c r="AOV3" s="143"/>
      <c r="AOW3" s="143"/>
      <c r="AOX3" s="143"/>
      <c r="AOY3" s="143"/>
      <c r="AOZ3" s="143"/>
      <c r="APA3" s="143"/>
      <c r="APB3" s="143"/>
      <c r="APC3" s="143"/>
      <c r="APD3" s="143"/>
      <c r="APE3" s="143"/>
      <c r="APF3" s="143"/>
      <c r="APG3" s="143"/>
      <c r="APH3" s="143"/>
      <c r="API3" s="143"/>
      <c r="APJ3" s="143"/>
      <c r="APK3" s="143"/>
      <c r="APL3" s="143"/>
      <c r="APM3" s="143"/>
      <c r="APN3" s="143"/>
      <c r="APO3" s="143"/>
      <c r="APP3" s="143"/>
      <c r="APQ3" s="143"/>
      <c r="APR3" s="143"/>
      <c r="APS3" s="143"/>
      <c r="APT3" s="143"/>
      <c r="APU3" s="143"/>
      <c r="APV3" s="143"/>
      <c r="APW3" s="143"/>
      <c r="APX3" s="143"/>
      <c r="APY3" s="143"/>
      <c r="APZ3" s="143"/>
      <c r="AQA3" s="143"/>
      <c r="AQB3" s="143"/>
      <c r="AQC3" s="143"/>
      <c r="AQD3" s="143"/>
      <c r="AQE3" s="143"/>
      <c r="AQF3" s="143"/>
      <c r="AQG3" s="143"/>
      <c r="AQH3" s="143"/>
      <c r="AQI3" s="143"/>
      <c r="AQJ3" s="143"/>
      <c r="AQK3" s="143"/>
      <c r="AQL3" s="143"/>
      <c r="AQM3" s="143"/>
      <c r="AQN3" s="143"/>
      <c r="AQO3" s="143"/>
      <c r="AQP3" s="143"/>
      <c r="AQQ3" s="143"/>
      <c r="AQR3" s="143"/>
      <c r="AQS3" s="143"/>
      <c r="AQT3" s="143"/>
      <c r="AQU3" s="143"/>
      <c r="AQV3" s="143"/>
      <c r="AQW3" s="143"/>
      <c r="AQX3" s="143"/>
      <c r="AQY3" s="143"/>
      <c r="AQZ3" s="143"/>
      <c r="ARA3" s="143"/>
      <c r="ARB3" s="143"/>
      <c r="ARC3" s="143"/>
      <c r="ARD3" s="143"/>
      <c r="ARE3" s="143"/>
      <c r="ARF3" s="143"/>
      <c r="ARG3" s="143"/>
      <c r="ARH3" s="143"/>
      <c r="ARI3" s="143"/>
      <c r="ARJ3" s="143"/>
      <c r="ARK3" s="143"/>
      <c r="ARL3" s="143"/>
      <c r="ARM3" s="143"/>
      <c r="ARN3" s="143"/>
      <c r="ARO3" s="143"/>
      <c r="ARP3" s="143"/>
      <c r="ARQ3" s="143"/>
      <c r="ARR3" s="143"/>
      <c r="ARS3" s="143"/>
      <c r="ART3" s="143"/>
      <c r="ARU3" s="143"/>
      <c r="ARV3" s="143"/>
      <c r="ARW3" s="143"/>
      <c r="ARX3" s="143"/>
      <c r="ARY3" s="143"/>
      <c r="ARZ3" s="143"/>
      <c r="ASA3" s="143"/>
      <c r="ASB3" s="143"/>
      <c r="ASC3" s="143"/>
      <c r="ASD3" s="143"/>
      <c r="ASE3" s="143"/>
      <c r="ASF3" s="143"/>
      <c r="ASG3" s="143"/>
      <c r="ASH3" s="143"/>
      <c r="ASI3" s="143"/>
      <c r="ASJ3" s="143"/>
      <c r="ASK3" s="143"/>
      <c r="ASL3" s="143"/>
      <c r="ASM3" s="143"/>
      <c r="ASN3" s="143"/>
      <c r="ASO3" s="143"/>
      <c r="ASP3" s="143"/>
      <c r="ASQ3" s="143"/>
      <c r="ASR3" s="143"/>
      <c r="ASS3" s="143"/>
      <c r="AST3" s="143"/>
      <c r="ASU3" s="143"/>
      <c r="ASV3" s="143"/>
      <c r="ASW3" s="143"/>
      <c r="ASX3" s="143"/>
      <c r="ASY3" s="143"/>
      <c r="ASZ3" s="143"/>
      <c r="ATA3" s="143"/>
      <c r="ATB3" s="143"/>
      <c r="ATC3" s="143"/>
      <c r="ATD3" s="143"/>
      <c r="ATE3" s="143"/>
      <c r="ATF3" s="143"/>
      <c r="ATG3" s="143"/>
      <c r="ATH3" s="143"/>
      <c r="ATI3" s="143"/>
      <c r="ATJ3" s="143"/>
      <c r="ATK3" s="143"/>
      <c r="ATL3" s="143"/>
      <c r="ATM3" s="143"/>
      <c r="ATN3" s="143"/>
      <c r="ATO3" s="143"/>
      <c r="ATP3" s="143"/>
      <c r="ATQ3" s="143"/>
      <c r="ATR3" s="143"/>
      <c r="ATS3" s="143"/>
      <c r="ATT3" s="143"/>
      <c r="ATU3" s="143"/>
      <c r="ATV3" s="143"/>
      <c r="ATW3" s="143"/>
      <c r="ATX3" s="143"/>
      <c r="ATY3" s="143"/>
      <c r="ATZ3" s="143"/>
      <c r="AUA3" s="143"/>
      <c r="AUB3" s="143"/>
      <c r="AUC3" s="143"/>
      <c r="AUD3" s="143"/>
      <c r="AUE3" s="143"/>
      <c r="AUF3" s="143"/>
      <c r="AUG3" s="143"/>
      <c r="AUH3" s="143"/>
      <c r="AUI3" s="143"/>
      <c r="AUJ3" s="143"/>
      <c r="AUK3" s="143"/>
      <c r="AUL3" s="143"/>
      <c r="AUM3" s="143"/>
      <c r="AUN3" s="143"/>
      <c r="AUO3" s="143"/>
      <c r="AUP3" s="143"/>
      <c r="AUQ3" s="143"/>
      <c r="AUR3" s="143"/>
      <c r="AUS3" s="143"/>
      <c r="AUT3" s="143"/>
      <c r="AUU3" s="143"/>
      <c r="AUV3" s="143"/>
      <c r="AUW3" s="143"/>
      <c r="AUX3" s="143"/>
      <c r="AUY3" s="143"/>
      <c r="AUZ3" s="143"/>
      <c r="AVA3" s="143"/>
      <c r="AVB3" s="143"/>
      <c r="AVC3" s="143"/>
      <c r="AVD3" s="143"/>
      <c r="AVE3" s="143"/>
      <c r="AVF3" s="143"/>
      <c r="AVG3" s="143"/>
      <c r="AVH3" s="143"/>
      <c r="AVI3" s="143"/>
      <c r="AVJ3" s="143"/>
      <c r="AVK3" s="143"/>
      <c r="AVL3" s="143"/>
      <c r="AVM3" s="143"/>
      <c r="AVN3" s="143"/>
      <c r="AVO3" s="143"/>
      <c r="AVP3" s="143"/>
      <c r="AVQ3" s="143"/>
      <c r="AVR3" s="143"/>
      <c r="AVS3" s="143"/>
      <c r="AVT3" s="143"/>
      <c r="AVU3" s="143"/>
      <c r="AVV3" s="143"/>
      <c r="AVW3" s="143"/>
      <c r="AVX3" s="143"/>
      <c r="AVY3" s="143"/>
      <c r="AVZ3" s="143"/>
      <c r="AWA3" s="143"/>
      <c r="AWB3" s="143"/>
      <c r="AWC3" s="143"/>
      <c r="AWD3" s="143"/>
      <c r="AWE3" s="143"/>
      <c r="AWF3" s="143"/>
      <c r="AWG3" s="143"/>
      <c r="AWH3" s="143"/>
      <c r="AWI3" s="143"/>
      <c r="AWJ3" s="143"/>
      <c r="AWK3" s="143"/>
      <c r="AWL3" s="143"/>
      <c r="AWM3" s="143"/>
      <c r="AWN3" s="143"/>
      <c r="AWO3" s="143"/>
      <c r="AWP3" s="143"/>
      <c r="AWQ3" s="143"/>
      <c r="AWR3" s="143"/>
      <c r="AWS3" s="143"/>
      <c r="AWT3" s="143"/>
      <c r="AWU3" s="143"/>
      <c r="AWV3" s="143"/>
      <c r="AWW3" s="143"/>
      <c r="AWX3" s="143"/>
      <c r="AWY3" s="143"/>
      <c r="AWZ3" s="143"/>
      <c r="AXA3" s="143"/>
      <c r="AXB3" s="143"/>
      <c r="AXC3" s="143"/>
      <c r="AXD3" s="143"/>
      <c r="AXE3" s="143"/>
      <c r="AXF3" s="143"/>
      <c r="AXG3" s="143"/>
      <c r="AXH3" s="143"/>
      <c r="AXI3" s="143"/>
      <c r="AXJ3" s="143"/>
      <c r="AXK3" s="143"/>
      <c r="AXL3" s="143"/>
      <c r="AXM3" s="143"/>
      <c r="AXN3" s="143"/>
      <c r="AXO3" s="143"/>
      <c r="AXP3" s="143"/>
      <c r="AXQ3" s="143"/>
      <c r="AXR3" s="143"/>
      <c r="AXS3" s="143"/>
      <c r="AXT3" s="143"/>
      <c r="AXU3" s="143"/>
      <c r="AXV3" s="143"/>
      <c r="AXW3" s="143"/>
      <c r="AXX3" s="143"/>
      <c r="AXY3" s="143"/>
      <c r="AXZ3" s="143"/>
      <c r="AYA3" s="143"/>
      <c r="AYB3" s="143"/>
      <c r="AYC3" s="143"/>
      <c r="AYD3" s="143"/>
      <c r="AYE3" s="143"/>
      <c r="AYF3" s="143"/>
      <c r="AYG3" s="143"/>
      <c r="AYH3" s="143"/>
      <c r="AYI3" s="143"/>
      <c r="AYJ3" s="143"/>
      <c r="AYK3" s="143"/>
      <c r="AYL3" s="143"/>
      <c r="AYM3" s="143"/>
      <c r="AYN3" s="143"/>
      <c r="AYO3" s="143"/>
      <c r="AYP3" s="143"/>
      <c r="AYQ3" s="143"/>
      <c r="AYR3" s="143"/>
      <c r="AYS3" s="143"/>
      <c r="AYT3" s="143"/>
      <c r="AYU3" s="143"/>
      <c r="AYV3" s="143"/>
      <c r="AYW3" s="143"/>
      <c r="AYX3" s="143"/>
      <c r="AYY3" s="143"/>
      <c r="AYZ3" s="143"/>
      <c r="AZA3" s="143"/>
      <c r="AZB3" s="143"/>
      <c r="AZC3" s="143"/>
      <c r="AZD3" s="143"/>
      <c r="AZE3" s="143"/>
      <c r="AZF3" s="143"/>
      <c r="AZG3" s="143"/>
      <c r="AZH3" s="143"/>
      <c r="AZI3" s="143"/>
      <c r="AZJ3" s="143"/>
      <c r="AZK3" s="143"/>
      <c r="AZL3" s="143"/>
      <c r="AZM3" s="143"/>
      <c r="AZN3" s="143"/>
      <c r="AZO3" s="143"/>
      <c r="AZP3" s="143"/>
      <c r="AZQ3" s="143"/>
      <c r="AZR3" s="143"/>
      <c r="AZS3" s="143"/>
      <c r="AZT3" s="143"/>
      <c r="AZU3" s="143"/>
      <c r="AZV3" s="143"/>
      <c r="AZW3" s="143"/>
      <c r="AZX3" s="143"/>
      <c r="AZY3" s="143"/>
      <c r="AZZ3" s="143"/>
      <c r="BAA3" s="143"/>
      <c r="BAB3" s="143"/>
      <c r="BAC3" s="143"/>
      <c r="BAD3" s="143"/>
      <c r="BAE3" s="143"/>
      <c r="BAF3" s="143"/>
      <c r="BAG3" s="143"/>
      <c r="BAH3" s="143"/>
      <c r="BAI3" s="143"/>
      <c r="BAJ3" s="143"/>
      <c r="BAK3" s="143"/>
      <c r="BAL3" s="143"/>
      <c r="BAM3" s="143"/>
      <c r="BAN3" s="143"/>
      <c r="BAO3" s="143"/>
      <c r="BAP3" s="143"/>
      <c r="BAQ3" s="143"/>
      <c r="BAR3" s="143"/>
      <c r="BAS3" s="143"/>
      <c r="BAT3" s="143"/>
      <c r="BAU3" s="143"/>
      <c r="BAV3" s="143"/>
      <c r="BAW3" s="143"/>
      <c r="BAX3" s="143"/>
      <c r="BAY3" s="143"/>
      <c r="BAZ3" s="143"/>
      <c r="BBA3" s="143"/>
      <c r="BBB3" s="143"/>
      <c r="BBC3" s="143"/>
      <c r="BBD3" s="143"/>
      <c r="BBE3" s="143"/>
      <c r="BBF3" s="143"/>
      <c r="BBG3" s="143"/>
      <c r="BBH3" s="143"/>
      <c r="BBI3" s="143"/>
      <c r="BBJ3" s="143"/>
      <c r="BBK3" s="143"/>
      <c r="BBL3" s="143"/>
      <c r="BBM3" s="143"/>
      <c r="BBN3" s="143"/>
      <c r="BBO3" s="143"/>
      <c r="BBP3" s="143"/>
      <c r="BBQ3" s="143"/>
      <c r="BBR3" s="143"/>
      <c r="BBS3" s="143"/>
      <c r="BBT3" s="143"/>
      <c r="BBU3" s="143"/>
      <c r="BBV3" s="143"/>
      <c r="BBW3" s="143"/>
      <c r="BBX3" s="143"/>
      <c r="BBY3" s="143"/>
      <c r="BBZ3" s="143"/>
      <c r="BCA3" s="143"/>
      <c r="BCB3" s="143"/>
      <c r="BCC3" s="143"/>
      <c r="BCD3" s="143"/>
      <c r="BCE3" s="143"/>
      <c r="BCF3" s="143"/>
      <c r="BCG3" s="143"/>
      <c r="BCH3" s="143"/>
      <c r="BCI3" s="143"/>
      <c r="BCJ3" s="143"/>
      <c r="BCK3" s="143"/>
      <c r="BCL3" s="143"/>
      <c r="BCM3" s="143"/>
      <c r="BCN3" s="143"/>
      <c r="BCO3" s="143"/>
      <c r="BCP3" s="143"/>
      <c r="BCQ3" s="143"/>
      <c r="BCR3" s="143"/>
      <c r="BCS3" s="143"/>
      <c r="BCT3" s="143"/>
      <c r="BCU3" s="143"/>
      <c r="BCV3" s="143"/>
      <c r="BCW3" s="143"/>
      <c r="BCX3" s="143"/>
      <c r="BCY3" s="143"/>
      <c r="BCZ3" s="143"/>
      <c r="BDA3" s="143"/>
      <c r="BDB3" s="143"/>
      <c r="BDC3" s="143"/>
      <c r="BDD3" s="143"/>
      <c r="BDE3" s="143"/>
      <c r="BDF3" s="143"/>
      <c r="BDG3" s="143"/>
      <c r="BDH3" s="143"/>
      <c r="BDI3" s="143"/>
      <c r="BDJ3" s="143"/>
      <c r="BDK3" s="143"/>
      <c r="BDL3" s="143"/>
      <c r="BDM3" s="143"/>
      <c r="BDN3" s="143"/>
      <c r="BDO3" s="143"/>
      <c r="BDP3" s="143"/>
      <c r="BDQ3" s="143"/>
      <c r="BDR3" s="143"/>
      <c r="BDS3" s="143"/>
      <c r="BDT3" s="143"/>
      <c r="BDU3" s="143"/>
      <c r="BDV3" s="143"/>
      <c r="BDW3" s="143"/>
      <c r="BDX3" s="143"/>
      <c r="BDY3" s="143"/>
      <c r="BDZ3" s="143"/>
      <c r="BEA3" s="143"/>
      <c r="BEB3" s="143"/>
      <c r="BEC3" s="143"/>
      <c r="BED3" s="143"/>
      <c r="BEE3" s="143"/>
      <c r="BEF3" s="143"/>
      <c r="BEG3" s="143"/>
      <c r="BEH3" s="143"/>
      <c r="BEI3" s="143"/>
      <c r="BEJ3" s="143"/>
      <c r="BEK3" s="143"/>
      <c r="BEL3" s="143"/>
      <c r="BEM3" s="143"/>
      <c r="BEN3" s="143"/>
      <c r="BEO3" s="143"/>
      <c r="BEP3" s="143"/>
      <c r="BEQ3" s="143"/>
      <c r="BER3" s="143"/>
      <c r="BES3" s="143"/>
      <c r="BET3" s="143"/>
      <c r="BEU3" s="143"/>
      <c r="BEV3" s="143"/>
      <c r="BEW3" s="143"/>
      <c r="BEX3" s="143"/>
      <c r="BEY3" s="143"/>
      <c r="BEZ3" s="143"/>
      <c r="BFA3" s="143"/>
      <c r="BFB3" s="143"/>
      <c r="BFC3" s="143"/>
      <c r="BFD3" s="143"/>
      <c r="BFE3" s="143"/>
      <c r="BFF3" s="143"/>
      <c r="BFG3" s="143"/>
      <c r="BFH3" s="143"/>
      <c r="BFI3" s="143"/>
      <c r="BFJ3" s="143"/>
      <c r="BFK3" s="143"/>
      <c r="BFL3" s="143"/>
      <c r="BFM3" s="143"/>
      <c r="BFN3" s="143"/>
      <c r="BFO3" s="143"/>
      <c r="BFP3" s="143"/>
      <c r="BFQ3" s="143"/>
      <c r="BFR3" s="143"/>
      <c r="BFS3" s="143"/>
      <c r="BFT3" s="143"/>
      <c r="BFU3" s="143"/>
      <c r="BFV3" s="143"/>
      <c r="BFW3" s="143"/>
      <c r="BFX3" s="143"/>
      <c r="BFY3" s="143"/>
      <c r="BFZ3" s="143"/>
      <c r="BGA3" s="143"/>
      <c r="BGB3" s="143"/>
      <c r="BGC3" s="143"/>
      <c r="BGD3" s="143"/>
      <c r="BGE3" s="143"/>
      <c r="BGF3" s="143"/>
      <c r="BGG3" s="143"/>
      <c r="BGH3" s="143"/>
      <c r="BGI3" s="143"/>
      <c r="BGJ3" s="143"/>
      <c r="BGK3" s="143"/>
      <c r="BGL3" s="143"/>
      <c r="BGM3" s="143"/>
      <c r="BGN3" s="143"/>
      <c r="BGO3" s="143"/>
      <c r="BGP3" s="143"/>
      <c r="BGQ3" s="143"/>
      <c r="BGR3" s="143"/>
      <c r="BGS3" s="143"/>
      <c r="BGT3" s="143"/>
      <c r="BGU3" s="143"/>
      <c r="BGV3" s="143"/>
      <c r="BGW3" s="143"/>
      <c r="BGX3" s="143"/>
      <c r="BGY3" s="143"/>
      <c r="BGZ3" s="143"/>
      <c r="BHA3" s="143"/>
      <c r="BHB3" s="143"/>
      <c r="BHC3" s="143"/>
      <c r="BHD3" s="143"/>
      <c r="BHE3" s="143"/>
      <c r="BHF3" s="143"/>
      <c r="BHG3" s="143"/>
      <c r="BHH3" s="143"/>
      <c r="BHI3" s="143"/>
      <c r="BHJ3" s="143"/>
      <c r="BHK3" s="143"/>
      <c r="BHL3" s="143"/>
      <c r="BHM3" s="143"/>
      <c r="BHN3" s="143"/>
      <c r="BHO3" s="143"/>
      <c r="BHP3" s="143"/>
      <c r="BHQ3" s="143"/>
      <c r="BHR3" s="143"/>
      <c r="BHS3" s="143"/>
      <c r="BHT3" s="143"/>
      <c r="BHU3" s="143"/>
      <c r="BHV3" s="143"/>
      <c r="BHW3" s="143"/>
      <c r="BHX3" s="143"/>
      <c r="BHY3" s="143"/>
      <c r="BHZ3" s="143"/>
      <c r="BIA3" s="143"/>
      <c r="BIB3" s="143"/>
      <c r="BIC3" s="143"/>
      <c r="BID3" s="143"/>
      <c r="BIE3" s="143"/>
      <c r="BIF3" s="143"/>
      <c r="BIG3" s="143"/>
      <c r="BIH3" s="143"/>
      <c r="BII3" s="143"/>
      <c r="BIJ3" s="143"/>
      <c r="BIK3" s="143"/>
      <c r="BIL3" s="143"/>
    </row>
    <row r="4" spans="2:1598" s="68" customFormat="1" ht="30" customHeight="1" x14ac:dyDescent="0.3">
      <c r="F4" s="69"/>
      <c r="G4" s="69"/>
      <c r="H4" s="69"/>
      <c r="I4" s="144">
        <v>2019</v>
      </c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  <c r="CK4" s="144"/>
      <c r="CL4" s="144"/>
      <c r="CM4" s="144"/>
      <c r="CN4" s="144"/>
      <c r="CO4" s="144"/>
      <c r="CP4" s="144"/>
      <c r="CQ4" s="144"/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44"/>
      <c r="DR4" s="144"/>
      <c r="DS4" s="144"/>
      <c r="DT4" s="144"/>
      <c r="DU4" s="144"/>
      <c r="DV4" s="144"/>
      <c r="DW4" s="144"/>
      <c r="DX4" s="144"/>
      <c r="DY4" s="144"/>
      <c r="DZ4" s="144"/>
      <c r="EA4" s="144"/>
      <c r="EB4" s="144"/>
      <c r="EC4" s="144"/>
      <c r="ED4" s="144"/>
      <c r="EE4" s="144"/>
      <c r="EF4" s="144"/>
      <c r="EG4" s="144"/>
      <c r="EH4" s="144"/>
      <c r="EI4" s="144"/>
      <c r="EJ4" s="144"/>
      <c r="EK4" s="144"/>
      <c r="EL4" s="144"/>
      <c r="EM4" s="144"/>
      <c r="EN4" s="144"/>
      <c r="EO4" s="144"/>
      <c r="EP4" s="144"/>
      <c r="EQ4" s="144"/>
      <c r="ER4" s="144"/>
      <c r="ES4" s="144"/>
      <c r="ET4" s="144"/>
      <c r="EU4" s="144"/>
      <c r="EV4" s="144"/>
      <c r="EW4" s="144"/>
      <c r="EX4" s="144"/>
      <c r="EY4" s="144"/>
      <c r="EZ4" s="144"/>
      <c r="FA4" s="144"/>
      <c r="FB4" s="144"/>
      <c r="FC4" s="144"/>
      <c r="FD4" s="144"/>
      <c r="FE4" s="144"/>
      <c r="FF4" s="144"/>
      <c r="FG4" s="144"/>
      <c r="FH4" s="144"/>
      <c r="FI4" s="144"/>
      <c r="FJ4" s="144"/>
      <c r="FK4" s="144"/>
      <c r="FL4" s="144"/>
      <c r="FM4" s="144"/>
      <c r="FN4" s="144"/>
      <c r="FO4" s="144"/>
      <c r="FP4" s="144"/>
      <c r="FQ4" s="144"/>
      <c r="FR4" s="144"/>
      <c r="FS4" s="144"/>
      <c r="FT4" s="144"/>
      <c r="FU4" s="144"/>
      <c r="FV4" s="144"/>
      <c r="FW4" s="144"/>
      <c r="FX4" s="144"/>
      <c r="FY4" s="144"/>
      <c r="FZ4" s="144"/>
      <c r="GA4" s="144"/>
      <c r="GB4" s="144"/>
      <c r="GC4" s="144"/>
      <c r="GD4" s="144"/>
      <c r="GE4" s="144"/>
      <c r="GF4" s="144"/>
      <c r="GG4" s="144"/>
      <c r="GH4" s="144"/>
      <c r="GI4" s="144"/>
      <c r="GJ4" s="144"/>
      <c r="GK4" s="144"/>
      <c r="GL4" s="144"/>
      <c r="GM4" s="144"/>
      <c r="GN4" s="144"/>
      <c r="GO4" s="144"/>
      <c r="GP4" s="144"/>
      <c r="GQ4" s="144"/>
      <c r="GR4" s="144"/>
      <c r="GS4" s="144"/>
      <c r="GT4" s="144"/>
      <c r="GU4" s="144"/>
      <c r="GV4" s="144"/>
      <c r="GW4" s="144"/>
      <c r="GX4" s="144"/>
      <c r="GY4" s="144"/>
      <c r="GZ4" s="144"/>
      <c r="HA4" s="144"/>
      <c r="HB4" s="144"/>
      <c r="HC4" s="144"/>
      <c r="HD4" s="144"/>
      <c r="HE4" s="144"/>
      <c r="HF4" s="144"/>
      <c r="HG4" s="144"/>
      <c r="HH4" s="144"/>
      <c r="HI4" s="144"/>
      <c r="HJ4" s="144"/>
      <c r="HK4" s="144"/>
      <c r="HL4" s="144"/>
      <c r="HM4" s="144"/>
      <c r="HN4" s="144"/>
      <c r="HO4" s="144"/>
      <c r="HP4" s="144"/>
      <c r="HQ4" s="144"/>
      <c r="HR4" s="144"/>
      <c r="HS4" s="144"/>
      <c r="HT4" s="144"/>
      <c r="HU4" s="144"/>
      <c r="HV4" s="144"/>
      <c r="HW4" s="144"/>
      <c r="HX4" s="144"/>
      <c r="HY4" s="144"/>
      <c r="HZ4" s="144"/>
      <c r="IA4" s="144"/>
      <c r="IB4" s="144"/>
      <c r="IC4" s="144"/>
      <c r="ID4" s="144"/>
      <c r="IE4" s="144"/>
      <c r="IF4" s="144"/>
      <c r="IG4" s="144"/>
      <c r="IH4" s="144"/>
      <c r="II4" s="144"/>
      <c r="IJ4" s="144"/>
      <c r="IK4" s="144"/>
      <c r="IL4" s="144"/>
      <c r="IM4" s="144"/>
      <c r="IN4" s="144"/>
      <c r="IO4" s="144"/>
      <c r="IP4" s="144"/>
      <c r="IQ4" s="144"/>
      <c r="IR4" s="144"/>
      <c r="IS4" s="144"/>
      <c r="IT4" s="144"/>
      <c r="IU4" s="144"/>
      <c r="IV4" s="144"/>
      <c r="IW4" s="144"/>
      <c r="IX4" s="144"/>
      <c r="IY4" s="144"/>
      <c r="IZ4" s="144"/>
      <c r="JA4" s="144"/>
      <c r="JB4" s="144"/>
      <c r="JC4" s="144"/>
      <c r="JD4" s="144"/>
      <c r="JE4" s="144"/>
      <c r="JF4" s="144"/>
      <c r="JG4" s="144"/>
      <c r="JH4" s="144"/>
      <c r="JI4" s="144"/>
      <c r="JJ4" s="144"/>
      <c r="JK4" s="144"/>
      <c r="JL4" s="144"/>
      <c r="JM4" s="144"/>
      <c r="JN4" s="144"/>
      <c r="JO4" s="144"/>
      <c r="JP4" s="144"/>
      <c r="JQ4" s="144"/>
      <c r="JR4" s="144"/>
      <c r="JS4" s="144"/>
      <c r="JT4" s="144"/>
      <c r="JU4" s="144"/>
      <c r="JV4" s="144"/>
      <c r="JW4" s="144"/>
      <c r="JX4" s="144"/>
      <c r="JY4" s="144"/>
      <c r="JZ4" s="144"/>
      <c r="KA4" s="144"/>
      <c r="KB4" s="144"/>
      <c r="KC4" s="144"/>
      <c r="KD4" s="144"/>
      <c r="KE4" s="144"/>
      <c r="KF4" s="144"/>
      <c r="KG4" s="144"/>
      <c r="KH4" s="144"/>
      <c r="KI4" s="144"/>
      <c r="KJ4" s="144"/>
      <c r="KK4" s="144"/>
      <c r="KL4" s="144"/>
      <c r="KM4" s="144"/>
      <c r="KN4" s="144"/>
      <c r="KO4" s="144"/>
      <c r="KP4" s="144"/>
      <c r="KQ4" s="144"/>
      <c r="KR4" s="144"/>
      <c r="KS4" s="144"/>
      <c r="KT4" s="144"/>
      <c r="KU4" s="144"/>
      <c r="KV4" s="144"/>
      <c r="KW4" s="144"/>
      <c r="KX4" s="144"/>
      <c r="KY4" s="144"/>
      <c r="KZ4" s="144"/>
      <c r="LA4" s="144"/>
      <c r="LB4" s="144"/>
      <c r="LC4" s="144"/>
      <c r="LD4" s="144"/>
      <c r="LE4" s="144"/>
      <c r="LF4" s="144"/>
      <c r="LG4" s="144"/>
      <c r="LH4" s="144"/>
      <c r="LI4" s="144"/>
      <c r="LJ4" s="144"/>
      <c r="LK4" s="144"/>
      <c r="LL4" s="144"/>
      <c r="LM4" s="144"/>
      <c r="LN4" s="144"/>
      <c r="LO4" s="144"/>
      <c r="LP4" s="144"/>
      <c r="LQ4" s="144"/>
      <c r="LR4" s="144"/>
      <c r="LS4" s="144"/>
      <c r="LT4" s="144"/>
      <c r="LU4" s="144"/>
      <c r="LV4" s="144"/>
      <c r="LW4" s="144"/>
      <c r="LX4" s="144"/>
      <c r="LY4" s="144"/>
      <c r="LZ4" s="144"/>
      <c r="MA4" s="144"/>
      <c r="MB4" s="144"/>
      <c r="MC4" s="144"/>
      <c r="MD4" s="144"/>
      <c r="ME4" s="144"/>
      <c r="MF4" s="144"/>
      <c r="MG4" s="144"/>
      <c r="MH4" s="144"/>
      <c r="MI4" s="144"/>
      <c r="MJ4" s="144"/>
      <c r="MK4" s="144"/>
      <c r="ML4" s="144"/>
      <c r="MM4" s="144"/>
      <c r="MN4" s="144"/>
      <c r="MO4" s="144"/>
      <c r="MP4" s="144"/>
      <c r="MQ4" s="144"/>
      <c r="MR4" s="144"/>
      <c r="MS4" s="144"/>
      <c r="MT4" s="144"/>
      <c r="MU4" s="144"/>
      <c r="MV4" s="144"/>
      <c r="MW4" s="144"/>
      <c r="MX4" s="144"/>
      <c r="MY4" s="144"/>
      <c r="MZ4" s="144"/>
      <c r="NA4" s="144"/>
      <c r="NB4" s="144"/>
      <c r="NC4" s="144"/>
      <c r="ND4" s="144"/>
      <c r="NE4" s="144"/>
      <c r="NF4" s="144"/>
      <c r="NG4" s="144"/>
      <c r="NH4" s="144"/>
      <c r="NI4" s="144"/>
      <c r="NJ4" s="144"/>
      <c r="NK4" s="144"/>
      <c r="NL4" s="144"/>
      <c r="NM4" s="144"/>
      <c r="NN4" s="144"/>
      <c r="NO4" s="144"/>
      <c r="NP4" s="144"/>
      <c r="NQ4" s="144"/>
      <c r="NR4" s="144"/>
      <c r="NS4" s="144"/>
      <c r="NT4" s="144"/>
      <c r="NU4" s="144"/>
      <c r="NV4" s="144"/>
      <c r="NW4" s="144"/>
      <c r="NX4" s="144"/>
      <c r="NY4" s="144"/>
      <c r="NZ4" s="144"/>
      <c r="OA4" s="144"/>
      <c r="OB4" s="144"/>
      <c r="OC4" s="144"/>
      <c r="OD4" s="144"/>
      <c r="OE4" s="144"/>
      <c r="OF4" s="144"/>
      <c r="OG4" s="144"/>
      <c r="OH4" s="144"/>
      <c r="OI4" s="144"/>
      <c r="OJ4" s="144"/>
      <c r="OK4" s="144"/>
      <c r="OL4" s="144"/>
      <c r="OM4" s="144"/>
      <c r="ON4" s="144"/>
      <c r="OO4" s="144"/>
      <c r="OP4" s="144"/>
      <c r="OQ4" s="144"/>
      <c r="OR4" s="145">
        <v>2020</v>
      </c>
      <c r="OS4" s="145"/>
      <c r="OT4" s="145"/>
      <c r="OU4" s="145"/>
      <c r="OV4" s="145"/>
      <c r="OW4" s="145"/>
      <c r="OX4" s="145"/>
      <c r="OY4" s="145"/>
      <c r="OZ4" s="145"/>
      <c r="PA4" s="145"/>
      <c r="PB4" s="145"/>
      <c r="PC4" s="145"/>
      <c r="PD4" s="145"/>
      <c r="PE4" s="145"/>
      <c r="PF4" s="145"/>
      <c r="PG4" s="145"/>
      <c r="PH4" s="145"/>
      <c r="PI4" s="145"/>
      <c r="PJ4" s="145"/>
      <c r="PK4" s="145"/>
      <c r="PL4" s="145"/>
      <c r="PM4" s="145"/>
      <c r="PN4" s="145"/>
      <c r="PO4" s="145"/>
      <c r="PP4" s="145"/>
      <c r="PQ4" s="145"/>
      <c r="PR4" s="145"/>
      <c r="PS4" s="145"/>
      <c r="PT4" s="145"/>
      <c r="PU4" s="145"/>
      <c r="PV4" s="145"/>
      <c r="PW4" s="145"/>
      <c r="PX4" s="145"/>
      <c r="PY4" s="145"/>
      <c r="PZ4" s="145"/>
      <c r="QA4" s="145"/>
      <c r="QB4" s="145"/>
      <c r="QC4" s="145"/>
      <c r="QD4" s="145"/>
      <c r="QE4" s="145"/>
      <c r="QF4" s="145"/>
      <c r="QG4" s="145"/>
      <c r="QH4" s="145"/>
      <c r="QI4" s="145"/>
      <c r="QJ4" s="145"/>
      <c r="QK4" s="145"/>
      <c r="QL4" s="145"/>
      <c r="QM4" s="145"/>
      <c r="QN4" s="145"/>
      <c r="QO4" s="145"/>
      <c r="QP4" s="145"/>
      <c r="QQ4" s="145"/>
      <c r="QR4" s="145"/>
      <c r="QS4" s="145"/>
      <c r="QT4" s="145"/>
      <c r="QU4" s="145"/>
      <c r="QV4" s="145"/>
      <c r="QW4" s="145"/>
      <c r="QX4" s="145"/>
      <c r="QY4" s="145"/>
      <c r="QZ4" s="145"/>
      <c r="RA4" s="145"/>
      <c r="RB4" s="145"/>
      <c r="RC4" s="145"/>
      <c r="RD4" s="145"/>
      <c r="RE4" s="145"/>
      <c r="RF4" s="145"/>
      <c r="RG4" s="145"/>
      <c r="RH4" s="145"/>
      <c r="RI4" s="145"/>
      <c r="RJ4" s="145"/>
      <c r="RK4" s="145"/>
      <c r="RL4" s="145"/>
      <c r="RM4" s="145"/>
      <c r="RN4" s="145"/>
      <c r="RO4" s="145"/>
      <c r="RP4" s="145"/>
      <c r="RQ4" s="145"/>
      <c r="RR4" s="145"/>
      <c r="RS4" s="145"/>
      <c r="RT4" s="145"/>
      <c r="RU4" s="145"/>
      <c r="RV4" s="145"/>
      <c r="RW4" s="145"/>
      <c r="RX4" s="145"/>
      <c r="RY4" s="145"/>
      <c r="RZ4" s="145"/>
      <c r="SA4" s="145"/>
      <c r="SB4" s="145"/>
      <c r="SC4" s="145"/>
      <c r="SD4" s="145"/>
      <c r="SE4" s="145"/>
      <c r="SF4" s="145"/>
      <c r="SG4" s="145"/>
      <c r="SH4" s="145"/>
      <c r="SI4" s="145"/>
      <c r="SJ4" s="145"/>
      <c r="SK4" s="145"/>
      <c r="SL4" s="145"/>
      <c r="SM4" s="145"/>
      <c r="SN4" s="145"/>
      <c r="SO4" s="145"/>
      <c r="SP4" s="145"/>
      <c r="SQ4" s="145"/>
      <c r="SR4" s="145"/>
      <c r="SS4" s="145"/>
      <c r="ST4" s="145"/>
      <c r="SU4" s="145"/>
      <c r="SV4" s="145"/>
      <c r="SW4" s="145"/>
      <c r="SX4" s="145"/>
      <c r="SY4" s="145"/>
      <c r="SZ4" s="145"/>
      <c r="TA4" s="145"/>
      <c r="TB4" s="145"/>
      <c r="TC4" s="145"/>
      <c r="TD4" s="145"/>
      <c r="TE4" s="145"/>
      <c r="TF4" s="145"/>
      <c r="TG4" s="145"/>
      <c r="TH4" s="145"/>
      <c r="TI4" s="145"/>
      <c r="TJ4" s="145"/>
      <c r="TK4" s="145"/>
      <c r="TL4" s="145"/>
      <c r="TM4" s="145"/>
      <c r="TN4" s="145"/>
      <c r="TO4" s="145"/>
      <c r="TP4" s="145"/>
      <c r="TQ4" s="145"/>
      <c r="TR4" s="145"/>
      <c r="TS4" s="145"/>
      <c r="TT4" s="145"/>
      <c r="TU4" s="145"/>
      <c r="TV4" s="145"/>
      <c r="TW4" s="145"/>
      <c r="TX4" s="145"/>
      <c r="TY4" s="145"/>
      <c r="TZ4" s="145"/>
      <c r="UA4" s="145"/>
      <c r="UB4" s="145"/>
      <c r="UC4" s="145"/>
      <c r="UD4" s="145"/>
      <c r="UE4" s="145"/>
      <c r="UF4" s="145"/>
      <c r="UG4" s="145"/>
      <c r="UH4" s="145"/>
      <c r="UI4" s="145"/>
      <c r="UJ4" s="145"/>
      <c r="UK4" s="145"/>
      <c r="UL4" s="145"/>
      <c r="UM4" s="145"/>
      <c r="UN4" s="145"/>
      <c r="UO4" s="145"/>
      <c r="UP4" s="145"/>
      <c r="UQ4" s="145"/>
      <c r="UR4" s="145"/>
      <c r="US4" s="145"/>
      <c r="UT4" s="145"/>
      <c r="UU4" s="145"/>
      <c r="UV4" s="145"/>
      <c r="UW4" s="145"/>
      <c r="UX4" s="145"/>
      <c r="UY4" s="145"/>
      <c r="UZ4" s="145"/>
      <c r="VA4" s="145"/>
      <c r="VB4" s="145"/>
      <c r="VC4" s="145"/>
      <c r="VD4" s="145"/>
      <c r="VE4" s="145"/>
      <c r="VF4" s="145"/>
      <c r="VG4" s="145"/>
      <c r="VH4" s="145"/>
      <c r="VI4" s="145"/>
      <c r="VJ4" s="145"/>
      <c r="VK4" s="145"/>
      <c r="VL4" s="145"/>
      <c r="VM4" s="145"/>
      <c r="VN4" s="145"/>
      <c r="VO4" s="145"/>
      <c r="VP4" s="145"/>
      <c r="VQ4" s="145"/>
      <c r="VR4" s="145"/>
      <c r="VS4" s="145"/>
      <c r="VT4" s="145"/>
      <c r="VU4" s="145"/>
      <c r="VV4" s="145"/>
      <c r="VW4" s="145"/>
      <c r="VX4" s="145"/>
      <c r="VY4" s="145"/>
      <c r="VZ4" s="145"/>
      <c r="WA4" s="145"/>
      <c r="WB4" s="145"/>
      <c r="WC4" s="145"/>
      <c r="WD4" s="145"/>
      <c r="WE4" s="145"/>
      <c r="WF4" s="145"/>
      <c r="WG4" s="145"/>
      <c r="WH4" s="145"/>
      <c r="WI4" s="145"/>
      <c r="WJ4" s="145"/>
      <c r="WK4" s="145"/>
      <c r="WL4" s="145"/>
      <c r="WM4" s="145"/>
      <c r="WN4" s="145"/>
      <c r="WO4" s="145"/>
      <c r="WP4" s="145"/>
      <c r="WQ4" s="145"/>
      <c r="WR4" s="145"/>
      <c r="WS4" s="145"/>
      <c r="WT4" s="145"/>
      <c r="WU4" s="145"/>
      <c r="WV4" s="145"/>
      <c r="WW4" s="145"/>
      <c r="WX4" s="145"/>
      <c r="WY4" s="145"/>
      <c r="WZ4" s="145"/>
      <c r="XA4" s="145"/>
      <c r="XB4" s="145"/>
      <c r="XC4" s="145"/>
      <c r="XD4" s="145"/>
      <c r="XE4" s="145"/>
      <c r="XF4" s="145"/>
      <c r="XG4" s="145"/>
      <c r="XH4" s="145"/>
      <c r="XI4" s="145"/>
      <c r="XJ4" s="145"/>
      <c r="XK4" s="145"/>
      <c r="XL4" s="145"/>
      <c r="XM4" s="145"/>
      <c r="XN4" s="145"/>
      <c r="XO4" s="145"/>
      <c r="XP4" s="145"/>
      <c r="XQ4" s="145"/>
      <c r="XR4" s="145"/>
      <c r="XS4" s="145"/>
      <c r="XT4" s="145"/>
      <c r="XU4" s="145"/>
      <c r="XV4" s="145"/>
      <c r="XW4" s="145"/>
      <c r="XX4" s="145"/>
      <c r="XY4" s="145"/>
      <c r="XZ4" s="145"/>
      <c r="YA4" s="145"/>
      <c r="YB4" s="145"/>
      <c r="YC4" s="145"/>
      <c r="YD4" s="145"/>
      <c r="YE4" s="145"/>
      <c r="YF4" s="145"/>
      <c r="YG4" s="145"/>
      <c r="YH4" s="145"/>
      <c r="YI4" s="145"/>
      <c r="YJ4" s="145"/>
      <c r="YK4" s="145"/>
      <c r="YL4" s="145"/>
      <c r="YM4" s="145"/>
      <c r="YN4" s="145"/>
      <c r="YO4" s="145"/>
      <c r="YP4" s="145"/>
      <c r="YQ4" s="145"/>
      <c r="YR4" s="145"/>
      <c r="YS4" s="145"/>
      <c r="YT4" s="145"/>
      <c r="YU4" s="145"/>
      <c r="YV4" s="145"/>
      <c r="YW4" s="145"/>
      <c r="YX4" s="145"/>
      <c r="YY4" s="145"/>
      <c r="YZ4" s="145"/>
      <c r="ZA4" s="145"/>
      <c r="ZB4" s="145"/>
      <c r="ZC4" s="145"/>
      <c r="ZD4" s="145"/>
      <c r="ZE4" s="145"/>
      <c r="ZF4" s="145"/>
      <c r="ZG4" s="145"/>
      <c r="ZH4" s="145"/>
      <c r="ZI4" s="145"/>
      <c r="ZJ4" s="145"/>
      <c r="ZK4" s="145"/>
      <c r="ZL4" s="145"/>
      <c r="ZM4" s="145"/>
      <c r="ZN4" s="145"/>
      <c r="ZO4" s="145"/>
      <c r="ZP4" s="145"/>
      <c r="ZQ4" s="145"/>
      <c r="ZR4" s="145"/>
      <c r="ZS4" s="145"/>
      <c r="ZT4" s="145"/>
      <c r="ZU4" s="145"/>
      <c r="ZV4" s="145"/>
      <c r="ZW4" s="145"/>
      <c r="ZX4" s="145"/>
      <c r="ZY4" s="145"/>
      <c r="ZZ4" s="145"/>
      <c r="AAA4" s="145"/>
      <c r="AAB4" s="145"/>
      <c r="AAC4" s="145"/>
      <c r="AAD4" s="145"/>
      <c r="AAE4" s="145"/>
      <c r="AAF4" s="145"/>
      <c r="AAG4" s="145"/>
      <c r="AAH4" s="145"/>
      <c r="AAI4" s="145"/>
      <c r="AAJ4" s="145"/>
      <c r="AAK4" s="145"/>
      <c r="AAL4" s="145"/>
      <c r="AAM4" s="145"/>
      <c r="AAN4" s="145"/>
      <c r="AAO4" s="145"/>
      <c r="AAP4" s="145"/>
      <c r="AAQ4" s="145"/>
      <c r="AAR4" s="145"/>
      <c r="AAS4" s="145"/>
      <c r="AAT4" s="145"/>
      <c r="AAU4" s="145"/>
      <c r="AAV4" s="145"/>
      <c r="AAW4" s="145"/>
      <c r="AAX4" s="145"/>
      <c r="AAY4" s="145"/>
      <c r="AAZ4" s="145"/>
      <c r="ABA4" s="145"/>
      <c r="ABB4" s="145"/>
      <c r="ABC4" s="145"/>
      <c r="ABD4" s="145"/>
      <c r="ABE4" s="145"/>
      <c r="ABF4" s="145"/>
      <c r="ABG4" s="145"/>
      <c r="ABH4" s="145"/>
      <c r="ABI4" s="145"/>
      <c r="ABJ4" s="145"/>
      <c r="ABK4" s="145"/>
      <c r="ABL4" s="145"/>
      <c r="ABM4" s="145"/>
      <c r="ABN4" s="145"/>
      <c r="ABO4" s="145"/>
      <c r="ABP4" s="145"/>
      <c r="ABQ4" s="145"/>
      <c r="ABR4" s="145"/>
      <c r="ABS4" s="145"/>
      <c r="ABT4" s="145"/>
      <c r="ABU4" s="145"/>
      <c r="ABV4" s="145"/>
      <c r="ABW4" s="145"/>
      <c r="ABX4" s="145"/>
      <c r="ABY4" s="145"/>
      <c r="ABZ4" s="145"/>
      <c r="ACA4" s="145"/>
      <c r="ACB4" s="145"/>
      <c r="ACC4" s="145"/>
      <c r="ACD4" s="145"/>
      <c r="ACE4" s="145"/>
      <c r="ACF4" s="145"/>
      <c r="ACG4" s="145"/>
      <c r="ACH4" s="145"/>
      <c r="ACI4" s="145"/>
      <c r="ACJ4" s="145"/>
      <c r="ACK4" s="145"/>
      <c r="ACL4" s="145"/>
      <c r="ACM4" s="145"/>
      <c r="ACN4" s="145"/>
      <c r="ACO4" s="145"/>
      <c r="ACP4" s="145"/>
      <c r="ACQ4" s="145"/>
      <c r="ACR4" s="145"/>
      <c r="ACS4" s="145"/>
      <c r="ACT4" s="145"/>
      <c r="ACU4" s="145"/>
      <c r="ACV4" s="145"/>
      <c r="ACW4" s="145"/>
      <c r="ACX4" s="145"/>
      <c r="ACY4" s="145"/>
      <c r="ACZ4" s="145"/>
      <c r="ADA4" s="145"/>
      <c r="ADB4" s="145"/>
      <c r="ADC4" s="145"/>
      <c r="ADD4" s="145"/>
      <c r="ADE4" s="145"/>
      <c r="ADF4" s="145"/>
      <c r="ADG4" s="145"/>
      <c r="ADH4" s="145"/>
      <c r="ADI4" s="145"/>
      <c r="ADJ4" s="145"/>
      <c r="ADK4" s="145"/>
      <c r="ADL4" s="145"/>
      <c r="ADM4" s="145"/>
      <c r="ADN4" s="145"/>
      <c r="ADO4" s="145"/>
      <c r="ADP4" s="145"/>
      <c r="ADQ4" s="145"/>
      <c r="ADR4" s="145"/>
      <c r="ADS4" s="145"/>
      <c r="ADT4" s="145"/>
      <c r="ADU4" s="145"/>
      <c r="ADV4" s="145"/>
      <c r="ADW4" s="145"/>
      <c r="ADX4" s="145"/>
      <c r="ADY4" s="145">
        <v>2021</v>
      </c>
      <c r="ADZ4" s="145"/>
      <c r="AEA4" s="145"/>
      <c r="AEB4" s="145"/>
      <c r="AEC4" s="145"/>
      <c r="AED4" s="145"/>
      <c r="AEE4" s="145"/>
      <c r="AEF4" s="145"/>
      <c r="AEG4" s="145"/>
      <c r="AEH4" s="145"/>
      <c r="AEI4" s="145"/>
      <c r="AEJ4" s="145"/>
      <c r="AEK4" s="145"/>
      <c r="AEL4" s="145"/>
      <c r="AEM4" s="145"/>
      <c r="AEN4" s="145"/>
      <c r="AEO4" s="145"/>
      <c r="AEP4" s="145"/>
      <c r="AEQ4" s="145"/>
      <c r="AER4" s="145"/>
      <c r="AES4" s="145"/>
      <c r="AET4" s="145"/>
      <c r="AEU4" s="145"/>
      <c r="AEV4" s="145"/>
      <c r="AEW4" s="145"/>
      <c r="AEX4" s="145"/>
      <c r="AEY4" s="145"/>
      <c r="AEZ4" s="145"/>
      <c r="AFA4" s="145"/>
      <c r="AFB4" s="145"/>
      <c r="AFC4" s="145"/>
      <c r="AFD4" s="145"/>
      <c r="AFE4" s="145"/>
      <c r="AFF4" s="145"/>
      <c r="AFG4" s="145"/>
      <c r="AFH4" s="145"/>
      <c r="AFI4" s="145"/>
      <c r="AFJ4" s="145"/>
      <c r="AFK4" s="145"/>
      <c r="AFL4" s="145"/>
      <c r="AFM4" s="145"/>
      <c r="AFN4" s="145"/>
      <c r="AFO4" s="145"/>
      <c r="AFP4" s="145"/>
      <c r="AFQ4" s="145"/>
      <c r="AFR4" s="145"/>
      <c r="AFS4" s="145"/>
      <c r="AFT4" s="145"/>
      <c r="AFU4" s="145"/>
      <c r="AFV4" s="145"/>
      <c r="AFW4" s="145"/>
      <c r="AFX4" s="145"/>
      <c r="AFY4" s="145"/>
      <c r="AFZ4" s="145"/>
      <c r="AGA4" s="145"/>
      <c r="AGB4" s="145"/>
      <c r="AGC4" s="145"/>
      <c r="AGD4" s="145"/>
      <c r="AGE4" s="145"/>
      <c r="AGF4" s="145"/>
      <c r="AGG4" s="145"/>
      <c r="AGH4" s="145"/>
      <c r="AGI4" s="145"/>
      <c r="AGJ4" s="145"/>
      <c r="AGK4" s="145"/>
      <c r="AGL4" s="145"/>
      <c r="AGM4" s="145"/>
      <c r="AGN4" s="145"/>
      <c r="AGO4" s="145"/>
      <c r="AGP4" s="145"/>
      <c r="AGQ4" s="145"/>
      <c r="AGR4" s="145"/>
      <c r="AGS4" s="145"/>
      <c r="AGT4" s="145"/>
      <c r="AGU4" s="145"/>
      <c r="AGV4" s="145"/>
      <c r="AGW4" s="145"/>
      <c r="AGX4" s="145"/>
      <c r="AGY4" s="145"/>
      <c r="AGZ4" s="145"/>
      <c r="AHA4" s="145"/>
      <c r="AHB4" s="145"/>
      <c r="AHC4" s="145"/>
      <c r="AHD4" s="145"/>
      <c r="AHE4" s="145"/>
      <c r="AHF4" s="145"/>
      <c r="AHG4" s="145"/>
      <c r="AHH4" s="145"/>
      <c r="AHI4" s="145"/>
      <c r="AHJ4" s="145"/>
      <c r="AHK4" s="145"/>
      <c r="AHL4" s="145"/>
      <c r="AHM4" s="145"/>
      <c r="AHN4" s="145"/>
      <c r="AHO4" s="145"/>
      <c r="AHP4" s="145"/>
      <c r="AHQ4" s="145"/>
      <c r="AHR4" s="145"/>
      <c r="AHS4" s="145"/>
      <c r="AHT4" s="145"/>
      <c r="AHU4" s="145"/>
      <c r="AHV4" s="145"/>
      <c r="AHW4" s="145"/>
      <c r="AHX4" s="145"/>
      <c r="AHY4" s="145"/>
      <c r="AHZ4" s="145"/>
      <c r="AIA4" s="145"/>
      <c r="AIB4" s="145"/>
      <c r="AIC4" s="145"/>
      <c r="AID4" s="145"/>
      <c r="AIE4" s="145"/>
      <c r="AIF4" s="145"/>
      <c r="AIG4" s="145"/>
      <c r="AIH4" s="145"/>
      <c r="AII4" s="145"/>
      <c r="AIJ4" s="145"/>
      <c r="AIK4" s="145"/>
      <c r="AIL4" s="145"/>
      <c r="AIM4" s="145"/>
      <c r="AIN4" s="145"/>
      <c r="AIO4" s="145"/>
      <c r="AIP4" s="145"/>
      <c r="AIQ4" s="145"/>
      <c r="AIR4" s="145"/>
      <c r="AIS4" s="145"/>
      <c r="AIT4" s="145"/>
      <c r="AIU4" s="145"/>
      <c r="AIV4" s="145"/>
      <c r="AIW4" s="145"/>
      <c r="AIX4" s="145"/>
      <c r="AIY4" s="145"/>
      <c r="AIZ4" s="145"/>
      <c r="AJA4" s="145"/>
      <c r="AJB4" s="145"/>
      <c r="AJC4" s="145"/>
      <c r="AJD4" s="145"/>
      <c r="AJE4" s="145"/>
      <c r="AJF4" s="145"/>
      <c r="AJG4" s="145"/>
      <c r="AJH4" s="145"/>
      <c r="AJI4" s="145"/>
      <c r="AJJ4" s="145"/>
      <c r="AJK4" s="145"/>
      <c r="AJL4" s="145"/>
      <c r="AJM4" s="145"/>
      <c r="AJN4" s="145"/>
      <c r="AJO4" s="145"/>
      <c r="AJP4" s="145"/>
      <c r="AJQ4" s="145"/>
      <c r="AJR4" s="145"/>
      <c r="AJS4" s="145"/>
      <c r="AJT4" s="145"/>
      <c r="AJU4" s="145"/>
      <c r="AJV4" s="145"/>
      <c r="AJW4" s="145"/>
      <c r="AJX4" s="145"/>
      <c r="AJY4" s="145"/>
      <c r="AJZ4" s="145"/>
      <c r="AKA4" s="145"/>
      <c r="AKB4" s="145"/>
      <c r="AKC4" s="145"/>
      <c r="AKD4" s="145"/>
      <c r="AKE4" s="145"/>
      <c r="AKF4" s="145"/>
      <c r="AKG4" s="145"/>
      <c r="AKH4" s="145"/>
      <c r="AKI4" s="145"/>
      <c r="AKJ4" s="145"/>
      <c r="AKK4" s="145"/>
      <c r="AKL4" s="145"/>
      <c r="AKM4" s="145"/>
      <c r="AKN4" s="145"/>
      <c r="AKO4" s="145"/>
      <c r="AKP4" s="145"/>
      <c r="AKQ4" s="145"/>
      <c r="AKR4" s="145"/>
      <c r="AKS4" s="145"/>
      <c r="AKT4" s="145"/>
      <c r="AKU4" s="145"/>
      <c r="AKV4" s="145"/>
      <c r="AKW4" s="145"/>
      <c r="AKX4" s="145"/>
      <c r="AKY4" s="145"/>
      <c r="AKZ4" s="145"/>
      <c r="ALA4" s="145"/>
      <c r="ALB4" s="145"/>
      <c r="ALC4" s="145"/>
      <c r="ALD4" s="145"/>
      <c r="ALE4" s="145"/>
      <c r="ALF4" s="145"/>
      <c r="ALG4" s="145"/>
      <c r="ALH4" s="145"/>
      <c r="ALI4" s="145"/>
      <c r="ALJ4" s="145"/>
      <c r="ALK4" s="145"/>
      <c r="ALL4" s="145"/>
      <c r="ALM4" s="145"/>
      <c r="ALN4" s="145"/>
      <c r="ALO4" s="145"/>
      <c r="ALP4" s="145"/>
      <c r="ALQ4" s="145"/>
      <c r="ALR4" s="145"/>
      <c r="ALS4" s="145"/>
      <c r="ALT4" s="145"/>
      <c r="ALU4" s="145"/>
      <c r="ALV4" s="145"/>
      <c r="ALW4" s="145"/>
      <c r="ALX4" s="145"/>
      <c r="ALY4" s="145"/>
      <c r="ALZ4" s="145"/>
      <c r="AMA4" s="145"/>
      <c r="AMB4" s="145"/>
      <c r="AMC4" s="145"/>
      <c r="AMD4" s="145"/>
      <c r="AME4" s="145"/>
      <c r="AMF4" s="145"/>
      <c r="AMG4" s="145"/>
      <c r="AMH4" s="145"/>
      <c r="AMI4" s="145"/>
      <c r="AMJ4" s="145"/>
      <c r="AMK4" s="145"/>
      <c r="AML4" s="145"/>
      <c r="AMM4" s="145"/>
      <c r="AMN4" s="145"/>
      <c r="AMO4" s="145"/>
      <c r="AMP4" s="145"/>
      <c r="AMQ4" s="145"/>
      <c r="AMR4" s="145"/>
      <c r="AMS4" s="145"/>
      <c r="AMT4" s="145"/>
      <c r="AMU4" s="145"/>
      <c r="AMV4" s="145"/>
      <c r="AMW4" s="145"/>
      <c r="AMX4" s="145"/>
      <c r="AMY4" s="145"/>
      <c r="AMZ4" s="145"/>
      <c r="ANA4" s="145"/>
      <c r="ANB4" s="145"/>
      <c r="ANC4" s="145"/>
      <c r="AND4" s="145"/>
      <c r="ANE4" s="145"/>
      <c r="ANF4" s="145"/>
      <c r="ANG4" s="145"/>
      <c r="ANH4" s="145"/>
      <c r="ANI4" s="145"/>
      <c r="ANJ4" s="145"/>
      <c r="ANK4" s="145"/>
      <c r="ANL4" s="145"/>
      <c r="ANM4" s="145"/>
      <c r="ANN4" s="145"/>
      <c r="ANO4" s="145"/>
      <c r="ANP4" s="145"/>
      <c r="ANQ4" s="145"/>
      <c r="ANR4" s="145"/>
      <c r="ANS4" s="145"/>
      <c r="ANT4" s="145"/>
      <c r="ANU4" s="145"/>
      <c r="ANV4" s="145"/>
      <c r="ANW4" s="145"/>
      <c r="ANX4" s="145"/>
      <c r="ANY4" s="145"/>
      <c r="ANZ4" s="145"/>
      <c r="AOA4" s="145"/>
      <c r="AOB4" s="145"/>
      <c r="AOC4" s="145"/>
      <c r="AOD4" s="145"/>
      <c r="AOE4" s="145"/>
      <c r="AOF4" s="145"/>
      <c r="AOG4" s="145"/>
      <c r="AOH4" s="145"/>
      <c r="AOI4" s="145"/>
      <c r="AOJ4" s="145"/>
      <c r="AOK4" s="145"/>
      <c r="AOL4" s="145"/>
      <c r="AOM4" s="145"/>
      <c r="AON4" s="145"/>
      <c r="AOO4" s="145"/>
      <c r="AOP4" s="145"/>
      <c r="AOQ4" s="145"/>
      <c r="AOR4" s="145"/>
      <c r="AOS4" s="145"/>
      <c r="AOT4" s="145"/>
      <c r="AOU4" s="145"/>
      <c r="AOV4" s="145"/>
      <c r="AOW4" s="145"/>
      <c r="AOX4" s="145"/>
      <c r="AOY4" s="145"/>
      <c r="AOZ4" s="145"/>
      <c r="APA4" s="145"/>
      <c r="APB4" s="145"/>
      <c r="APC4" s="145"/>
      <c r="APD4" s="145"/>
      <c r="APE4" s="145"/>
      <c r="APF4" s="145"/>
      <c r="APG4" s="145"/>
      <c r="APH4" s="145"/>
      <c r="API4" s="145"/>
      <c r="APJ4" s="145"/>
      <c r="APK4" s="145"/>
      <c r="APL4" s="145"/>
      <c r="APM4" s="145"/>
      <c r="APN4" s="145"/>
      <c r="APO4" s="145"/>
      <c r="APP4" s="145"/>
      <c r="APQ4" s="145"/>
      <c r="APR4" s="145"/>
      <c r="APS4" s="145"/>
      <c r="APT4" s="145"/>
      <c r="APU4" s="145"/>
      <c r="APV4" s="145"/>
      <c r="APW4" s="145"/>
      <c r="APX4" s="145"/>
      <c r="APY4" s="145"/>
      <c r="APZ4" s="145"/>
      <c r="AQA4" s="145"/>
      <c r="AQB4" s="145"/>
      <c r="AQC4" s="145"/>
      <c r="AQD4" s="145"/>
      <c r="AQE4" s="145"/>
      <c r="AQF4" s="145"/>
      <c r="AQG4" s="145"/>
      <c r="AQH4" s="145"/>
      <c r="AQI4" s="145"/>
      <c r="AQJ4" s="145"/>
      <c r="AQK4" s="145"/>
      <c r="AQL4" s="145"/>
      <c r="AQM4" s="145"/>
      <c r="AQN4" s="145"/>
      <c r="AQO4" s="145"/>
      <c r="AQP4" s="145"/>
      <c r="AQQ4" s="145"/>
      <c r="AQR4" s="145"/>
      <c r="AQS4" s="145"/>
      <c r="AQT4" s="145"/>
      <c r="AQU4" s="145"/>
      <c r="AQV4" s="145"/>
      <c r="AQW4" s="145"/>
      <c r="AQX4" s="145"/>
      <c r="AQY4" s="145"/>
      <c r="AQZ4" s="145"/>
      <c r="ARA4" s="145"/>
      <c r="ARB4" s="145"/>
      <c r="ARC4" s="145"/>
      <c r="ARD4" s="145"/>
      <c r="ARE4" s="145"/>
      <c r="ARF4" s="145"/>
      <c r="ARG4" s="145"/>
      <c r="ARH4" s="145"/>
      <c r="ARI4" s="145"/>
      <c r="ARJ4" s="145"/>
      <c r="ARK4" s="145"/>
      <c r="ARL4" s="145"/>
      <c r="ARM4" s="145"/>
      <c r="ARN4" s="145"/>
      <c r="ARO4" s="145"/>
      <c r="ARP4" s="145"/>
      <c r="ARQ4" s="145"/>
      <c r="ARR4" s="145"/>
      <c r="ARS4" s="145"/>
      <c r="ART4" s="145"/>
      <c r="ARU4" s="145"/>
      <c r="ARV4" s="145"/>
      <c r="ARW4" s="145"/>
      <c r="ARX4" s="145"/>
      <c r="ARY4" s="145"/>
      <c r="ARZ4" s="145"/>
      <c r="ASA4" s="145"/>
      <c r="ASB4" s="145"/>
      <c r="ASC4" s="145"/>
      <c r="ASD4" s="145"/>
      <c r="ASE4" s="145"/>
      <c r="ASF4" s="145"/>
      <c r="ASG4" s="145"/>
      <c r="ASH4" s="145"/>
      <c r="ASI4" s="145"/>
      <c r="ASJ4" s="145"/>
      <c r="ASK4" s="145"/>
      <c r="ASL4" s="145"/>
      <c r="ASM4" s="145"/>
      <c r="ASN4" s="145"/>
      <c r="ASO4" s="145"/>
      <c r="ASP4" s="145"/>
      <c r="ASQ4" s="145"/>
      <c r="ASR4" s="145"/>
      <c r="ASS4" s="145"/>
      <c r="AST4" s="145"/>
      <c r="ASU4" s="145"/>
      <c r="ASV4" s="145"/>
      <c r="ASW4" s="145"/>
      <c r="ASX4" s="145"/>
      <c r="ASY4" s="145"/>
      <c r="ASZ4" s="145"/>
      <c r="ATA4" s="145"/>
      <c r="ATB4" s="145"/>
      <c r="ATC4" s="145"/>
      <c r="ATD4" s="145"/>
      <c r="ATE4" s="145"/>
      <c r="ATF4" s="70"/>
      <c r="ATG4" s="70"/>
      <c r="ATH4" s="70"/>
      <c r="ATI4" s="70"/>
      <c r="ATJ4" s="70"/>
      <c r="ATK4" s="70"/>
      <c r="ATL4" s="70"/>
      <c r="ATM4" s="70"/>
      <c r="ATN4" s="70"/>
      <c r="ATO4" s="70"/>
      <c r="ATP4" s="70"/>
      <c r="ATQ4" s="70"/>
      <c r="ATR4" s="70"/>
      <c r="ATS4" s="70"/>
      <c r="ATT4" s="70"/>
      <c r="ATU4" s="70"/>
      <c r="ATV4" s="70"/>
      <c r="ATW4" s="70"/>
      <c r="ATX4" s="70"/>
      <c r="ATY4" s="70"/>
      <c r="ATZ4" s="70"/>
      <c r="AUA4" s="70"/>
      <c r="AUB4" s="70"/>
      <c r="AUC4" s="70"/>
      <c r="AUD4" s="70"/>
      <c r="AUE4" s="70"/>
      <c r="AUF4" s="70"/>
      <c r="AUG4" s="70"/>
      <c r="AUH4" s="70"/>
      <c r="AUI4" s="70"/>
      <c r="AUJ4" s="70"/>
      <c r="AUK4" s="70"/>
      <c r="AUL4" s="145">
        <v>2022</v>
      </c>
      <c r="AUM4" s="145"/>
      <c r="AUN4" s="145"/>
      <c r="AUO4" s="145"/>
      <c r="AUP4" s="145"/>
      <c r="AUQ4" s="145"/>
      <c r="AUR4" s="145"/>
      <c r="AUS4" s="145"/>
      <c r="AUT4" s="145"/>
      <c r="AUU4" s="145"/>
      <c r="AUV4" s="145"/>
      <c r="AUW4" s="145"/>
      <c r="AUX4" s="145"/>
      <c r="AUY4" s="145"/>
      <c r="AUZ4" s="145"/>
      <c r="AVA4" s="145"/>
      <c r="AVB4" s="145"/>
      <c r="AVC4" s="145"/>
      <c r="AVD4" s="145"/>
      <c r="AVE4" s="145"/>
      <c r="AVF4" s="145"/>
      <c r="AVG4" s="145"/>
      <c r="AVH4" s="145"/>
      <c r="AVI4" s="145"/>
      <c r="AVJ4" s="145"/>
      <c r="AVK4" s="145"/>
      <c r="AVL4" s="145"/>
      <c r="AVM4" s="145"/>
      <c r="AVN4" s="145"/>
      <c r="AVO4" s="145"/>
      <c r="AVP4" s="145"/>
      <c r="AVQ4" s="145"/>
      <c r="AVR4" s="145"/>
      <c r="AVS4" s="145"/>
      <c r="AVT4" s="145"/>
      <c r="AVU4" s="145"/>
      <c r="AVV4" s="145"/>
      <c r="AVW4" s="145"/>
      <c r="AVX4" s="145"/>
      <c r="AVY4" s="145"/>
      <c r="AVZ4" s="145"/>
      <c r="AWA4" s="145"/>
      <c r="AWB4" s="145"/>
      <c r="AWC4" s="145"/>
      <c r="AWD4" s="145"/>
      <c r="AWE4" s="145"/>
      <c r="AWF4" s="145"/>
      <c r="AWG4" s="145"/>
      <c r="AWH4" s="145"/>
      <c r="AWI4" s="145"/>
      <c r="AWJ4" s="145"/>
      <c r="AWK4" s="145"/>
      <c r="AWL4" s="145"/>
      <c r="AWM4" s="145"/>
      <c r="AWN4" s="145"/>
      <c r="AWO4" s="145"/>
      <c r="AWP4" s="145"/>
      <c r="AWQ4" s="145"/>
      <c r="AWR4" s="145"/>
      <c r="AWS4" s="145"/>
      <c r="AWT4" s="145"/>
      <c r="AWU4" s="145"/>
      <c r="AWV4" s="145"/>
      <c r="AWW4" s="145"/>
      <c r="AWX4" s="145"/>
      <c r="AWY4" s="145"/>
      <c r="AWZ4" s="145"/>
      <c r="AXA4" s="145"/>
      <c r="AXB4" s="145"/>
      <c r="AXC4" s="145"/>
      <c r="AXD4" s="145"/>
      <c r="AXE4" s="145"/>
      <c r="AXF4" s="145"/>
      <c r="AXG4" s="145"/>
      <c r="AXH4" s="145"/>
      <c r="AXI4" s="145"/>
      <c r="AXJ4" s="145"/>
      <c r="AXK4" s="145"/>
      <c r="AXL4" s="145"/>
      <c r="AXM4" s="145"/>
      <c r="AXN4" s="145"/>
      <c r="AXO4" s="145"/>
      <c r="AXP4" s="145"/>
      <c r="AXQ4" s="145"/>
      <c r="AXR4" s="145"/>
      <c r="AXS4" s="145"/>
      <c r="AXT4" s="145"/>
      <c r="AXU4" s="145"/>
      <c r="AXV4" s="145"/>
      <c r="AXW4" s="145"/>
      <c r="AXX4" s="145"/>
      <c r="AXY4" s="145"/>
      <c r="AXZ4" s="145"/>
      <c r="AYA4" s="145"/>
      <c r="AYB4" s="145"/>
      <c r="AYC4" s="145"/>
      <c r="AYD4" s="145"/>
      <c r="AYE4" s="145"/>
      <c r="AYF4" s="145"/>
      <c r="AYG4" s="145"/>
      <c r="AYH4" s="145"/>
      <c r="AYI4" s="145"/>
      <c r="AYJ4" s="145"/>
      <c r="AYK4" s="145"/>
      <c r="AYL4" s="145"/>
      <c r="AYM4" s="145"/>
      <c r="AYN4" s="145"/>
      <c r="AYO4" s="145"/>
      <c r="AYP4" s="145"/>
      <c r="AYQ4" s="145"/>
      <c r="AYR4" s="145"/>
      <c r="AYS4" s="145"/>
      <c r="AYT4" s="145"/>
      <c r="AYU4" s="145"/>
      <c r="AYV4" s="145"/>
      <c r="AYW4" s="145"/>
      <c r="AYX4" s="145"/>
      <c r="AYY4" s="145"/>
      <c r="AYZ4" s="145"/>
      <c r="AZA4" s="145"/>
      <c r="AZB4" s="145"/>
      <c r="AZC4" s="145"/>
      <c r="AZD4" s="145"/>
      <c r="AZE4" s="145"/>
      <c r="AZF4" s="145"/>
      <c r="AZG4" s="145"/>
      <c r="AZH4" s="145"/>
      <c r="AZI4" s="145"/>
      <c r="AZJ4" s="145"/>
      <c r="AZK4" s="145"/>
      <c r="AZL4" s="145"/>
      <c r="AZM4" s="145"/>
      <c r="AZN4" s="145"/>
      <c r="AZO4" s="145"/>
      <c r="AZP4" s="145"/>
      <c r="AZQ4" s="145"/>
      <c r="AZR4" s="145"/>
      <c r="AZS4" s="145"/>
      <c r="AZT4" s="145"/>
      <c r="AZU4" s="145"/>
      <c r="AZV4" s="145"/>
      <c r="AZW4" s="145"/>
      <c r="AZX4" s="145"/>
      <c r="AZY4" s="145"/>
      <c r="AZZ4" s="145"/>
      <c r="BAA4" s="145"/>
      <c r="BAB4" s="145"/>
      <c r="BAC4" s="145"/>
      <c r="BAD4" s="145"/>
      <c r="BAE4" s="145"/>
      <c r="BAF4" s="145"/>
      <c r="BAG4" s="145"/>
      <c r="BAH4" s="145"/>
      <c r="BAI4" s="145"/>
      <c r="BAJ4" s="145"/>
      <c r="BAK4" s="145"/>
      <c r="BAL4" s="145"/>
      <c r="BAM4" s="145"/>
      <c r="BAN4" s="145"/>
      <c r="BAO4" s="145"/>
      <c r="BAP4" s="145"/>
      <c r="BAQ4" s="145"/>
      <c r="BAR4" s="145"/>
      <c r="BAS4" s="145"/>
      <c r="BAT4" s="145"/>
      <c r="BAU4" s="145"/>
      <c r="BAV4" s="145"/>
      <c r="BAW4" s="145"/>
      <c r="BAX4" s="145"/>
      <c r="BAY4" s="145"/>
      <c r="BAZ4" s="145"/>
      <c r="BBA4" s="145"/>
      <c r="BBB4" s="145"/>
      <c r="BBC4" s="145"/>
      <c r="BBD4" s="145"/>
      <c r="BBE4" s="145"/>
      <c r="BBF4" s="145"/>
      <c r="BBG4" s="145"/>
      <c r="BBH4" s="145"/>
      <c r="BBI4" s="145"/>
      <c r="BBJ4" s="145"/>
      <c r="BBK4" s="145"/>
      <c r="BBL4" s="145"/>
      <c r="BBM4" s="145"/>
      <c r="BBN4" s="145"/>
      <c r="BBO4" s="145"/>
      <c r="BBP4" s="145"/>
      <c r="BBQ4" s="145"/>
      <c r="BBR4" s="145"/>
      <c r="BBS4" s="145"/>
      <c r="BBT4" s="145"/>
      <c r="BBU4" s="145"/>
      <c r="BBV4" s="145"/>
      <c r="BBW4" s="145"/>
      <c r="BBX4" s="145"/>
      <c r="BBY4" s="145"/>
      <c r="BBZ4" s="145"/>
      <c r="BCA4" s="145"/>
      <c r="BCB4" s="145"/>
      <c r="BCC4" s="145"/>
      <c r="BCD4" s="145"/>
      <c r="BCE4" s="145"/>
      <c r="BCF4" s="145"/>
      <c r="BCG4" s="145"/>
      <c r="BCH4" s="145"/>
      <c r="BCI4" s="145"/>
      <c r="BCJ4" s="145"/>
      <c r="BCK4" s="145"/>
      <c r="BCL4" s="145"/>
      <c r="BCM4" s="145"/>
      <c r="BCN4" s="145"/>
      <c r="BCO4" s="145"/>
      <c r="BCP4" s="145"/>
      <c r="BCQ4" s="145"/>
      <c r="BCR4" s="145"/>
      <c r="BCS4" s="145"/>
      <c r="BCT4" s="145"/>
      <c r="BCU4" s="145"/>
      <c r="BCV4" s="145"/>
      <c r="BCW4" s="145"/>
      <c r="BCX4" s="145"/>
      <c r="BCY4" s="145"/>
      <c r="BCZ4" s="145"/>
      <c r="BDA4" s="145"/>
      <c r="BDB4" s="145"/>
      <c r="BDC4" s="145"/>
      <c r="BDD4" s="145"/>
      <c r="BDE4" s="145"/>
      <c r="BDF4" s="145"/>
      <c r="BDG4" s="145"/>
      <c r="BDH4" s="145"/>
      <c r="BDI4" s="145"/>
      <c r="BDJ4" s="145"/>
      <c r="BDK4" s="145"/>
      <c r="BDL4" s="145"/>
      <c r="BDM4" s="145"/>
      <c r="BDN4" s="145"/>
      <c r="BDO4" s="145"/>
      <c r="BDP4" s="145"/>
      <c r="BDQ4" s="145"/>
      <c r="BDR4" s="145"/>
      <c r="BDS4" s="145"/>
      <c r="BDT4" s="145"/>
      <c r="BDU4" s="145"/>
      <c r="BDV4" s="145"/>
      <c r="BDW4" s="145"/>
      <c r="BDX4" s="145"/>
      <c r="BDY4" s="145"/>
      <c r="BDZ4" s="145"/>
      <c r="BEA4" s="145"/>
      <c r="BEB4" s="145"/>
      <c r="BEC4" s="145"/>
      <c r="BED4" s="145"/>
      <c r="BEE4" s="145"/>
      <c r="BEF4" s="145"/>
      <c r="BEG4" s="145"/>
      <c r="BEH4" s="145"/>
      <c r="BEI4" s="145"/>
      <c r="BEJ4" s="145"/>
      <c r="BEK4" s="145"/>
      <c r="BEL4" s="145"/>
      <c r="BEM4" s="145"/>
      <c r="BEN4" s="145"/>
      <c r="BEO4" s="145"/>
      <c r="BEP4" s="145"/>
      <c r="BEQ4" s="145"/>
      <c r="BER4" s="145"/>
      <c r="BES4" s="145"/>
      <c r="BET4" s="145"/>
      <c r="BEU4" s="145"/>
      <c r="BEV4" s="145"/>
      <c r="BEW4" s="145"/>
      <c r="BEX4" s="145"/>
      <c r="BEY4" s="145"/>
      <c r="BEZ4" s="145"/>
      <c r="BFA4" s="145"/>
      <c r="BFB4" s="145"/>
      <c r="BFC4" s="145"/>
      <c r="BFD4" s="145"/>
      <c r="BFE4" s="145"/>
      <c r="BFF4" s="145"/>
      <c r="BFG4" s="145"/>
      <c r="BFH4" s="145"/>
      <c r="BFI4" s="145"/>
      <c r="BFJ4" s="145"/>
      <c r="BFK4" s="145"/>
      <c r="BFL4" s="145"/>
      <c r="BFM4" s="145"/>
      <c r="BFN4" s="145"/>
      <c r="BFO4" s="145"/>
      <c r="BFP4" s="145"/>
      <c r="BFQ4" s="145"/>
      <c r="BFR4" s="145"/>
      <c r="BFS4" s="145"/>
      <c r="BFT4" s="145"/>
      <c r="BFU4" s="145"/>
      <c r="BFV4" s="145"/>
      <c r="BFW4" s="145"/>
      <c r="BFX4" s="145"/>
      <c r="BFY4" s="145"/>
      <c r="BFZ4" s="145"/>
      <c r="BGA4" s="145"/>
      <c r="BGB4" s="145"/>
      <c r="BGC4" s="145"/>
      <c r="BGD4" s="145"/>
      <c r="BGE4" s="145"/>
      <c r="BGF4" s="145"/>
      <c r="BGG4" s="145"/>
      <c r="BGH4" s="145"/>
      <c r="BGI4" s="145"/>
      <c r="BGJ4" s="145"/>
      <c r="BGK4" s="145"/>
      <c r="BGL4" s="145"/>
      <c r="BGM4" s="145"/>
      <c r="BGN4" s="145"/>
      <c r="BGO4" s="145"/>
      <c r="BGP4" s="145"/>
      <c r="BGQ4" s="145"/>
      <c r="BGR4" s="145"/>
      <c r="BGS4" s="145"/>
      <c r="BGT4" s="145"/>
      <c r="BGU4" s="145"/>
      <c r="BGV4" s="145"/>
      <c r="BGW4" s="145"/>
      <c r="BGX4" s="145"/>
      <c r="BGY4" s="145"/>
      <c r="BGZ4" s="145"/>
      <c r="BHA4" s="145"/>
      <c r="BHB4" s="145"/>
      <c r="BHC4" s="145"/>
      <c r="BHD4" s="145"/>
      <c r="BHE4" s="145"/>
      <c r="BHF4" s="145"/>
      <c r="BHG4" s="145"/>
      <c r="BHH4" s="145"/>
      <c r="BHI4" s="145"/>
      <c r="BHJ4" s="145"/>
      <c r="BHK4" s="145"/>
      <c r="BHL4" s="145"/>
      <c r="BHM4" s="145"/>
      <c r="BHN4" s="145"/>
      <c r="BHO4" s="145"/>
      <c r="BHP4" s="145"/>
      <c r="BHQ4" s="145"/>
      <c r="BHR4" s="145"/>
      <c r="BHS4" s="145"/>
      <c r="BHT4" s="145"/>
      <c r="BHU4" s="145"/>
      <c r="BHV4" s="145"/>
      <c r="BHW4" s="145"/>
      <c r="BHX4" s="145"/>
      <c r="BHY4" s="145"/>
      <c r="BHZ4" s="145"/>
      <c r="BIA4" s="145"/>
      <c r="BIB4" s="145"/>
      <c r="BIC4" s="145"/>
      <c r="BID4" s="145"/>
      <c r="BIE4" s="145"/>
      <c r="BIF4" s="145"/>
      <c r="BIG4" s="145"/>
      <c r="BIH4" s="145"/>
      <c r="BII4" s="145"/>
      <c r="BIJ4" s="145"/>
      <c r="BIK4" s="145"/>
      <c r="BIL4" s="145"/>
    </row>
    <row r="5" spans="2:1598" s="67" customFormat="1" ht="23.45" x14ac:dyDescent="0.45">
      <c r="B5" s="61"/>
      <c r="C5" s="61"/>
      <c r="D5" s="61"/>
      <c r="E5" s="61"/>
      <c r="F5" s="62"/>
      <c r="G5" s="62"/>
      <c r="H5" s="62"/>
      <c r="I5" s="146" t="s">
        <v>46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39" t="s">
        <v>46</v>
      </c>
      <c r="AP5" s="140"/>
      <c r="AQ5" s="142" t="s">
        <v>47</v>
      </c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39" t="s">
        <v>47</v>
      </c>
      <c r="BX5" s="140"/>
      <c r="BY5" s="142" t="s">
        <v>48</v>
      </c>
      <c r="BZ5" s="142"/>
      <c r="CA5" s="142"/>
      <c r="CB5" s="142"/>
      <c r="CC5" s="142"/>
      <c r="CD5" s="142"/>
      <c r="CE5" s="142"/>
      <c r="CF5" s="142"/>
      <c r="CG5" s="142"/>
      <c r="CH5" s="142"/>
      <c r="CI5" s="142"/>
      <c r="CJ5" s="142"/>
      <c r="CK5" s="142"/>
      <c r="CL5" s="142"/>
      <c r="CM5" s="142"/>
      <c r="CN5" s="142"/>
      <c r="CO5" s="142"/>
      <c r="CP5" s="142"/>
      <c r="CQ5" s="142"/>
      <c r="CR5" s="142"/>
      <c r="CS5" s="142"/>
      <c r="CT5" s="142"/>
      <c r="CU5" s="142"/>
      <c r="CV5" s="142"/>
      <c r="CW5" s="142"/>
      <c r="CX5" s="142"/>
      <c r="CY5" s="142"/>
      <c r="CZ5" s="142"/>
      <c r="DA5" s="142"/>
      <c r="DB5" s="142"/>
      <c r="DC5" s="142"/>
      <c r="DD5" s="142"/>
      <c r="DE5" s="63" t="s">
        <v>48</v>
      </c>
      <c r="DF5" s="142" t="s">
        <v>49</v>
      </c>
      <c r="DG5" s="142"/>
      <c r="DH5" s="142"/>
      <c r="DI5" s="142"/>
      <c r="DJ5" s="142"/>
      <c r="DK5" s="142"/>
      <c r="DL5" s="142"/>
      <c r="DM5" s="142"/>
      <c r="DN5" s="142"/>
      <c r="DO5" s="142"/>
      <c r="DP5" s="142"/>
      <c r="DQ5" s="142"/>
      <c r="DR5" s="142"/>
      <c r="DS5" s="142"/>
      <c r="DT5" s="142"/>
      <c r="DU5" s="142"/>
      <c r="DV5" s="142"/>
      <c r="DW5" s="142"/>
      <c r="DX5" s="142"/>
      <c r="DY5" s="142"/>
      <c r="DZ5" s="142"/>
      <c r="EA5" s="142"/>
      <c r="EB5" s="142"/>
      <c r="EC5" s="142"/>
      <c r="ED5" s="142"/>
      <c r="EE5" s="142"/>
      <c r="EF5" s="142"/>
      <c r="EG5" s="142"/>
      <c r="EH5" s="142"/>
      <c r="EI5" s="142"/>
      <c r="EJ5" s="142"/>
      <c r="EK5" s="142"/>
      <c r="EL5" s="63" t="s">
        <v>49</v>
      </c>
      <c r="EM5" s="142" t="s">
        <v>50</v>
      </c>
      <c r="EN5" s="142"/>
      <c r="EO5" s="142"/>
      <c r="EP5" s="142"/>
      <c r="EQ5" s="142"/>
      <c r="ER5" s="142"/>
      <c r="ES5" s="142"/>
      <c r="ET5" s="142"/>
      <c r="EU5" s="142"/>
      <c r="EV5" s="142"/>
      <c r="EW5" s="142"/>
      <c r="EX5" s="142"/>
      <c r="EY5" s="142"/>
      <c r="EZ5" s="142"/>
      <c r="FA5" s="142"/>
      <c r="FB5" s="142"/>
      <c r="FC5" s="142"/>
      <c r="FD5" s="142"/>
      <c r="FE5" s="142"/>
      <c r="FF5" s="142"/>
      <c r="FG5" s="142"/>
      <c r="FH5" s="142"/>
      <c r="FI5" s="142"/>
      <c r="FJ5" s="142"/>
      <c r="FK5" s="142"/>
      <c r="FL5" s="142"/>
      <c r="FM5" s="142"/>
      <c r="FN5" s="142"/>
      <c r="FO5" s="142"/>
      <c r="FP5" s="142"/>
      <c r="FQ5" s="142"/>
      <c r="FR5" s="142"/>
      <c r="FS5" s="63" t="s">
        <v>50</v>
      </c>
      <c r="FT5" s="142" t="s">
        <v>51</v>
      </c>
      <c r="FU5" s="142"/>
      <c r="FV5" s="142"/>
      <c r="FW5" s="142"/>
      <c r="FX5" s="142"/>
      <c r="FY5" s="142"/>
      <c r="FZ5" s="142"/>
      <c r="GA5" s="142"/>
      <c r="GB5" s="142"/>
      <c r="GC5" s="142"/>
      <c r="GD5" s="142"/>
      <c r="GE5" s="142"/>
      <c r="GF5" s="142"/>
      <c r="GG5" s="142"/>
      <c r="GH5" s="142"/>
      <c r="GI5" s="142"/>
      <c r="GJ5" s="142"/>
      <c r="GK5" s="142"/>
      <c r="GL5" s="142"/>
      <c r="GM5" s="142"/>
      <c r="GN5" s="142"/>
      <c r="GO5" s="142"/>
      <c r="GP5" s="142"/>
      <c r="GQ5" s="142"/>
      <c r="GR5" s="142"/>
      <c r="GS5" s="142"/>
      <c r="GT5" s="142"/>
      <c r="GU5" s="142"/>
      <c r="GV5" s="142"/>
      <c r="GW5" s="142"/>
      <c r="GX5" s="142"/>
      <c r="GY5" s="142"/>
      <c r="GZ5" s="63" t="s">
        <v>51</v>
      </c>
      <c r="HA5" s="142" t="s">
        <v>58</v>
      </c>
      <c r="HB5" s="142"/>
      <c r="HC5" s="142"/>
      <c r="HD5" s="142"/>
      <c r="HE5" s="142"/>
      <c r="HF5" s="142"/>
      <c r="HG5" s="142"/>
      <c r="HH5" s="142"/>
      <c r="HI5" s="142"/>
      <c r="HJ5" s="142"/>
      <c r="HK5" s="142"/>
      <c r="HL5" s="142"/>
      <c r="HM5" s="142"/>
      <c r="HN5" s="142"/>
      <c r="HO5" s="142"/>
      <c r="HP5" s="142"/>
      <c r="HQ5" s="142"/>
      <c r="HR5" s="142"/>
      <c r="HS5" s="142"/>
      <c r="HT5" s="142"/>
      <c r="HU5" s="142"/>
      <c r="HV5" s="142"/>
      <c r="HW5" s="142"/>
      <c r="HX5" s="142"/>
      <c r="HY5" s="142"/>
      <c r="HZ5" s="142"/>
      <c r="IA5" s="142"/>
      <c r="IB5" s="142"/>
      <c r="IC5" s="142"/>
      <c r="ID5" s="142"/>
      <c r="IE5" s="142"/>
      <c r="IF5" s="142"/>
      <c r="IG5" s="63" t="s">
        <v>52</v>
      </c>
      <c r="IH5" s="142" t="s">
        <v>59</v>
      </c>
      <c r="II5" s="142"/>
      <c r="IJ5" s="142"/>
      <c r="IK5" s="142"/>
      <c r="IL5" s="142"/>
      <c r="IM5" s="142"/>
      <c r="IN5" s="142"/>
      <c r="IO5" s="142"/>
      <c r="IP5" s="142"/>
      <c r="IQ5" s="142"/>
      <c r="IR5" s="142"/>
      <c r="IS5" s="142"/>
      <c r="IT5" s="142"/>
      <c r="IU5" s="142"/>
      <c r="IV5" s="142"/>
      <c r="IW5" s="142"/>
      <c r="IX5" s="142"/>
      <c r="IY5" s="142"/>
      <c r="IZ5" s="142"/>
      <c r="JA5" s="142"/>
      <c r="JB5" s="142"/>
      <c r="JC5" s="142"/>
      <c r="JD5" s="142"/>
      <c r="JE5" s="142"/>
      <c r="JF5" s="142"/>
      <c r="JG5" s="142"/>
      <c r="JH5" s="142"/>
      <c r="JI5" s="142"/>
      <c r="JJ5" s="142"/>
      <c r="JK5" s="142"/>
      <c r="JL5" s="142"/>
      <c r="JM5" s="142"/>
      <c r="JN5" s="63" t="s">
        <v>53</v>
      </c>
      <c r="JO5" s="142" t="s">
        <v>60</v>
      </c>
      <c r="JP5" s="142"/>
      <c r="JQ5" s="142"/>
      <c r="JR5" s="142"/>
      <c r="JS5" s="142"/>
      <c r="JT5" s="142"/>
      <c r="JU5" s="142"/>
      <c r="JV5" s="142"/>
      <c r="JW5" s="142"/>
      <c r="JX5" s="142"/>
      <c r="JY5" s="142"/>
      <c r="JZ5" s="142"/>
      <c r="KA5" s="142"/>
      <c r="KB5" s="142"/>
      <c r="KC5" s="142"/>
      <c r="KD5" s="142"/>
      <c r="KE5" s="142"/>
      <c r="KF5" s="142"/>
      <c r="KG5" s="142"/>
      <c r="KH5" s="142"/>
      <c r="KI5" s="142"/>
      <c r="KJ5" s="142"/>
      <c r="KK5" s="142"/>
      <c r="KL5" s="142"/>
      <c r="KM5" s="142"/>
      <c r="KN5" s="142"/>
      <c r="KO5" s="142"/>
      <c r="KP5" s="142"/>
      <c r="KQ5" s="142"/>
      <c r="KR5" s="142"/>
      <c r="KS5" s="142"/>
      <c r="KT5" s="142"/>
      <c r="KU5" s="63" t="s">
        <v>54</v>
      </c>
      <c r="KV5" s="142" t="s">
        <v>61</v>
      </c>
      <c r="KW5" s="142"/>
      <c r="KX5" s="142"/>
      <c r="KY5" s="142"/>
      <c r="KZ5" s="142"/>
      <c r="LA5" s="142"/>
      <c r="LB5" s="142"/>
      <c r="LC5" s="142"/>
      <c r="LD5" s="142"/>
      <c r="LE5" s="142"/>
      <c r="LF5" s="142"/>
      <c r="LG5" s="142"/>
      <c r="LH5" s="142"/>
      <c r="LI5" s="142"/>
      <c r="LJ5" s="142"/>
      <c r="LK5" s="142"/>
      <c r="LL5" s="142"/>
      <c r="LM5" s="142"/>
      <c r="LN5" s="142"/>
      <c r="LO5" s="142"/>
      <c r="LP5" s="142"/>
      <c r="LQ5" s="142"/>
      <c r="LR5" s="142"/>
      <c r="LS5" s="142"/>
      <c r="LT5" s="142"/>
      <c r="LU5" s="142"/>
      <c r="LV5" s="142"/>
      <c r="LW5" s="142"/>
      <c r="LX5" s="142"/>
      <c r="LY5" s="142"/>
      <c r="LZ5" s="142"/>
      <c r="MA5" s="142"/>
      <c r="MB5" s="63" t="s">
        <v>55</v>
      </c>
      <c r="MC5" s="142" t="s">
        <v>62</v>
      </c>
      <c r="MD5" s="142"/>
      <c r="ME5" s="142"/>
      <c r="MF5" s="142"/>
      <c r="MG5" s="142"/>
      <c r="MH5" s="142"/>
      <c r="MI5" s="142"/>
      <c r="MJ5" s="142"/>
      <c r="MK5" s="142"/>
      <c r="ML5" s="142"/>
      <c r="MM5" s="142"/>
      <c r="MN5" s="142"/>
      <c r="MO5" s="142"/>
      <c r="MP5" s="142"/>
      <c r="MQ5" s="142"/>
      <c r="MR5" s="142"/>
      <c r="MS5" s="142"/>
      <c r="MT5" s="142"/>
      <c r="MU5" s="142"/>
      <c r="MV5" s="142"/>
      <c r="MW5" s="142"/>
      <c r="MX5" s="142"/>
      <c r="MY5" s="142"/>
      <c r="MZ5" s="142"/>
      <c r="NA5" s="142"/>
      <c r="NB5" s="142"/>
      <c r="NC5" s="142"/>
      <c r="ND5" s="142"/>
      <c r="NE5" s="142"/>
      <c r="NF5" s="142"/>
      <c r="NG5" s="142"/>
      <c r="NH5" s="142"/>
      <c r="NI5" s="63" t="s">
        <v>56</v>
      </c>
      <c r="NJ5" s="142" t="s">
        <v>63</v>
      </c>
      <c r="NK5" s="142"/>
      <c r="NL5" s="142"/>
      <c r="NM5" s="142"/>
      <c r="NN5" s="142"/>
      <c r="NO5" s="142"/>
      <c r="NP5" s="142"/>
      <c r="NQ5" s="142"/>
      <c r="NR5" s="142"/>
      <c r="NS5" s="142"/>
      <c r="NT5" s="142"/>
      <c r="NU5" s="142"/>
      <c r="NV5" s="142"/>
      <c r="NW5" s="142"/>
      <c r="NX5" s="142"/>
      <c r="NY5" s="142"/>
      <c r="NZ5" s="142"/>
      <c r="OA5" s="142"/>
      <c r="OB5" s="142"/>
      <c r="OC5" s="142"/>
      <c r="OD5" s="142"/>
      <c r="OE5" s="142"/>
      <c r="OF5" s="142"/>
      <c r="OG5" s="142"/>
      <c r="OH5" s="142"/>
      <c r="OI5" s="142"/>
      <c r="OJ5" s="142"/>
      <c r="OK5" s="142"/>
      <c r="OL5" s="142"/>
      <c r="OM5" s="142"/>
      <c r="ON5" s="142"/>
      <c r="OO5" s="142"/>
      <c r="OP5" s="63" t="s">
        <v>57</v>
      </c>
      <c r="OQ5" s="63">
        <v>2019</v>
      </c>
      <c r="OR5" s="142" t="s">
        <v>64</v>
      </c>
      <c r="OS5" s="142"/>
      <c r="OT5" s="142"/>
      <c r="OU5" s="142"/>
      <c r="OV5" s="142"/>
      <c r="OW5" s="142"/>
      <c r="OX5" s="142"/>
      <c r="OY5" s="142"/>
      <c r="OZ5" s="142"/>
      <c r="PA5" s="142"/>
      <c r="PB5" s="142"/>
      <c r="PC5" s="142"/>
      <c r="PD5" s="142"/>
      <c r="PE5" s="142"/>
      <c r="PF5" s="142"/>
      <c r="PG5" s="142"/>
      <c r="PH5" s="142"/>
      <c r="PI5" s="142"/>
      <c r="PJ5" s="142"/>
      <c r="PK5" s="142"/>
      <c r="PL5" s="142"/>
      <c r="PM5" s="142"/>
      <c r="PN5" s="142"/>
      <c r="PO5" s="142"/>
      <c r="PP5" s="142"/>
      <c r="PQ5" s="142"/>
      <c r="PR5" s="142"/>
      <c r="PS5" s="142"/>
      <c r="PT5" s="142"/>
      <c r="PU5" s="142"/>
      <c r="PV5" s="142"/>
      <c r="PW5" s="142"/>
      <c r="PX5" s="63" t="s">
        <v>46</v>
      </c>
      <c r="PY5" s="142" t="s">
        <v>47</v>
      </c>
      <c r="PZ5" s="142"/>
      <c r="QA5" s="142"/>
      <c r="QB5" s="142"/>
      <c r="QC5" s="142"/>
      <c r="QD5" s="142"/>
      <c r="QE5" s="142"/>
      <c r="QF5" s="142"/>
      <c r="QG5" s="142"/>
      <c r="QH5" s="142"/>
      <c r="QI5" s="142"/>
      <c r="QJ5" s="142"/>
      <c r="QK5" s="142"/>
      <c r="QL5" s="142"/>
      <c r="QM5" s="142"/>
      <c r="QN5" s="142"/>
      <c r="QO5" s="142"/>
      <c r="QP5" s="142"/>
      <c r="QQ5" s="142"/>
      <c r="QR5" s="142"/>
      <c r="QS5" s="142"/>
      <c r="QT5" s="142"/>
      <c r="QU5" s="142"/>
      <c r="QV5" s="142"/>
      <c r="QW5" s="142"/>
      <c r="QX5" s="142"/>
      <c r="QY5" s="142"/>
      <c r="QZ5" s="142"/>
      <c r="RA5" s="142"/>
      <c r="RB5" s="142"/>
      <c r="RC5" s="142"/>
      <c r="RD5" s="142"/>
      <c r="RE5" s="63" t="s">
        <v>47</v>
      </c>
      <c r="RF5" s="142" t="s">
        <v>48</v>
      </c>
      <c r="RG5" s="142"/>
      <c r="RH5" s="142"/>
      <c r="RI5" s="142"/>
      <c r="RJ5" s="142"/>
      <c r="RK5" s="142"/>
      <c r="RL5" s="142"/>
      <c r="RM5" s="142"/>
      <c r="RN5" s="142"/>
      <c r="RO5" s="142"/>
      <c r="RP5" s="142"/>
      <c r="RQ5" s="142"/>
      <c r="RR5" s="142"/>
      <c r="RS5" s="142"/>
      <c r="RT5" s="142"/>
      <c r="RU5" s="142"/>
      <c r="RV5" s="142"/>
      <c r="RW5" s="142"/>
      <c r="RX5" s="142"/>
      <c r="RY5" s="142"/>
      <c r="RZ5" s="142"/>
      <c r="SA5" s="142"/>
      <c r="SB5" s="142"/>
      <c r="SC5" s="142"/>
      <c r="SD5" s="142"/>
      <c r="SE5" s="142"/>
      <c r="SF5" s="142"/>
      <c r="SG5" s="142"/>
      <c r="SH5" s="142"/>
      <c r="SI5" s="142"/>
      <c r="SJ5" s="142"/>
      <c r="SK5" s="142"/>
      <c r="SL5" s="63" t="s">
        <v>48</v>
      </c>
      <c r="SM5" s="142" t="s">
        <v>49</v>
      </c>
      <c r="SN5" s="142"/>
      <c r="SO5" s="142"/>
      <c r="SP5" s="142"/>
      <c r="SQ5" s="142"/>
      <c r="SR5" s="142"/>
      <c r="SS5" s="142"/>
      <c r="ST5" s="142"/>
      <c r="SU5" s="142"/>
      <c r="SV5" s="142"/>
      <c r="SW5" s="142"/>
      <c r="SX5" s="142"/>
      <c r="SY5" s="142"/>
      <c r="SZ5" s="142"/>
      <c r="TA5" s="142"/>
      <c r="TB5" s="142"/>
      <c r="TC5" s="142"/>
      <c r="TD5" s="142"/>
      <c r="TE5" s="142"/>
      <c r="TF5" s="142"/>
      <c r="TG5" s="142"/>
      <c r="TH5" s="142"/>
      <c r="TI5" s="142"/>
      <c r="TJ5" s="142"/>
      <c r="TK5" s="142"/>
      <c r="TL5" s="142"/>
      <c r="TM5" s="142"/>
      <c r="TN5" s="142"/>
      <c r="TO5" s="142"/>
      <c r="TP5" s="142"/>
      <c r="TQ5" s="142"/>
      <c r="TR5" s="142"/>
      <c r="TS5" s="63" t="s">
        <v>49</v>
      </c>
      <c r="TT5" s="142" t="s">
        <v>50</v>
      </c>
      <c r="TU5" s="142"/>
      <c r="TV5" s="142"/>
      <c r="TW5" s="142"/>
      <c r="TX5" s="142"/>
      <c r="TY5" s="142"/>
      <c r="TZ5" s="142"/>
      <c r="UA5" s="142"/>
      <c r="UB5" s="142"/>
      <c r="UC5" s="142"/>
      <c r="UD5" s="142"/>
      <c r="UE5" s="142"/>
      <c r="UF5" s="142"/>
      <c r="UG5" s="142"/>
      <c r="UH5" s="142"/>
      <c r="UI5" s="142"/>
      <c r="UJ5" s="142"/>
      <c r="UK5" s="142"/>
      <c r="UL5" s="142"/>
      <c r="UM5" s="142"/>
      <c r="UN5" s="142"/>
      <c r="UO5" s="142"/>
      <c r="UP5" s="142"/>
      <c r="UQ5" s="142"/>
      <c r="UR5" s="142"/>
      <c r="US5" s="142"/>
      <c r="UT5" s="142"/>
      <c r="UU5" s="142"/>
      <c r="UV5" s="142"/>
      <c r="UW5" s="142"/>
      <c r="UX5" s="142"/>
      <c r="UY5" s="142"/>
      <c r="UZ5" s="63" t="s">
        <v>50</v>
      </c>
      <c r="VA5" s="142" t="s">
        <v>51</v>
      </c>
      <c r="VB5" s="142"/>
      <c r="VC5" s="142"/>
      <c r="VD5" s="142"/>
      <c r="VE5" s="142"/>
      <c r="VF5" s="142"/>
      <c r="VG5" s="142"/>
      <c r="VH5" s="142"/>
      <c r="VI5" s="142"/>
      <c r="VJ5" s="142"/>
      <c r="VK5" s="142"/>
      <c r="VL5" s="142"/>
      <c r="VM5" s="142"/>
      <c r="VN5" s="142"/>
      <c r="VO5" s="142"/>
      <c r="VP5" s="142"/>
      <c r="VQ5" s="142"/>
      <c r="VR5" s="142"/>
      <c r="VS5" s="142"/>
      <c r="VT5" s="142"/>
      <c r="VU5" s="142"/>
      <c r="VV5" s="142"/>
      <c r="VW5" s="142"/>
      <c r="VX5" s="142"/>
      <c r="VY5" s="142"/>
      <c r="VZ5" s="142"/>
      <c r="WA5" s="142"/>
      <c r="WB5" s="142"/>
      <c r="WC5" s="142"/>
      <c r="WD5" s="142"/>
      <c r="WE5" s="142"/>
      <c r="WF5" s="142"/>
      <c r="WG5" s="63" t="s">
        <v>51</v>
      </c>
      <c r="WH5" s="142" t="s">
        <v>58</v>
      </c>
      <c r="WI5" s="142"/>
      <c r="WJ5" s="142"/>
      <c r="WK5" s="142"/>
      <c r="WL5" s="142"/>
      <c r="WM5" s="142"/>
      <c r="WN5" s="142"/>
      <c r="WO5" s="142"/>
      <c r="WP5" s="142"/>
      <c r="WQ5" s="142"/>
      <c r="WR5" s="142"/>
      <c r="WS5" s="142"/>
      <c r="WT5" s="142"/>
      <c r="WU5" s="142"/>
      <c r="WV5" s="142"/>
      <c r="WW5" s="142"/>
      <c r="WX5" s="142"/>
      <c r="WY5" s="142"/>
      <c r="WZ5" s="142"/>
      <c r="XA5" s="142"/>
      <c r="XB5" s="142"/>
      <c r="XC5" s="142"/>
      <c r="XD5" s="142"/>
      <c r="XE5" s="142"/>
      <c r="XF5" s="142"/>
      <c r="XG5" s="142"/>
      <c r="XH5" s="142"/>
      <c r="XI5" s="142"/>
      <c r="XJ5" s="142"/>
      <c r="XK5" s="142"/>
      <c r="XL5" s="142"/>
      <c r="XM5" s="142"/>
      <c r="XN5" s="63" t="s">
        <v>52</v>
      </c>
      <c r="XO5" s="142" t="s">
        <v>59</v>
      </c>
      <c r="XP5" s="142"/>
      <c r="XQ5" s="142"/>
      <c r="XR5" s="142"/>
      <c r="XS5" s="142"/>
      <c r="XT5" s="142"/>
      <c r="XU5" s="142"/>
      <c r="XV5" s="142"/>
      <c r="XW5" s="142"/>
      <c r="XX5" s="142"/>
      <c r="XY5" s="142"/>
      <c r="XZ5" s="142"/>
      <c r="YA5" s="142"/>
      <c r="YB5" s="142"/>
      <c r="YC5" s="142"/>
      <c r="YD5" s="142"/>
      <c r="YE5" s="142"/>
      <c r="YF5" s="142"/>
      <c r="YG5" s="142"/>
      <c r="YH5" s="142"/>
      <c r="YI5" s="142"/>
      <c r="YJ5" s="142"/>
      <c r="YK5" s="142"/>
      <c r="YL5" s="142"/>
      <c r="YM5" s="142"/>
      <c r="YN5" s="142"/>
      <c r="YO5" s="142"/>
      <c r="YP5" s="142"/>
      <c r="YQ5" s="142"/>
      <c r="YR5" s="142"/>
      <c r="YS5" s="142"/>
      <c r="YT5" s="142"/>
      <c r="YU5" s="63" t="s">
        <v>53</v>
      </c>
      <c r="YV5" s="142" t="s">
        <v>60</v>
      </c>
      <c r="YW5" s="142"/>
      <c r="YX5" s="142"/>
      <c r="YY5" s="142"/>
      <c r="YZ5" s="142"/>
      <c r="ZA5" s="142"/>
      <c r="ZB5" s="142"/>
      <c r="ZC5" s="142"/>
      <c r="ZD5" s="142"/>
      <c r="ZE5" s="142"/>
      <c r="ZF5" s="142"/>
      <c r="ZG5" s="142"/>
      <c r="ZH5" s="142"/>
      <c r="ZI5" s="142"/>
      <c r="ZJ5" s="142"/>
      <c r="ZK5" s="142"/>
      <c r="ZL5" s="142"/>
      <c r="ZM5" s="142"/>
      <c r="ZN5" s="142"/>
      <c r="ZO5" s="142"/>
      <c r="ZP5" s="142"/>
      <c r="ZQ5" s="142"/>
      <c r="ZR5" s="142"/>
      <c r="ZS5" s="142"/>
      <c r="ZT5" s="142"/>
      <c r="ZU5" s="142"/>
      <c r="ZV5" s="142"/>
      <c r="ZW5" s="142"/>
      <c r="ZX5" s="142"/>
      <c r="ZY5" s="142"/>
      <c r="ZZ5" s="142"/>
      <c r="AAA5" s="142"/>
      <c r="AAB5" s="63" t="s">
        <v>54</v>
      </c>
      <c r="AAC5" s="142" t="s">
        <v>61</v>
      </c>
      <c r="AAD5" s="142"/>
      <c r="AAE5" s="142"/>
      <c r="AAF5" s="142"/>
      <c r="AAG5" s="142"/>
      <c r="AAH5" s="142"/>
      <c r="AAI5" s="142"/>
      <c r="AAJ5" s="142"/>
      <c r="AAK5" s="142"/>
      <c r="AAL5" s="142"/>
      <c r="AAM5" s="142"/>
      <c r="AAN5" s="142"/>
      <c r="AAO5" s="142"/>
      <c r="AAP5" s="142"/>
      <c r="AAQ5" s="142"/>
      <c r="AAR5" s="142"/>
      <c r="AAS5" s="142"/>
      <c r="AAT5" s="142"/>
      <c r="AAU5" s="142"/>
      <c r="AAV5" s="142"/>
      <c r="AAW5" s="142"/>
      <c r="AAX5" s="142"/>
      <c r="AAY5" s="142"/>
      <c r="AAZ5" s="142"/>
      <c r="ABA5" s="142"/>
      <c r="ABB5" s="142"/>
      <c r="ABC5" s="142"/>
      <c r="ABD5" s="142"/>
      <c r="ABE5" s="142"/>
      <c r="ABF5" s="142"/>
      <c r="ABG5" s="142"/>
      <c r="ABH5" s="142"/>
      <c r="ABI5" s="63" t="s">
        <v>55</v>
      </c>
      <c r="ABJ5" s="142" t="s">
        <v>62</v>
      </c>
      <c r="ABK5" s="142"/>
      <c r="ABL5" s="142"/>
      <c r="ABM5" s="142"/>
      <c r="ABN5" s="142"/>
      <c r="ABO5" s="142"/>
      <c r="ABP5" s="142"/>
      <c r="ABQ5" s="142"/>
      <c r="ABR5" s="142"/>
      <c r="ABS5" s="142"/>
      <c r="ABT5" s="142"/>
      <c r="ABU5" s="142"/>
      <c r="ABV5" s="142"/>
      <c r="ABW5" s="142"/>
      <c r="ABX5" s="142"/>
      <c r="ABY5" s="142"/>
      <c r="ABZ5" s="142"/>
      <c r="ACA5" s="142"/>
      <c r="ACB5" s="142"/>
      <c r="ACC5" s="142"/>
      <c r="ACD5" s="142"/>
      <c r="ACE5" s="142"/>
      <c r="ACF5" s="142"/>
      <c r="ACG5" s="142"/>
      <c r="ACH5" s="142"/>
      <c r="ACI5" s="142"/>
      <c r="ACJ5" s="142"/>
      <c r="ACK5" s="142"/>
      <c r="ACL5" s="142"/>
      <c r="ACM5" s="142"/>
      <c r="ACN5" s="142"/>
      <c r="ACO5" s="142"/>
      <c r="ACP5" s="63" t="s">
        <v>56</v>
      </c>
      <c r="ACQ5" s="142" t="s">
        <v>63</v>
      </c>
      <c r="ACR5" s="142"/>
      <c r="ACS5" s="142"/>
      <c r="ACT5" s="142"/>
      <c r="ACU5" s="142"/>
      <c r="ACV5" s="142"/>
      <c r="ACW5" s="142"/>
      <c r="ACX5" s="142"/>
      <c r="ACY5" s="142"/>
      <c r="ACZ5" s="142"/>
      <c r="ADA5" s="142"/>
      <c r="ADB5" s="142"/>
      <c r="ADC5" s="142"/>
      <c r="ADD5" s="142"/>
      <c r="ADE5" s="142"/>
      <c r="ADF5" s="142"/>
      <c r="ADG5" s="142"/>
      <c r="ADH5" s="142"/>
      <c r="ADI5" s="142"/>
      <c r="ADJ5" s="142"/>
      <c r="ADK5" s="142"/>
      <c r="ADL5" s="142"/>
      <c r="ADM5" s="142"/>
      <c r="ADN5" s="142"/>
      <c r="ADO5" s="142"/>
      <c r="ADP5" s="142"/>
      <c r="ADQ5" s="142"/>
      <c r="ADR5" s="142"/>
      <c r="ADS5" s="142"/>
      <c r="ADT5" s="142"/>
      <c r="ADU5" s="142"/>
      <c r="ADV5" s="142"/>
      <c r="ADW5" s="63" t="s">
        <v>57</v>
      </c>
      <c r="ADX5" s="63">
        <v>2020</v>
      </c>
      <c r="ADY5" s="141" t="s">
        <v>64</v>
      </c>
      <c r="ADZ5" s="141"/>
      <c r="AEA5" s="141"/>
      <c r="AEB5" s="141"/>
      <c r="AEC5" s="141"/>
      <c r="AED5" s="141"/>
      <c r="AEE5" s="141"/>
      <c r="AEF5" s="141"/>
      <c r="AEG5" s="141"/>
      <c r="AEH5" s="141"/>
      <c r="AEI5" s="141"/>
      <c r="AEJ5" s="141"/>
      <c r="AEK5" s="141"/>
      <c r="AEL5" s="141"/>
      <c r="AEM5" s="141"/>
      <c r="AEN5" s="141"/>
      <c r="AEO5" s="141"/>
      <c r="AEP5" s="141"/>
      <c r="AEQ5" s="141"/>
      <c r="AER5" s="141"/>
      <c r="AES5" s="141"/>
      <c r="AET5" s="141"/>
      <c r="AEU5" s="141"/>
      <c r="AEV5" s="141"/>
      <c r="AEW5" s="141"/>
      <c r="AEX5" s="141"/>
      <c r="AEY5" s="141"/>
      <c r="AEZ5" s="141"/>
      <c r="AFA5" s="141"/>
      <c r="AFB5" s="141"/>
      <c r="AFC5" s="141"/>
      <c r="AFD5" s="141"/>
      <c r="AFE5" s="64" t="s">
        <v>46</v>
      </c>
      <c r="AFF5" s="141" t="s">
        <v>47</v>
      </c>
      <c r="AFG5" s="141"/>
      <c r="AFH5" s="141"/>
      <c r="AFI5" s="141"/>
      <c r="AFJ5" s="141"/>
      <c r="AFK5" s="141"/>
      <c r="AFL5" s="141"/>
      <c r="AFM5" s="141"/>
      <c r="AFN5" s="141"/>
      <c r="AFO5" s="141"/>
      <c r="AFP5" s="141"/>
      <c r="AFQ5" s="141"/>
      <c r="AFR5" s="141"/>
      <c r="AFS5" s="141"/>
      <c r="AFT5" s="141"/>
      <c r="AFU5" s="141"/>
      <c r="AFV5" s="141"/>
      <c r="AFW5" s="141"/>
      <c r="AFX5" s="141"/>
      <c r="AFY5" s="141"/>
      <c r="AFZ5" s="141"/>
      <c r="AGA5" s="141"/>
      <c r="AGB5" s="141"/>
      <c r="AGC5" s="141"/>
      <c r="AGD5" s="141"/>
      <c r="AGE5" s="141"/>
      <c r="AGF5" s="141"/>
      <c r="AGG5" s="141"/>
      <c r="AGH5" s="141"/>
      <c r="AGI5" s="141"/>
      <c r="AGJ5" s="141"/>
      <c r="AGK5" s="141"/>
      <c r="AGL5" s="64" t="s">
        <v>47</v>
      </c>
      <c r="AGM5" s="141" t="s">
        <v>48</v>
      </c>
      <c r="AGN5" s="141"/>
      <c r="AGO5" s="141"/>
      <c r="AGP5" s="141"/>
      <c r="AGQ5" s="141"/>
      <c r="AGR5" s="141"/>
      <c r="AGS5" s="141"/>
      <c r="AGT5" s="141"/>
      <c r="AGU5" s="141"/>
      <c r="AGV5" s="141"/>
      <c r="AGW5" s="141"/>
      <c r="AGX5" s="141"/>
      <c r="AGY5" s="141"/>
      <c r="AGZ5" s="141"/>
      <c r="AHA5" s="141"/>
      <c r="AHB5" s="141"/>
      <c r="AHC5" s="141"/>
      <c r="AHD5" s="141"/>
      <c r="AHE5" s="141"/>
      <c r="AHF5" s="141"/>
      <c r="AHG5" s="141"/>
      <c r="AHH5" s="141"/>
      <c r="AHI5" s="141"/>
      <c r="AHJ5" s="141"/>
      <c r="AHK5" s="141"/>
      <c r="AHL5" s="141"/>
      <c r="AHM5" s="141"/>
      <c r="AHN5" s="141"/>
      <c r="AHO5" s="141"/>
      <c r="AHP5" s="141"/>
      <c r="AHQ5" s="141"/>
      <c r="AHR5" s="141"/>
      <c r="AHS5" s="64" t="s">
        <v>48</v>
      </c>
      <c r="AHT5" s="141" t="s">
        <v>49</v>
      </c>
      <c r="AHU5" s="141"/>
      <c r="AHV5" s="141"/>
      <c r="AHW5" s="141"/>
      <c r="AHX5" s="141"/>
      <c r="AHY5" s="141"/>
      <c r="AHZ5" s="141"/>
      <c r="AIA5" s="141"/>
      <c r="AIB5" s="141"/>
      <c r="AIC5" s="141"/>
      <c r="AID5" s="141"/>
      <c r="AIE5" s="141"/>
      <c r="AIF5" s="141"/>
      <c r="AIG5" s="141"/>
      <c r="AIH5" s="141"/>
      <c r="AII5" s="141"/>
      <c r="AIJ5" s="141"/>
      <c r="AIK5" s="141"/>
      <c r="AIL5" s="141"/>
      <c r="AIM5" s="141"/>
      <c r="AIN5" s="141"/>
      <c r="AIO5" s="141"/>
      <c r="AIP5" s="141"/>
      <c r="AIQ5" s="141"/>
      <c r="AIR5" s="141"/>
      <c r="AIS5" s="141"/>
      <c r="AIT5" s="141"/>
      <c r="AIU5" s="141"/>
      <c r="AIV5" s="141"/>
      <c r="AIW5" s="141"/>
      <c r="AIX5" s="141"/>
      <c r="AIY5" s="141"/>
      <c r="AIZ5" s="64" t="s">
        <v>49</v>
      </c>
      <c r="AJA5" s="141" t="s">
        <v>50</v>
      </c>
      <c r="AJB5" s="141"/>
      <c r="AJC5" s="141"/>
      <c r="AJD5" s="141"/>
      <c r="AJE5" s="141"/>
      <c r="AJF5" s="141"/>
      <c r="AJG5" s="141"/>
      <c r="AJH5" s="141"/>
      <c r="AJI5" s="141"/>
      <c r="AJJ5" s="141"/>
      <c r="AJK5" s="141"/>
      <c r="AJL5" s="141"/>
      <c r="AJM5" s="141"/>
      <c r="AJN5" s="141"/>
      <c r="AJO5" s="141"/>
      <c r="AJP5" s="141"/>
      <c r="AJQ5" s="141"/>
      <c r="AJR5" s="141"/>
      <c r="AJS5" s="141"/>
      <c r="AJT5" s="141"/>
      <c r="AJU5" s="141"/>
      <c r="AJV5" s="141"/>
      <c r="AJW5" s="141"/>
      <c r="AJX5" s="141"/>
      <c r="AJY5" s="141"/>
      <c r="AJZ5" s="141"/>
      <c r="AKA5" s="141"/>
      <c r="AKB5" s="141"/>
      <c r="AKC5" s="141"/>
      <c r="AKD5" s="141"/>
      <c r="AKE5" s="141"/>
      <c r="AKF5" s="141"/>
      <c r="AKG5" s="64" t="s">
        <v>50</v>
      </c>
      <c r="AKH5" s="141" t="s">
        <v>51</v>
      </c>
      <c r="AKI5" s="141"/>
      <c r="AKJ5" s="141"/>
      <c r="AKK5" s="141"/>
      <c r="AKL5" s="141"/>
      <c r="AKM5" s="141"/>
      <c r="AKN5" s="141"/>
      <c r="AKO5" s="141"/>
      <c r="AKP5" s="141"/>
      <c r="AKQ5" s="141"/>
      <c r="AKR5" s="141"/>
      <c r="AKS5" s="141"/>
      <c r="AKT5" s="141"/>
      <c r="AKU5" s="141"/>
      <c r="AKV5" s="141"/>
      <c r="AKW5" s="141"/>
      <c r="AKX5" s="141"/>
      <c r="AKY5" s="141"/>
      <c r="AKZ5" s="141"/>
      <c r="ALA5" s="141"/>
      <c r="ALB5" s="141"/>
      <c r="ALC5" s="141"/>
      <c r="ALD5" s="141"/>
      <c r="ALE5" s="141"/>
      <c r="ALF5" s="141"/>
      <c r="ALG5" s="141"/>
      <c r="ALH5" s="141"/>
      <c r="ALI5" s="141"/>
      <c r="ALJ5" s="141"/>
      <c r="ALK5" s="141"/>
      <c r="ALL5" s="141"/>
      <c r="ALM5" s="141"/>
      <c r="ALN5" s="64" t="s">
        <v>51</v>
      </c>
      <c r="ALO5" s="141" t="s">
        <v>58</v>
      </c>
      <c r="ALP5" s="141"/>
      <c r="ALQ5" s="141"/>
      <c r="ALR5" s="141"/>
      <c r="ALS5" s="141"/>
      <c r="ALT5" s="141"/>
      <c r="ALU5" s="141"/>
      <c r="ALV5" s="141"/>
      <c r="ALW5" s="141"/>
      <c r="ALX5" s="141"/>
      <c r="ALY5" s="141"/>
      <c r="ALZ5" s="141"/>
      <c r="AMA5" s="141"/>
      <c r="AMB5" s="141"/>
      <c r="AMC5" s="141"/>
      <c r="AMD5" s="141"/>
      <c r="AME5" s="141"/>
      <c r="AMF5" s="141"/>
      <c r="AMG5" s="141"/>
      <c r="AMH5" s="141"/>
      <c r="AMI5" s="141"/>
      <c r="AMJ5" s="141"/>
      <c r="AMK5" s="141"/>
      <c r="AML5" s="141"/>
      <c r="AMM5" s="141"/>
      <c r="AMN5" s="141"/>
      <c r="AMO5" s="141"/>
      <c r="AMP5" s="141"/>
      <c r="AMQ5" s="141"/>
      <c r="AMR5" s="141"/>
      <c r="AMS5" s="141"/>
      <c r="AMT5" s="141"/>
      <c r="AMU5" s="64" t="s">
        <v>52</v>
      </c>
      <c r="AMV5" s="141" t="s">
        <v>59</v>
      </c>
      <c r="AMW5" s="141"/>
      <c r="AMX5" s="141"/>
      <c r="AMY5" s="141"/>
      <c r="AMZ5" s="141"/>
      <c r="ANA5" s="141"/>
      <c r="ANB5" s="141"/>
      <c r="ANC5" s="141"/>
      <c r="AND5" s="141"/>
      <c r="ANE5" s="141"/>
      <c r="ANF5" s="141"/>
      <c r="ANG5" s="141"/>
      <c r="ANH5" s="141"/>
      <c r="ANI5" s="141"/>
      <c r="ANJ5" s="141"/>
      <c r="ANK5" s="141"/>
      <c r="ANL5" s="141"/>
      <c r="ANM5" s="141"/>
      <c r="ANN5" s="141"/>
      <c r="ANO5" s="141"/>
      <c r="ANP5" s="141"/>
      <c r="ANQ5" s="141"/>
      <c r="ANR5" s="141"/>
      <c r="ANS5" s="141"/>
      <c r="ANT5" s="141"/>
      <c r="ANU5" s="141"/>
      <c r="ANV5" s="141"/>
      <c r="ANW5" s="141"/>
      <c r="ANX5" s="141"/>
      <c r="ANY5" s="141"/>
      <c r="ANZ5" s="141"/>
      <c r="AOA5" s="141"/>
      <c r="AOB5" s="64" t="s">
        <v>53</v>
      </c>
      <c r="AOC5" s="141" t="s">
        <v>60</v>
      </c>
      <c r="AOD5" s="141"/>
      <c r="AOE5" s="141"/>
      <c r="AOF5" s="141"/>
      <c r="AOG5" s="141"/>
      <c r="AOH5" s="141"/>
      <c r="AOI5" s="141"/>
      <c r="AOJ5" s="141"/>
      <c r="AOK5" s="141"/>
      <c r="AOL5" s="141"/>
      <c r="AOM5" s="141"/>
      <c r="AON5" s="141"/>
      <c r="AOO5" s="141"/>
      <c r="AOP5" s="141"/>
      <c r="AOQ5" s="141"/>
      <c r="AOR5" s="141"/>
      <c r="AOS5" s="141"/>
      <c r="AOT5" s="141"/>
      <c r="AOU5" s="141"/>
      <c r="AOV5" s="141"/>
      <c r="AOW5" s="141"/>
      <c r="AOX5" s="141"/>
      <c r="AOY5" s="141"/>
      <c r="AOZ5" s="141"/>
      <c r="APA5" s="141"/>
      <c r="APB5" s="141"/>
      <c r="APC5" s="141"/>
      <c r="APD5" s="141"/>
      <c r="APE5" s="141"/>
      <c r="APF5" s="141"/>
      <c r="APG5" s="141"/>
      <c r="APH5" s="141"/>
      <c r="API5" s="64" t="s">
        <v>54</v>
      </c>
      <c r="APJ5" s="141" t="s">
        <v>61</v>
      </c>
      <c r="APK5" s="141"/>
      <c r="APL5" s="141"/>
      <c r="APM5" s="141"/>
      <c r="APN5" s="141"/>
      <c r="APO5" s="141"/>
      <c r="APP5" s="141"/>
      <c r="APQ5" s="141"/>
      <c r="APR5" s="141"/>
      <c r="APS5" s="141"/>
      <c r="APT5" s="141"/>
      <c r="APU5" s="141"/>
      <c r="APV5" s="141"/>
      <c r="APW5" s="141"/>
      <c r="APX5" s="141"/>
      <c r="APY5" s="141"/>
      <c r="APZ5" s="141"/>
      <c r="AQA5" s="141"/>
      <c r="AQB5" s="141"/>
      <c r="AQC5" s="141"/>
      <c r="AQD5" s="141"/>
      <c r="AQE5" s="141"/>
      <c r="AQF5" s="141"/>
      <c r="AQG5" s="141"/>
      <c r="AQH5" s="141"/>
      <c r="AQI5" s="141"/>
      <c r="AQJ5" s="141"/>
      <c r="AQK5" s="141"/>
      <c r="AQL5" s="141"/>
      <c r="AQM5" s="141"/>
      <c r="AQN5" s="141"/>
      <c r="AQO5" s="141"/>
      <c r="AQP5" s="64" t="s">
        <v>55</v>
      </c>
      <c r="AQQ5" s="141" t="s">
        <v>62</v>
      </c>
      <c r="AQR5" s="141"/>
      <c r="AQS5" s="141"/>
      <c r="AQT5" s="141"/>
      <c r="AQU5" s="141"/>
      <c r="AQV5" s="141"/>
      <c r="AQW5" s="141"/>
      <c r="AQX5" s="141"/>
      <c r="AQY5" s="141"/>
      <c r="AQZ5" s="141"/>
      <c r="ARA5" s="141"/>
      <c r="ARB5" s="141"/>
      <c r="ARC5" s="141"/>
      <c r="ARD5" s="141"/>
      <c r="ARE5" s="141"/>
      <c r="ARF5" s="141"/>
      <c r="ARG5" s="141"/>
      <c r="ARH5" s="141"/>
      <c r="ARI5" s="141"/>
      <c r="ARJ5" s="141"/>
      <c r="ARK5" s="141"/>
      <c r="ARL5" s="141"/>
      <c r="ARM5" s="141"/>
      <c r="ARN5" s="141"/>
      <c r="ARO5" s="141"/>
      <c r="ARP5" s="141"/>
      <c r="ARQ5" s="141"/>
      <c r="ARR5" s="141"/>
      <c r="ARS5" s="141"/>
      <c r="ART5" s="141"/>
      <c r="ARU5" s="141"/>
      <c r="ARV5" s="141"/>
      <c r="ARW5" s="64" t="s">
        <v>56</v>
      </c>
      <c r="ARX5" s="141" t="s">
        <v>63</v>
      </c>
      <c r="ARY5" s="141"/>
      <c r="ARZ5" s="141"/>
      <c r="ASA5" s="141"/>
      <c r="ASB5" s="141"/>
      <c r="ASC5" s="141"/>
      <c r="ASD5" s="141"/>
      <c r="ASE5" s="141"/>
      <c r="ASF5" s="141"/>
      <c r="ASG5" s="141"/>
      <c r="ASH5" s="141"/>
      <c r="ASI5" s="141"/>
      <c r="ASJ5" s="141"/>
      <c r="ASK5" s="141"/>
      <c r="ASL5" s="141"/>
      <c r="ASM5" s="141"/>
      <c r="ASN5" s="141"/>
      <c r="ASO5" s="141"/>
      <c r="ASP5" s="141"/>
      <c r="ASQ5" s="141"/>
      <c r="ASR5" s="141"/>
      <c r="ASS5" s="141"/>
      <c r="AST5" s="141"/>
      <c r="ASU5" s="141"/>
      <c r="ASV5" s="141"/>
      <c r="ASW5" s="141"/>
      <c r="ASX5" s="141"/>
      <c r="ASY5" s="141"/>
      <c r="ASZ5" s="141"/>
      <c r="ATA5" s="141"/>
      <c r="ATB5" s="141"/>
      <c r="ATC5" s="141"/>
      <c r="ATD5" s="64" t="s">
        <v>57</v>
      </c>
      <c r="ATE5" s="65">
        <v>2021</v>
      </c>
      <c r="ATF5" s="141" t="s">
        <v>64</v>
      </c>
      <c r="ATG5" s="141"/>
      <c r="ATH5" s="141"/>
      <c r="ATI5" s="141"/>
      <c r="ATJ5" s="141"/>
      <c r="ATK5" s="141"/>
      <c r="ATL5" s="141"/>
      <c r="ATM5" s="141"/>
      <c r="ATN5" s="141"/>
      <c r="ATO5" s="141"/>
      <c r="ATP5" s="141"/>
      <c r="ATQ5" s="141"/>
      <c r="ATR5" s="141"/>
      <c r="ATS5" s="141"/>
      <c r="ATT5" s="141"/>
      <c r="ATU5" s="141"/>
      <c r="ATV5" s="141"/>
      <c r="ATW5" s="141"/>
      <c r="ATX5" s="141"/>
      <c r="ATY5" s="141"/>
      <c r="ATZ5" s="141"/>
      <c r="AUA5" s="141"/>
      <c r="AUB5" s="141"/>
      <c r="AUC5" s="141"/>
      <c r="AUD5" s="141"/>
      <c r="AUE5" s="141"/>
      <c r="AUF5" s="141"/>
      <c r="AUG5" s="141"/>
      <c r="AUH5" s="141"/>
      <c r="AUI5" s="141"/>
      <c r="AUJ5" s="141"/>
      <c r="AUK5" s="141"/>
      <c r="AUL5" s="64" t="s">
        <v>46</v>
      </c>
      <c r="AUM5" s="136" t="s">
        <v>47</v>
      </c>
      <c r="AUN5" s="137"/>
      <c r="AUO5" s="137"/>
      <c r="AUP5" s="137"/>
      <c r="AUQ5" s="137"/>
      <c r="AUR5" s="137"/>
      <c r="AUS5" s="137"/>
      <c r="AUT5" s="137"/>
      <c r="AUU5" s="137"/>
      <c r="AUV5" s="137"/>
      <c r="AUW5" s="137"/>
      <c r="AUX5" s="137"/>
      <c r="AUY5" s="137"/>
      <c r="AUZ5" s="137"/>
      <c r="AVA5" s="137"/>
      <c r="AVB5" s="137"/>
      <c r="AVC5" s="137"/>
      <c r="AVD5" s="137"/>
      <c r="AVE5" s="137"/>
      <c r="AVF5" s="137"/>
      <c r="AVG5" s="137"/>
      <c r="AVH5" s="137"/>
      <c r="AVI5" s="137"/>
      <c r="AVJ5" s="137"/>
      <c r="AVK5" s="137"/>
      <c r="AVL5" s="137"/>
      <c r="AVM5" s="137"/>
      <c r="AVN5" s="137"/>
      <c r="AVO5" s="137"/>
      <c r="AVP5" s="137"/>
      <c r="AVQ5" s="137"/>
      <c r="AVR5" s="138"/>
      <c r="AVS5" s="64" t="s">
        <v>47</v>
      </c>
      <c r="AVT5" s="136" t="s">
        <v>48</v>
      </c>
      <c r="AVU5" s="137"/>
      <c r="AVV5" s="137"/>
      <c r="AVW5" s="137"/>
      <c r="AVX5" s="137"/>
      <c r="AVY5" s="137"/>
      <c r="AVZ5" s="137"/>
      <c r="AWA5" s="137"/>
      <c r="AWB5" s="137"/>
      <c r="AWC5" s="137"/>
      <c r="AWD5" s="137"/>
      <c r="AWE5" s="137"/>
      <c r="AWF5" s="137"/>
      <c r="AWG5" s="137"/>
      <c r="AWH5" s="137"/>
      <c r="AWI5" s="137"/>
      <c r="AWJ5" s="137"/>
      <c r="AWK5" s="137"/>
      <c r="AWL5" s="137"/>
      <c r="AWM5" s="137"/>
      <c r="AWN5" s="137"/>
      <c r="AWO5" s="137"/>
      <c r="AWP5" s="137"/>
      <c r="AWQ5" s="137"/>
      <c r="AWR5" s="137"/>
      <c r="AWS5" s="137"/>
      <c r="AWT5" s="137"/>
      <c r="AWU5" s="137"/>
      <c r="AWV5" s="137"/>
      <c r="AWW5" s="137"/>
      <c r="AWX5" s="137"/>
      <c r="AWY5" s="138"/>
      <c r="AWZ5" s="64" t="s">
        <v>48</v>
      </c>
      <c r="AXA5" s="136" t="s">
        <v>49</v>
      </c>
      <c r="AXB5" s="137"/>
      <c r="AXC5" s="137"/>
      <c r="AXD5" s="137"/>
      <c r="AXE5" s="137"/>
      <c r="AXF5" s="137"/>
      <c r="AXG5" s="137"/>
      <c r="AXH5" s="137"/>
      <c r="AXI5" s="137"/>
      <c r="AXJ5" s="137"/>
      <c r="AXK5" s="137"/>
      <c r="AXL5" s="137"/>
      <c r="AXM5" s="137"/>
      <c r="AXN5" s="137"/>
      <c r="AXO5" s="137"/>
      <c r="AXP5" s="137"/>
      <c r="AXQ5" s="137"/>
      <c r="AXR5" s="137"/>
      <c r="AXS5" s="137"/>
      <c r="AXT5" s="137"/>
      <c r="AXU5" s="137"/>
      <c r="AXV5" s="137"/>
      <c r="AXW5" s="137"/>
      <c r="AXX5" s="137"/>
      <c r="AXY5" s="137"/>
      <c r="AXZ5" s="137"/>
      <c r="AYA5" s="137"/>
      <c r="AYB5" s="137"/>
      <c r="AYC5" s="137"/>
      <c r="AYD5" s="137"/>
      <c r="AYE5" s="137"/>
      <c r="AYF5" s="138"/>
      <c r="AYG5" s="64" t="s">
        <v>49</v>
      </c>
      <c r="AYH5" s="136" t="s">
        <v>50</v>
      </c>
      <c r="AYI5" s="137"/>
      <c r="AYJ5" s="137"/>
      <c r="AYK5" s="137"/>
      <c r="AYL5" s="137"/>
      <c r="AYM5" s="137"/>
      <c r="AYN5" s="137"/>
      <c r="AYO5" s="137"/>
      <c r="AYP5" s="137"/>
      <c r="AYQ5" s="137"/>
      <c r="AYR5" s="137"/>
      <c r="AYS5" s="137"/>
      <c r="AYT5" s="137"/>
      <c r="AYU5" s="137"/>
      <c r="AYV5" s="137"/>
      <c r="AYW5" s="137"/>
      <c r="AYX5" s="137"/>
      <c r="AYY5" s="137"/>
      <c r="AYZ5" s="137"/>
      <c r="AZA5" s="137"/>
      <c r="AZB5" s="137"/>
      <c r="AZC5" s="137"/>
      <c r="AZD5" s="137"/>
      <c r="AZE5" s="137"/>
      <c r="AZF5" s="137"/>
      <c r="AZG5" s="137"/>
      <c r="AZH5" s="137"/>
      <c r="AZI5" s="137"/>
      <c r="AZJ5" s="137"/>
      <c r="AZK5" s="137"/>
      <c r="AZL5" s="137"/>
      <c r="AZM5" s="138"/>
      <c r="AZN5" s="64" t="s">
        <v>50</v>
      </c>
      <c r="AZO5" s="136" t="s">
        <v>51</v>
      </c>
      <c r="AZP5" s="137"/>
      <c r="AZQ5" s="137"/>
      <c r="AZR5" s="137"/>
      <c r="AZS5" s="137"/>
      <c r="AZT5" s="137"/>
      <c r="AZU5" s="137"/>
      <c r="AZV5" s="137"/>
      <c r="AZW5" s="137"/>
      <c r="AZX5" s="137"/>
      <c r="AZY5" s="137"/>
      <c r="AZZ5" s="137"/>
      <c r="BAA5" s="137"/>
      <c r="BAB5" s="137"/>
      <c r="BAC5" s="137"/>
      <c r="BAD5" s="137"/>
      <c r="BAE5" s="137"/>
      <c r="BAF5" s="137"/>
      <c r="BAG5" s="137"/>
      <c r="BAH5" s="137"/>
      <c r="BAI5" s="137"/>
      <c r="BAJ5" s="137"/>
      <c r="BAK5" s="137"/>
      <c r="BAL5" s="137"/>
      <c r="BAM5" s="137"/>
      <c r="BAN5" s="137"/>
      <c r="BAO5" s="137"/>
      <c r="BAP5" s="137"/>
      <c r="BAQ5" s="137"/>
      <c r="BAR5" s="137"/>
      <c r="BAS5" s="137"/>
      <c r="BAT5" s="138"/>
      <c r="BAU5" s="64" t="s">
        <v>51</v>
      </c>
      <c r="BAV5" s="136" t="s">
        <v>58</v>
      </c>
      <c r="BAW5" s="137"/>
      <c r="BAX5" s="137"/>
      <c r="BAY5" s="137"/>
      <c r="BAZ5" s="137"/>
      <c r="BBA5" s="137"/>
      <c r="BBB5" s="137"/>
      <c r="BBC5" s="137"/>
      <c r="BBD5" s="137"/>
      <c r="BBE5" s="137"/>
      <c r="BBF5" s="137"/>
      <c r="BBG5" s="137"/>
      <c r="BBH5" s="137"/>
      <c r="BBI5" s="137"/>
      <c r="BBJ5" s="137"/>
      <c r="BBK5" s="137"/>
      <c r="BBL5" s="137"/>
      <c r="BBM5" s="137"/>
      <c r="BBN5" s="137"/>
      <c r="BBO5" s="137"/>
      <c r="BBP5" s="137"/>
      <c r="BBQ5" s="137"/>
      <c r="BBR5" s="137"/>
      <c r="BBS5" s="137"/>
      <c r="BBT5" s="137"/>
      <c r="BBU5" s="137"/>
      <c r="BBV5" s="137"/>
      <c r="BBW5" s="137"/>
      <c r="BBX5" s="137"/>
      <c r="BBY5" s="137"/>
      <c r="BBZ5" s="137"/>
      <c r="BCA5" s="138"/>
      <c r="BCB5" s="64" t="s">
        <v>52</v>
      </c>
      <c r="BCC5" s="136" t="s">
        <v>59</v>
      </c>
      <c r="BCD5" s="137"/>
      <c r="BCE5" s="137"/>
      <c r="BCF5" s="137"/>
      <c r="BCG5" s="137"/>
      <c r="BCH5" s="137"/>
      <c r="BCI5" s="137"/>
      <c r="BCJ5" s="137"/>
      <c r="BCK5" s="137"/>
      <c r="BCL5" s="137"/>
      <c r="BCM5" s="137"/>
      <c r="BCN5" s="137"/>
      <c r="BCO5" s="137"/>
      <c r="BCP5" s="137"/>
      <c r="BCQ5" s="137"/>
      <c r="BCR5" s="137"/>
      <c r="BCS5" s="137"/>
      <c r="BCT5" s="137"/>
      <c r="BCU5" s="137"/>
      <c r="BCV5" s="137"/>
      <c r="BCW5" s="137"/>
      <c r="BCX5" s="137"/>
      <c r="BCY5" s="137"/>
      <c r="BCZ5" s="137"/>
      <c r="BDA5" s="137"/>
      <c r="BDB5" s="137"/>
      <c r="BDC5" s="137"/>
      <c r="BDD5" s="137"/>
      <c r="BDE5" s="137"/>
      <c r="BDF5" s="137"/>
      <c r="BDG5" s="137"/>
      <c r="BDH5" s="138"/>
      <c r="BDI5" s="64" t="s">
        <v>53</v>
      </c>
      <c r="BDJ5" s="136" t="s">
        <v>60</v>
      </c>
      <c r="BDK5" s="137"/>
      <c r="BDL5" s="137"/>
      <c r="BDM5" s="137"/>
      <c r="BDN5" s="137"/>
      <c r="BDO5" s="137"/>
      <c r="BDP5" s="137"/>
      <c r="BDQ5" s="137"/>
      <c r="BDR5" s="137"/>
      <c r="BDS5" s="137"/>
      <c r="BDT5" s="137"/>
      <c r="BDU5" s="137"/>
      <c r="BDV5" s="137"/>
      <c r="BDW5" s="137"/>
      <c r="BDX5" s="137"/>
      <c r="BDY5" s="137"/>
      <c r="BDZ5" s="137"/>
      <c r="BEA5" s="137"/>
      <c r="BEB5" s="137"/>
      <c r="BEC5" s="137"/>
      <c r="BED5" s="137"/>
      <c r="BEE5" s="137"/>
      <c r="BEF5" s="137"/>
      <c r="BEG5" s="137"/>
      <c r="BEH5" s="137"/>
      <c r="BEI5" s="137"/>
      <c r="BEJ5" s="137"/>
      <c r="BEK5" s="137"/>
      <c r="BEL5" s="137"/>
      <c r="BEM5" s="137"/>
      <c r="BEN5" s="137"/>
      <c r="BEO5" s="138"/>
      <c r="BEP5" s="64" t="s">
        <v>54</v>
      </c>
      <c r="BEQ5" s="136" t="s">
        <v>61</v>
      </c>
      <c r="BER5" s="137"/>
      <c r="BES5" s="137"/>
      <c r="BET5" s="137"/>
      <c r="BEU5" s="137"/>
      <c r="BEV5" s="137"/>
      <c r="BEW5" s="137"/>
      <c r="BEX5" s="137"/>
      <c r="BEY5" s="137"/>
      <c r="BEZ5" s="137"/>
      <c r="BFA5" s="137"/>
      <c r="BFB5" s="137"/>
      <c r="BFC5" s="137"/>
      <c r="BFD5" s="137"/>
      <c r="BFE5" s="137"/>
      <c r="BFF5" s="137"/>
      <c r="BFG5" s="137"/>
      <c r="BFH5" s="137"/>
      <c r="BFI5" s="137"/>
      <c r="BFJ5" s="137"/>
      <c r="BFK5" s="137"/>
      <c r="BFL5" s="137"/>
      <c r="BFM5" s="137"/>
      <c r="BFN5" s="137"/>
      <c r="BFO5" s="137"/>
      <c r="BFP5" s="137"/>
      <c r="BFQ5" s="137"/>
      <c r="BFR5" s="137"/>
      <c r="BFS5" s="137"/>
      <c r="BFT5" s="137"/>
      <c r="BFU5" s="137"/>
      <c r="BFV5" s="138"/>
      <c r="BFW5" s="64" t="s">
        <v>55</v>
      </c>
      <c r="BFX5" s="136" t="s">
        <v>62</v>
      </c>
      <c r="BFY5" s="137"/>
      <c r="BFZ5" s="137"/>
      <c r="BGA5" s="137"/>
      <c r="BGB5" s="137"/>
      <c r="BGC5" s="137"/>
      <c r="BGD5" s="137"/>
      <c r="BGE5" s="137"/>
      <c r="BGF5" s="137"/>
      <c r="BGG5" s="137"/>
      <c r="BGH5" s="137"/>
      <c r="BGI5" s="137"/>
      <c r="BGJ5" s="137"/>
      <c r="BGK5" s="137"/>
      <c r="BGL5" s="137"/>
      <c r="BGM5" s="137"/>
      <c r="BGN5" s="137"/>
      <c r="BGO5" s="137"/>
      <c r="BGP5" s="137"/>
      <c r="BGQ5" s="137"/>
      <c r="BGR5" s="137"/>
      <c r="BGS5" s="137"/>
      <c r="BGT5" s="137"/>
      <c r="BGU5" s="137"/>
      <c r="BGV5" s="137"/>
      <c r="BGW5" s="137"/>
      <c r="BGX5" s="137"/>
      <c r="BGY5" s="137"/>
      <c r="BGZ5" s="137"/>
      <c r="BHA5" s="137"/>
      <c r="BHB5" s="137"/>
      <c r="BHC5" s="138"/>
      <c r="BHD5" s="64" t="s">
        <v>56</v>
      </c>
      <c r="BHE5" s="136" t="s">
        <v>63</v>
      </c>
      <c r="BHF5" s="137"/>
      <c r="BHG5" s="137"/>
      <c r="BHH5" s="137"/>
      <c r="BHI5" s="137"/>
      <c r="BHJ5" s="137"/>
      <c r="BHK5" s="137"/>
      <c r="BHL5" s="137"/>
      <c r="BHM5" s="137"/>
      <c r="BHN5" s="137"/>
      <c r="BHO5" s="137"/>
      <c r="BHP5" s="137"/>
      <c r="BHQ5" s="137"/>
      <c r="BHR5" s="137"/>
      <c r="BHS5" s="137"/>
      <c r="BHT5" s="137"/>
      <c r="BHU5" s="137"/>
      <c r="BHV5" s="137"/>
      <c r="BHW5" s="137"/>
      <c r="BHX5" s="137"/>
      <c r="BHY5" s="137"/>
      <c r="BHZ5" s="137"/>
      <c r="BIA5" s="137"/>
      <c r="BIB5" s="137"/>
      <c r="BIC5" s="137"/>
      <c r="BID5" s="137"/>
      <c r="BIE5" s="137"/>
      <c r="BIF5" s="137"/>
      <c r="BIG5" s="137"/>
      <c r="BIH5" s="137"/>
      <c r="BII5" s="137"/>
      <c r="BIJ5" s="138"/>
      <c r="BIK5" s="64" t="s">
        <v>57</v>
      </c>
      <c r="BIL5" s="66">
        <f>AUL4</f>
        <v>2022</v>
      </c>
    </row>
    <row r="6" spans="2:1598" s="76" customFormat="1" ht="14.45" x14ac:dyDescent="0.3">
      <c r="B6" s="71"/>
      <c r="C6" s="71"/>
      <c r="D6" s="71"/>
      <c r="E6" s="71"/>
      <c r="F6" s="71"/>
      <c r="G6" s="72" t="s">
        <v>25</v>
      </c>
      <c r="H6" s="72" t="s">
        <v>65</v>
      </c>
      <c r="I6" s="72">
        <v>1</v>
      </c>
      <c r="J6" s="73">
        <v>2</v>
      </c>
      <c r="K6" s="73">
        <v>3</v>
      </c>
      <c r="L6" s="73">
        <v>4</v>
      </c>
      <c r="M6" s="73">
        <v>5</v>
      </c>
      <c r="N6" s="73">
        <v>6</v>
      </c>
      <c r="O6" s="73">
        <v>7</v>
      </c>
      <c r="P6" s="73">
        <v>8</v>
      </c>
      <c r="Q6" s="73">
        <v>9</v>
      </c>
      <c r="R6" s="73">
        <v>10</v>
      </c>
      <c r="S6" s="73">
        <v>11</v>
      </c>
      <c r="T6" s="73">
        <v>12</v>
      </c>
      <c r="U6" s="73">
        <v>13</v>
      </c>
      <c r="V6" s="73">
        <v>14</v>
      </c>
      <c r="W6" s="73">
        <v>15</v>
      </c>
      <c r="X6" s="73">
        <v>16</v>
      </c>
      <c r="Y6" s="73">
        <v>17</v>
      </c>
      <c r="Z6" s="73">
        <v>18</v>
      </c>
      <c r="AA6" s="73">
        <v>19</v>
      </c>
      <c r="AB6" s="73">
        <v>20</v>
      </c>
      <c r="AC6" s="73">
        <v>21</v>
      </c>
      <c r="AD6" s="73">
        <v>22</v>
      </c>
      <c r="AE6" s="73">
        <v>23</v>
      </c>
      <c r="AF6" s="73">
        <v>24</v>
      </c>
      <c r="AG6" s="73">
        <v>25</v>
      </c>
      <c r="AH6" s="73">
        <v>26</v>
      </c>
      <c r="AI6" s="73">
        <v>27</v>
      </c>
      <c r="AJ6" s="73">
        <v>28</v>
      </c>
      <c r="AK6" s="73">
        <v>29</v>
      </c>
      <c r="AL6" s="73">
        <v>30</v>
      </c>
      <c r="AM6" s="73">
        <v>31</v>
      </c>
      <c r="AN6" s="73">
        <v>32</v>
      </c>
      <c r="AO6" s="73"/>
      <c r="AP6" s="74"/>
      <c r="AQ6" s="72">
        <v>1</v>
      </c>
      <c r="AR6" s="72">
        <v>2</v>
      </c>
      <c r="AS6" s="72">
        <v>3</v>
      </c>
      <c r="AT6" s="72">
        <v>4</v>
      </c>
      <c r="AU6" s="72">
        <v>5</v>
      </c>
      <c r="AV6" s="72">
        <v>6</v>
      </c>
      <c r="AW6" s="72">
        <v>7</v>
      </c>
      <c r="AX6" s="72">
        <v>8</v>
      </c>
      <c r="AY6" s="72">
        <v>9</v>
      </c>
      <c r="AZ6" s="72">
        <v>10</v>
      </c>
      <c r="BA6" s="72">
        <v>11</v>
      </c>
      <c r="BB6" s="72">
        <v>12</v>
      </c>
      <c r="BC6" s="72">
        <v>13</v>
      </c>
      <c r="BD6" s="72">
        <v>14</v>
      </c>
      <c r="BE6" s="72">
        <v>15</v>
      </c>
      <c r="BF6" s="72">
        <v>16</v>
      </c>
      <c r="BG6" s="72">
        <v>17</v>
      </c>
      <c r="BH6" s="72">
        <v>18</v>
      </c>
      <c r="BI6" s="72">
        <v>19</v>
      </c>
      <c r="BJ6" s="72">
        <v>20</v>
      </c>
      <c r="BK6" s="72">
        <v>21</v>
      </c>
      <c r="BL6" s="72">
        <v>22</v>
      </c>
      <c r="BM6" s="72">
        <v>23</v>
      </c>
      <c r="BN6" s="72">
        <v>24</v>
      </c>
      <c r="BO6" s="72">
        <v>25</v>
      </c>
      <c r="BP6" s="72">
        <v>26</v>
      </c>
      <c r="BQ6" s="72">
        <v>27</v>
      </c>
      <c r="BR6" s="72">
        <v>28</v>
      </c>
      <c r="BS6" s="72">
        <v>29</v>
      </c>
      <c r="BT6" s="72">
        <v>30</v>
      </c>
      <c r="BU6" s="72">
        <v>31</v>
      </c>
      <c r="BV6" s="72">
        <v>32</v>
      </c>
      <c r="BW6" s="72"/>
      <c r="BX6" s="74"/>
      <c r="BY6" s="72">
        <v>1</v>
      </c>
      <c r="BZ6" s="72">
        <v>2</v>
      </c>
      <c r="CA6" s="72">
        <v>3</v>
      </c>
      <c r="CB6" s="72">
        <v>4</v>
      </c>
      <c r="CC6" s="72">
        <v>5</v>
      </c>
      <c r="CD6" s="72">
        <v>6</v>
      </c>
      <c r="CE6" s="72">
        <v>7</v>
      </c>
      <c r="CF6" s="72">
        <v>8</v>
      </c>
      <c r="CG6" s="72">
        <v>9</v>
      </c>
      <c r="CH6" s="72">
        <v>10</v>
      </c>
      <c r="CI6" s="72">
        <v>11</v>
      </c>
      <c r="CJ6" s="72">
        <v>12</v>
      </c>
      <c r="CK6" s="72">
        <v>13</v>
      </c>
      <c r="CL6" s="72">
        <v>14</v>
      </c>
      <c r="CM6" s="72">
        <v>15</v>
      </c>
      <c r="CN6" s="72">
        <v>16</v>
      </c>
      <c r="CO6" s="72">
        <v>17</v>
      </c>
      <c r="CP6" s="72">
        <v>18</v>
      </c>
      <c r="CQ6" s="72">
        <v>19</v>
      </c>
      <c r="CR6" s="72">
        <v>20</v>
      </c>
      <c r="CS6" s="72">
        <v>21</v>
      </c>
      <c r="CT6" s="72">
        <v>22</v>
      </c>
      <c r="CU6" s="72">
        <v>23</v>
      </c>
      <c r="CV6" s="72">
        <v>24</v>
      </c>
      <c r="CW6" s="72">
        <v>25</v>
      </c>
      <c r="CX6" s="72">
        <v>26</v>
      </c>
      <c r="CY6" s="72">
        <v>27</v>
      </c>
      <c r="CZ6" s="72">
        <v>28</v>
      </c>
      <c r="DA6" s="72">
        <v>29</v>
      </c>
      <c r="DB6" s="72">
        <v>30</v>
      </c>
      <c r="DC6" s="72">
        <v>31</v>
      </c>
      <c r="DD6" s="72">
        <v>32</v>
      </c>
      <c r="DE6" s="74"/>
      <c r="DF6" s="72">
        <v>1</v>
      </c>
      <c r="DG6" s="72">
        <v>2</v>
      </c>
      <c r="DH6" s="72">
        <v>3</v>
      </c>
      <c r="DI6" s="72">
        <v>4</v>
      </c>
      <c r="DJ6" s="72">
        <v>5</v>
      </c>
      <c r="DK6" s="72">
        <v>6</v>
      </c>
      <c r="DL6" s="72">
        <v>7</v>
      </c>
      <c r="DM6" s="72">
        <v>8</v>
      </c>
      <c r="DN6" s="72">
        <v>9</v>
      </c>
      <c r="DO6" s="72">
        <v>10</v>
      </c>
      <c r="DP6" s="72">
        <v>11</v>
      </c>
      <c r="DQ6" s="72">
        <v>12</v>
      </c>
      <c r="DR6" s="72">
        <v>13</v>
      </c>
      <c r="DS6" s="72">
        <v>14</v>
      </c>
      <c r="DT6" s="72">
        <v>15</v>
      </c>
      <c r="DU6" s="72">
        <v>16</v>
      </c>
      <c r="DV6" s="72">
        <v>17</v>
      </c>
      <c r="DW6" s="72">
        <v>18</v>
      </c>
      <c r="DX6" s="72">
        <v>19</v>
      </c>
      <c r="DY6" s="72">
        <v>20</v>
      </c>
      <c r="DZ6" s="72">
        <v>21</v>
      </c>
      <c r="EA6" s="72">
        <v>22</v>
      </c>
      <c r="EB6" s="72">
        <v>23</v>
      </c>
      <c r="EC6" s="72">
        <v>24</v>
      </c>
      <c r="ED6" s="72">
        <v>25</v>
      </c>
      <c r="EE6" s="72">
        <v>26</v>
      </c>
      <c r="EF6" s="72">
        <v>27</v>
      </c>
      <c r="EG6" s="72">
        <v>28</v>
      </c>
      <c r="EH6" s="72">
        <v>29</v>
      </c>
      <c r="EI6" s="72">
        <v>30</v>
      </c>
      <c r="EJ6" s="72">
        <v>31</v>
      </c>
      <c r="EK6" s="72">
        <v>32</v>
      </c>
      <c r="EL6" s="74"/>
      <c r="EM6" s="72">
        <v>1</v>
      </c>
      <c r="EN6" s="72">
        <v>2</v>
      </c>
      <c r="EO6" s="72">
        <v>3</v>
      </c>
      <c r="EP6" s="72">
        <v>4</v>
      </c>
      <c r="EQ6" s="72">
        <v>5</v>
      </c>
      <c r="ER6" s="72">
        <v>6</v>
      </c>
      <c r="ES6" s="72">
        <v>7</v>
      </c>
      <c r="ET6" s="72">
        <v>8</v>
      </c>
      <c r="EU6" s="72">
        <v>9</v>
      </c>
      <c r="EV6" s="72">
        <v>10</v>
      </c>
      <c r="EW6" s="72">
        <v>11</v>
      </c>
      <c r="EX6" s="72">
        <v>12</v>
      </c>
      <c r="EY6" s="72">
        <v>13</v>
      </c>
      <c r="EZ6" s="72">
        <v>14</v>
      </c>
      <c r="FA6" s="72">
        <v>15</v>
      </c>
      <c r="FB6" s="72">
        <v>16</v>
      </c>
      <c r="FC6" s="72">
        <v>17</v>
      </c>
      <c r="FD6" s="72">
        <v>18</v>
      </c>
      <c r="FE6" s="72">
        <v>19</v>
      </c>
      <c r="FF6" s="72">
        <v>20</v>
      </c>
      <c r="FG6" s="72">
        <v>21</v>
      </c>
      <c r="FH6" s="72">
        <v>22</v>
      </c>
      <c r="FI6" s="72">
        <v>23</v>
      </c>
      <c r="FJ6" s="72">
        <v>24</v>
      </c>
      <c r="FK6" s="72">
        <v>25</v>
      </c>
      <c r="FL6" s="72">
        <v>26</v>
      </c>
      <c r="FM6" s="72">
        <v>27</v>
      </c>
      <c r="FN6" s="72">
        <v>28</v>
      </c>
      <c r="FO6" s="72">
        <v>29</v>
      </c>
      <c r="FP6" s="72">
        <v>30</v>
      </c>
      <c r="FQ6" s="72">
        <v>31</v>
      </c>
      <c r="FR6" s="72">
        <v>32</v>
      </c>
      <c r="FS6" s="74"/>
      <c r="FT6" s="72">
        <v>1</v>
      </c>
      <c r="FU6" s="72">
        <v>2</v>
      </c>
      <c r="FV6" s="72">
        <v>3</v>
      </c>
      <c r="FW6" s="72">
        <v>4</v>
      </c>
      <c r="FX6" s="72">
        <v>5</v>
      </c>
      <c r="FY6" s="72">
        <v>6</v>
      </c>
      <c r="FZ6" s="72">
        <v>7</v>
      </c>
      <c r="GA6" s="72">
        <v>8</v>
      </c>
      <c r="GB6" s="72">
        <v>9</v>
      </c>
      <c r="GC6" s="72">
        <v>10</v>
      </c>
      <c r="GD6" s="72">
        <v>11</v>
      </c>
      <c r="GE6" s="72">
        <v>12</v>
      </c>
      <c r="GF6" s="72">
        <v>13</v>
      </c>
      <c r="GG6" s="72">
        <v>14</v>
      </c>
      <c r="GH6" s="72">
        <v>15</v>
      </c>
      <c r="GI6" s="72">
        <v>16</v>
      </c>
      <c r="GJ6" s="72">
        <v>17</v>
      </c>
      <c r="GK6" s="72">
        <v>18</v>
      </c>
      <c r="GL6" s="72">
        <v>19</v>
      </c>
      <c r="GM6" s="72">
        <v>20</v>
      </c>
      <c r="GN6" s="72">
        <v>21</v>
      </c>
      <c r="GO6" s="72">
        <v>22</v>
      </c>
      <c r="GP6" s="72">
        <v>23</v>
      </c>
      <c r="GQ6" s="72">
        <v>24</v>
      </c>
      <c r="GR6" s="72">
        <v>25</v>
      </c>
      <c r="GS6" s="72">
        <v>26</v>
      </c>
      <c r="GT6" s="72">
        <v>27</v>
      </c>
      <c r="GU6" s="72">
        <v>28</v>
      </c>
      <c r="GV6" s="72">
        <v>29</v>
      </c>
      <c r="GW6" s="72">
        <v>30</v>
      </c>
      <c r="GX6" s="72">
        <v>31</v>
      </c>
      <c r="GY6" s="72">
        <v>32</v>
      </c>
      <c r="GZ6" s="74"/>
      <c r="HA6" s="72">
        <v>1</v>
      </c>
      <c r="HB6" s="72">
        <v>2</v>
      </c>
      <c r="HC6" s="72">
        <v>3</v>
      </c>
      <c r="HD6" s="72">
        <v>4</v>
      </c>
      <c r="HE6" s="72">
        <v>5</v>
      </c>
      <c r="HF6" s="72">
        <v>6</v>
      </c>
      <c r="HG6" s="72">
        <v>7</v>
      </c>
      <c r="HH6" s="72">
        <v>8</v>
      </c>
      <c r="HI6" s="72">
        <v>9</v>
      </c>
      <c r="HJ6" s="72">
        <v>10</v>
      </c>
      <c r="HK6" s="72">
        <v>11</v>
      </c>
      <c r="HL6" s="72">
        <v>12</v>
      </c>
      <c r="HM6" s="72">
        <v>13</v>
      </c>
      <c r="HN6" s="72">
        <v>14</v>
      </c>
      <c r="HO6" s="72">
        <v>15</v>
      </c>
      <c r="HP6" s="72">
        <v>16</v>
      </c>
      <c r="HQ6" s="72">
        <v>17</v>
      </c>
      <c r="HR6" s="72">
        <v>18</v>
      </c>
      <c r="HS6" s="72">
        <v>19</v>
      </c>
      <c r="HT6" s="72">
        <v>20</v>
      </c>
      <c r="HU6" s="72">
        <v>21</v>
      </c>
      <c r="HV6" s="72">
        <v>22</v>
      </c>
      <c r="HW6" s="72">
        <v>23</v>
      </c>
      <c r="HX6" s="72">
        <v>24</v>
      </c>
      <c r="HY6" s="72">
        <v>25</v>
      </c>
      <c r="HZ6" s="72">
        <v>26</v>
      </c>
      <c r="IA6" s="72">
        <v>27</v>
      </c>
      <c r="IB6" s="72">
        <v>28</v>
      </c>
      <c r="IC6" s="72">
        <v>29</v>
      </c>
      <c r="ID6" s="72">
        <v>30</v>
      </c>
      <c r="IE6" s="72">
        <v>31</v>
      </c>
      <c r="IF6" s="72">
        <v>32</v>
      </c>
      <c r="IG6" s="74"/>
      <c r="IH6" s="72">
        <v>1</v>
      </c>
      <c r="II6" s="72">
        <v>2</v>
      </c>
      <c r="IJ6" s="72">
        <v>3</v>
      </c>
      <c r="IK6" s="72">
        <v>4</v>
      </c>
      <c r="IL6" s="72">
        <v>5</v>
      </c>
      <c r="IM6" s="72">
        <v>6</v>
      </c>
      <c r="IN6" s="72">
        <v>7</v>
      </c>
      <c r="IO6" s="72">
        <v>8</v>
      </c>
      <c r="IP6" s="72">
        <v>9</v>
      </c>
      <c r="IQ6" s="72">
        <v>10</v>
      </c>
      <c r="IR6" s="72">
        <v>11</v>
      </c>
      <c r="IS6" s="72">
        <v>12</v>
      </c>
      <c r="IT6" s="72">
        <v>13</v>
      </c>
      <c r="IU6" s="72">
        <v>14</v>
      </c>
      <c r="IV6" s="72">
        <v>15</v>
      </c>
      <c r="IW6" s="72">
        <v>16</v>
      </c>
      <c r="IX6" s="72">
        <v>17</v>
      </c>
      <c r="IY6" s="72">
        <v>18</v>
      </c>
      <c r="IZ6" s="72">
        <v>19</v>
      </c>
      <c r="JA6" s="72">
        <v>20</v>
      </c>
      <c r="JB6" s="72">
        <v>21</v>
      </c>
      <c r="JC6" s="72">
        <v>22</v>
      </c>
      <c r="JD6" s="72">
        <v>23</v>
      </c>
      <c r="JE6" s="72">
        <v>24</v>
      </c>
      <c r="JF6" s="72">
        <v>25</v>
      </c>
      <c r="JG6" s="72">
        <v>26</v>
      </c>
      <c r="JH6" s="72">
        <v>27</v>
      </c>
      <c r="JI6" s="72">
        <v>28</v>
      </c>
      <c r="JJ6" s="72">
        <v>29</v>
      </c>
      <c r="JK6" s="72">
        <v>30</v>
      </c>
      <c r="JL6" s="72">
        <v>31</v>
      </c>
      <c r="JM6" s="72">
        <v>32</v>
      </c>
      <c r="JN6" s="74"/>
      <c r="JO6" s="72">
        <v>1</v>
      </c>
      <c r="JP6" s="72">
        <v>2</v>
      </c>
      <c r="JQ6" s="72">
        <v>3</v>
      </c>
      <c r="JR6" s="72">
        <v>4</v>
      </c>
      <c r="JS6" s="72">
        <v>5</v>
      </c>
      <c r="JT6" s="72">
        <v>6</v>
      </c>
      <c r="JU6" s="72">
        <v>7</v>
      </c>
      <c r="JV6" s="72">
        <v>8</v>
      </c>
      <c r="JW6" s="72">
        <v>9</v>
      </c>
      <c r="JX6" s="72">
        <v>10</v>
      </c>
      <c r="JY6" s="72">
        <v>11</v>
      </c>
      <c r="JZ6" s="72">
        <v>12</v>
      </c>
      <c r="KA6" s="72">
        <v>13</v>
      </c>
      <c r="KB6" s="72">
        <v>14</v>
      </c>
      <c r="KC6" s="72">
        <v>15</v>
      </c>
      <c r="KD6" s="72">
        <v>16</v>
      </c>
      <c r="KE6" s="72">
        <v>17</v>
      </c>
      <c r="KF6" s="72">
        <v>18</v>
      </c>
      <c r="KG6" s="72">
        <v>19</v>
      </c>
      <c r="KH6" s="72">
        <v>20</v>
      </c>
      <c r="KI6" s="72">
        <v>21</v>
      </c>
      <c r="KJ6" s="72">
        <v>22</v>
      </c>
      <c r="KK6" s="72">
        <v>23</v>
      </c>
      <c r="KL6" s="72">
        <v>24</v>
      </c>
      <c r="KM6" s="72">
        <v>25</v>
      </c>
      <c r="KN6" s="72">
        <v>26</v>
      </c>
      <c r="KO6" s="72">
        <v>27</v>
      </c>
      <c r="KP6" s="72">
        <v>28</v>
      </c>
      <c r="KQ6" s="72">
        <v>29</v>
      </c>
      <c r="KR6" s="72">
        <v>30</v>
      </c>
      <c r="KS6" s="72">
        <v>31</v>
      </c>
      <c r="KT6" s="72">
        <v>32</v>
      </c>
      <c r="KU6" s="74"/>
      <c r="KV6" s="72">
        <v>1</v>
      </c>
      <c r="KW6" s="72">
        <v>2</v>
      </c>
      <c r="KX6" s="72">
        <v>3</v>
      </c>
      <c r="KY6" s="72">
        <v>4</v>
      </c>
      <c r="KZ6" s="72">
        <v>5</v>
      </c>
      <c r="LA6" s="72">
        <v>6</v>
      </c>
      <c r="LB6" s="72">
        <v>7</v>
      </c>
      <c r="LC6" s="72">
        <v>8</v>
      </c>
      <c r="LD6" s="72">
        <v>9</v>
      </c>
      <c r="LE6" s="72">
        <v>10</v>
      </c>
      <c r="LF6" s="72">
        <v>11</v>
      </c>
      <c r="LG6" s="72">
        <v>12</v>
      </c>
      <c r="LH6" s="72">
        <v>13</v>
      </c>
      <c r="LI6" s="72">
        <v>14</v>
      </c>
      <c r="LJ6" s="72">
        <v>15</v>
      </c>
      <c r="LK6" s="72">
        <v>16</v>
      </c>
      <c r="LL6" s="72">
        <v>17</v>
      </c>
      <c r="LM6" s="72">
        <v>18</v>
      </c>
      <c r="LN6" s="72">
        <v>19</v>
      </c>
      <c r="LO6" s="72">
        <v>20</v>
      </c>
      <c r="LP6" s="72">
        <v>21</v>
      </c>
      <c r="LQ6" s="72">
        <v>22</v>
      </c>
      <c r="LR6" s="72">
        <v>23</v>
      </c>
      <c r="LS6" s="72">
        <v>24</v>
      </c>
      <c r="LT6" s="72">
        <v>25</v>
      </c>
      <c r="LU6" s="72">
        <v>26</v>
      </c>
      <c r="LV6" s="72">
        <v>27</v>
      </c>
      <c r="LW6" s="72">
        <v>28</v>
      </c>
      <c r="LX6" s="72">
        <v>29</v>
      </c>
      <c r="LY6" s="72">
        <v>30</v>
      </c>
      <c r="LZ6" s="72">
        <v>31</v>
      </c>
      <c r="MA6" s="72">
        <v>32</v>
      </c>
      <c r="MB6" s="74"/>
      <c r="MC6" s="72">
        <v>1</v>
      </c>
      <c r="MD6" s="72">
        <v>2</v>
      </c>
      <c r="ME6" s="72">
        <v>3</v>
      </c>
      <c r="MF6" s="72">
        <v>4</v>
      </c>
      <c r="MG6" s="72">
        <v>5</v>
      </c>
      <c r="MH6" s="72">
        <v>6</v>
      </c>
      <c r="MI6" s="72">
        <v>7</v>
      </c>
      <c r="MJ6" s="72">
        <v>8</v>
      </c>
      <c r="MK6" s="72">
        <v>9</v>
      </c>
      <c r="ML6" s="72">
        <v>10</v>
      </c>
      <c r="MM6" s="72">
        <v>11</v>
      </c>
      <c r="MN6" s="72">
        <v>12</v>
      </c>
      <c r="MO6" s="72">
        <v>13</v>
      </c>
      <c r="MP6" s="72">
        <v>14</v>
      </c>
      <c r="MQ6" s="72">
        <v>15</v>
      </c>
      <c r="MR6" s="72">
        <v>16</v>
      </c>
      <c r="MS6" s="72">
        <v>17</v>
      </c>
      <c r="MT6" s="72">
        <v>18</v>
      </c>
      <c r="MU6" s="72">
        <v>19</v>
      </c>
      <c r="MV6" s="72">
        <v>20</v>
      </c>
      <c r="MW6" s="72">
        <v>21</v>
      </c>
      <c r="MX6" s="72">
        <v>22</v>
      </c>
      <c r="MY6" s="72">
        <v>23</v>
      </c>
      <c r="MZ6" s="72">
        <v>24</v>
      </c>
      <c r="NA6" s="72">
        <v>25</v>
      </c>
      <c r="NB6" s="72">
        <v>26</v>
      </c>
      <c r="NC6" s="72">
        <v>27</v>
      </c>
      <c r="ND6" s="72">
        <v>28</v>
      </c>
      <c r="NE6" s="72">
        <v>29</v>
      </c>
      <c r="NF6" s="72">
        <v>30</v>
      </c>
      <c r="NG6" s="72">
        <v>31</v>
      </c>
      <c r="NH6" s="72">
        <v>32</v>
      </c>
      <c r="NI6" s="74"/>
      <c r="NJ6" s="72">
        <v>1</v>
      </c>
      <c r="NK6" s="72">
        <v>2</v>
      </c>
      <c r="NL6" s="72">
        <v>3</v>
      </c>
      <c r="NM6" s="72">
        <v>4</v>
      </c>
      <c r="NN6" s="72">
        <v>5</v>
      </c>
      <c r="NO6" s="72">
        <v>6</v>
      </c>
      <c r="NP6" s="72">
        <v>7</v>
      </c>
      <c r="NQ6" s="72">
        <v>8</v>
      </c>
      <c r="NR6" s="72">
        <v>9</v>
      </c>
      <c r="NS6" s="72">
        <v>10</v>
      </c>
      <c r="NT6" s="72">
        <v>11</v>
      </c>
      <c r="NU6" s="72">
        <v>12</v>
      </c>
      <c r="NV6" s="72">
        <v>13</v>
      </c>
      <c r="NW6" s="72">
        <v>14</v>
      </c>
      <c r="NX6" s="72">
        <v>15</v>
      </c>
      <c r="NY6" s="72">
        <v>16</v>
      </c>
      <c r="NZ6" s="72">
        <v>17</v>
      </c>
      <c r="OA6" s="72">
        <v>18</v>
      </c>
      <c r="OB6" s="72">
        <v>19</v>
      </c>
      <c r="OC6" s="72">
        <v>20</v>
      </c>
      <c r="OD6" s="72">
        <v>21</v>
      </c>
      <c r="OE6" s="72">
        <v>22</v>
      </c>
      <c r="OF6" s="72">
        <v>23</v>
      </c>
      <c r="OG6" s="72">
        <v>24</v>
      </c>
      <c r="OH6" s="72">
        <v>25</v>
      </c>
      <c r="OI6" s="72">
        <v>26</v>
      </c>
      <c r="OJ6" s="72">
        <v>27</v>
      </c>
      <c r="OK6" s="72">
        <v>28</v>
      </c>
      <c r="OL6" s="72">
        <v>29</v>
      </c>
      <c r="OM6" s="72">
        <v>30</v>
      </c>
      <c r="ON6" s="72">
        <v>31</v>
      </c>
      <c r="OO6" s="72">
        <v>32</v>
      </c>
      <c r="OP6" s="74"/>
      <c r="OQ6" s="75"/>
      <c r="OR6" s="72">
        <v>1</v>
      </c>
      <c r="OS6" s="72">
        <v>2</v>
      </c>
      <c r="OT6" s="72">
        <v>3</v>
      </c>
      <c r="OU6" s="72">
        <v>4</v>
      </c>
      <c r="OV6" s="72">
        <v>5</v>
      </c>
      <c r="OW6" s="72">
        <v>6</v>
      </c>
      <c r="OX6" s="72">
        <v>7</v>
      </c>
      <c r="OY6" s="72">
        <v>8</v>
      </c>
      <c r="OZ6" s="72">
        <v>9</v>
      </c>
      <c r="PA6" s="72">
        <v>10</v>
      </c>
      <c r="PB6" s="72">
        <v>11</v>
      </c>
      <c r="PC6" s="72">
        <v>12</v>
      </c>
      <c r="PD6" s="72">
        <v>13</v>
      </c>
      <c r="PE6" s="72">
        <v>14</v>
      </c>
      <c r="PF6" s="72">
        <v>15</v>
      </c>
      <c r="PG6" s="72">
        <v>16</v>
      </c>
      <c r="PH6" s="72">
        <v>17</v>
      </c>
      <c r="PI6" s="72">
        <v>18</v>
      </c>
      <c r="PJ6" s="72">
        <v>19</v>
      </c>
      <c r="PK6" s="72">
        <v>20</v>
      </c>
      <c r="PL6" s="72">
        <v>21</v>
      </c>
      <c r="PM6" s="72">
        <v>22</v>
      </c>
      <c r="PN6" s="72">
        <v>23</v>
      </c>
      <c r="PO6" s="72">
        <v>24</v>
      </c>
      <c r="PP6" s="72">
        <v>25</v>
      </c>
      <c r="PQ6" s="72">
        <v>26</v>
      </c>
      <c r="PR6" s="72">
        <v>27</v>
      </c>
      <c r="PS6" s="72">
        <v>28</v>
      </c>
      <c r="PT6" s="72">
        <v>29</v>
      </c>
      <c r="PU6" s="72">
        <v>30</v>
      </c>
      <c r="PV6" s="72">
        <v>31</v>
      </c>
      <c r="PW6" s="72">
        <v>32</v>
      </c>
      <c r="PX6" s="74"/>
      <c r="PY6" s="72">
        <v>1</v>
      </c>
      <c r="PZ6" s="72">
        <v>2</v>
      </c>
      <c r="QA6" s="72">
        <v>3</v>
      </c>
      <c r="QB6" s="72">
        <v>4</v>
      </c>
      <c r="QC6" s="72">
        <v>5</v>
      </c>
      <c r="QD6" s="72">
        <v>6</v>
      </c>
      <c r="QE6" s="72">
        <v>7</v>
      </c>
      <c r="QF6" s="72">
        <v>8</v>
      </c>
      <c r="QG6" s="72">
        <v>9</v>
      </c>
      <c r="QH6" s="72">
        <v>10</v>
      </c>
      <c r="QI6" s="72">
        <v>11</v>
      </c>
      <c r="QJ6" s="72">
        <v>12</v>
      </c>
      <c r="QK6" s="72">
        <v>13</v>
      </c>
      <c r="QL6" s="72">
        <v>14</v>
      </c>
      <c r="QM6" s="72">
        <v>15</v>
      </c>
      <c r="QN6" s="72">
        <v>16</v>
      </c>
      <c r="QO6" s="72">
        <v>17</v>
      </c>
      <c r="QP6" s="72">
        <v>18</v>
      </c>
      <c r="QQ6" s="72">
        <v>19</v>
      </c>
      <c r="QR6" s="72">
        <v>20</v>
      </c>
      <c r="QS6" s="72">
        <v>21</v>
      </c>
      <c r="QT6" s="72">
        <v>22</v>
      </c>
      <c r="QU6" s="72">
        <v>23</v>
      </c>
      <c r="QV6" s="72">
        <v>24</v>
      </c>
      <c r="QW6" s="72">
        <v>25</v>
      </c>
      <c r="QX6" s="72">
        <v>26</v>
      </c>
      <c r="QY6" s="72">
        <v>27</v>
      </c>
      <c r="QZ6" s="72">
        <v>28</v>
      </c>
      <c r="RA6" s="72">
        <v>29</v>
      </c>
      <c r="RB6" s="72">
        <v>30</v>
      </c>
      <c r="RC6" s="72">
        <v>31</v>
      </c>
      <c r="RD6" s="72">
        <v>32</v>
      </c>
      <c r="RE6" s="74"/>
      <c r="RF6" s="72">
        <v>1</v>
      </c>
      <c r="RG6" s="72">
        <v>2</v>
      </c>
      <c r="RH6" s="72">
        <v>3</v>
      </c>
      <c r="RI6" s="72">
        <v>4</v>
      </c>
      <c r="RJ6" s="72">
        <v>5</v>
      </c>
      <c r="RK6" s="72">
        <v>6</v>
      </c>
      <c r="RL6" s="72">
        <v>7</v>
      </c>
      <c r="RM6" s="72">
        <v>8</v>
      </c>
      <c r="RN6" s="72">
        <v>9</v>
      </c>
      <c r="RO6" s="72">
        <v>10</v>
      </c>
      <c r="RP6" s="72">
        <v>11</v>
      </c>
      <c r="RQ6" s="72">
        <v>12</v>
      </c>
      <c r="RR6" s="72">
        <v>13</v>
      </c>
      <c r="RS6" s="72">
        <v>14</v>
      </c>
      <c r="RT6" s="72">
        <v>15</v>
      </c>
      <c r="RU6" s="72">
        <v>16</v>
      </c>
      <c r="RV6" s="72">
        <v>17</v>
      </c>
      <c r="RW6" s="72">
        <v>18</v>
      </c>
      <c r="RX6" s="72">
        <v>19</v>
      </c>
      <c r="RY6" s="72">
        <v>20</v>
      </c>
      <c r="RZ6" s="72">
        <v>21</v>
      </c>
      <c r="SA6" s="72">
        <v>22</v>
      </c>
      <c r="SB6" s="72">
        <v>23</v>
      </c>
      <c r="SC6" s="72">
        <v>24</v>
      </c>
      <c r="SD6" s="72">
        <v>25</v>
      </c>
      <c r="SE6" s="72">
        <v>26</v>
      </c>
      <c r="SF6" s="72">
        <v>27</v>
      </c>
      <c r="SG6" s="72">
        <v>28</v>
      </c>
      <c r="SH6" s="72">
        <v>29</v>
      </c>
      <c r="SI6" s="72">
        <v>30</v>
      </c>
      <c r="SJ6" s="72">
        <v>31</v>
      </c>
      <c r="SK6" s="72">
        <v>32</v>
      </c>
      <c r="SL6" s="74"/>
      <c r="SM6" s="72">
        <v>1</v>
      </c>
      <c r="SN6" s="72">
        <v>2</v>
      </c>
      <c r="SO6" s="72">
        <v>3</v>
      </c>
      <c r="SP6" s="72">
        <v>4</v>
      </c>
      <c r="SQ6" s="72">
        <v>5</v>
      </c>
      <c r="SR6" s="72">
        <v>6</v>
      </c>
      <c r="SS6" s="72">
        <v>7</v>
      </c>
      <c r="ST6" s="72">
        <v>8</v>
      </c>
      <c r="SU6" s="72">
        <v>9</v>
      </c>
      <c r="SV6" s="72">
        <v>10</v>
      </c>
      <c r="SW6" s="72">
        <v>11</v>
      </c>
      <c r="SX6" s="72">
        <v>12</v>
      </c>
      <c r="SY6" s="72">
        <v>13</v>
      </c>
      <c r="SZ6" s="72">
        <v>14</v>
      </c>
      <c r="TA6" s="72">
        <v>15</v>
      </c>
      <c r="TB6" s="72">
        <v>16</v>
      </c>
      <c r="TC6" s="72">
        <v>17</v>
      </c>
      <c r="TD6" s="72">
        <v>18</v>
      </c>
      <c r="TE6" s="72">
        <v>19</v>
      </c>
      <c r="TF6" s="72">
        <v>20</v>
      </c>
      <c r="TG6" s="72">
        <v>21</v>
      </c>
      <c r="TH6" s="72">
        <v>22</v>
      </c>
      <c r="TI6" s="72">
        <v>23</v>
      </c>
      <c r="TJ6" s="72">
        <v>24</v>
      </c>
      <c r="TK6" s="72">
        <v>25</v>
      </c>
      <c r="TL6" s="72">
        <v>26</v>
      </c>
      <c r="TM6" s="72">
        <v>27</v>
      </c>
      <c r="TN6" s="72">
        <v>28</v>
      </c>
      <c r="TO6" s="72">
        <v>29</v>
      </c>
      <c r="TP6" s="72">
        <v>30</v>
      </c>
      <c r="TQ6" s="72">
        <v>31</v>
      </c>
      <c r="TR6" s="72">
        <v>32</v>
      </c>
      <c r="TS6" s="74"/>
      <c r="TT6" s="72">
        <v>1</v>
      </c>
      <c r="TU6" s="72">
        <v>2</v>
      </c>
      <c r="TV6" s="72">
        <v>3</v>
      </c>
      <c r="TW6" s="72">
        <v>4</v>
      </c>
      <c r="TX6" s="72">
        <v>5</v>
      </c>
      <c r="TY6" s="72">
        <v>6</v>
      </c>
      <c r="TZ6" s="72">
        <v>7</v>
      </c>
      <c r="UA6" s="72">
        <v>8</v>
      </c>
      <c r="UB6" s="72">
        <v>9</v>
      </c>
      <c r="UC6" s="72">
        <v>10</v>
      </c>
      <c r="UD6" s="72">
        <v>11</v>
      </c>
      <c r="UE6" s="72">
        <v>12</v>
      </c>
      <c r="UF6" s="72">
        <v>13</v>
      </c>
      <c r="UG6" s="72">
        <v>14</v>
      </c>
      <c r="UH6" s="72">
        <v>15</v>
      </c>
      <c r="UI6" s="72">
        <v>16</v>
      </c>
      <c r="UJ6" s="72">
        <v>17</v>
      </c>
      <c r="UK6" s="72">
        <v>18</v>
      </c>
      <c r="UL6" s="72">
        <v>19</v>
      </c>
      <c r="UM6" s="72">
        <v>20</v>
      </c>
      <c r="UN6" s="72">
        <v>21</v>
      </c>
      <c r="UO6" s="72">
        <v>22</v>
      </c>
      <c r="UP6" s="72">
        <v>23</v>
      </c>
      <c r="UQ6" s="72">
        <v>24</v>
      </c>
      <c r="UR6" s="72">
        <v>25</v>
      </c>
      <c r="US6" s="72">
        <v>26</v>
      </c>
      <c r="UT6" s="72">
        <v>27</v>
      </c>
      <c r="UU6" s="72">
        <v>28</v>
      </c>
      <c r="UV6" s="72">
        <v>29</v>
      </c>
      <c r="UW6" s="72">
        <v>30</v>
      </c>
      <c r="UX6" s="72">
        <v>31</v>
      </c>
      <c r="UY6" s="72">
        <v>32</v>
      </c>
      <c r="UZ6" s="74"/>
      <c r="VA6" s="72">
        <v>1</v>
      </c>
      <c r="VB6" s="72">
        <v>2</v>
      </c>
      <c r="VC6" s="72">
        <v>3</v>
      </c>
      <c r="VD6" s="72">
        <v>4</v>
      </c>
      <c r="VE6" s="72">
        <v>5</v>
      </c>
      <c r="VF6" s="72">
        <v>6</v>
      </c>
      <c r="VG6" s="72">
        <v>7</v>
      </c>
      <c r="VH6" s="72">
        <v>8</v>
      </c>
      <c r="VI6" s="72">
        <v>9</v>
      </c>
      <c r="VJ6" s="72">
        <v>10</v>
      </c>
      <c r="VK6" s="72">
        <v>11</v>
      </c>
      <c r="VL6" s="72">
        <v>12</v>
      </c>
      <c r="VM6" s="72">
        <v>13</v>
      </c>
      <c r="VN6" s="72">
        <v>14</v>
      </c>
      <c r="VO6" s="72">
        <v>15</v>
      </c>
      <c r="VP6" s="72">
        <v>16</v>
      </c>
      <c r="VQ6" s="72">
        <v>17</v>
      </c>
      <c r="VR6" s="72">
        <v>18</v>
      </c>
      <c r="VS6" s="72">
        <v>19</v>
      </c>
      <c r="VT6" s="72">
        <v>20</v>
      </c>
      <c r="VU6" s="72">
        <v>21</v>
      </c>
      <c r="VV6" s="72">
        <v>22</v>
      </c>
      <c r="VW6" s="72">
        <v>23</v>
      </c>
      <c r="VX6" s="72">
        <v>24</v>
      </c>
      <c r="VY6" s="72">
        <v>25</v>
      </c>
      <c r="VZ6" s="72">
        <v>26</v>
      </c>
      <c r="WA6" s="72">
        <v>27</v>
      </c>
      <c r="WB6" s="72">
        <v>28</v>
      </c>
      <c r="WC6" s="72">
        <v>29</v>
      </c>
      <c r="WD6" s="72">
        <v>30</v>
      </c>
      <c r="WE6" s="72">
        <v>31</v>
      </c>
      <c r="WF6" s="72">
        <v>32</v>
      </c>
      <c r="WG6" s="74"/>
      <c r="WH6" s="72">
        <v>1</v>
      </c>
      <c r="WI6" s="72">
        <v>2</v>
      </c>
      <c r="WJ6" s="72">
        <v>3</v>
      </c>
      <c r="WK6" s="72">
        <v>4</v>
      </c>
      <c r="WL6" s="72">
        <v>5</v>
      </c>
      <c r="WM6" s="72">
        <v>6</v>
      </c>
      <c r="WN6" s="72">
        <v>7</v>
      </c>
      <c r="WO6" s="72">
        <v>8</v>
      </c>
      <c r="WP6" s="72">
        <v>9</v>
      </c>
      <c r="WQ6" s="72">
        <v>10</v>
      </c>
      <c r="WR6" s="72">
        <v>11</v>
      </c>
      <c r="WS6" s="72">
        <v>12</v>
      </c>
      <c r="WT6" s="72">
        <v>13</v>
      </c>
      <c r="WU6" s="72">
        <v>14</v>
      </c>
      <c r="WV6" s="72">
        <v>15</v>
      </c>
      <c r="WW6" s="72">
        <v>16</v>
      </c>
      <c r="WX6" s="72">
        <v>17</v>
      </c>
      <c r="WY6" s="72">
        <v>18</v>
      </c>
      <c r="WZ6" s="72">
        <v>19</v>
      </c>
      <c r="XA6" s="72">
        <v>20</v>
      </c>
      <c r="XB6" s="72">
        <v>21</v>
      </c>
      <c r="XC6" s="72">
        <v>22</v>
      </c>
      <c r="XD6" s="72">
        <v>23</v>
      </c>
      <c r="XE6" s="72">
        <v>24</v>
      </c>
      <c r="XF6" s="72">
        <v>25</v>
      </c>
      <c r="XG6" s="72">
        <v>26</v>
      </c>
      <c r="XH6" s="72">
        <v>27</v>
      </c>
      <c r="XI6" s="72">
        <v>28</v>
      </c>
      <c r="XJ6" s="72">
        <v>29</v>
      </c>
      <c r="XK6" s="72">
        <v>30</v>
      </c>
      <c r="XL6" s="72">
        <v>31</v>
      </c>
      <c r="XM6" s="72">
        <v>32</v>
      </c>
      <c r="XN6" s="74"/>
      <c r="XO6" s="72">
        <v>1</v>
      </c>
      <c r="XP6" s="72">
        <v>2</v>
      </c>
      <c r="XQ6" s="72">
        <v>3</v>
      </c>
      <c r="XR6" s="72">
        <v>4</v>
      </c>
      <c r="XS6" s="72">
        <v>5</v>
      </c>
      <c r="XT6" s="72">
        <v>6</v>
      </c>
      <c r="XU6" s="72">
        <v>7</v>
      </c>
      <c r="XV6" s="72">
        <v>8</v>
      </c>
      <c r="XW6" s="72">
        <v>9</v>
      </c>
      <c r="XX6" s="72">
        <v>10</v>
      </c>
      <c r="XY6" s="72">
        <v>11</v>
      </c>
      <c r="XZ6" s="72">
        <v>12</v>
      </c>
      <c r="YA6" s="72">
        <v>13</v>
      </c>
      <c r="YB6" s="72">
        <v>14</v>
      </c>
      <c r="YC6" s="72">
        <v>15</v>
      </c>
      <c r="YD6" s="72">
        <v>16</v>
      </c>
      <c r="YE6" s="72">
        <v>17</v>
      </c>
      <c r="YF6" s="72">
        <v>18</v>
      </c>
      <c r="YG6" s="72">
        <v>19</v>
      </c>
      <c r="YH6" s="72">
        <v>20</v>
      </c>
      <c r="YI6" s="72">
        <v>21</v>
      </c>
      <c r="YJ6" s="72">
        <v>22</v>
      </c>
      <c r="YK6" s="72">
        <v>23</v>
      </c>
      <c r="YL6" s="72">
        <v>24</v>
      </c>
      <c r="YM6" s="72">
        <v>25</v>
      </c>
      <c r="YN6" s="72">
        <v>26</v>
      </c>
      <c r="YO6" s="72">
        <v>27</v>
      </c>
      <c r="YP6" s="72">
        <v>28</v>
      </c>
      <c r="YQ6" s="72">
        <v>29</v>
      </c>
      <c r="YR6" s="72">
        <v>30</v>
      </c>
      <c r="YS6" s="72">
        <v>31</v>
      </c>
      <c r="YT6" s="72">
        <v>32</v>
      </c>
      <c r="YU6" s="74"/>
      <c r="YV6" s="72">
        <v>1</v>
      </c>
      <c r="YW6" s="72">
        <v>2</v>
      </c>
      <c r="YX6" s="72">
        <v>3</v>
      </c>
      <c r="YY6" s="72">
        <v>4</v>
      </c>
      <c r="YZ6" s="72">
        <v>5</v>
      </c>
      <c r="ZA6" s="72">
        <v>6</v>
      </c>
      <c r="ZB6" s="72">
        <v>7</v>
      </c>
      <c r="ZC6" s="72">
        <v>8</v>
      </c>
      <c r="ZD6" s="72">
        <v>9</v>
      </c>
      <c r="ZE6" s="72">
        <v>10</v>
      </c>
      <c r="ZF6" s="72">
        <v>11</v>
      </c>
      <c r="ZG6" s="72">
        <v>12</v>
      </c>
      <c r="ZH6" s="72">
        <v>13</v>
      </c>
      <c r="ZI6" s="72">
        <v>14</v>
      </c>
      <c r="ZJ6" s="72">
        <v>15</v>
      </c>
      <c r="ZK6" s="72">
        <v>16</v>
      </c>
      <c r="ZL6" s="72">
        <v>17</v>
      </c>
      <c r="ZM6" s="72">
        <v>18</v>
      </c>
      <c r="ZN6" s="72">
        <v>19</v>
      </c>
      <c r="ZO6" s="72">
        <v>20</v>
      </c>
      <c r="ZP6" s="72">
        <v>21</v>
      </c>
      <c r="ZQ6" s="72">
        <v>22</v>
      </c>
      <c r="ZR6" s="72">
        <v>23</v>
      </c>
      <c r="ZS6" s="72">
        <v>24</v>
      </c>
      <c r="ZT6" s="72">
        <v>25</v>
      </c>
      <c r="ZU6" s="72">
        <v>26</v>
      </c>
      <c r="ZV6" s="72">
        <v>27</v>
      </c>
      <c r="ZW6" s="72">
        <v>28</v>
      </c>
      <c r="ZX6" s="72">
        <v>29</v>
      </c>
      <c r="ZY6" s="72">
        <v>30</v>
      </c>
      <c r="ZZ6" s="72">
        <v>31</v>
      </c>
      <c r="AAA6" s="72">
        <v>32</v>
      </c>
      <c r="AAB6" s="74"/>
      <c r="AAC6" s="72">
        <v>1</v>
      </c>
      <c r="AAD6" s="72">
        <v>2</v>
      </c>
      <c r="AAE6" s="72">
        <v>3</v>
      </c>
      <c r="AAF6" s="72">
        <v>4</v>
      </c>
      <c r="AAG6" s="72">
        <v>5</v>
      </c>
      <c r="AAH6" s="72">
        <v>6</v>
      </c>
      <c r="AAI6" s="72">
        <v>7</v>
      </c>
      <c r="AAJ6" s="72">
        <v>8</v>
      </c>
      <c r="AAK6" s="72">
        <v>9</v>
      </c>
      <c r="AAL6" s="72">
        <v>10</v>
      </c>
      <c r="AAM6" s="72">
        <v>11</v>
      </c>
      <c r="AAN6" s="72">
        <v>12</v>
      </c>
      <c r="AAO6" s="72">
        <v>13</v>
      </c>
      <c r="AAP6" s="72">
        <v>14</v>
      </c>
      <c r="AAQ6" s="72">
        <v>15</v>
      </c>
      <c r="AAR6" s="72">
        <v>16</v>
      </c>
      <c r="AAS6" s="72">
        <v>17</v>
      </c>
      <c r="AAT6" s="72">
        <v>18</v>
      </c>
      <c r="AAU6" s="72">
        <v>19</v>
      </c>
      <c r="AAV6" s="72">
        <v>20</v>
      </c>
      <c r="AAW6" s="72">
        <v>21</v>
      </c>
      <c r="AAX6" s="72">
        <v>22</v>
      </c>
      <c r="AAY6" s="72">
        <v>23</v>
      </c>
      <c r="AAZ6" s="72">
        <v>24</v>
      </c>
      <c r="ABA6" s="72">
        <v>25</v>
      </c>
      <c r="ABB6" s="72">
        <v>26</v>
      </c>
      <c r="ABC6" s="72">
        <v>27</v>
      </c>
      <c r="ABD6" s="72">
        <v>28</v>
      </c>
      <c r="ABE6" s="72">
        <v>29</v>
      </c>
      <c r="ABF6" s="72">
        <v>30</v>
      </c>
      <c r="ABG6" s="72">
        <v>31</v>
      </c>
      <c r="ABH6" s="72">
        <v>32</v>
      </c>
      <c r="ABI6" s="74"/>
      <c r="ABJ6" s="72">
        <v>1</v>
      </c>
      <c r="ABK6" s="72">
        <v>2</v>
      </c>
      <c r="ABL6" s="72">
        <v>3</v>
      </c>
      <c r="ABM6" s="72">
        <v>4</v>
      </c>
      <c r="ABN6" s="72">
        <v>5</v>
      </c>
      <c r="ABO6" s="72">
        <v>6</v>
      </c>
      <c r="ABP6" s="72">
        <v>7</v>
      </c>
      <c r="ABQ6" s="72">
        <v>8</v>
      </c>
      <c r="ABR6" s="72">
        <v>9</v>
      </c>
      <c r="ABS6" s="72">
        <v>10</v>
      </c>
      <c r="ABT6" s="72">
        <v>11</v>
      </c>
      <c r="ABU6" s="72">
        <v>12</v>
      </c>
      <c r="ABV6" s="72">
        <v>13</v>
      </c>
      <c r="ABW6" s="72">
        <v>14</v>
      </c>
      <c r="ABX6" s="72">
        <v>15</v>
      </c>
      <c r="ABY6" s="72">
        <v>16</v>
      </c>
      <c r="ABZ6" s="72">
        <v>17</v>
      </c>
      <c r="ACA6" s="72">
        <v>18</v>
      </c>
      <c r="ACB6" s="72">
        <v>19</v>
      </c>
      <c r="ACC6" s="72">
        <v>20</v>
      </c>
      <c r="ACD6" s="72">
        <v>21</v>
      </c>
      <c r="ACE6" s="72">
        <v>22</v>
      </c>
      <c r="ACF6" s="72">
        <v>23</v>
      </c>
      <c r="ACG6" s="72">
        <v>24</v>
      </c>
      <c r="ACH6" s="72">
        <v>25</v>
      </c>
      <c r="ACI6" s="72">
        <v>26</v>
      </c>
      <c r="ACJ6" s="72">
        <v>27</v>
      </c>
      <c r="ACK6" s="72">
        <v>28</v>
      </c>
      <c r="ACL6" s="72">
        <v>29</v>
      </c>
      <c r="ACM6" s="72">
        <v>30</v>
      </c>
      <c r="ACN6" s="72">
        <v>31</v>
      </c>
      <c r="ACO6" s="72">
        <v>32</v>
      </c>
      <c r="ACP6" s="74"/>
      <c r="ACQ6" s="72">
        <v>1</v>
      </c>
      <c r="ACR6" s="72">
        <v>2</v>
      </c>
      <c r="ACS6" s="72">
        <v>3</v>
      </c>
      <c r="ACT6" s="72">
        <v>4</v>
      </c>
      <c r="ACU6" s="72">
        <v>5</v>
      </c>
      <c r="ACV6" s="72">
        <v>6</v>
      </c>
      <c r="ACW6" s="72">
        <v>7</v>
      </c>
      <c r="ACX6" s="72">
        <v>8</v>
      </c>
      <c r="ACY6" s="72">
        <v>9</v>
      </c>
      <c r="ACZ6" s="72">
        <v>10</v>
      </c>
      <c r="ADA6" s="72">
        <v>11</v>
      </c>
      <c r="ADB6" s="72">
        <v>12</v>
      </c>
      <c r="ADC6" s="72">
        <v>13</v>
      </c>
      <c r="ADD6" s="72">
        <v>14</v>
      </c>
      <c r="ADE6" s="72">
        <v>15</v>
      </c>
      <c r="ADF6" s="72">
        <v>16</v>
      </c>
      <c r="ADG6" s="72">
        <v>17</v>
      </c>
      <c r="ADH6" s="72">
        <v>18</v>
      </c>
      <c r="ADI6" s="72">
        <v>19</v>
      </c>
      <c r="ADJ6" s="72">
        <v>20</v>
      </c>
      <c r="ADK6" s="72">
        <v>21</v>
      </c>
      <c r="ADL6" s="72">
        <v>22</v>
      </c>
      <c r="ADM6" s="72">
        <v>23</v>
      </c>
      <c r="ADN6" s="72">
        <v>24</v>
      </c>
      <c r="ADO6" s="72">
        <v>25</v>
      </c>
      <c r="ADP6" s="72">
        <v>26</v>
      </c>
      <c r="ADQ6" s="72">
        <v>27</v>
      </c>
      <c r="ADR6" s="72">
        <v>28</v>
      </c>
      <c r="ADS6" s="72">
        <v>29</v>
      </c>
      <c r="ADT6" s="72">
        <v>30</v>
      </c>
      <c r="ADU6" s="72">
        <v>31</v>
      </c>
      <c r="ADV6" s="72">
        <v>32</v>
      </c>
      <c r="ADW6" s="74"/>
      <c r="ADX6" s="75"/>
      <c r="ADY6" s="72">
        <v>1</v>
      </c>
      <c r="ADZ6" s="72">
        <v>2</v>
      </c>
      <c r="AEA6" s="72">
        <v>3</v>
      </c>
      <c r="AEB6" s="72">
        <v>4</v>
      </c>
      <c r="AEC6" s="72">
        <v>5</v>
      </c>
      <c r="AED6" s="72">
        <v>6</v>
      </c>
      <c r="AEE6" s="72">
        <v>7</v>
      </c>
      <c r="AEF6" s="72">
        <v>8</v>
      </c>
      <c r="AEG6" s="72">
        <v>9</v>
      </c>
      <c r="AEH6" s="72">
        <v>10</v>
      </c>
      <c r="AEI6" s="72">
        <v>11</v>
      </c>
      <c r="AEJ6" s="72">
        <v>12</v>
      </c>
      <c r="AEK6" s="72">
        <v>13</v>
      </c>
      <c r="AEL6" s="72">
        <v>14</v>
      </c>
      <c r="AEM6" s="72">
        <v>15</v>
      </c>
      <c r="AEN6" s="72">
        <v>16</v>
      </c>
      <c r="AEO6" s="72">
        <v>17</v>
      </c>
      <c r="AEP6" s="72">
        <v>18</v>
      </c>
      <c r="AEQ6" s="72">
        <v>19</v>
      </c>
      <c r="AER6" s="72">
        <v>20</v>
      </c>
      <c r="AES6" s="72">
        <v>21</v>
      </c>
      <c r="AET6" s="72">
        <v>22</v>
      </c>
      <c r="AEU6" s="72">
        <v>23</v>
      </c>
      <c r="AEV6" s="72">
        <v>24</v>
      </c>
      <c r="AEW6" s="72">
        <v>25</v>
      </c>
      <c r="AEX6" s="72">
        <v>26</v>
      </c>
      <c r="AEY6" s="72">
        <v>27</v>
      </c>
      <c r="AEZ6" s="72">
        <v>28</v>
      </c>
      <c r="AFA6" s="72">
        <v>29</v>
      </c>
      <c r="AFB6" s="72">
        <v>30</v>
      </c>
      <c r="AFC6" s="72">
        <v>31</v>
      </c>
      <c r="AFD6" s="72">
        <v>32</v>
      </c>
      <c r="AFE6" s="74"/>
      <c r="AFF6" s="72">
        <v>1</v>
      </c>
      <c r="AFG6" s="72">
        <v>2</v>
      </c>
      <c r="AFH6" s="72">
        <v>3</v>
      </c>
      <c r="AFI6" s="72">
        <v>4</v>
      </c>
      <c r="AFJ6" s="72">
        <v>5</v>
      </c>
      <c r="AFK6" s="72">
        <v>6</v>
      </c>
      <c r="AFL6" s="72">
        <v>7</v>
      </c>
      <c r="AFM6" s="72">
        <v>8</v>
      </c>
      <c r="AFN6" s="72">
        <v>9</v>
      </c>
      <c r="AFO6" s="72">
        <v>10</v>
      </c>
      <c r="AFP6" s="72">
        <v>11</v>
      </c>
      <c r="AFQ6" s="72">
        <v>12</v>
      </c>
      <c r="AFR6" s="72">
        <v>13</v>
      </c>
      <c r="AFS6" s="72">
        <v>14</v>
      </c>
      <c r="AFT6" s="72">
        <v>15</v>
      </c>
      <c r="AFU6" s="72">
        <v>16</v>
      </c>
      <c r="AFV6" s="72">
        <v>17</v>
      </c>
      <c r="AFW6" s="72">
        <v>18</v>
      </c>
      <c r="AFX6" s="72">
        <v>19</v>
      </c>
      <c r="AFY6" s="72">
        <v>20</v>
      </c>
      <c r="AFZ6" s="72">
        <v>21</v>
      </c>
      <c r="AGA6" s="72">
        <v>22</v>
      </c>
      <c r="AGB6" s="72">
        <v>23</v>
      </c>
      <c r="AGC6" s="72">
        <v>24</v>
      </c>
      <c r="AGD6" s="72">
        <v>25</v>
      </c>
      <c r="AGE6" s="72">
        <v>26</v>
      </c>
      <c r="AGF6" s="72">
        <v>27</v>
      </c>
      <c r="AGG6" s="72">
        <v>28</v>
      </c>
      <c r="AGH6" s="72">
        <v>29</v>
      </c>
      <c r="AGI6" s="72">
        <v>30</v>
      </c>
      <c r="AGJ6" s="72">
        <v>31</v>
      </c>
      <c r="AGK6" s="72">
        <v>32</v>
      </c>
      <c r="AGL6" s="74"/>
      <c r="AGM6" s="72">
        <v>1</v>
      </c>
      <c r="AGN6" s="72">
        <v>2</v>
      </c>
      <c r="AGO6" s="72">
        <v>3</v>
      </c>
      <c r="AGP6" s="72">
        <v>4</v>
      </c>
      <c r="AGQ6" s="72">
        <v>5</v>
      </c>
      <c r="AGR6" s="72">
        <v>6</v>
      </c>
      <c r="AGS6" s="72">
        <v>7</v>
      </c>
      <c r="AGT6" s="72">
        <v>8</v>
      </c>
      <c r="AGU6" s="72">
        <v>9</v>
      </c>
      <c r="AGV6" s="72">
        <v>10</v>
      </c>
      <c r="AGW6" s="72">
        <v>11</v>
      </c>
      <c r="AGX6" s="72">
        <v>12</v>
      </c>
      <c r="AGY6" s="72">
        <v>13</v>
      </c>
      <c r="AGZ6" s="72">
        <v>14</v>
      </c>
      <c r="AHA6" s="72">
        <v>15</v>
      </c>
      <c r="AHB6" s="72">
        <v>16</v>
      </c>
      <c r="AHC6" s="72">
        <v>17</v>
      </c>
      <c r="AHD6" s="72">
        <v>18</v>
      </c>
      <c r="AHE6" s="72">
        <v>19</v>
      </c>
      <c r="AHF6" s="72">
        <v>20</v>
      </c>
      <c r="AHG6" s="72">
        <v>21</v>
      </c>
      <c r="AHH6" s="72">
        <v>22</v>
      </c>
      <c r="AHI6" s="72">
        <v>23</v>
      </c>
      <c r="AHJ6" s="72">
        <v>24</v>
      </c>
      <c r="AHK6" s="72">
        <v>25</v>
      </c>
      <c r="AHL6" s="72">
        <v>26</v>
      </c>
      <c r="AHM6" s="72">
        <v>27</v>
      </c>
      <c r="AHN6" s="72">
        <v>28</v>
      </c>
      <c r="AHO6" s="72">
        <v>29</v>
      </c>
      <c r="AHP6" s="72">
        <v>30</v>
      </c>
      <c r="AHQ6" s="72">
        <v>31</v>
      </c>
      <c r="AHR6" s="72">
        <v>32</v>
      </c>
      <c r="AHS6" s="74"/>
      <c r="AHT6" s="72">
        <v>1</v>
      </c>
      <c r="AHU6" s="72">
        <v>2</v>
      </c>
      <c r="AHV6" s="72">
        <v>3</v>
      </c>
      <c r="AHW6" s="72">
        <v>4</v>
      </c>
      <c r="AHX6" s="72">
        <v>5</v>
      </c>
      <c r="AHY6" s="72">
        <v>6</v>
      </c>
      <c r="AHZ6" s="72">
        <v>7</v>
      </c>
      <c r="AIA6" s="72">
        <v>8</v>
      </c>
      <c r="AIB6" s="72">
        <v>9</v>
      </c>
      <c r="AIC6" s="72">
        <v>10</v>
      </c>
      <c r="AID6" s="72">
        <v>11</v>
      </c>
      <c r="AIE6" s="72">
        <v>12</v>
      </c>
      <c r="AIF6" s="72">
        <v>13</v>
      </c>
      <c r="AIG6" s="72">
        <v>14</v>
      </c>
      <c r="AIH6" s="72">
        <v>15</v>
      </c>
      <c r="AII6" s="72">
        <v>16</v>
      </c>
      <c r="AIJ6" s="72">
        <v>17</v>
      </c>
      <c r="AIK6" s="72">
        <v>18</v>
      </c>
      <c r="AIL6" s="72">
        <v>19</v>
      </c>
      <c r="AIM6" s="72">
        <v>20</v>
      </c>
      <c r="AIN6" s="72">
        <v>21</v>
      </c>
      <c r="AIO6" s="72">
        <v>22</v>
      </c>
      <c r="AIP6" s="72">
        <v>23</v>
      </c>
      <c r="AIQ6" s="72">
        <v>24</v>
      </c>
      <c r="AIR6" s="72">
        <v>25</v>
      </c>
      <c r="AIS6" s="72">
        <v>26</v>
      </c>
      <c r="AIT6" s="72">
        <v>27</v>
      </c>
      <c r="AIU6" s="72">
        <v>28</v>
      </c>
      <c r="AIV6" s="72">
        <v>29</v>
      </c>
      <c r="AIW6" s="72">
        <v>30</v>
      </c>
      <c r="AIX6" s="72">
        <v>31</v>
      </c>
      <c r="AIY6" s="72">
        <v>32</v>
      </c>
      <c r="AIZ6" s="74"/>
      <c r="AJA6" s="72">
        <v>1</v>
      </c>
      <c r="AJB6" s="72">
        <v>2</v>
      </c>
      <c r="AJC6" s="72">
        <v>3</v>
      </c>
      <c r="AJD6" s="72">
        <v>4</v>
      </c>
      <c r="AJE6" s="72">
        <v>5</v>
      </c>
      <c r="AJF6" s="72">
        <v>6</v>
      </c>
      <c r="AJG6" s="72">
        <v>7</v>
      </c>
      <c r="AJH6" s="72">
        <v>8</v>
      </c>
      <c r="AJI6" s="72">
        <v>9</v>
      </c>
      <c r="AJJ6" s="72">
        <v>10</v>
      </c>
      <c r="AJK6" s="72">
        <v>11</v>
      </c>
      <c r="AJL6" s="72">
        <v>12</v>
      </c>
      <c r="AJM6" s="72">
        <v>13</v>
      </c>
      <c r="AJN6" s="72">
        <v>14</v>
      </c>
      <c r="AJO6" s="72">
        <v>15</v>
      </c>
      <c r="AJP6" s="72">
        <v>16</v>
      </c>
      <c r="AJQ6" s="72">
        <v>17</v>
      </c>
      <c r="AJR6" s="72">
        <v>18</v>
      </c>
      <c r="AJS6" s="72">
        <v>19</v>
      </c>
      <c r="AJT6" s="72">
        <v>20</v>
      </c>
      <c r="AJU6" s="72">
        <v>21</v>
      </c>
      <c r="AJV6" s="72">
        <v>22</v>
      </c>
      <c r="AJW6" s="72">
        <v>23</v>
      </c>
      <c r="AJX6" s="72">
        <v>24</v>
      </c>
      <c r="AJY6" s="72">
        <v>25</v>
      </c>
      <c r="AJZ6" s="72">
        <v>26</v>
      </c>
      <c r="AKA6" s="72">
        <v>27</v>
      </c>
      <c r="AKB6" s="72">
        <v>28</v>
      </c>
      <c r="AKC6" s="72">
        <v>29</v>
      </c>
      <c r="AKD6" s="72">
        <v>30</v>
      </c>
      <c r="AKE6" s="72">
        <v>31</v>
      </c>
      <c r="AKF6" s="72">
        <v>32</v>
      </c>
      <c r="AKG6" s="74"/>
      <c r="AKH6" s="72">
        <v>1</v>
      </c>
      <c r="AKI6" s="72">
        <v>2</v>
      </c>
      <c r="AKJ6" s="72">
        <v>3</v>
      </c>
      <c r="AKK6" s="72">
        <v>4</v>
      </c>
      <c r="AKL6" s="72">
        <v>5</v>
      </c>
      <c r="AKM6" s="72">
        <v>6</v>
      </c>
      <c r="AKN6" s="72">
        <v>7</v>
      </c>
      <c r="AKO6" s="72">
        <v>8</v>
      </c>
      <c r="AKP6" s="72">
        <v>9</v>
      </c>
      <c r="AKQ6" s="72">
        <v>10</v>
      </c>
      <c r="AKR6" s="72">
        <v>11</v>
      </c>
      <c r="AKS6" s="72">
        <v>12</v>
      </c>
      <c r="AKT6" s="72">
        <v>13</v>
      </c>
      <c r="AKU6" s="72">
        <v>14</v>
      </c>
      <c r="AKV6" s="72">
        <v>15</v>
      </c>
      <c r="AKW6" s="72">
        <v>16</v>
      </c>
      <c r="AKX6" s="72">
        <v>17</v>
      </c>
      <c r="AKY6" s="72">
        <v>18</v>
      </c>
      <c r="AKZ6" s="72">
        <v>19</v>
      </c>
      <c r="ALA6" s="72">
        <v>20</v>
      </c>
      <c r="ALB6" s="72">
        <v>21</v>
      </c>
      <c r="ALC6" s="72">
        <v>22</v>
      </c>
      <c r="ALD6" s="72">
        <v>23</v>
      </c>
      <c r="ALE6" s="72">
        <v>24</v>
      </c>
      <c r="ALF6" s="72">
        <v>25</v>
      </c>
      <c r="ALG6" s="72">
        <v>26</v>
      </c>
      <c r="ALH6" s="72">
        <v>27</v>
      </c>
      <c r="ALI6" s="72">
        <v>28</v>
      </c>
      <c r="ALJ6" s="72">
        <v>29</v>
      </c>
      <c r="ALK6" s="72">
        <v>30</v>
      </c>
      <c r="ALL6" s="72">
        <v>31</v>
      </c>
      <c r="ALM6" s="72">
        <v>32</v>
      </c>
      <c r="ALN6" s="74"/>
      <c r="ALO6" s="72">
        <v>1</v>
      </c>
      <c r="ALP6" s="72">
        <v>2</v>
      </c>
      <c r="ALQ6" s="72">
        <v>3</v>
      </c>
      <c r="ALR6" s="72">
        <v>4</v>
      </c>
      <c r="ALS6" s="72">
        <v>5</v>
      </c>
      <c r="ALT6" s="72">
        <v>6</v>
      </c>
      <c r="ALU6" s="72">
        <v>7</v>
      </c>
      <c r="ALV6" s="72">
        <v>8</v>
      </c>
      <c r="ALW6" s="72">
        <v>9</v>
      </c>
      <c r="ALX6" s="72">
        <v>10</v>
      </c>
      <c r="ALY6" s="72">
        <v>11</v>
      </c>
      <c r="ALZ6" s="72">
        <v>12</v>
      </c>
      <c r="AMA6" s="72">
        <v>13</v>
      </c>
      <c r="AMB6" s="72">
        <v>14</v>
      </c>
      <c r="AMC6" s="72">
        <v>15</v>
      </c>
      <c r="AMD6" s="72">
        <v>16</v>
      </c>
      <c r="AME6" s="72">
        <v>17</v>
      </c>
      <c r="AMF6" s="72">
        <v>18</v>
      </c>
      <c r="AMG6" s="72">
        <v>19</v>
      </c>
      <c r="AMH6" s="72">
        <v>20</v>
      </c>
      <c r="AMI6" s="72">
        <v>21</v>
      </c>
      <c r="AMJ6" s="72">
        <v>22</v>
      </c>
      <c r="AMK6" s="72">
        <v>23</v>
      </c>
      <c r="AML6" s="72">
        <v>24</v>
      </c>
      <c r="AMM6" s="72">
        <v>25</v>
      </c>
      <c r="AMN6" s="72">
        <v>26</v>
      </c>
      <c r="AMO6" s="72">
        <v>27</v>
      </c>
      <c r="AMP6" s="72">
        <v>28</v>
      </c>
      <c r="AMQ6" s="72">
        <v>29</v>
      </c>
      <c r="AMR6" s="72">
        <v>30</v>
      </c>
      <c r="AMS6" s="72">
        <v>31</v>
      </c>
      <c r="AMT6" s="72">
        <v>32</v>
      </c>
      <c r="AMU6" s="74"/>
      <c r="AMV6" s="72">
        <v>1</v>
      </c>
      <c r="AMW6" s="72">
        <v>2</v>
      </c>
      <c r="AMX6" s="72">
        <v>3</v>
      </c>
      <c r="AMY6" s="72">
        <v>4</v>
      </c>
      <c r="AMZ6" s="72">
        <v>5</v>
      </c>
      <c r="ANA6" s="72">
        <v>6</v>
      </c>
      <c r="ANB6" s="72">
        <v>7</v>
      </c>
      <c r="ANC6" s="72">
        <v>8</v>
      </c>
      <c r="AND6" s="72">
        <v>9</v>
      </c>
      <c r="ANE6" s="72">
        <v>10</v>
      </c>
      <c r="ANF6" s="72">
        <v>11</v>
      </c>
      <c r="ANG6" s="72">
        <v>12</v>
      </c>
      <c r="ANH6" s="72">
        <v>13</v>
      </c>
      <c r="ANI6" s="72">
        <v>14</v>
      </c>
      <c r="ANJ6" s="72">
        <v>15</v>
      </c>
      <c r="ANK6" s="72">
        <v>16</v>
      </c>
      <c r="ANL6" s="72">
        <v>17</v>
      </c>
      <c r="ANM6" s="72">
        <v>18</v>
      </c>
      <c r="ANN6" s="72">
        <v>19</v>
      </c>
      <c r="ANO6" s="72">
        <v>20</v>
      </c>
      <c r="ANP6" s="72">
        <v>21</v>
      </c>
      <c r="ANQ6" s="72">
        <v>22</v>
      </c>
      <c r="ANR6" s="72">
        <v>23</v>
      </c>
      <c r="ANS6" s="72">
        <v>24</v>
      </c>
      <c r="ANT6" s="72">
        <v>25</v>
      </c>
      <c r="ANU6" s="72">
        <v>26</v>
      </c>
      <c r="ANV6" s="72">
        <v>27</v>
      </c>
      <c r="ANW6" s="72">
        <v>28</v>
      </c>
      <c r="ANX6" s="72">
        <v>29</v>
      </c>
      <c r="ANY6" s="72">
        <v>30</v>
      </c>
      <c r="ANZ6" s="72">
        <v>31</v>
      </c>
      <c r="AOA6" s="72">
        <v>32</v>
      </c>
      <c r="AOB6" s="74"/>
      <c r="AOC6" s="72">
        <v>1</v>
      </c>
      <c r="AOD6" s="72">
        <v>2</v>
      </c>
      <c r="AOE6" s="72">
        <v>3</v>
      </c>
      <c r="AOF6" s="72">
        <v>4</v>
      </c>
      <c r="AOG6" s="72">
        <v>5</v>
      </c>
      <c r="AOH6" s="72">
        <v>6</v>
      </c>
      <c r="AOI6" s="72">
        <v>7</v>
      </c>
      <c r="AOJ6" s="72">
        <v>8</v>
      </c>
      <c r="AOK6" s="72">
        <v>9</v>
      </c>
      <c r="AOL6" s="72">
        <v>10</v>
      </c>
      <c r="AOM6" s="72">
        <v>11</v>
      </c>
      <c r="AON6" s="72">
        <v>12</v>
      </c>
      <c r="AOO6" s="72">
        <v>13</v>
      </c>
      <c r="AOP6" s="72">
        <v>14</v>
      </c>
      <c r="AOQ6" s="72">
        <v>15</v>
      </c>
      <c r="AOR6" s="72">
        <v>16</v>
      </c>
      <c r="AOS6" s="72">
        <v>17</v>
      </c>
      <c r="AOT6" s="72">
        <v>18</v>
      </c>
      <c r="AOU6" s="72">
        <v>19</v>
      </c>
      <c r="AOV6" s="72">
        <v>20</v>
      </c>
      <c r="AOW6" s="72">
        <v>21</v>
      </c>
      <c r="AOX6" s="72">
        <v>22</v>
      </c>
      <c r="AOY6" s="72">
        <v>23</v>
      </c>
      <c r="AOZ6" s="72">
        <v>24</v>
      </c>
      <c r="APA6" s="72">
        <v>25</v>
      </c>
      <c r="APB6" s="72">
        <v>26</v>
      </c>
      <c r="APC6" s="72">
        <v>27</v>
      </c>
      <c r="APD6" s="72">
        <v>28</v>
      </c>
      <c r="APE6" s="72">
        <v>29</v>
      </c>
      <c r="APF6" s="72">
        <v>30</v>
      </c>
      <c r="APG6" s="72">
        <v>31</v>
      </c>
      <c r="APH6" s="72">
        <v>32</v>
      </c>
      <c r="API6" s="74"/>
      <c r="APJ6" s="72">
        <v>1</v>
      </c>
      <c r="APK6" s="72">
        <v>2</v>
      </c>
      <c r="APL6" s="72">
        <v>3</v>
      </c>
      <c r="APM6" s="72">
        <v>4</v>
      </c>
      <c r="APN6" s="72">
        <v>5</v>
      </c>
      <c r="APO6" s="72">
        <v>6</v>
      </c>
      <c r="APP6" s="72">
        <v>7</v>
      </c>
      <c r="APQ6" s="72">
        <v>8</v>
      </c>
      <c r="APR6" s="72">
        <v>9</v>
      </c>
      <c r="APS6" s="72">
        <v>10</v>
      </c>
      <c r="APT6" s="72">
        <v>11</v>
      </c>
      <c r="APU6" s="72">
        <v>12</v>
      </c>
      <c r="APV6" s="72">
        <v>13</v>
      </c>
      <c r="APW6" s="72">
        <v>14</v>
      </c>
      <c r="APX6" s="72">
        <v>15</v>
      </c>
      <c r="APY6" s="72">
        <v>16</v>
      </c>
      <c r="APZ6" s="72">
        <v>17</v>
      </c>
      <c r="AQA6" s="72">
        <v>18</v>
      </c>
      <c r="AQB6" s="72">
        <v>19</v>
      </c>
      <c r="AQC6" s="72">
        <v>20</v>
      </c>
      <c r="AQD6" s="72">
        <v>21</v>
      </c>
      <c r="AQE6" s="72">
        <v>22</v>
      </c>
      <c r="AQF6" s="72">
        <v>23</v>
      </c>
      <c r="AQG6" s="72">
        <v>24</v>
      </c>
      <c r="AQH6" s="72">
        <v>25</v>
      </c>
      <c r="AQI6" s="72">
        <v>26</v>
      </c>
      <c r="AQJ6" s="72">
        <v>27</v>
      </c>
      <c r="AQK6" s="72">
        <v>28</v>
      </c>
      <c r="AQL6" s="72">
        <v>29</v>
      </c>
      <c r="AQM6" s="72">
        <v>30</v>
      </c>
      <c r="AQN6" s="72">
        <v>31</v>
      </c>
      <c r="AQO6" s="72">
        <v>32</v>
      </c>
      <c r="AQP6" s="74"/>
      <c r="AQQ6" s="72">
        <v>1</v>
      </c>
      <c r="AQR6" s="72">
        <v>2</v>
      </c>
      <c r="AQS6" s="72">
        <v>3</v>
      </c>
      <c r="AQT6" s="72">
        <v>4</v>
      </c>
      <c r="AQU6" s="72">
        <v>5</v>
      </c>
      <c r="AQV6" s="72">
        <v>6</v>
      </c>
      <c r="AQW6" s="72">
        <v>7</v>
      </c>
      <c r="AQX6" s="72">
        <v>8</v>
      </c>
      <c r="AQY6" s="72">
        <v>9</v>
      </c>
      <c r="AQZ6" s="72">
        <v>10</v>
      </c>
      <c r="ARA6" s="72">
        <v>11</v>
      </c>
      <c r="ARB6" s="72">
        <v>12</v>
      </c>
      <c r="ARC6" s="72">
        <v>13</v>
      </c>
      <c r="ARD6" s="72">
        <v>14</v>
      </c>
      <c r="ARE6" s="72">
        <v>15</v>
      </c>
      <c r="ARF6" s="72">
        <v>16</v>
      </c>
      <c r="ARG6" s="72">
        <v>17</v>
      </c>
      <c r="ARH6" s="72">
        <v>18</v>
      </c>
      <c r="ARI6" s="72">
        <v>19</v>
      </c>
      <c r="ARJ6" s="72">
        <v>20</v>
      </c>
      <c r="ARK6" s="72">
        <v>21</v>
      </c>
      <c r="ARL6" s="72">
        <v>22</v>
      </c>
      <c r="ARM6" s="72">
        <v>23</v>
      </c>
      <c r="ARN6" s="72">
        <v>24</v>
      </c>
      <c r="ARO6" s="72">
        <v>25</v>
      </c>
      <c r="ARP6" s="72">
        <v>26</v>
      </c>
      <c r="ARQ6" s="72">
        <v>27</v>
      </c>
      <c r="ARR6" s="72">
        <v>28</v>
      </c>
      <c r="ARS6" s="72">
        <v>29</v>
      </c>
      <c r="ART6" s="72">
        <v>30</v>
      </c>
      <c r="ARU6" s="72">
        <v>31</v>
      </c>
      <c r="ARV6" s="72">
        <v>32</v>
      </c>
      <c r="ARW6" s="74"/>
      <c r="ARX6" s="72">
        <v>1</v>
      </c>
      <c r="ARY6" s="72">
        <v>2</v>
      </c>
      <c r="ARZ6" s="72">
        <v>3</v>
      </c>
      <c r="ASA6" s="72">
        <v>4</v>
      </c>
      <c r="ASB6" s="72">
        <v>5</v>
      </c>
      <c r="ASC6" s="72">
        <v>6</v>
      </c>
      <c r="ASD6" s="72">
        <v>7</v>
      </c>
      <c r="ASE6" s="72">
        <v>8</v>
      </c>
      <c r="ASF6" s="72">
        <v>9</v>
      </c>
      <c r="ASG6" s="72">
        <v>10</v>
      </c>
      <c r="ASH6" s="72">
        <v>11</v>
      </c>
      <c r="ASI6" s="72">
        <v>12</v>
      </c>
      <c r="ASJ6" s="72">
        <v>13</v>
      </c>
      <c r="ASK6" s="72">
        <v>14</v>
      </c>
      <c r="ASL6" s="72">
        <v>15</v>
      </c>
      <c r="ASM6" s="72">
        <v>16</v>
      </c>
      <c r="ASN6" s="72">
        <v>17</v>
      </c>
      <c r="ASO6" s="72">
        <v>18</v>
      </c>
      <c r="ASP6" s="72">
        <v>19</v>
      </c>
      <c r="ASQ6" s="72">
        <v>20</v>
      </c>
      <c r="ASR6" s="72">
        <v>21</v>
      </c>
      <c r="ASS6" s="72">
        <v>22</v>
      </c>
      <c r="AST6" s="72">
        <v>23</v>
      </c>
      <c r="ASU6" s="72">
        <v>24</v>
      </c>
      <c r="ASV6" s="72">
        <v>25</v>
      </c>
      <c r="ASW6" s="72">
        <v>26</v>
      </c>
      <c r="ASX6" s="72">
        <v>27</v>
      </c>
      <c r="ASY6" s="72">
        <v>28</v>
      </c>
      <c r="ASZ6" s="72">
        <v>29</v>
      </c>
      <c r="ATA6" s="72">
        <v>30</v>
      </c>
      <c r="ATB6" s="72">
        <v>31</v>
      </c>
      <c r="ATC6" s="72">
        <v>32</v>
      </c>
      <c r="ATD6" s="74"/>
      <c r="ATE6" s="75"/>
      <c r="ATF6" s="72">
        <v>1</v>
      </c>
      <c r="ATG6" s="72">
        <v>2</v>
      </c>
      <c r="ATH6" s="72">
        <v>3</v>
      </c>
      <c r="ATI6" s="72">
        <v>4</v>
      </c>
      <c r="ATJ6" s="72">
        <v>5</v>
      </c>
      <c r="ATK6" s="72">
        <v>6</v>
      </c>
      <c r="ATL6" s="72">
        <v>7</v>
      </c>
      <c r="ATM6" s="72">
        <v>8</v>
      </c>
      <c r="ATN6" s="72">
        <v>9</v>
      </c>
      <c r="ATO6" s="72">
        <v>10</v>
      </c>
      <c r="ATP6" s="72">
        <v>11</v>
      </c>
      <c r="ATQ6" s="72">
        <v>12</v>
      </c>
      <c r="ATR6" s="72">
        <v>13</v>
      </c>
      <c r="ATS6" s="72">
        <v>14</v>
      </c>
      <c r="ATT6" s="72">
        <v>15</v>
      </c>
      <c r="ATU6" s="72">
        <v>16</v>
      </c>
      <c r="ATV6" s="72">
        <v>17</v>
      </c>
      <c r="ATW6" s="72">
        <v>18</v>
      </c>
      <c r="ATX6" s="72">
        <v>19</v>
      </c>
      <c r="ATY6" s="72">
        <v>20</v>
      </c>
      <c r="ATZ6" s="72">
        <v>21</v>
      </c>
      <c r="AUA6" s="72">
        <v>22</v>
      </c>
      <c r="AUB6" s="72">
        <v>23</v>
      </c>
      <c r="AUC6" s="72">
        <v>24</v>
      </c>
      <c r="AUD6" s="72">
        <v>25</v>
      </c>
      <c r="AUE6" s="72">
        <v>26</v>
      </c>
      <c r="AUF6" s="72">
        <v>27</v>
      </c>
      <c r="AUG6" s="72">
        <v>28</v>
      </c>
      <c r="AUH6" s="72">
        <v>29</v>
      </c>
      <c r="AUI6" s="72">
        <v>30</v>
      </c>
      <c r="AUJ6" s="72">
        <v>31</v>
      </c>
      <c r="AUK6" s="72">
        <v>32</v>
      </c>
      <c r="AUL6" s="74"/>
      <c r="AUM6" s="72">
        <v>1</v>
      </c>
      <c r="AUN6" s="72">
        <v>2</v>
      </c>
      <c r="AUO6" s="72">
        <v>3</v>
      </c>
      <c r="AUP6" s="72">
        <v>4</v>
      </c>
      <c r="AUQ6" s="72">
        <v>5</v>
      </c>
      <c r="AUR6" s="72">
        <v>6</v>
      </c>
      <c r="AUS6" s="72">
        <v>7</v>
      </c>
      <c r="AUT6" s="72">
        <v>8</v>
      </c>
      <c r="AUU6" s="72">
        <v>9</v>
      </c>
      <c r="AUV6" s="72">
        <v>10</v>
      </c>
      <c r="AUW6" s="72">
        <v>11</v>
      </c>
      <c r="AUX6" s="72">
        <v>12</v>
      </c>
      <c r="AUY6" s="72">
        <v>13</v>
      </c>
      <c r="AUZ6" s="72">
        <v>14</v>
      </c>
      <c r="AVA6" s="72">
        <v>15</v>
      </c>
      <c r="AVB6" s="72">
        <v>16</v>
      </c>
      <c r="AVC6" s="72">
        <v>17</v>
      </c>
      <c r="AVD6" s="72">
        <v>18</v>
      </c>
      <c r="AVE6" s="72">
        <v>19</v>
      </c>
      <c r="AVF6" s="72">
        <v>20</v>
      </c>
      <c r="AVG6" s="72">
        <v>21</v>
      </c>
      <c r="AVH6" s="72">
        <v>22</v>
      </c>
      <c r="AVI6" s="72">
        <v>23</v>
      </c>
      <c r="AVJ6" s="72">
        <v>24</v>
      </c>
      <c r="AVK6" s="72">
        <v>25</v>
      </c>
      <c r="AVL6" s="72">
        <v>26</v>
      </c>
      <c r="AVM6" s="72">
        <v>27</v>
      </c>
      <c r="AVN6" s="72">
        <v>28</v>
      </c>
      <c r="AVO6" s="72">
        <v>29</v>
      </c>
      <c r="AVP6" s="72">
        <v>30</v>
      </c>
      <c r="AVQ6" s="72">
        <v>31</v>
      </c>
      <c r="AVR6" s="72">
        <v>32</v>
      </c>
      <c r="AVS6" s="74"/>
      <c r="AVT6" s="72">
        <v>1</v>
      </c>
      <c r="AVU6" s="72">
        <v>2</v>
      </c>
      <c r="AVV6" s="72">
        <v>3</v>
      </c>
      <c r="AVW6" s="72">
        <v>4</v>
      </c>
      <c r="AVX6" s="72">
        <v>5</v>
      </c>
      <c r="AVY6" s="72">
        <v>6</v>
      </c>
      <c r="AVZ6" s="72">
        <v>7</v>
      </c>
      <c r="AWA6" s="72">
        <v>8</v>
      </c>
      <c r="AWB6" s="72">
        <v>9</v>
      </c>
      <c r="AWC6" s="72">
        <v>10</v>
      </c>
      <c r="AWD6" s="72">
        <v>11</v>
      </c>
      <c r="AWE6" s="72">
        <v>12</v>
      </c>
      <c r="AWF6" s="72">
        <v>13</v>
      </c>
      <c r="AWG6" s="72">
        <v>14</v>
      </c>
      <c r="AWH6" s="72">
        <v>15</v>
      </c>
      <c r="AWI6" s="72">
        <v>16</v>
      </c>
      <c r="AWJ6" s="72">
        <v>17</v>
      </c>
      <c r="AWK6" s="72">
        <v>18</v>
      </c>
      <c r="AWL6" s="72">
        <v>19</v>
      </c>
      <c r="AWM6" s="72">
        <v>20</v>
      </c>
      <c r="AWN6" s="72">
        <v>21</v>
      </c>
      <c r="AWO6" s="72">
        <v>22</v>
      </c>
      <c r="AWP6" s="72">
        <v>23</v>
      </c>
      <c r="AWQ6" s="72">
        <v>24</v>
      </c>
      <c r="AWR6" s="72">
        <v>25</v>
      </c>
      <c r="AWS6" s="72">
        <v>26</v>
      </c>
      <c r="AWT6" s="72">
        <v>27</v>
      </c>
      <c r="AWU6" s="72">
        <v>28</v>
      </c>
      <c r="AWV6" s="72">
        <v>29</v>
      </c>
      <c r="AWW6" s="72">
        <v>30</v>
      </c>
      <c r="AWX6" s="72">
        <v>31</v>
      </c>
      <c r="AWY6" s="72">
        <v>32</v>
      </c>
      <c r="AWZ6" s="74"/>
      <c r="AXA6" s="72">
        <v>1</v>
      </c>
      <c r="AXB6" s="72">
        <v>2</v>
      </c>
      <c r="AXC6" s="72">
        <v>3</v>
      </c>
      <c r="AXD6" s="72">
        <v>4</v>
      </c>
      <c r="AXE6" s="72">
        <v>5</v>
      </c>
      <c r="AXF6" s="72">
        <v>6</v>
      </c>
      <c r="AXG6" s="72">
        <v>7</v>
      </c>
      <c r="AXH6" s="72">
        <v>8</v>
      </c>
      <c r="AXI6" s="72">
        <v>9</v>
      </c>
      <c r="AXJ6" s="72">
        <v>10</v>
      </c>
      <c r="AXK6" s="72">
        <v>11</v>
      </c>
      <c r="AXL6" s="72">
        <v>12</v>
      </c>
      <c r="AXM6" s="72">
        <v>13</v>
      </c>
      <c r="AXN6" s="72">
        <v>14</v>
      </c>
      <c r="AXO6" s="72">
        <v>15</v>
      </c>
      <c r="AXP6" s="72">
        <v>16</v>
      </c>
      <c r="AXQ6" s="72">
        <v>17</v>
      </c>
      <c r="AXR6" s="72">
        <v>18</v>
      </c>
      <c r="AXS6" s="72">
        <v>19</v>
      </c>
      <c r="AXT6" s="72">
        <v>20</v>
      </c>
      <c r="AXU6" s="72">
        <v>21</v>
      </c>
      <c r="AXV6" s="72">
        <v>22</v>
      </c>
      <c r="AXW6" s="72">
        <v>23</v>
      </c>
      <c r="AXX6" s="72">
        <v>24</v>
      </c>
      <c r="AXY6" s="72">
        <v>25</v>
      </c>
      <c r="AXZ6" s="72">
        <v>26</v>
      </c>
      <c r="AYA6" s="72">
        <v>27</v>
      </c>
      <c r="AYB6" s="72">
        <v>28</v>
      </c>
      <c r="AYC6" s="72">
        <v>29</v>
      </c>
      <c r="AYD6" s="72">
        <v>30</v>
      </c>
      <c r="AYE6" s="72">
        <v>31</v>
      </c>
      <c r="AYF6" s="72">
        <v>32</v>
      </c>
      <c r="AYG6" s="74"/>
      <c r="AYH6" s="72">
        <v>1</v>
      </c>
      <c r="AYI6" s="72">
        <v>2</v>
      </c>
      <c r="AYJ6" s="72">
        <v>3</v>
      </c>
      <c r="AYK6" s="72">
        <v>4</v>
      </c>
      <c r="AYL6" s="72">
        <v>5</v>
      </c>
      <c r="AYM6" s="72">
        <v>6</v>
      </c>
      <c r="AYN6" s="72">
        <v>7</v>
      </c>
      <c r="AYO6" s="72">
        <v>8</v>
      </c>
      <c r="AYP6" s="72">
        <v>9</v>
      </c>
      <c r="AYQ6" s="72">
        <v>10</v>
      </c>
      <c r="AYR6" s="72">
        <v>11</v>
      </c>
      <c r="AYS6" s="72">
        <v>12</v>
      </c>
      <c r="AYT6" s="72">
        <v>13</v>
      </c>
      <c r="AYU6" s="72">
        <v>14</v>
      </c>
      <c r="AYV6" s="72">
        <v>15</v>
      </c>
      <c r="AYW6" s="72">
        <v>16</v>
      </c>
      <c r="AYX6" s="72">
        <v>17</v>
      </c>
      <c r="AYY6" s="72">
        <v>18</v>
      </c>
      <c r="AYZ6" s="72">
        <v>19</v>
      </c>
      <c r="AZA6" s="72">
        <v>20</v>
      </c>
      <c r="AZB6" s="72">
        <v>21</v>
      </c>
      <c r="AZC6" s="72">
        <v>22</v>
      </c>
      <c r="AZD6" s="72">
        <v>23</v>
      </c>
      <c r="AZE6" s="72">
        <v>24</v>
      </c>
      <c r="AZF6" s="72">
        <v>25</v>
      </c>
      <c r="AZG6" s="72">
        <v>26</v>
      </c>
      <c r="AZH6" s="72">
        <v>27</v>
      </c>
      <c r="AZI6" s="72">
        <v>28</v>
      </c>
      <c r="AZJ6" s="72">
        <v>29</v>
      </c>
      <c r="AZK6" s="72">
        <v>30</v>
      </c>
      <c r="AZL6" s="72">
        <v>31</v>
      </c>
      <c r="AZM6" s="72">
        <v>32</v>
      </c>
      <c r="AZN6" s="74"/>
      <c r="AZO6" s="72">
        <v>1</v>
      </c>
      <c r="AZP6" s="72">
        <v>2</v>
      </c>
      <c r="AZQ6" s="72">
        <v>3</v>
      </c>
      <c r="AZR6" s="72">
        <v>4</v>
      </c>
      <c r="AZS6" s="72">
        <v>5</v>
      </c>
      <c r="AZT6" s="72">
        <v>6</v>
      </c>
      <c r="AZU6" s="72">
        <v>7</v>
      </c>
      <c r="AZV6" s="72">
        <v>8</v>
      </c>
      <c r="AZW6" s="72">
        <v>9</v>
      </c>
      <c r="AZX6" s="72">
        <v>10</v>
      </c>
      <c r="AZY6" s="72">
        <v>11</v>
      </c>
      <c r="AZZ6" s="72">
        <v>12</v>
      </c>
      <c r="BAA6" s="72">
        <v>13</v>
      </c>
      <c r="BAB6" s="72">
        <v>14</v>
      </c>
      <c r="BAC6" s="72">
        <v>15</v>
      </c>
      <c r="BAD6" s="72">
        <v>16</v>
      </c>
      <c r="BAE6" s="72">
        <v>17</v>
      </c>
      <c r="BAF6" s="72">
        <v>18</v>
      </c>
      <c r="BAG6" s="72">
        <v>19</v>
      </c>
      <c r="BAH6" s="72">
        <v>20</v>
      </c>
      <c r="BAI6" s="72">
        <v>21</v>
      </c>
      <c r="BAJ6" s="72">
        <v>22</v>
      </c>
      <c r="BAK6" s="72">
        <v>23</v>
      </c>
      <c r="BAL6" s="72">
        <v>24</v>
      </c>
      <c r="BAM6" s="72">
        <v>25</v>
      </c>
      <c r="BAN6" s="72">
        <v>26</v>
      </c>
      <c r="BAO6" s="72">
        <v>27</v>
      </c>
      <c r="BAP6" s="72">
        <v>28</v>
      </c>
      <c r="BAQ6" s="72">
        <v>29</v>
      </c>
      <c r="BAR6" s="72">
        <v>30</v>
      </c>
      <c r="BAS6" s="72">
        <v>31</v>
      </c>
      <c r="BAT6" s="72">
        <v>32</v>
      </c>
      <c r="BAU6" s="74"/>
      <c r="BAV6" s="72">
        <v>1</v>
      </c>
      <c r="BAW6" s="72">
        <v>2</v>
      </c>
      <c r="BAX6" s="72">
        <v>3</v>
      </c>
      <c r="BAY6" s="72">
        <v>4</v>
      </c>
      <c r="BAZ6" s="72">
        <v>5</v>
      </c>
      <c r="BBA6" s="72">
        <v>6</v>
      </c>
      <c r="BBB6" s="72">
        <v>7</v>
      </c>
      <c r="BBC6" s="72">
        <v>8</v>
      </c>
      <c r="BBD6" s="72">
        <v>9</v>
      </c>
      <c r="BBE6" s="72">
        <v>10</v>
      </c>
      <c r="BBF6" s="72">
        <v>11</v>
      </c>
      <c r="BBG6" s="72">
        <v>12</v>
      </c>
      <c r="BBH6" s="72">
        <v>13</v>
      </c>
      <c r="BBI6" s="72">
        <v>14</v>
      </c>
      <c r="BBJ6" s="72">
        <v>15</v>
      </c>
      <c r="BBK6" s="72">
        <v>16</v>
      </c>
      <c r="BBL6" s="72">
        <v>17</v>
      </c>
      <c r="BBM6" s="72">
        <v>18</v>
      </c>
      <c r="BBN6" s="72">
        <v>19</v>
      </c>
      <c r="BBO6" s="72">
        <v>20</v>
      </c>
      <c r="BBP6" s="72">
        <v>21</v>
      </c>
      <c r="BBQ6" s="72">
        <v>22</v>
      </c>
      <c r="BBR6" s="72">
        <v>23</v>
      </c>
      <c r="BBS6" s="72">
        <v>24</v>
      </c>
      <c r="BBT6" s="72">
        <v>25</v>
      </c>
      <c r="BBU6" s="72">
        <v>26</v>
      </c>
      <c r="BBV6" s="72">
        <v>27</v>
      </c>
      <c r="BBW6" s="72">
        <v>28</v>
      </c>
      <c r="BBX6" s="72">
        <v>29</v>
      </c>
      <c r="BBY6" s="72">
        <v>30</v>
      </c>
      <c r="BBZ6" s="72">
        <v>31</v>
      </c>
      <c r="BCA6" s="72">
        <v>32</v>
      </c>
      <c r="BCB6" s="74"/>
      <c r="BCC6" s="72">
        <v>1</v>
      </c>
      <c r="BCD6" s="72">
        <v>2</v>
      </c>
      <c r="BCE6" s="72">
        <v>3</v>
      </c>
      <c r="BCF6" s="72">
        <v>4</v>
      </c>
      <c r="BCG6" s="72">
        <v>5</v>
      </c>
      <c r="BCH6" s="72">
        <v>6</v>
      </c>
      <c r="BCI6" s="72">
        <v>7</v>
      </c>
      <c r="BCJ6" s="72">
        <v>8</v>
      </c>
      <c r="BCK6" s="72">
        <v>9</v>
      </c>
      <c r="BCL6" s="72">
        <v>10</v>
      </c>
      <c r="BCM6" s="72">
        <v>11</v>
      </c>
      <c r="BCN6" s="72">
        <v>12</v>
      </c>
      <c r="BCO6" s="72">
        <v>13</v>
      </c>
      <c r="BCP6" s="72">
        <v>14</v>
      </c>
      <c r="BCQ6" s="72">
        <v>15</v>
      </c>
      <c r="BCR6" s="72">
        <v>16</v>
      </c>
      <c r="BCS6" s="72">
        <v>17</v>
      </c>
      <c r="BCT6" s="72">
        <v>18</v>
      </c>
      <c r="BCU6" s="72">
        <v>19</v>
      </c>
      <c r="BCV6" s="72">
        <v>20</v>
      </c>
      <c r="BCW6" s="72">
        <v>21</v>
      </c>
      <c r="BCX6" s="72">
        <v>22</v>
      </c>
      <c r="BCY6" s="72">
        <v>23</v>
      </c>
      <c r="BCZ6" s="72">
        <v>24</v>
      </c>
      <c r="BDA6" s="72">
        <v>25</v>
      </c>
      <c r="BDB6" s="72">
        <v>26</v>
      </c>
      <c r="BDC6" s="72">
        <v>27</v>
      </c>
      <c r="BDD6" s="72">
        <v>28</v>
      </c>
      <c r="BDE6" s="72">
        <v>29</v>
      </c>
      <c r="BDF6" s="72">
        <v>30</v>
      </c>
      <c r="BDG6" s="72">
        <v>31</v>
      </c>
      <c r="BDH6" s="72">
        <v>32</v>
      </c>
      <c r="BDI6" s="74"/>
      <c r="BDJ6" s="72">
        <v>1</v>
      </c>
      <c r="BDK6" s="72">
        <v>2</v>
      </c>
      <c r="BDL6" s="72">
        <v>3</v>
      </c>
      <c r="BDM6" s="72">
        <v>4</v>
      </c>
      <c r="BDN6" s="72">
        <v>5</v>
      </c>
      <c r="BDO6" s="72">
        <v>6</v>
      </c>
      <c r="BDP6" s="72">
        <v>7</v>
      </c>
      <c r="BDQ6" s="72">
        <v>8</v>
      </c>
      <c r="BDR6" s="72">
        <v>9</v>
      </c>
      <c r="BDS6" s="72">
        <v>10</v>
      </c>
      <c r="BDT6" s="72">
        <v>11</v>
      </c>
      <c r="BDU6" s="72">
        <v>12</v>
      </c>
      <c r="BDV6" s="72">
        <v>13</v>
      </c>
      <c r="BDW6" s="72">
        <v>14</v>
      </c>
      <c r="BDX6" s="72">
        <v>15</v>
      </c>
      <c r="BDY6" s="72">
        <v>16</v>
      </c>
      <c r="BDZ6" s="72">
        <v>17</v>
      </c>
      <c r="BEA6" s="72">
        <v>18</v>
      </c>
      <c r="BEB6" s="72">
        <v>19</v>
      </c>
      <c r="BEC6" s="72">
        <v>20</v>
      </c>
      <c r="BED6" s="72">
        <v>21</v>
      </c>
      <c r="BEE6" s="72">
        <v>22</v>
      </c>
      <c r="BEF6" s="72">
        <v>23</v>
      </c>
      <c r="BEG6" s="72">
        <v>24</v>
      </c>
      <c r="BEH6" s="72">
        <v>25</v>
      </c>
      <c r="BEI6" s="72">
        <v>26</v>
      </c>
      <c r="BEJ6" s="72">
        <v>27</v>
      </c>
      <c r="BEK6" s="72">
        <v>28</v>
      </c>
      <c r="BEL6" s="72">
        <v>29</v>
      </c>
      <c r="BEM6" s="72">
        <v>30</v>
      </c>
      <c r="BEN6" s="72">
        <v>31</v>
      </c>
      <c r="BEO6" s="72">
        <v>32</v>
      </c>
      <c r="BEP6" s="74"/>
      <c r="BEQ6" s="72">
        <v>1</v>
      </c>
      <c r="BER6" s="72">
        <v>2</v>
      </c>
      <c r="BES6" s="72">
        <v>3</v>
      </c>
      <c r="BET6" s="72">
        <v>4</v>
      </c>
      <c r="BEU6" s="72">
        <v>5</v>
      </c>
      <c r="BEV6" s="72">
        <v>6</v>
      </c>
      <c r="BEW6" s="72">
        <v>7</v>
      </c>
      <c r="BEX6" s="72">
        <v>8</v>
      </c>
      <c r="BEY6" s="72">
        <v>9</v>
      </c>
      <c r="BEZ6" s="72">
        <v>10</v>
      </c>
      <c r="BFA6" s="72">
        <v>11</v>
      </c>
      <c r="BFB6" s="72">
        <v>12</v>
      </c>
      <c r="BFC6" s="72">
        <v>13</v>
      </c>
      <c r="BFD6" s="72">
        <v>14</v>
      </c>
      <c r="BFE6" s="72">
        <v>15</v>
      </c>
      <c r="BFF6" s="72">
        <v>16</v>
      </c>
      <c r="BFG6" s="72">
        <v>17</v>
      </c>
      <c r="BFH6" s="72">
        <v>18</v>
      </c>
      <c r="BFI6" s="72">
        <v>19</v>
      </c>
      <c r="BFJ6" s="72">
        <v>20</v>
      </c>
      <c r="BFK6" s="72">
        <v>21</v>
      </c>
      <c r="BFL6" s="72">
        <v>22</v>
      </c>
      <c r="BFM6" s="72">
        <v>23</v>
      </c>
      <c r="BFN6" s="72">
        <v>24</v>
      </c>
      <c r="BFO6" s="72">
        <v>25</v>
      </c>
      <c r="BFP6" s="72">
        <v>26</v>
      </c>
      <c r="BFQ6" s="72">
        <v>27</v>
      </c>
      <c r="BFR6" s="72">
        <v>28</v>
      </c>
      <c r="BFS6" s="72">
        <v>29</v>
      </c>
      <c r="BFT6" s="72">
        <v>30</v>
      </c>
      <c r="BFU6" s="72">
        <v>31</v>
      </c>
      <c r="BFV6" s="72">
        <v>32</v>
      </c>
      <c r="BFW6" s="74"/>
      <c r="BFX6" s="72">
        <v>1</v>
      </c>
      <c r="BFY6" s="72">
        <v>2</v>
      </c>
      <c r="BFZ6" s="72">
        <v>3</v>
      </c>
      <c r="BGA6" s="72">
        <v>4</v>
      </c>
      <c r="BGB6" s="72">
        <v>5</v>
      </c>
      <c r="BGC6" s="72">
        <v>6</v>
      </c>
      <c r="BGD6" s="72">
        <v>7</v>
      </c>
      <c r="BGE6" s="72">
        <v>8</v>
      </c>
      <c r="BGF6" s="72">
        <v>9</v>
      </c>
      <c r="BGG6" s="72">
        <v>10</v>
      </c>
      <c r="BGH6" s="72">
        <v>11</v>
      </c>
      <c r="BGI6" s="72">
        <v>12</v>
      </c>
      <c r="BGJ6" s="72">
        <v>13</v>
      </c>
      <c r="BGK6" s="72">
        <v>14</v>
      </c>
      <c r="BGL6" s="72">
        <v>15</v>
      </c>
      <c r="BGM6" s="72">
        <v>16</v>
      </c>
      <c r="BGN6" s="72">
        <v>17</v>
      </c>
      <c r="BGO6" s="72">
        <v>18</v>
      </c>
      <c r="BGP6" s="72">
        <v>19</v>
      </c>
      <c r="BGQ6" s="72">
        <v>20</v>
      </c>
      <c r="BGR6" s="72">
        <v>21</v>
      </c>
      <c r="BGS6" s="72">
        <v>22</v>
      </c>
      <c r="BGT6" s="72">
        <v>23</v>
      </c>
      <c r="BGU6" s="72">
        <v>24</v>
      </c>
      <c r="BGV6" s="72">
        <v>25</v>
      </c>
      <c r="BGW6" s="72">
        <v>26</v>
      </c>
      <c r="BGX6" s="72">
        <v>27</v>
      </c>
      <c r="BGY6" s="72">
        <v>28</v>
      </c>
      <c r="BGZ6" s="72">
        <v>29</v>
      </c>
      <c r="BHA6" s="72">
        <v>30</v>
      </c>
      <c r="BHB6" s="72">
        <v>31</v>
      </c>
      <c r="BHC6" s="72">
        <v>32</v>
      </c>
      <c r="BHD6" s="74"/>
      <c r="BHE6" s="72">
        <v>1</v>
      </c>
      <c r="BHF6" s="72">
        <v>2</v>
      </c>
      <c r="BHG6" s="72">
        <v>3</v>
      </c>
      <c r="BHH6" s="72">
        <v>4</v>
      </c>
      <c r="BHI6" s="72">
        <v>5</v>
      </c>
      <c r="BHJ6" s="72">
        <v>6</v>
      </c>
      <c r="BHK6" s="72">
        <v>7</v>
      </c>
      <c r="BHL6" s="72">
        <v>8</v>
      </c>
      <c r="BHM6" s="72">
        <v>9</v>
      </c>
      <c r="BHN6" s="72">
        <v>10</v>
      </c>
      <c r="BHO6" s="72">
        <v>11</v>
      </c>
      <c r="BHP6" s="72">
        <v>12</v>
      </c>
      <c r="BHQ6" s="72">
        <v>13</v>
      </c>
      <c r="BHR6" s="72">
        <v>14</v>
      </c>
      <c r="BHS6" s="72">
        <v>15</v>
      </c>
      <c r="BHT6" s="72">
        <v>16</v>
      </c>
      <c r="BHU6" s="72">
        <v>17</v>
      </c>
      <c r="BHV6" s="72">
        <v>18</v>
      </c>
      <c r="BHW6" s="72">
        <v>19</v>
      </c>
      <c r="BHX6" s="72">
        <v>20</v>
      </c>
      <c r="BHY6" s="72">
        <v>21</v>
      </c>
      <c r="BHZ6" s="72">
        <v>22</v>
      </c>
      <c r="BIA6" s="72">
        <v>23</v>
      </c>
      <c r="BIB6" s="72">
        <v>24</v>
      </c>
      <c r="BIC6" s="72">
        <v>25</v>
      </c>
      <c r="BID6" s="72">
        <v>26</v>
      </c>
      <c r="BIE6" s="72">
        <v>27</v>
      </c>
      <c r="BIF6" s="72">
        <v>28</v>
      </c>
      <c r="BIG6" s="72">
        <v>29</v>
      </c>
      <c r="BIH6" s="72">
        <v>30</v>
      </c>
      <c r="BII6" s="72">
        <v>31</v>
      </c>
      <c r="BIJ6" s="72">
        <v>32</v>
      </c>
      <c r="BIK6" s="74"/>
      <c r="BIL6" s="75"/>
    </row>
    <row r="7" spans="2:1598" x14ac:dyDescent="0.25">
      <c r="B7" s="131" t="s">
        <v>0</v>
      </c>
      <c r="C7" s="6" t="s">
        <v>0</v>
      </c>
      <c r="D7" s="134" t="s">
        <v>1</v>
      </c>
      <c r="E7" s="6" t="s">
        <v>1</v>
      </c>
      <c r="F7" s="134" t="s">
        <v>3</v>
      </c>
      <c r="G7" s="58"/>
      <c r="H7" s="58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56">
        <f>SUM(I7:AN7)</f>
        <v>0</v>
      </c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56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56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56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56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56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56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56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30"/>
      <c r="KU7" s="56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56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56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56"/>
      <c r="OQ7" s="57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56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56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56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56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56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56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56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56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56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56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56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56"/>
      <c r="ADX7" s="57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56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56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56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56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56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56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56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56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56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56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56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56"/>
      <c r="ATE7" s="57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56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56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56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56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56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56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56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56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56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56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56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56"/>
      <c r="BIL7" s="57"/>
    </row>
    <row r="8" spans="2:1598" x14ac:dyDescent="0.25">
      <c r="B8" s="132"/>
      <c r="C8" s="6" t="s">
        <v>0</v>
      </c>
      <c r="D8" s="135"/>
      <c r="E8" s="6" t="s">
        <v>1</v>
      </c>
      <c r="F8" s="135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6">
        <f>SUM(I8:AN8)</f>
        <v>0</v>
      </c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60"/>
      <c r="EY8" s="60"/>
      <c r="EZ8" s="60"/>
      <c r="FA8" s="60"/>
      <c r="FB8" s="60"/>
      <c r="FC8" s="60"/>
      <c r="FD8" s="60"/>
      <c r="FE8" s="60"/>
      <c r="FF8" s="60"/>
      <c r="FG8" s="60"/>
      <c r="FH8" s="60"/>
      <c r="FI8" s="60"/>
      <c r="FJ8" s="60"/>
      <c r="FK8" s="60"/>
      <c r="FL8" s="60"/>
      <c r="FM8" s="60"/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60"/>
      <c r="GD8" s="60"/>
      <c r="GE8" s="60"/>
      <c r="GF8" s="60"/>
      <c r="GG8" s="60"/>
      <c r="GH8" s="60"/>
      <c r="GI8" s="60"/>
      <c r="GJ8" s="60"/>
      <c r="GK8" s="60"/>
      <c r="GL8" s="60"/>
      <c r="GM8" s="60"/>
      <c r="GN8" s="60"/>
      <c r="GO8" s="60"/>
      <c r="GP8" s="60"/>
      <c r="GQ8" s="60"/>
      <c r="GR8" s="60"/>
      <c r="GS8" s="60"/>
      <c r="GT8" s="60"/>
      <c r="GU8" s="60"/>
      <c r="GV8" s="60"/>
      <c r="GW8" s="60"/>
      <c r="GX8" s="60"/>
      <c r="GY8" s="60"/>
      <c r="GZ8" s="60"/>
      <c r="HA8" s="60"/>
      <c r="HB8" s="60"/>
      <c r="HC8" s="60"/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60"/>
      <c r="HT8" s="60"/>
      <c r="HU8" s="60"/>
      <c r="HV8" s="60"/>
      <c r="HW8" s="60"/>
      <c r="HX8" s="60"/>
      <c r="HY8" s="60"/>
      <c r="HZ8" s="60"/>
      <c r="IA8" s="60"/>
      <c r="IB8" s="60"/>
      <c r="IC8" s="60"/>
      <c r="ID8" s="60"/>
      <c r="IE8" s="60"/>
      <c r="IF8" s="60"/>
      <c r="IG8" s="60"/>
      <c r="IH8" s="60"/>
      <c r="II8" s="60"/>
      <c r="IJ8" s="60"/>
      <c r="IK8" s="60"/>
      <c r="IL8" s="60"/>
      <c r="IM8" s="60"/>
      <c r="IN8" s="60"/>
      <c r="IO8" s="60"/>
      <c r="IP8" s="60"/>
      <c r="IQ8" s="60"/>
      <c r="IR8" s="60"/>
      <c r="IS8" s="60"/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60"/>
      <c r="JJ8" s="60"/>
      <c r="JK8" s="60"/>
      <c r="JL8" s="60"/>
      <c r="JM8" s="60"/>
      <c r="JN8" s="60"/>
      <c r="JO8" s="60"/>
      <c r="JP8" s="60"/>
      <c r="JQ8" s="60"/>
      <c r="JR8" s="60"/>
      <c r="JS8" s="60"/>
      <c r="JT8" s="60"/>
      <c r="JU8" s="60"/>
      <c r="JV8" s="60"/>
      <c r="JW8" s="60"/>
      <c r="JX8" s="60"/>
      <c r="JY8" s="60"/>
      <c r="JZ8" s="60"/>
      <c r="KA8" s="60"/>
      <c r="KB8" s="60"/>
      <c r="KC8" s="60"/>
      <c r="KD8" s="60"/>
      <c r="KE8" s="60"/>
      <c r="KF8" s="60"/>
      <c r="KG8" s="60"/>
      <c r="KH8" s="60"/>
      <c r="KI8" s="60"/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60"/>
      <c r="KZ8" s="60"/>
      <c r="LA8" s="60"/>
      <c r="LB8" s="60"/>
      <c r="LC8" s="60"/>
      <c r="LD8" s="60"/>
      <c r="LE8" s="60"/>
      <c r="LF8" s="60"/>
      <c r="LG8" s="60"/>
      <c r="LH8" s="60"/>
      <c r="LI8" s="60"/>
      <c r="LJ8" s="60"/>
      <c r="LK8" s="60"/>
      <c r="LL8" s="60"/>
      <c r="LM8" s="60"/>
      <c r="LN8" s="60"/>
      <c r="LO8" s="60"/>
      <c r="LP8" s="60"/>
      <c r="LQ8" s="60"/>
      <c r="LR8" s="60"/>
      <c r="LS8" s="60"/>
      <c r="LT8" s="60"/>
      <c r="LU8" s="60"/>
      <c r="LV8" s="60"/>
      <c r="LW8" s="60"/>
      <c r="LX8" s="60"/>
      <c r="LY8" s="60"/>
      <c r="LZ8" s="60"/>
      <c r="MA8" s="60"/>
      <c r="MB8" s="60"/>
      <c r="MC8" s="60"/>
      <c r="MD8" s="60"/>
      <c r="ME8" s="60"/>
      <c r="MF8" s="60"/>
      <c r="MG8" s="60"/>
      <c r="MH8" s="60"/>
      <c r="MI8" s="60"/>
      <c r="MJ8" s="60"/>
      <c r="MK8" s="60"/>
      <c r="ML8" s="60"/>
      <c r="MM8" s="60"/>
      <c r="MN8" s="60"/>
      <c r="MO8" s="60"/>
      <c r="MP8" s="60"/>
      <c r="MQ8" s="60"/>
      <c r="MR8" s="60"/>
      <c r="MS8" s="60"/>
      <c r="MT8" s="60"/>
      <c r="MU8" s="60"/>
      <c r="MV8" s="60"/>
      <c r="MW8" s="60"/>
      <c r="MX8" s="60"/>
      <c r="MY8" s="60"/>
      <c r="MZ8" s="60"/>
      <c r="NA8" s="60"/>
      <c r="NB8" s="60"/>
      <c r="NC8" s="60"/>
      <c r="ND8" s="60"/>
      <c r="NE8" s="60"/>
      <c r="NF8" s="60"/>
      <c r="NG8" s="60"/>
      <c r="NH8" s="60"/>
      <c r="NI8" s="60"/>
      <c r="NJ8" s="60"/>
      <c r="NK8" s="60"/>
      <c r="NL8" s="60"/>
      <c r="NM8" s="60"/>
      <c r="NN8" s="60"/>
      <c r="NO8" s="60"/>
      <c r="NP8" s="60"/>
      <c r="NQ8" s="60"/>
      <c r="NR8" s="60"/>
      <c r="NS8" s="60"/>
      <c r="NT8" s="60"/>
      <c r="NU8" s="60"/>
      <c r="NV8" s="60"/>
      <c r="NW8" s="60"/>
      <c r="NX8" s="60"/>
      <c r="NY8" s="60"/>
      <c r="NZ8" s="60"/>
      <c r="OA8" s="60"/>
      <c r="OB8" s="60"/>
      <c r="OC8" s="60"/>
      <c r="OD8" s="60"/>
      <c r="OE8" s="60"/>
      <c r="OF8" s="60"/>
      <c r="OG8" s="60"/>
      <c r="OH8" s="60"/>
      <c r="OI8" s="60"/>
      <c r="OJ8" s="60"/>
      <c r="OK8" s="60"/>
      <c r="OL8" s="60"/>
      <c r="OM8" s="60"/>
      <c r="ON8" s="60"/>
      <c r="OO8" s="60"/>
      <c r="OP8" s="60"/>
      <c r="OQ8" s="60"/>
      <c r="OR8" s="60"/>
      <c r="OS8" s="60"/>
      <c r="OT8" s="60"/>
      <c r="OU8" s="60"/>
      <c r="OV8" s="60"/>
      <c r="OW8" s="60"/>
      <c r="OX8" s="60"/>
      <c r="OY8" s="60"/>
      <c r="OZ8" s="60"/>
      <c r="PA8" s="60"/>
      <c r="PB8" s="60"/>
      <c r="PC8" s="60"/>
      <c r="PD8" s="60"/>
      <c r="PE8" s="60"/>
      <c r="PF8" s="60"/>
      <c r="PG8" s="60"/>
      <c r="PH8" s="60"/>
      <c r="PI8" s="60"/>
      <c r="PJ8" s="60"/>
      <c r="PK8" s="60"/>
      <c r="PL8" s="60"/>
      <c r="PM8" s="60"/>
      <c r="PN8" s="60"/>
      <c r="PO8" s="60"/>
      <c r="PP8" s="60"/>
      <c r="PQ8" s="60"/>
      <c r="PR8" s="60"/>
      <c r="PS8" s="60"/>
      <c r="PT8" s="60"/>
      <c r="PU8" s="60"/>
      <c r="PV8" s="60"/>
      <c r="PW8" s="60"/>
      <c r="PX8" s="60"/>
      <c r="PY8" s="60"/>
      <c r="PZ8" s="60"/>
      <c r="QA8" s="60"/>
      <c r="QB8" s="60"/>
      <c r="QC8" s="60"/>
      <c r="QD8" s="60"/>
      <c r="QE8" s="60"/>
      <c r="QF8" s="60"/>
      <c r="QG8" s="60"/>
      <c r="QH8" s="60"/>
      <c r="QI8" s="60"/>
      <c r="QJ8" s="60"/>
      <c r="QK8" s="60"/>
      <c r="QL8" s="60"/>
      <c r="QM8" s="60"/>
      <c r="QN8" s="60"/>
      <c r="QO8" s="60"/>
      <c r="QP8" s="60"/>
      <c r="QQ8" s="60"/>
      <c r="QR8" s="60"/>
      <c r="QS8" s="60"/>
      <c r="QT8" s="60"/>
      <c r="QU8" s="60"/>
      <c r="QV8" s="60"/>
      <c r="QW8" s="60"/>
      <c r="QX8" s="60"/>
      <c r="QY8" s="60"/>
      <c r="QZ8" s="60"/>
      <c r="RA8" s="60"/>
      <c r="RB8" s="60"/>
      <c r="RC8" s="60"/>
      <c r="RD8" s="60"/>
      <c r="RE8" s="60"/>
      <c r="RF8" s="60"/>
      <c r="RG8" s="60"/>
      <c r="RH8" s="60"/>
      <c r="RI8" s="60"/>
      <c r="RJ8" s="60"/>
      <c r="RK8" s="60"/>
      <c r="RL8" s="60"/>
      <c r="RM8" s="60"/>
      <c r="RN8" s="60"/>
      <c r="RO8" s="60"/>
      <c r="RP8" s="60"/>
      <c r="RQ8" s="60"/>
      <c r="RR8" s="60"/>
      <c r="RS8" s="60"/>
      <c r="RT8" s="60"/>
      <c r="RU8" s="60"/>
      <c r="RV8" s="60"/>
      <c r="RW8" s="60"/>
      <c r="RX8" s="60"/>
      <c r="RY8" s="60"/>
      <c r="RZ8" s="60"/>
      <c r="SA8" s="60"/>
      <c r="SB8" s="60"/>
      <c r="SC8" s="60"/>
      <c r="SD8" s="60"/>
      <c r="SE8" s="60"/>
      <c r="SF8" s="60"/>
      <c r="SG8" s="60"/>
      <c r="SH8" s="60"/>
      <c r="SI8" s="60"/>
      <c r="SJ8" s="60"/>
      <c r="SK8" s="60"/>
      <c r="SL8" s="60"/>
      <c r="SM8" s="60"/>
      <c r="SN8" s="60"/>
      <c r="SO8" s="60"/>
      <c r="SP8" s="60"/>
      <c r="SQ8" s="60"/>
      <c r="SR8" s="60"/>
      <c r="SS8" s="60"/>
      <c r="ST8" s="60"/>
      <c r="SU8" s="60"/>
      <c r="SV8" s="60"/>
      <c r="SW8" s="60"/>
      <c r="SX8" s="60"/>
      <c r="SY8" s="60"/>
      <c r="SZ8" s="60"/>
      <c r="TA8" s="60"/>
      <c r="TB8" s="60"/>
      <c r="TC8" s="60"/>
      <c r="TD8" s="60"/>
      <c r="TE8" s="60"/>
      <c r="TF8" s="60"/>
      <c r="TG8" s="60"/>
      <c r="TH8" s="60"/>
      <c r="TI8" s="60"/>
      <c r="TJ8" s="60"/>
      <c r="TK8" s="60"/>
      <c r="TL8" s="60"/>
      <c r="TM8" s="60"/>
      <c r="TN8" s="60"/>
      <c r="TO8" s="60"/>
      <c r="TP8" s="60"/>
      <c r="TQ8" s="60"/>
      <c r="TR8" s="60"/>
      <c r="TS8" s="60"/>
      <c r="TT8" s="60"/>
      <c r="TU8" s="60"/>
      <c r="TV8" s="60"/>
      <c r="TW8" s="60"/>
      <c r="TX8" s="60"/>
      <c r="TY8" s="60"/>
      <c r="TZ8" s="60"/>
      <c r="UA8" s="60"/>
      <c r="UB8" s="60"/>
      <c r="UC8" s="60"/>
      <c r="UD8" s="60"/>
      <c r="UE8" s="60"/>
      <c r="UF8" s="60"/>
      <c r="UG8" s="60"/>
      <c r="UH8" s="60"/>
      <c r="UI8" s="60"/>
      <c r="UJ8" s="60"/>
      <c r="UK8" s="60"/>
      <c r="UL8" s="60"/>
      <c r="UM8" s="60"/>
      <c r="UN8" s="60"/>
      <c r="UO8" s="60"/>
      <c r="UP8" s="60"/>
      <c r="UQ8" s="60"/>
      <c r="UR8" s="60"/>
      <c r="US8" s="60"/>
      <c r="UT8" s="60"/>
      <c r="UU8" s="60"/>
      <c r="UV8" s="60"/>
      <c r="UW8" s="60"/>
      <c r="UX8" s="60"/>
      <c r="UY8" s="60"/>
      <c r="UZ8" s="60"/>
      <c r="VA8" s="60"/>
      <c r="VB8" s="60"/>
      <c r="VC8" s="60"/>
      <c r="VD8" s="60"/>
      <c r="VE8" s="60"/>
      <c r="VF8" s="60"/>
      <c r="VG8" s="60"/>
      <c r="VH8" s="60"/>
      <c r="VI8" s="60"/>
      <c r="VJ8" s="60"/>
      <c r="VK8" s="60"/>
      <c r="VL8" s="60"/>
      <c r="VM8" s="60"/>
      <c r="VN8" s="60"/>
      <c r="VO8" s="60"/>
      <c r="VP8" s="60"/>
      <c r="VQ8" s="60"/>
      <c r="VR8" s="60"/>
      <c r="VS8" s="60"/>
      <c r="VT8" s="60"/>
      <c r="VU8" s="60"/>
      <c r="VV8" s="60"/>
      <c r="VW8" s="60"/>
      <c r="VX8" s="60"/>
      <c r="VY8" s="60"/>
      <c r="VZ8" s="60"/>
      <c r="WA8" s="60"/>
      <c r="WB8" s="60"/>
      <c r="WC8" s="60"/>
      <c r="WD8" s="60"/>
      <c r="WE8" s="60"/>
      <c r="WF8" s="60"/>
      <c r="WG8" s="60"/>
      <c r="WH8" s="60"/>
      <c r="WI8" s="60"/>
      <c r="WJ8" s="60"/>
      <c r="WK8" s="60"/>
      <c r="WL8" s="60"/>
      <c r="WM8" s="60"/>
      <c r="WN8" s="60"/>
      <c r="WO8" s="60"/>
      <c r="WP8" s="60"/>
      <c r="WQ8" s="60"/>
      <c r="WR8" s="60"/>
      <c r="WS8" s="60"/>
      <c r="WT8" s="60"/>
      <c r="WU8" s="60"/>
      <c r="WV8" s="60"/>
      <c r="WW8" s="60"/>
      <c r="WX8" s="60"/>
      <c r="WY8" s="60"/>
      <c r="WZ8" s="60"/>
      <c r="XA8" s="60"/>
      <c r="XB8" s="60"/>
      <c r="XC8" s="60"/>
      <c r="XD8" s="60"/>
      <c r="XE8" s="60"/>
      <c r="XF8" s="60"/>
      <c r="XG8" s="60"/>
      <c r="XH8" s="60"/>
      <c r="XI8" s="60"/>
      <c r="XJ8" s="60"/>
      <c r="XK8" s="60"/>
      <c r="XL8" s="60"/>
      <c r="XM8" s="60"/>
      <c r="XN8" s="60"/>
      <c r="XO8" s="60"/>
      <c r="XP8" s="60"/>
      <c r="XQ8" s="60"/>
      <c r="XR8" s="60"/>
      <c r="XS8" s="60"/>
      <c r="XT8" s="60"/>
      <c r="XU8" s="60"/>
      <c r="XV8" s="60"/>
      <c r="XW8" s="60"/>
      <c r="XX8" s="60"/>
      <c r="XY8" s="60"/>
      <c r="XZ8" s="60"/>
      <c r="YA8" s="60"/>
      <c r="YB8" s="60"/>
      <c r="YC8" s="60"/>
      <c r="YD8" s="60"/>
      <c r="YE8" s="60"/>
      <c r="YF8" s="60"/>
      <c r="YG8" s="60"/>
      <c r="YH8" s="60"/>
      <c r="YI8" s="60"/>
      <c r="YJ8" s="60"/>
      <c r="YK8" s="60"/>
      <c r="YL8" s="60"/>
      <c r="YM8" s="60"/>
      <c r="YN8" s="60"/>
      <c r="YO8" s="60"/>
      <c r="YP8" s="60"/>
      <c r="YQ8" s="60"/>
      <c r="YR8" s="60"/>
      <c r="YS8" s="60"/>
      <c r="YT8" s="60"/>
      <c r="YU8" s="60"/>
      <c r="YV8" s="60"/>
      <c r="YW8" s="60"/>
      <c r="YX8" s="60"/>
      <c r="YY8" s="60"/>
      <c r="YZ8" s="60"/>
      <c r="ZA8" s="60"/>
      <c r="ZB8" s="60"/>
      <c r="ZC8" s="60"/>
      <c r="ZD8" s="60"/>
      <c r="ZE8" s="60"/>
      <c r="ZF8" s="60"/>
      <c r="ZG8" s="60"/>
      <c r="ZH8" s="60"/>
      <c r="ZI8" s="60"/>
      <c r="ZJ8" s="60"/>
      <c r="ZK8" s="60"/>
      <c r="ZL8" s="60"/>
      <c r="ZM8" s="60"/>
      <c r="ZN8" s="60"/>
      <c r="ZO8" s="60"/>
      <c r="ZP8" s="60"/>
      <c r="ZQ8" s="60"/>
      <c r="ZR8" s="60"/>
      <c r="ZS8" s="60"/>
      <c r="ZT8" s="60"/>
      <c r="ZU8" s="60"/>
      <c r="ZV8" s="60"/>
      <c r="ZW8" s="60"/>
      <c r="ZX8" s="60"/>
      <c r="ZY8" s="60"/>
      <c r="ZZ8" s="60"/>
      <c r="AAA8" s="60"/>
      <c r="AAB8" s="60"/>
      <c r="AAC8" s="60"/>
      <c r="AAD8" s="60"/>
      <c r="AAE8" s="60"/>
      <c r="AAF8" s="60"/>
      <c r="AAG8" s="60"/>
      <c r="AAH8" s="60"/>
      <c r="AAI8" s="60"/>
      <c r="AAJ8" s="60"/>
      <c r="AAK8" s="60"/>
      <c r="AAL8" s="60"/>
      <c r="AAM8" s="60"/>
      <c r="AAN8" s="60"/>
      <c r="AAO8" s="60"/>
      <c r="AAP8" s="60"/>
      <c r="AAQ8" s="60"/>
      <c r="AAR8" s="60"/>
      <c r="AAS8" s="60"/>
      <c r="AAT8" s="60"/>
      <c r="AAU8" s="60"/>
      <c r="AAV8" s="60"/>
      <c r="AAW8" s="60"/>
      <c r="AAX8" s="60"/>
      <c r="AAY8" s="60"/>
      <c r="AAZ8" s="60"/>
      <c r="ABA8" s="60"/>
      <c r="ABB8" s="60"/>
      <c r="ABC8" s="60"/>
      <c r="ABD8" s="60"/>
      <c r="ABE8" s="60"/>
      <c r="ABF8" s="60"/>
      <c r="ABG8" s="60"/>
      <c r="ABH8" s="60"/>
      <c r="ABI8" s="60"/>
      <c r="ABJ8" s="60"/>
      <c r="ABK8" s="60"/>
      <c r="ABL8" s="60"/>
      <c r="ABM8" s="60"/>
      <c r="ABN8" s="60"/>
      <c r="ABO8" s="60"/>
      <c r="ABP8" s="60"/>
      <c r="ABQ8" s="60"/>
      <c r="ABR8" s="60"/>
      <c r="ABS8" s="60"/>
      <c r="ABT8" s="60"/>
      <c r="ABU8" s="60"/>
      <c r="ABV8" s="60"/>
      <c r="ABW8" s="60"/>
      <c r="ABX8" s="60"/>
      <c r="ABY8" s="60"/>
      <c r="ABZ8" s="60"/>
      <c r="ACA8" s="60"/>
      <c r="ACB8" s="60"/>
      <c r="ACC8" s="60"/>
      <c r="ACD8" s="60"/>
      <c r="ACE8" s="60"/>
      <c r="ACF8" s="60"/>
      <c r="ACG8" s="60"/>
      <c r="ACH8" s="60"/>
      <c r="ACI8" s="60"/>
      <c r="ACJ8" s="60"/>
      <c r="ACK8" s="60"/>
      <c r="ACL8" s="60"/>
      <c r="ACM8" s="60"/>
      <c r="ACN8" s="60"/>
      <c r="ACO8" s="60"/>
      <c r="ACP8" s="60"/>
      <c r="ACQ8" s="60"/>
      <c r="ACR8" s="60"/>
      <c r="ACS8" s="60"/>
      <c r="ACT8" s="60"/>
      <c r="ACU8" s="60"/>
      <c r="ACV8" s="60"/>
      <c r="ACW8" s="60"/>
      <c r="ACX8" s="60"/>
      <c r="ACY8" s="60"/>
      <c r="ACZ8" s="60"/>
      <c r="ADA8" s="60"/>
      <c r="ADB8" s="60"/>
      <c r="ADC8" s="60"/>
      <c r="ADD8" s="60"/>
      <c r="ADE8" s="60"/>
      <c r="ADF8" s="60"/>
      <c r="ADG8" s="60"/>
      <c r="ADH8" s="60"/>
      <c r="ADI8" s="60"/>
      <c r="ADJ8" s="60"/>
      <c r="ADK8" s="60"/>
      <c r="ADL8" s="60"/>
      <c r="ADM8" s="60"/>
      <c r="ADN8" s="60"/>
      <c r="ADO8" s="60"/>
      <c r="ADP8" s="60"/>
      <c r="ADQ8" s="60"/>
      <c r="ADR8" s="60"/>
      <c r="ADS8" s="60"/>
      <c r="ADT8" s="60"/>
      <c r="ADU8" s="60"/>
      <c r="ADV8" s="60"/>
      <c r="ADW8" s="60"/>
      <c r="ADX8" s="60"/>
      <c r="ADY8" s="60"/>
      <c r="ADZ8" s="60"/>
      <c r="AEA8" s="60"/>
      <c r="AEB8" s="60"/>
      <c r="AEC8" s="60"/>
      <c r="AED8" s="60"/>
      <c r="AEE8" s="60"/>
      <c r="AEF8" s="60"/>
      <c r="AEG8" s="60"/>
      <c r="AEH8" s="60"/>
      <c r="AEI8" s="60"/>
      <c r="AEJ8" s="60"/>
      <c r="AEK8" s="60"/>
      <c r="AEL8" s="60"/>
      <c r="AEM8" s="60"/>
      <c r="AEN8" s="60"/>
      <c r="AEO8" s="60"/>
      <c r="AEP8" s="60"/>
      <c r="AEQ8" s="60"/>
      <c r="AER8" s="60"/>
      <c r="AES8" s="60"/>
      <c r="AET8" s="60"/>
      <c r="AEU8" s="60"/>
      <c r="AEV8" s="60"/>
      <c r="AEW8" s="60"/>
      <c r="AEX8" s="60"/>
      <c r="AEY8" s="60"/>
      <c r="AEZ8" s="60"/>
      <c r="AFA8" s="60"/>
      <c r="AFB8" s="60"/>
      <c r="AFC8" s="60"/>
      <c r="AFD8" s="60"/>
      <c r="AFE8" s="60"/>
      <c r="AFF8" s="60"/>
      <c r="AFG8" s="60"/>
      <c r="AFH8" s="60"/>
      <c r="AFI8" s="60"/>
      <c r="AFJ8" s="60"/>
      <c r="AFK8" s="60"/>
      <c r="AFL8" s="60"/>
      <c r="AFM8" s="60"/>
      <c r="AFN8" s="60"/>
      <c r="AFO8" s="60"/>
      <c r="AFP8" s="60"/>
      <c r="AFQ8" s="60"/>
      <c r="AFR8" s="60"/>
      <c r="AFS8" s="60"/>
      <c r="AFT8" s="60"/>
      <c r="AFU8" s="60"/>
      <c r="AFV8" s="60"/>
      <c r="AFW8" s="60"/>
      <c r="AFX8" s="60"/>
      <c r="AFY8" s="60"/>
      <c r="AFZ8" s="60"/>
      <c r="AGA8" s="60"/>
      <c r="AGB8" s="60"/>
      <c r="AGC8" s="60"/>
      <c r="AGD8" s="60"/>
      <c r="AGE8" s="60"/>
      <c r="AGF8" s="60"/>
      <c r="AGG8" s="60"/>
      <c r="AGH8" s="60"/>
      <c r="AGI8" s="60"/>
      <c r="AGJ8" s="60"/>
      <c r="AGK8" s="60"/>
      <c r="AGL8" s="60"/>
      <c r="AGM8" s="60"/>
      <c r="AGN8" s="60"/>
      <c r="AGO8" s="60"/>
      <c r="AGP8" s="60"/>
      <c r="AGQ8" s="60"/>
      <c r="AGR8" s="60"/>
      <c r="AGS8" s="60"/>
      <c r="AGT8" s="60"/>
      <c r="AGU8" s="60"/>
      <c r="AGV8" s="60"/>
      <c r="AGW8" s="60"/>
      <c r="AGX8" s="60"/>
      <c r="AGY8" s="60"/>
      <c r="AGZ8" s="60"/>
      <c r="AHA8" s="60"/>
      <c r="AHB8" s="60"/>
      <c r="AHC8" s="60"/>
      <c r="AHD8" s="60"/>
      <c r="AHE8" s="60"/>
      <c r="AHF8" s="60"/>
      <c r="AHG8" s="60"/>
      <c r="AHH8" s="60"/>
      <c r="AHI8" s="60"/>
      <c r="AHJ8" s="60"/>
      <c r="AHK8" s="60"/>
      <c r="AHL8" s="60"/>
      <c r="AHM8" s="60"/>
      <c r="AHN8" s="60"/>
      <c r="AHO8" s="60"/>
      <c r="AHP8" s="60"/>
      <c r="AHQ8" s="60"/>
      <c r="AHR8" s="60"/>
      <c r="AHS8" s="60"/>
      <c r="AHT8" s="60"/>
      <c r="AHU8" s="60"/>
      <c r="AHV8" s="60"/>
      <c r="AHW8" s="60"/>
      <c r="AHX8" s="60"/>
      <c r="AHY8" s="60"/>
      <c r="AHZ8" s="60"/>
      <c r="AIA8" s="60"/>
      <c r="AIB8" s="60"/>
      <c r="AIC8" s="60"/>
      <c r="AID8" s="60"/>
      <c r="AIE8" s="60"/>
      <c r="AIF8" s="60"/>
      <c r="AIG8" s="60"/>
      <c r="AIH8" s="60"/>
      <c r="AII8" s="60"/>
      <c r="AIJ8" s="60"/>
      <c r="AIK8" s="60"/>
      <c r="AIL8" s="60"/>
      <c r="AIM8" s="60"/>
      <c r="AIN8" s="60"/>
      <c r="AIO8" s="60"/>
      <c r="AIP8" s="60"/>
      <c r="AIQ8" s="60"/>
      <c r="AIR8" s="60"/>
      <c r="AIS8" s="60"/>
      <c r="AIT8" s="60"/>
      <c r="AIU8" s="60"/>
      <c r="AIV8" s="60"/>
      <c r="AIW8" s="60"/>
      <c r="AIX8" s="60"/>
      <c r="AIY8" s="60"/>
      <c r="AIZ8" s="60"/>
      <c r="AJA8" s="60"/>
      <c r="AJB8" s="60"/>
      <c r="AJC8" s="60"/>
      <c r="AJD8" s="60"/>
      <c r="AJE8" s="60"/>
      <c r="AJF8" s="60"/>
      <c r="AJG8" s="60"/>
      <c r="AJH8" s="60"/>
      <c r="AJI8" s="60"/>
      <c r="AJJ8" s="60"/>
      <c r="AJK8" s="60"/>
      <c r="AJL8" s="60"/>
      <c r="AJM8" s="60"/>
      <c r="AJN8" s="60"/>
      <c r="AJO8" s="60"/>
      <c r="AJP8" s="60"/>
      <c r="AJQ8" s="60"/>
      <c r="AJR8" s="60"/>
      <c r="AJS8" s="60"/>
      <c r="AJT8" s="60"/>
      <c r="AJU8" s="60"/>
      <c r="AJV8" s="60"/>
      <c r="AJW8" s="60"/>
      <c r="AJX8" s="60"/>
      <c r="AJY8" s="60"/>
      <c r="AJZ8" s="60"/>
      <c r="AKA8" s="60"/>
      <c r="AKB8" s="60"/>
      <c r="AKC8" s="60"/>
      <c r="AKD8" s="60"/>
      <c r="AKE8" s="60"/>
      <c r="AKF8" s="60"/>
      <c r="AKG8" s="60"/>
      <c r="AKH8" s="60"/>
      <c r="AKI8" s="60"/>
      <c r="AKJ8" s="60"/>
      <c r="AKK8" s="60"/>
      <c r="AKL8" s="60"/>
      <c r="AKM8" s="60"/>
      <c r="AKN8" s="60"/>
      <c r="AKO8" s="60"/>
      <c r="AKP8" s="60"/>
      <c r="AKQ8" s="60"/>
      <c r="AKR8" s="60"/>
      <c r="AKS8" s="60"/>
      <c r="AKT8" s="60"/>
      <c r="AKU8" s="60"/>
      <c r="AKV8" s="60"/>
      <c r="AKW8" s="60"/>
      <c r="AKX8" s="60"/>
      <c r="AKY8" s="60"/>
      <c r="AKZ8" s="60"/>
      <c r="ALA8" s="60"/>
      <c r="ALB8" s="60"/>
      <c r="ALC8" s="60"/>
      <c r="ALD8" s="60"/>
      <c r="ALE8" s="60"/>
      <c r="ALF8" s="60"/>
      <c r="ALG8" s="60"/>
      <c r="ALH8" s="60"/>
      <c r="ALI8" s="60"/>
      <c r="ALJ8" s="60"/>
      <c r="ALK8" s="60"/>
      <c r="ALL8" s="60"/>
      <c r="ALM8" s="60"/>
      <c r="ALN8" s="60"/>
      <c r="ALO8" s="60"/>
      <c r="ALP8" s="60"/>
      <c r="ALQ8" s="60"/>
      <c r="ALR8" s="60"/>
      <c r="ALS8" s="60"/>
      <c r="ALT8" s="60"/>
      <c r="ALU8" s="60"/>
      <c r="ALV8" s="60"/>
      <c r="ALW8" s="60"/>
      <c r="ALX8" s="60"/>
      <c r="ALY8" s="60"/>
      <c r="ALZ8" s="60"/>
      <c r="AMA8" s="60"/>
      <c r="AMB8" s="60"/>
      <c r="AMC8" s="60"/>
      <c r="AMD8" s="60"/>
      <c r="AME8" s="60"/>
      <c r="AMF8" s="60"/>
      <c r="AMG8" s="60"/>
      <c r="AMH8" s="60"/>
      <c r="AMI8" s="60"/>
      <c r="AMJ8" s="60"/>
      <c r="AMK8" s="60"/>
      <c r="AML8" s="60"/>
      <c r="AMM8" s="60"/>
      <c r="AMN8" s="60"/>
      <c r="AMO8" s="60"/>
      <c r="AMP8" s="60"/>
      <c r="AMQ8" s="60"/>
      <c r="AMR8" s="60"/>
      <c r="AMS8" s="60"/>
      <c r="AMT8" s="60"/>
      <c r="AMU8" s="60"/>
      <c r="AMV8" s="60"/>
      <c r="AMW8" s="60"/>
      <c r="AMX8" s="60"/>
      <c r="AMY8" s="60"/>
      <c r="AMZ8" s="60"/>
      <c r="ANA8" s="60"/>
      <c r="ANB8" s="60"/>
      <c r="ANC8" s="60"/>
      <c r="AND8" s="60"/>
      <c r="ANE8" s="60"/>
      <c r="ANF8" s="60"/>
      <c r="ANG8" s="60"/>
      <c r="ANH8" s="60"/>
      <c r="ANI8" s="60"/>
      <c r="ANJ8" s="60"/>
      <c r="ANK8" s="60"/>
      <c r="ANL8" s="60"/>
      <c r="ANM8" s="60"/>
      <c r="ANN8" s="60"/>
      <c r="ANO8" s="60"/>
      <c r="ANP8" s="60"/>
      <c r="ANQ8" s="60"/>
      <c r="ANR8" s="60"/>
      <c r="ANS8" s="60"/>
      <c r="ANT8" s="60"/>
      <c r="ANU8" s="60"/>
      <c r="ANV8" s="60"/>
      <c r="ANW8" s="60"/>
      <c r="ANX8" s="60"/>
      <c r="ANY8" s="60"/>
      <c r="ANZ8" s="60"/>
      <c r="AOA8" s="60"/>
      <c r="AOB8" s="60"/>
      <c r="AOC8" s="60"/>
      <c r="AOD8" s="60"/>
      <c r="AOE8" s="60"/>
      <c r="AOF8" s="60"/>
      <c r="AOG8" s="60"/>
      <c r="AOH8" s="60"/>
      <c r="AOI8" s="60"/>
      <c r="AOJ8" s="60"/>
      <c r="AOK8" s="60"/>
      <c r="AOL8" s="60"/>
      <c r="AOM8" s="60"/>
      <c r="AON8" s="60"/>
      <c r="AOO8" s="60"/>
      <c r="AOP8" s="60"/>
      <c r="AOQ8" s="60"/>
      <c r="AOR8" s="60"/>
      <c r="AOS8" s="60"/>
      <c r="AOT8" s="60"/>
      <c r="AOU8" s="60"/>
      <c r="AOV8" s="60"/>
      <c r="AOW8" s="60"/>
      <c r="AOX8" s="60"/>
      <c r="AOY8" s="60"/>
      <c r="AOZ8" s="60"/>
      <c r="APA8" s="60"/>
      <c r="APB8" s="60"/>
      <c r="APC8" s="60"/>
      <c r="APD8" s="60"/>
      <c r="APE8" s="60"/>
      <c r="APF8" s="60"/>
      <c r="APG8" s="60"/>
      <c r="APH8" s="60"/>
      <c r="API8" s="60"/>
      <c r="APJ8" s="60"/>
      <c r="APK8" s="60"/>
      <c r="APL8" s="60"/>
      <c r="APM8" s="60"/>
      <c r="APN8" s="60"/>
      <c r="APO8" s="60"/>
      <c r="APP8" s="60"/>
      <c r="APQ8" s="60"/>
      <c r="APR8" s="60"/>
      <c r="APS8" s="60"/>
      <c r="APT8" s="60"/>
      <c r="APU8" s="60"/>
      <c r="APV8" s="60"/>
      <c r="APW8" s="60"/>
      <c r="APX8" s="60"/>
      <c r="APY8" s="60"/>
      <c r="APZ8" s="60"/>
      <c r="AQA8" s="60"/>
      <c r="AQB8" s="60"/>
      <c r="AQC8" s="60"/>
      <c r="AQD8" s="60"/>
      <c r="AQE8" s="60"/>
      <c r="AQF8" s="60"/>
      <c r="AQG8" s="60"/>
      <c r="AQH8" s="60"/>
      <c r="AQI8" s="60"/>
      <c r="AQJ8" s="60"/>
      <c r="AQK8" s="60"/>
      <c r="AQL8" s="60"/>
      <c r="AQM8" s="60"/>
      <c r="AQN8" s="60"/>
      <c r="AQO8" s="60"/>
      <c r="AQP8" s="60"/>
      <c r="AQQ8" s="60"/>
      <c r="AQR8" s="60"/>
      <c r="AQS8" s="60"/>
      <c r="AQT8" s="60"/>
      <c r="AQU8" s="60"/>
      <c r="AQV8" s="60"/>
      <c r="AQW8" s="60"/>
      <c r="AQX8" s="60"/>
      <c r="AQY8" s="60"/>
      <c r="AQZ8" s="60"/>
      <c r="ARA8" s="60"/>
      <c r="ARB8" s="60"/>
      <c r="ARC8" s="60"/>
      <c r="ARD8" s="60"/>
      <c r="ARE8" s="60"/>
      <c r="ARF8" s="60"/>
      <c r="ARG8" s="60"/>
      <c r="ARH8" s="60"/>
      <c r="ARI8" s="60"/>
      <c r="ARJ8" s="60"/>
      <c r="ARK8" s="60"/>
      <c r="ARL8" s="60"/>
      <c r="ARM8" s="60"/>
      <c r="ARN8" s="60"/>
      <c r="ARO8" s="60"/>
      <c r="ARP8" s="60"/>
      <c r="ARQ8" s="60"/>
      <c r="ARR8" s="60"/>
      <c r="ARS8" s="60"/>
      <c r="ART8" s="60"/>
      <c r="ARU8" s="60"/>
      <c r="ARV8" s="60"/>
      <c r="ARW8" s="60"/>
      <c r="ARX8" s="60"/>
      <c r="ARY8" s="60"/>
      <c r="ARZ8" s="60"/>
      <c r="ASA8" s="60"/>
      <c r="ASB8" s="60"/>
      <c r="ASC8" s="60"/>
      <c r="ASD8" s="60"/>
      <c r="ASE8" s="60"/>
      <c r="ASF8" s="60"/>
      <c r="ASG8" s="60"/>
      <c r="ASH8" s="60"/>
      <c r="ASI8" s="60"/>
      <c r="ASJ8" s="60"/>
      <c r="ASK8" s="60"/>
      <c r="ASL8" s="60"/>
      <c r="ASM8" s="60"/>
      <c r="ASN8" s="60"/>
      <c r="ASO8" s="60"/>
      <c r="ASP8" s="60"/>
      <c r="ASQ8" s="60"/>
      <c r="ASR8" s="60"/>
      <c r="ASS8" s="60"/>
      <c r="AST8" s="60"/>
      <c r="ASU8" s="60"/>
      <c r="ASV8" s="60"/>
      <c r="ASW8" s="60"/>
      <c r="ASX8" s="60"/>
      <c r="ASY8" s="60"/>
      <c r="ASZ8" s="60"/>
      <c r="ATA8" s="60"/>
      <c r="ATB8" s="60"/>
      <c r="ATC8" s="60"/>
      <c r="ATD8" s="60"/>
      <c r="ATE8" s="60"/>
      <c r="ATF8" s="60"/>
      <c r="ATG8" s="60"/>
      <c r="ATH8" s="60"/>
      <c r="ATI8" s="60"/>
      <c r="ATJ8" s="60"/>
      <c r="ATK8" s="60"/>
      <c r="ATL8" s="60"/>
      <c r="ATM8" s="60"/>
      <c r="ATN8" s="60"/>
      <c r="ATO8" s="60"/>
      <c r="ATP8" s="60"/>
      <c r="ATQ8" s="60"/>
      <c r="ATR8" s="60"/>
      <c r="ATS8" s="60"/>
      <c r="ATT8" s="60"/>
      <c r="ATU8" s="60"/>
      <c r="ATV8" s="60"/>
      <c r="ATW8" s="60"/>
      <c r="ATX8" s="60"/>
      <c r="ATY8" s="60"/>
      <c r="ATZ8" s="60"/>
      <c r="AUA8" s="60"/>
      <c r="AUB8" s="60"/>
      <c r="AUC8" s="60"/>
      <c r="AUD8" s="60"/>
      <c r="AUE8" s="60"/>
      <c r="AUF8" s="60"/>
      <c r="AUG8" s="60"/>
      <c r="AUH8" s="60"/>
      <c r="AUI8" s="60"/>
      <c r="AUJ8" s="60"/>
      <c r="AUK8" s="60"/>
      <c r="AUL8" s="60"/>
      <c r="AUM8" s="60"/>
      <c r="AUN8" s="60"/>
      <c r="AUO8" s="60"/>
      <c r="AUP8" s="60"/>
      <c r="AUQ8" s="60"/>
      <c r="AUR8" s="60"/>
      <c r="AUS8" s="60"/>
      <c r="AUT8" s="60"/>
      <c r="AUU8" s="60"/>
      <c r="AUV8" s="60"/>
      <c r="AUW8" s="60"/>
      <c r="AUX8" s="60"/>
      <c r="AUY8" s="60"/>
      <c r="AUZ8" s="60"/>
      <c r="AVA8" s="60"/>
      <c r="AVB8" s="60"/>
      <c r="AVC8" s="60"/>
      <c r="AVD8" s="60"/>
      <c r="AVE8" s="60"/>
      <c r="AVF8" s="60"/>
      <c r="AVG8" s="60"/>
      <c r="AVH8" s="60"/>
      <c r="AVI8" s="60"/>
      <c r="AVJ8" s="60"/>
      <c r="AVK8" s="60"/>
      <c r="AVL8" s="60"/>
      <c r="AVM8" s="60"/>
      <c r="AVN8" s="60"/>
      <c r="AVO8" s="60"/>
      <c r="AVP8" s="60"/>
      <c r="AVQ8" s="60"/>
      <c r="AVR8" s="60"/>
      <c r="AVS8" s="60"/>
      <c r="AVT8" s="60"/>
      <c r="AVU8" s="60"/>
      <c r="AVV8" s="60"/>
      <c r="AVW8" s="60"/>
      <c r="AVX8" s="60"/>
      <c r="AVY8" s="60"/>
      <c r="AVZ8" s="60"/>
      <c r="AWA8" s="60"/>
      <c r="AWB8" s="60"/>
      <c r="AWC8" s="60"/>
      <c r="AWD8" s="60"/>
      <c r="AWE8" s="60"/>
      <c r="AWF8" s="60"/>
      <c r="AWG8" s="60"/>
      <c r="AWH8" s="60"/>
      <c r="AWI8" s="60"/>
      <c r="AWJ8" s="60"/>
      <c r="AWK8" s="60"/>
      <c r="AWL8" s="60"/>
      <c r="AWM8" s="60"/>
      <c r="AWN8" s="60"/>
      <c r="AWO8" s="60"/>
      <c r="AWP8" s="60"/>
      <c r="AWQ8" s="60"/>
      <c r="AWR8" s="60"/>
      <c r="AWS8" s="60"/>
      <c r="AWT8" s="60"/>
      <c r="AWU8" s="60"/>
      <c r="AWV8" s="60"/>
      <c r="AWW8" s="60"/>
      <c r="AWX8" s="60"/>
      <c r="AWY8" s="60"/>
      <c r="AWZ8" s="60"/>
      <c r="AXA8" s="60"/>
      <c r="AXB8" s="60"/>
      <c r="AXC8" s="60"/>
      <c r="AXD8" s="60"/>
      <c r="AXE8" s="60"/>
      <c r="AXF8" s="60"/>
      <c r="AXG8" s="60"/>
      <c r="AXH8" s="60"/>
      <c r="AXI8" s="60"/>
      <c r="AXJ8" s="60"/>
      <c r="AXK8" s="60"/>
      <c r="AXL8" s="60"/>
      <c r="AXM8" s="60"/>
      <c r="AXN8" s="60"/>
      <c r="AXO8" s="60"/>
      <c r="AXP8" s="60"/>
      <c r="AXQ8" s="60"/>
      <c r="AXR8" s="60"/>
      <c r="AXS8" s="60"/>
      <c r="AXT8" s="60"/>
      <c r="AXU8" s="60"/>
      <c r="AXV8" s="60"/>
      <c r="AXW8" s="60"/>
      <c r="AXX8" s="60"/>
      <c r="AXY8" s="60"/>
      <c r="AXZ8" s="60"/>
      <c r="AYA8" s="60"/>
      <c r="AYB8" s="60"/>
      <c r="AYC8" s="60"/>
      <c r="AYD8" s="60"/>
      <c r="AYE8" s="60"/>
      <c r="AYF8" s="60"/>
      <c r="AYG8" s="60"/>
      <c r="AYH8" s="60"/>
      <c r="AYI8" s="60"/>
      <c r="AYJ8" s="60"/>
      <c r="AYK8" s="60"/>
      <c r="AYL8" s="60"/>
      <c r="AYM8" s="60"/>
      <c r="AYN8" s="60"/>
      <c r="AYO8" s="60"/>
      <c r="AYP8" s="60"/>
      <c r="AYQ8" s="60"/>
      <c r="AYR8" s="60"/>
      <c r="AYS8" s="60"/>
      <c r="AYT8" s="60"/>
      <c r="AYU8" s="60"/>
      <c r="AYV8" s="60"/>
      <c r="AYW8" s="60"/>
      <c r="AYX8" s="60"/>
      <c r="AYY8" s="60"/>
      <c r="AYZ8" s="60"/>
      <c r="AZA8" s="60"/>
      <c r="AZB8" s="60"/>
      <c r="AZC8" s="60"/>
      <c r="AZD8" s="60"/>
      <c r="AZE8" s="60"/>
      <c r="AZF8" s="60"/>
      <c r="AZG8" s="60"/>
      <c r="AZH8" s="60"/>
      <c r="AZI8" s="60"/>
      <c r="AZJ8" s="60"/>
      <c r="AZK8" s="60"/>
      <c r="AZL8" s="60"/>
      <c r="AZM8" s="60"/>
      <c r="AZN8" s="60"/>
      <c r="AZO8" s="60"/>
      <c r="AZP8" s="60"/>
      <c r="AZQ8" s="60"/>
      <c r="AZR8" s="60"/>
      <c r="AZS8" s="60"/>
      <c r="AZT8" s="60"/>
      <c r="AZU8" s="60"/>
      <c r="AZV8" s="60"/>
      <c r="AZW8" s="60"/>
      <c r="AZX8" s="60"/>
      <c r="AZY8" s="60"/>
      <c r="AZZ8" s="60"/>
      <c r="BAA8" s="60"/>
      <c r="BAB8" s="60"/>
      <c r="BAC8" s="60"/>
      <c r="BAD8" s="60"/>
      <c r="BAE8" s="60"/>
      <c r="BAF8" s="60"/>
      <c r="BAG8" s="60"/>
      <c r="BAH8" s="60"/>
      <c r="BAI8" s="60"/>
      <c r="BAJ8" s="60"/>
      <c r="BAK8" s="60"/>
      <c r="BAL8" s="60"/>
      <c r="BAM8" s="60"/>
      <c r="BAN8" s="60"/>
      <c r="BAO8" s="60"/>
      <c r="BAP8" s="60"/>
      <c r="BAQ8" s="60"/>
      <c r="BAR8" s="60"/>
      <c r="BAS8" s="60"/>
      <c r="BAT8" s="60"/>
      <c r="BAU8" s="60"/>
      <c r="BAV8" s="60"/>
      <c r="BAW8" s="60"/>
      <c r="BAX8" s="60"/>
      <c r="BAY8" s="60"/>
      <c r="BAZ8" s="60"/>
      <c r="BBA8" s="60"/>
      <c r="BBB8" s="60"/>
      <c r="BBC8" s="60"/>
      <c r="BBD8" s="60"/>
      <c r="BBE8" s="60"/>
      <c r="BBF8" s="60"/>
      <c r="BBG8" s="60"/>
      <c r="BBH8" s="60"/>
      <c r="BBI8" s="60"/>
      <c r="BBJ8" s="60"/>
      <c r="BBK8" s="60"/>
      <c r="BBL8" s="60"/>
      <c r="BBM8" s="60"/>
      <c r="BBN8" s="60"/>
      <c r="BBO8" s="60"/>
      <c r="BBP8" s="60"/>
      <c r="BBQ8" s="60"/>
      <c r="BBR8" s="60"/>
      <c r="BBS8" s="60"/>
      <c r="BBT8" s="60"/>
      <c r="BBU8" s="60"/>
      <c r="BBV8" s="60"/>
      <c r="BBW8" s="60"/>
      <c r="BBX8" s="60"/>
      <c r="BBY8" s="60"/>
      <c r="BBZ8" s="60"/>
      <c r="BCA8" s="60"/>
      <c r="BCB8" s="60"/>
      <c r="BCC8" s="60"/>
      <c r="BCD8" s="60"/>
      <c r="BCE8" s="60"/>
      <c r="BCF8" s="60"/>
      <c r="BCG8" s="60"/>
      <c r="BCH8" s="60"/>
      <c r="BCI8" s="60"/>
      <c r="BCJ8" s="60"/>
      <c r="BCK8" s="60"/>
      <c r="BCL8" s="60"/>
      <c r="BCM8" s="60"/>
      <c r="BCN8" s="60"/>
      <c r="BCO8" s="60"/>
      <c r="BCP8" s="60"/>
      <c r="BCQ8" s="60"/>
      <c r="BCR8" s="60"/>
      <c r="BCS8" s="60"/>
      <c r="BCT8" s="60"/>
      <c r="BCU8" s="60"/>
      <c r="BCV8" s="60"/>
      <c r="BCW8" s="60"/>
      <c r="BCX8" s="60"/>
      <c r="BCY8" s="60"/>
      <c r="BCZ8" s="60"/>
      <c r="BDA8" s="60"/>
      <c r="BDB8" s="60"/>
      <c r="BDC8" s="60"/>
      <c r="BDD8" s="60"/>
      <c r="BDE8" s="60"/>
      <c r="BDF8" s="60"/>
      <c r="BDG8" s="60"/>
      <c r="BDH8" s="60"/>
      <c r="BDI8" s="60"/>
      <c r="BDJ8" s="60"/>
      <c r="BDK8" s="60"/>
      <c r="BDL8" s="60"/>
      <c r="BDM8" s="60"/>
      <c r="BDN8" s="60"/>
      <c r="BDO8" s="60"/>
      <c r="BDP8" s="60"/>
      <c r="BDQ8" s="60"/>
      <c r="BDR8" s="60"/>
      <c r="BDS8" s="60"/>
      <c r="BDT8" s="60"/>
      <c r="BDU8" s="60"/>
      <c r="BDV8" s="60"/>
      <c r="BDW8" s="60"/>
      <c r="BDX8" s="60"/>
      <c r="BDY8" s="60"/>
      <c r="BDZ8" s="60"/>
      <c r="BEA8" s="60"/>
      <c r="BEB8" s="60"/>
      <c r="BEC8" s="60"/>
      <c r="BED8" s="60"/>
      <c r="BEE8" s="60"/>
      <c r="BEF8" s="60"/>
      <c r="BEG8" s="60"/>
      <c r="BEH8" s="60"/>
      <c r="BEI8" s="60"/>
      <c r="BEJ8" s="60"/>
      <c r="BEK8" s="60"/>
      <c r="BEL8" s="60"/>
      <c r="BEM8" s="60"/>
      <c r="BEN8" s="60"/>
      <c r="BEO8" s="60"/>
      <c r="BEP8" s="60"/>
      <c r="BEQ8" s="60"/>
      <c r="BER8" s="60"/>
      <c r="BES8" s="60"/>
      <c r="BET8" s="60"/>
      <c r="BEU8" s="60"/>
      <c r="BEV8" s="60"/>
      <c r="BEW8" s="60"/>
      <c r="BEX8" s="60"/>
      <c r="BEY8" s="60"/>
      <c r="BEZ8" s="60"/>
      <c r="BFA8" s="60"/>
      <c r="BFB8" s="60"/>
      <c r="BFC8" s="60"/>
      <c r="BFD8" s="60"/>
      <c r="BFE8" s="60"/>
      <c r="BFF8" s="60"/>
      <c r="BFG8" s="60"/>
      <c r="BFH8" s="60"/>
      <c r="BFI8" s="60"/>
      <c r="BFJ8" s="60"/>
      <c r="BFK8" s="60"/>
      <c r="BFL8" s="60"/>
      <c r="BFM8" s="60"/>
      <c r="BFN8" s="60"/>
      <c r="BFO8" s="60"/>
      <c r="BFP8" s="60"/>
      <c r="BFQ8" s="60"/>
      <c r="BFR8" s="60"/>
      <c r="BFS8" s="60"/>
      <c r="BFT8" s="60"/>
      <c r="BFU8" s="60"/>
      <c r="BFV8" s="60"/>
      <c r="BFW8" s="60"/>
      <c r="BFX8" s="60"/>
      <c r="BFY8" s="60"/>
      <c r="BFZ8" s="60"/>
      <c r="BGA8" s="60"/>
      <c r="BGB8" s="60"/>
      <c r="BGC8" s="60"/>
      <c r="BGD8" s="60"/>
      <c r="BGE8" s="60"/>
      <c r="BGF8" s="60"/>
      <c r="BGG8" s="60"/>
      <c r="BGH8" s="60"/>
      <c r="BGI8" s="60"/>
      <c r="BGJ8" s="60"/>
      <c r="BGK8" s="60"/>
      <c r="BGL8" s="60"/>
      <c r="BGM8" s="60"/>
      <c r="BGN8" s="60"/>
      <c r="BGO8" s="60"/>
      <c r="BGP8" s="60"/>
      <c r="BGQ8" s="60"/>
      <c r="BGR8" s="60"/>
      <c r="BGS8" s="60"/>
      <c r="BGT8" s="60"/>
      <c r="BGU8" s="60"/>
      <c r="BGV8" s="60"/>
      <c r="BGW8" s="60"/>
      <c r="BGX8" s="60"/>
      <c r="BGY8" s="60"/>
      <c r="BGZ8" s="60"/>
      <c r="BHA8" s="60"/>
      <c r="BHB8" s="60"/>
      <c r="BHC8" s="60"/>
      <c r="BHD8" s="60"/>
      <c r="BHE8" s="60"/>
      <c r="BHF8" s="60"/>
      <c r="BHG8" s="60"/>
      <c r="BHH8" s="60"/>
      <c r="BHI8" s="60"/>
      <c r="BHJ8" s="60"/>
      <c r="BHK8" s="60"/>
      <c r="BHL8" s="60"/>
      <c r="BHM8" s="60"/>
      <c r="BHN8" s="60"/>
      <c r="BHO8" s="60"/>
      <c r="BHP8" s="60"/>
      <c r="BHQ8" s="60"/>
      <c r="BHR8" s="60"/>
      <c r="BHS8" s="60"/>
      <c r="BHT8" s="60"/>
      <c r="BHU8" s="60"/>
      <c r="BHV8" s="60"/>
      <c r="BHW8" s="60"/>
      <c r="BHX8" s="60"/>
      <c r="BHY8" s="60"/>
      <c r="BHZ8" s="60"/>
      <c r="BIA8" s="60"/>
      <c r="BIB8" s="60"/>
      <c r="BIC8" s="60"/>
      <c r="BID8" s="60"/>
      <c r="BIE8" s="60"/>
      <c r="BIF8" s="60"/>
      <c r="BIG8" s="60"/>
      <c r="BIH8" s="60"/>
      <c r="BII8" s="60"/>
      <c r="BIJ8" s="60"/>
      <c r="BIK8" s="60"/>
      <c r="BIL8" s="60"/>
    </row>
    <row r="9" spans="2:1598" x14ac:dyDescent="0.25">
      <c r="B9" s="132"/>
      <c r="C9" s="6" t="s">
        <v>0</v>
      </c>
      <c r="D9" s="135"/>
      <c r="E9" s="6" t="s">
        <v>1</v>
      </c>
      <c r="F9" s="112"/>
      <c r="G9" s="77" t="s">
        <v>66</v>
      </c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6">
        <f>SUM(I9:AN9)</f>
        <v>0</v>
      </c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  <c r="LI9" s="60"/>
      <c r="LJ9" s="60"/>
      <c r="LK9" s="60"/>
      <c r="LL9" s="60"/>
      <c r="LM9" s="60"/>
      <c r="LN9" s="60"/>
      <c r="LO9" s="60"/>
      <c r="LP9" s="60"/>
      <c r="LQ9" s="60"/>
      <c r="LR9" s="60"/>
      <c r="LS9" s="60"/>
      <c r="LT9" s="60"/>
      <c r="LU9" s="60"/>
      <c r="LV9" s="60"/>
      <c r="LW9" s="60"/>
      <c r="LX9" s="60"/>
      <c r="LY9" s="60"/>
      <c r="LZ9" s="60"/>
      <c r="MA9" s="60"/>
      <c r="MB9" s="60"/>
      <c r="MC9" s="60"/>
      <c r="MD9" s="60"/>
      <c r="ME9" s="60"/>
      <c r="MF9" s="60"/>
      <c r="MG9" s="60"/>
      <c r="MH9" s="60"/>
      <c r="MI9" s="60"/>
      <c r="MJ9" s="60"/>
      <c r="MK9" s="60"/>
      <c r="ML9" s="60"/>
      <c r="MM9" s="60"/>
      <c r="MN9" s="60"/>
      <c r="MO9" s="60"/>
      <c r="MP9" s="60"/>
      <c r="MQ9" s="60"/>
      <c r="MR9" s="60"/>
      <c r="MS9" s="60"/>
      <c r="MT9" s="60"/>
      <c r="MU9" s="60"/>
      <c r="MV9" s="60"/>
      <c r="MW9" s="60"/>
      <c r="MX9" s="60"/>
      <c r="MY9" s="60"/>
      <c r="MZ9" s="60"/>
      <c r="NA9" s="60"/>
      <c r="NB9" s="60"/>
      <c r="NC9" s="60"/>
      <c r="ND9" s="60"/>
      <c r="NE9" s="60"/>
      <c r="NF9" s="60"/>
      <c r="NG9" s="60"/>
      <c r="NH9" s="60"/>
      <c r="NI9" s="60"/>
      <c r="NJ9" s="60"/>
      <c r="NK9" s="60"/>
      <c r="NL9" s="60"/>
      <c r="NM9" s="60"/>
      <c r="NN9" s="60"/>
      <c r="NO9" s="60"/>
      <c r="NP9" s="60"/>
      <c r="NQ9" s="60"/>
      <c r="NR9" s="60"/>
      <c r="NS9" s="60"/>
      <c r="NT9" s="60"/>
      <c r="NU9" s="60"/>
      <c r="NV9" s="60"/>
      <c r="NW9" s="60"/>
      <c r="NX9" s="60"/>
      <c r="NY9" s="60"/>
      <c r="NZ9" s="60"/>
      <c r="OA9" s="60"/>
      <c r="OB9" s="60"/>
      <c r="OC9" s="60"/>
      <c r="OD9" s="60"/>
      <c r="OE9" s="60"/>
      <c r="OF9" s="60"/>
      <c r="OG9" s="60"/>
      <c r="OH9" s="60"/>
      <c r="OI9" s="60"/>
      <c r="OJ9" s="60"/>
      <c r="OK9" s="60"/>
      <c r="OL9" s="60"/>
      <c r="OM9" s="60"/>
      <c r="ON9" s="60"/>
      <c r="OO9" s="60"/>
      <c r="OP9" s="60"/>
      <c r="OQ9" s="60"/>
      <c r="OR9" s="60"/>
      <c r="OS9" s="60"/>
      <c r="OT9" s="60"/>
      <c r="OU9" s="60"/>
      <c r="OV9" s="60"/>
      <c r="OW9" s="60"/>
      <c r="OX9" s="60"/>
      <c r="OY9" s="60"/>
      <c r="OZ9" s="60"/>
      <c r="PA9" s="60"/>
      <c r="PB9" s="60"/>
      <c r="PC9" s="60"/>
      <c r="PD9" s="60"/>
      <c r="PE9" s="60"/>
      <c r="PF9" s="60"/>
      <c r="PG9" s="60"/>
      <c r="PH9" s="60"/>
      <c r="PI9" s="60"/>
      <c r="PJ9" s="60"/>
      <c r="PK9" s="60"/>
      <c r="PL9" s="60"/>
      <c r="PM9" s="60"/>
      <c r="PN9" s="60"/>
      <c r="PO9" s="60"/>
      <c r="PP9" s="60"/>
      <c r="PQ9" s="60"/>
      <c r="PR9" s="60"/>
      <c r="PS9" s="60"/>
      <c r="PT9" s="60"/>
      <c r="PU9" s="60"/>
      <c r="PV9" s="60"/>
      <c r="PW9" s="60"/>
      <c r="PX9" s="60"/>
      <c r="PY9" s="60"/>
      <c r="PZ9" s="60"/>
      <c r="QA9" s="60"/>
      <c r="QB9" s="60"/>
      <c r="QC9" s="60"/>
      <c r="QD9" s="60"/>
      <c r="QE9" s="60"/>
      <c r="QF9" s="60"/>
      <c r="QG9" s="60"/>
      <c r="QH9" s="60"/>
      <c r="QI9" s="60"/>
      <c r="QJ9" s="60"/>
      <c r="QK9" s="60"/>
      <c r="QL9" s="60"/>
      <c r="QM9" s="60"/>
      <c r="QN9" s="60"/>
      <c r="QO9" s="60"/>
      <c r="QP9" s="60"/>
      <c r="QQ9" s="60"/>
      <c r="QR9" s="60"/>
      <c r="QS9" s="60"/>
      <c r="QT9" s="60"/>
      <c r="QU9" s="60"/>
      <c r="QV9" s="60"/>
      <c r="QW9" s="60"/>
      <c r="QX9" s="60"/>
      <c r="QY9" s="60"/>
      <c r="QZ9" s="60"/>
      <c r="RA9" s="60"/>
      <c r="RB9" s="60"/>
      <c r="RC9" s="60"/>
      <c r="RD9" s="60"/>
      <c r="RE9" s="60"/>
      <c r="RF9" s="60"/>
      <c r="RG9" s="60"/>
      <c r="RH9" s="60"/>
      <c r="RI9" s="60"/>
      <c r="RJ9" s="60"/>
      <c r="RK9" s="60"/>
      <c r="RL9" s="60"/>
      <c r="RM9" s="60"/>
      <c r="RN9" s="60"/>
      <c r="RO9" s="60"/>
      <c r="RP9" s="60"/>
      <c r="RQ9" s="60"/>
      <c r="RR9" s="60"/>
      <c r="RS9" s="60"/>
      <c r="RT9" s="60"/>
      <c r="RU9" s="60"/>
      <c r="RV9" s="60"/>
      <c r="RW9" s="60"/>
      <c r="RX9" s="60"/>
      <c r="RY9" s="60"/>
      <c r="RZ9" s="60"/>
      <c r="SA9" s="60"/>
      <c r="SB9" s="60"/>
      <c r="SC9" s="60"/>
      <c r="SD9" s="60"/>
      <c r="SE9" s="60"/>
      <c r="SF9" s="60"/>
      <c r="SG9" s="60"/>
      <c r="SH9" s="60"/>
      <c r="SI9" s="60"/>
      <c r="SJ9" s="60"/>
      <c r="SK9" s="60"/>
      <c r="SL9" s="60"/>
      <c r="SM9" s="60"/>
      <c r="SN9" s="60"/>
      <c r="SO9" s="60"/>
      <c r="SP9" s="60"/>
      <c r="SQ9" s="60"/>
      <c r="SR9" s="60"/>
      <c r="SS9" s="60"/>
      <c r="ST9" s="60"/>
      <c r="SU9" s="60"/>
      <c r="SV9" s="60"/>
      <c r="SW9" s="60"/>
      <c r="SX9" s="60"/>
      <c r="SY9" s="60"/>
      <c r="SZ9" s="60"/>
      <c r="TA9" s="60"/>
      <c r="TB9" s="60"/>
      <c r="TC9" s="60"/>
      <c r="TD9" s="60"/>
      <c r="TE9" s="60"/>
      <c r="TF9" s="60"/>
      <c r="TG9" s="60"/>
      <c r="TH9" s="60"/>
      <c r="TI9" s="60"/>
      <c r="TJ9" s="60"/>
      <c r="TK9" s="60"/>
      <c r="TL9" s="60"/>
      <c r="TM9" s="60"/>
      <c r="TN9" s="60"/>
      <c r="TO9" s="60"/>
      <c r="TP9" s="60"/>
      <c r="TQ9" s="60"/>
      <c r="TR9" s="60"/>
      <c r="TS9" s="60"/>
      <c r="TT9" s="60"/>
      <c r="TU9" s="60"/>
      <c r="TV9" s="60"/>
      <c r="TW9" s="60"/>
      <c r="TX9" s="60"/>
      <c r="TY9" s="60"/>
      <c r="TZ9" s="60"/>
      <c r="UA9" s="60"/>
      <c r="UB9" s="60"/>
      <c r="UC9" s="60"/>
      <c r="UD9" s="60"/>
      <c r="UE9" s="60"/>
      <c r="UF9" s="60"/>
      <c r="UG9" s="60"/>
      <c r="UH9" s="60"/>
      <c r="UI9" s="60"/>
      <c r="UJ9" s="60"/>
      <c r="UK9" s="60"/>
      <c r="UL9" s="60"/>
      <c r="UM9" s="60"/>
      <c r="UN9" s="60"/>
      <c r="UO9" s="60"/>
      <c r="UP9" s="60"/>
      <c r="UQ9" s="60"/>
      <c r="UR9" s="60"/>
      <c r="US9" s="60"/>
      <c r="UT9" s="60"/>
      <c r="UU9" s="60"/>
      <c r="UV9" s="60"/>
      <c r="UW9" s="60"/>
      <c r="UX9" s="60"/>
      <c r="UY9" s="60"/>
      <c r="UZ9" s="60"/>
      <c r="VA9" s="60"/>
      <c r="VB9" s="60"/>
      <c r="VC9" s="60"/>
      <c r="VD9" s="60"/>
      <c r="VE9" s="60"/>
      <c r="VF9" s="60"/>
      <c r="VG9" s="60"/>
      <c r="VH9" s="60"/>
      <c r="VI9" s="60"/>
      <c r="VJ9" s="60"/>
      <c r="VK9" s="60"/>
      <c r="VL9" s="60"/>
      <c r="VM9" s="60"/>
      <c r="VN9" s="60"/>
      <c r="VO9" s="60"/>
      <c r="VP9" s="60"/>
      <c r="VQ9" s="60"/>
      <c r="VR9" s="60"/>
      <c r="VS9" s="60"/>
      <c r="VT9" s="60"/>
      <c r="VU9" s="60"/>
      <c r="VV9" s="60"/>
      <c r="VW9" s="60"/>
      <c r="VX9" s="60"/>
      <c r="VY9" s="60"/>
      <c r="VZ9" s="60"/>
      <c r="WA9" s="60"/>
      <c r="WB9" s="60"/>
      <c r="WC9" s="60"/>
      <c r="WD9" s="60"/>
      <c r="WE9" s="60"/>
      <c r="WF9" s="60"/>
      <c r="WG9" s="60"/>
      <c r="WH9" s="60"/>
      <c r="WI9" s="60"/>
      <c r="WJ9" s="60"/>
      <c r="WK9" s="60"/>
      <c r="WL9" s="60"/>
      <c r="WM9" s="60"/>
      <c r="WN9" s="60"/>
      <c r="WO9" s="60"/>
      <c r="WP9" s="60"/>
      <c r="WQ9" s="60"/>
      <c r="WR9" s="60"/>
      <c r="WS9" s="60"/>
      <c r="WT9" s="60"/>
      <c r="WU9" s="60"/>
      <c r="WV9" s="60"/>
      <c r="WW9" s="60"/>
      <c r="WX9" s="60"/>
      <c r="WY9" s="60"/>
      <c r="WZ9" s="60"/>
      <c r="XA9" s="60"/>
      <c r="XB9" s="60"/>
      <c r="XC9" s="60"/>
      <c r="XD9" s="60"/>
      <c r="XE9" s="60"/>
      <c r="XF9" s="60"/>
      <c r="XG9" s="60"/>
      <c r="XH9" s="60"/>
      <c r="XI9" s="60"/>
      <c r="XJ9" s="60"/>
      <c r="XK9" s="60"/>
      <c r="XL9" s="60"/>
      <c r="XM9" s="60"/>
      <c r="XN9" s="60"/>
      <c r="XO9" s="60"/>
      <c r="XP9" s="60"/>
      <c r="XQ9" s="60"/>
      <c r="XR9" s="60"/>
      <c r="XS9" s="60"/>
      <c r="XT9" s="60"/>
      <c r="XU9" s="60"/>
      <c r="XV9" s="60"/>
      <c r="XW9" s="60"/>
      <c r="XX9" s="60"/>
      <c r="XY9" s="60"/>
      <c r="XZ9" s="60"/>
      <c r="YA9" s="60"/>
      <c r="YB9" s="60"/>
      <c r="YC9" s="60"/>
      <c r="YD9" s="60"/>
      <c r="YE9" s="60"/>
      <c r="YF9" s="60"/>
      <c r="YG9" s="60"/>
      <c r="YH9" s="60"/>
      <c r="YI9" s="60"/>
      <c r="YJ9" s="60"/>
      <c r="YK9" s="60"/>
      <c r="YL9" s="60"/>
      <c r="YM9" s="60"/>
      <c r="YN9" s="60"/>
      <c r="YO9" s="60"/>
      <c r="YP9" s="60"/>
      <c r="YQ9" s="60"/>
      <c r="YR9" s="60"/>
      <c r="YS9" s="60"/>
      <c r="YT9" s="60"/>
      <c r="YU9" s="60"/>
      <c r="YV9" s="60"/>
      <c r="YW9" s="60"/>
      <c r="YX9" s="60"/>
      <c r="YY9" s="60"/>
      <c r="YZ9" s="60"/>
      <c r="ZA9" s="60"/>
      <c r="ZB9" s="60"/>
      <c r="ZC9" s="60"/>
      <c r="ZD9" s="60"/>
      <c r="ZE9" s="60"/>
      <c r="ZF9" s="60"/>
      <c r="ZG9" s="60"/>
      <c r="ZH9" s="60"/>
      <c r="ZI9" s="60"/>
      <c r="ZJ9" s="60"/>
      <c r="ZK9" s="60"/>
      <c r="ZL9" s="60"/>
      <c r="ZM9" s="60"/>
      <c r="ZN9" s="60"/>
      <c r="ZO9" s="60"/>
      <c r="ZP9" s="60"/>
      <c r="ZQ9" s="60"/>
      <c r="ZR9" s="60"/>
      <c r="ZS9" s="60"/>
      <c r="ZT9" s="60"/>
      <c r="ZU9" s="60"/>
      <c r="ZV9" s="60"/>
      <c r="ZW9" s="60"/>
      <c r="ZX9" s="60"/>
      <c r="ZY9" s="60"/>
      <c r="ZZ9" s="60"/>
      <c r="AAA9" s="60"/>
      <c r="AAB9" s="60"/>
      <c r="AAC9" s="60"/>
      <c r="AAD9" s="60"/>
      <c r="AAE9" s="60"/>
      <c r="AAF9" s="60"/>
      <c r="AAG9" s="60"/>
      <c r="AAH9" s="60"/>
      <c r="AAI9" s="60"/>
      <c r="AAJ9" s="60"/>
      <c r="AAK9" s="60"/>
      <c r="AAL9" s="60"/>
      <c r="AAM9" s="60"/>
      <c r="AAN9" s="60"/>
      <c r="AAO9" s="60"/>
      <c r="AAP9" s="60"/>
      <c r="AAQ9" s="60"/>
      <c r="AAR9" s="60"/>
      <c r="AAS9" s="60"/>
      <c r="AAT9" s="60"/>
      <c r="AAU9" s="60"/>
      <c r="AAV9" s="60"/>
      <c r="AAW9" s="60"/>
      <c r="AAX9" s="60"/>
      <c r="AAY9" s="60"/>
      <c r="AAZ9" s="60"/>
      <c r="ABA9" s="60"/>
      <c r="ABB9" s="60"/>
      <c r="ABC9" s="60"/>
      <c r="ABD9" s="60"/>
      <c r="ABE9" s="60"/>
      <c r="ABF9" s="60"/>
      <c r="ABG9" s="60"/>
      <c r="ABH9" s="60"/>
      <c r="ABI9" s="60"/>
      <c r="ABJ9" s="60"/>
      <c r="ABK9" s="60"/>
      <c r="ABL9" s="60"/>
      <c r="ABM9" s="60"/>
      <c r="ABN9" s="60"/>
      <c r="ABO9" s="60"/>
      <c r="ABP9" s="60"/>
      <c r="ABQ9" s="60"/>
      <c r="ABR9" s="60"/>
      <c r="ABS9" s="60"/>
      <c r="ABT9" s="60"/>
      <c r="ABU9" s="60"/>
      <c r="ABV9" s="60"/>
      <c r="ABW9" s="60"/>
      <c r="ABX9" s="60"/>
      <c r="ABY9" s="60"/>
      <c r="ABZ9" s="60"/>
      <c r="ACA9" s="60"/>
      <c r="ACB9" s="60"/>
      <c r="ACC9" s="60"/>
      <c r="ACD9" s="60"/>
      <c r="ACE9" s="60"/>
      <c r="ACF9" s="60"/>
      <c r="ACG9" s="60"/>
      <c r="ACH9" s="60"/>
      <c r="ACI9" s="60"/>
      <c r="ACJ9" s="60"/>
      <c r="ACK9" s="60"/>
      <c r="ACL9" s="60"/>
      <c r="ACM9" s="60"/>
      <c r="ACN9" s="60"/>
      <c r="ACO9" s="60"/>
      <c r="ACP9" s="60"/>
      <c r="ACQ9" s="60"/>
      <c r="ACR9" s="60"/>
      <c r="ACS9" s="60"/>
      <c r="ACT9" s="60"/>
      <c r="ACU9" s="60"/>
      <c r="ACV9" s="60"/>
      <c r="ACW9" s="60"/>
      <c r="ACX9" s="60"/>
      <c r="ACY9" s="60"/>
      <c r="ACZ9" s="60"/>
      <c r="ADA9" s="60"/>
      <c r="ADB9" s="60"/>
      <c r="ADC9" s="60"/>
      <c r="ADD9" s="60"/>
      <c r="ADE9" s="60"/>
      <c r="ADF9" s="60"/>
      <c r="ADG9" s="60"/>
      <c r="ADH9" s="60"/>
      <c r="ADI9" s="60"/>
      <c r="ADJ9" s="60"/>
      <c r="ADK9" s="60"/>
      <c r="ADL9" s="60"/>
      <c r="ADM9" s="60"/>
      <c r="ADN9" s="60"/>
      <c r="ADO9" s="60"/>
      <c r="ADP9" s="60"/>
      <c r="ADQ9" s="60"/>
      <c r="ADR9" s="60"/>
      <c r="ADS9" s="60"/>
      <c r="ADT9" s="60"/>
      <c r="ADU9" s="60"/>
      <c r="ADV9" s="60"/>
      <c r="ADW9" s="60"/>
      <c r="ADX9" s="60"/>
      <c r="ADY9" s="60"/>
      <c r="ADZ9" s="60"/>
      <c r="AEA9" s="60"/>
      <c r="AEB9" s="60"/>
      <c r="AEC9" s="60"/>
      <c r="AED9" s="60"/>
      <c r="AEE9" s="60"/>
      <c r="AEF9" s="60"/>
      <c r="AEG9" s="60"/>
      <c r="AEH9" s="60"/>
      <c r="AEI9" s="60"/>
      <c r="AEJ9" s="60"/>
      <c r="AEK9" s="60"/>
      <c r="AEL9" s="60"/>
      <c r="AEM9" s="60"/>
      <c r="AEN9" s="60"/>
      <c r="AEO9" s="60"/>
      <c r="AEP9" s="60"/>
      <c r="AEQ9" s="60"/>
      <c r="AER9" s="60"/>
      <c r="AES9" s="60"/>
      <c r="AET9" s="60"/>
      <c r="AEU9" s="60"/>
      <c r="AEV9" s="60"/>
      <c r="AEW9" s="60"/>
      <c r="AEX9" s="60"/>
      <c r="AEY9" s="60"/>
      <c r="AEZ9" s="60"/>
      <c r="AFA9" s="60"/>
      <c r="AFB9" s="60"/>
      <c r="AFC9" s="60"/>
      <c r="AFD9" s="60"/>
      <c r="AFE9" s="60"/>
      <c r="AFF9" s="60"/>
      <c r="AFG9" s="60"/>
      <c r="AFH9" s="60"/>
      <c r="AFI9" s="60"/>
      <c r="AFJ9" s="60"/>
      <c r="AFK9" s="60"/>
      <c r="AFL9" s="60"/>
      <c r="AFM9" s="60"/>
      <c r="AFN9" s="60"/>
      <c r="AFO9" s="60"/>
      <c r="AFP9" s="60"/>
      <c r="AFQ9" s="60"/>
      <c r="AFR9" s="60"/>
      <c r="AFS9" s="60"/>
      <c r="AFT9" s="60"/>
      <c r="AFU9" s="60"/>
      <c r="AFV9" s="60"/>
      <c r="AFW9" s="60"/>
      <c r="AFX9" s="60"/>
      <c r="AFY9" s="60"/>
      <c r="AFZ9" s="60"/>
      <c r="AGA9" s="60"/>
      <c r="AGB9" s="60"/>
      <c r="AGC9" s="60"/>
      <c r="AGD9" s="60"/>
      <c r="AGE9" s="60"/>
      <c r="AGF9" s="60"/>
      <c r="AGG9" s="60"/>
      <c r="AGH9" s="60"/>
      <c r="AGI9" s="60"/>
      <c r="AGJ9" s="60"/>
      <c r="AGK9" s="60"/>
      <c r="AGL9" s="60"/>
      <c r="AGM9" s="60"/>
      <c r="AGN9" s="60"/>
      <c r="AGO9" s="60"/>
      <c r="AGP9" s="60"/>
      <c r="AGQ9" s="60"/>
      <c r="AGR9" s="60"/>
      <c r="AGS9" s="60"/>
      <c r="AGT9" s="60"/>
      <c r="AGU9" s="60"/>
      <c r="AGV9" s="60"/>
      <c r="AGW9" s="60"/>
      <c r="AGX9" s="60"/>
      <c r="AGY9" s="60"/>
      <c r="AGZ9" s="60"/>
      <c r="AHA9" s="60"/>
      <c r="AHB9" s="60"/>
      <c r="AHC9" s="60"/>
      <c r="AHD9" s="60"/>
      <c r="AHE9" s="60"/>
      <c r="AHF9" s="60"/>
      <c r="AHG9" s="60"/>
      <c r="AHH9" s="60"/>
      <c r="AHI9" s="60"/>
      <c r="AHJ9" s="60"/>
      <c r="AHK9" s="60"/>
      <c r="AHL9" s="60"/>
      <c r="AHM9" s="60"/>
      <c r="AHN9" s="60"/>
      <c r="AHO9" s="60"/>
      <c r="AHP9" s="60"/>
      <c r="AHQ9" s="60"/>
      <c r="AHR9" s="60"/>
      <c r="AHS9" s="60"/>
      <c r="AHT9" s="60"/>
      <c r="AHU9" s="60"/>
      <c r="AHV9" s="60"/>
      <c r="AHW9" s="60"/>
      <c r="AHX9" s="60"/>
      <c r="AHY9" s="60"/>
      <c r="AHZ9" s="60"/>
      <c r="AIA9" s="60"/>
      <c r="AIB9" s="60"/>
      <c r="AIC9" s="60"/>
      <c r="AID9" s="60"/>
      <c r="AIE9" s="60"/>
      <c r="AIF9" s="60"/>
      <c r="AIG9" s="60"/>
      <c r="AIH9" s="60"/>
      <c r="AII9" s="60"/>
      <c r="AIJ9" s="60"/>
      <c r="AIK9" s="60"/>
      <c r="AIL9" s="60"/>
      <c r="AIM9" s="60"/>
      <c r="AIN9" s="60"/>
      <c r="AIO9" s="60"/>
      <c r="AIP9" s="60"/>
      <c r="AIQ9" s="60"/>
      <c r="AIR9" s="60"/>
      <c r="AIS9" s="60"/>
      <c r="AIT9" s="60"/>
      <c r="AIU9" s="60"/>
      <c r="AIV9" s="60"/>
      <c r="AIW9" s="60"/>
      <c r="AIX9" s="60"/>
      <c r="AIY9" s="60"/>
      <c r="AIZ9" s="60"/>
      <c r="AJA9" s="60"/>
      <c r="AJB9" s="60"/>
      <c r="AJC9" s="60"/>
      <c r="AJD9" s="60"/>
      <c r="AJE9" s="60"/>
      <c r="AJF9" s="60"/>
      <c r="AJG9" s="60"/>
      <c r="AJH9" s="60"/>
      <c r="AJI9" s="60"/>
      <c r="AJJ9" s="60"/>
      <c r="AJK9" s="60"/>
      <c r="AJL9" s="60"/>
      <c r="AJM9" s="60"/>
      <c r="AJN9" s="60"/>
      <c r="AJO9" s="60"/>
      <c r="AJP9" s="60"/>
      <c r="AJQ9" s="60"/>
      <c r="AJR9" s="60"/>
      <c r="AJS9" s="60"/>
      <c r="AJT9" s="60"/>
      <c r="AJU9" s="60"/>
      <c r="AJV9" s="60"/>
      <c r="AJW9" s="60"/>
      <c r="AJX9" s="60"/>
      <c r="AJY9" s="60"/>
      <c r="AJZ9" s="60"/>
      <c r="AKA9" s="60"/>
      <c r="AKB9" s="60"/>
      <c r="AKC9" s="60"/>
      <c r="AKD9" s="60"/>
      <c r="AKE9" s="60"/>
      <c r="AKF9" s="60"/>
      <c r="AKG9" s="60"/>
      <c r="AKH9" s="60"/>
      <c r="AKI9" s="60"/>
      <c r="AKJ9" s="60"/>
      <c r="AKK9" s="60"/>
      <c r="AKL9" s="60"/>
      <c r="AKM9" s="60"/>
      <c r="AKN9" s="60"/>
      <c r="AKO9" s="60"/>
      <c r="AKP9" s="60"/>
      <c r="AKQ9" s="60"/>
      <c r="AKR9" s="60"/>
      <c r="AKS9" s="60"/>
      <c r="AKT9" s="60"/>
      <c r="AKU9" s="60"/>
      <c r="AKV9" s="60"/>
      <c r="AKW9" s="60"/>
      <c r="AKX9" s="60"/>
      <c r="AKY9" s="60"/>
      <c r="AKZ9" s="60"/>
      <c r="ALA9" s="60"/>
      <c r="ALB9" s="60"/>
      <c r="ALC9" s="60"/>
      <c r="ALD9" s="60"/>
      <c r="ALE9" s="60"/>
      <c r="ALF9" s="60"/>
      <c r="ALG9" s="60"/>
      <c r="ALH9" s="60"/>
      <c r="ALI9" s="60"/>
      <c r="ALJ9" s="60"/>
      <c r="ALK9" s="60"/>
      <c r="ALL9" s="60"/>
      <c r="ALM9" s="60"/>
      <c r="ALN9" s="60"/>
      <c r="ALO9" s="60"/>
      <c r="ALP9" s="60"/>
      <c r="ALQ9" s="60"/>
      <c r="ALR9" s="60"/>
      <c r="ALS9" s="60"/>
      <c r="ALT9" s="60"/>
      <c r="ALU9" s="60"/>
      <c r="ALV9" s="60"/>
      <c r="ALW9" s="60"/>
      <c r="ALX9" s="60"/>
      <c r="ALY9" s="60"/>
      <c r="ALZ9" s="60"/>
      <c r="AMA9" s="60"/>
      <c r="AMB9" s="60"/>
      <c r="AMC9" s="60"/>
      <c r="AMD9" s="60"/>
      <c r="AME9" s="60"/>
      <c r="AMF9" s="60"/>
      <c r="AMG9" s="60"/>
      <c r="AMH9" s="60"/>
      <c r="AMI9" s="60"/>
      <c r="AMJ9" s="60"/>
      <c r="AMK9" s="60"/>
      <c r="AML9" s="60"/>
      <c r="AMM9" s="60"/>
      <c r="AMN9" s="60"/>
      <c r="AMO9" s="60"/>
      <c r="AMP9" s="60"/>
      <c r="AMQ9" s="60"/>
      <c r="AMR9" s="60"/>
      <c r="AMS9" s="60"/>
      <c r="AMT9" s="60"/>
      <c r="AMU9" s="60"/>
      <c r="AMV9" s="60"/>
      <c r="AMW9" s="60"/>
      <c r="AMX9" s="60"/>
      <c r="AMY9" s="60"/>
      <c r="AMZ9" s="60"/>
      <c r="ANA9" s="60"/>
      <c r="ANB9" s="60"/>
      <c r="ANC9" s="60"/>
      <c r="AND9" s="60"/>
      <c r="ANE9" s="60"/>
      <c r="ANF9" s="60"/>
      <c r="ANG9" s="60"/>
      <c r="ANH9" s="60"/>
      <c r="ANI9" s="60"/>
      <c r="ANJ9" s="60"/>
      <c r="ANK9" s="60"/>
      <c r="ANL9" s="60"/>
      <c r="ANM9" s="60"/>
      <c r="ANN9" s="60"/>
      <c r="ANO9" s="60"/>
      <c r="ANP9" s="60"/>
      <c r="ANQ9" s="60"/>
      <c r="ANR9" s="60"/>
      <c r="ANS9" s="60"/>
      <c r="ANT9" s="60"/>
      <c r="ANU9" s="60"/>
      <c r="ANV9" s="60"/>
      <c r="ANW9" s="60"/>
      <c r="ANX9" s="60"/>
      <c r="ANY9" s="60"/>
      <c r="ANZ9" s="60"/>
      <c r="AOA9" s="60"/>
      <c r="AOB9" s="60"/>
      <c r="AOC9" s="60"/>
      <c r="AOD9" s="60"/>
      <c r="AOE9" s="60"/>
      <c r="AOF9" s="60"/>
      <c r="AOG9" s="60"/>
      <c r="AOH9" s="60"/>
      <c r="AOI9" s="60"/>
      <c r="AOJ9" s="60"/>
      <c r="AOK9" s="60"/>
      <c r="AOL9" s="60"/>
      <c r="AOM9" s="60"/>
      <c r="AON9" s="60"/>
      <c r="AOO9" s="60"/>
      <c r="AOP9" s="60"/>
      <c r="AOQ9" s="60"/>
      <c r="AOR9" s="60"/>
      <c r="AOS9" s="60"/>
      <c r="AOT9" s="60"/>
      <c r="AOU9" s="60"/>
      <c r="AOV9" s="60"/>
      <c r="AOW9" s="60"/>
      <c r="AOX9" s="60"/>
      <c r="AOY9" s="60"/>
      <c r="AOZ9" s="60"/>
      <c r="APA9" s="60"/>
      <c r="APB9" s="60"/>
      <c r="APC9" s="60"/>
      <c r="APD9" s="60"/>
      <c r="APE9" s="60"/>
      <c r="APF9" s="60"/>
      <c r="APG9" s="60"/>
      <c r="APH9" s="60"/>
      <c r="API9" s="60"/>
      <c r="APJ9" s="60"/>
      <c r="APK9" s="60"/>
      <c r="APL9" s="60"/>
      <c r="APM9" s="60"/>
      <c r="APN9" s="60"/>
      <c r="APO9" s="60"/>
      <c r="APP9" s="60"/>
      <c r="APQ9" s="60"/>
      <c r="APR9" s="60"/>
      <c r="APS9" s="60"/>
      <c r="APT9" s="60"/>
      <c r="APU9" s="60"/>
      <c r="APV9" s="60"/>
      <c r="APW9" s="60"/>
      <c r="APX9" s="60"/>
      <c r="APY9" s="60"/>
      <c r="APZ9" s="60"/>
      <c r="AQA9" s="60"/>
      <c r="AQB9" s="60"/>
      <c r="AQC9" s="60"/>
      <c r="AQD9" s="60"/>
      <c r="AQE9" s="60"/>
      <c r="AQF9" s="60"/>
      <c r="AQG9" s="60"/>
      <c r="AQH9" s="60"/>
      <c r="AQI9" s="60"/>
      <c r="AQJ9" s="60"/>
      <c r="AQK9" s="60"/>
      <c r="AQL9" s="60"/>
      <c r="AQM9" s="60"/>
      <c r="AQN9" s="60"/>
      <c r="AQO9" s="60"/>
      <c r="AQP9" s="60"/>
      <c r="AQQ9" s="60"/>
      <c r="AQR9" s="60"/>
      <c r="AQS9" s="60"/>
      <c r="AQT9" s="60"/>
      <c r="AQU9" s="60"/>
      <c r="AQV9" s="60"/>
      <c r="AQW9" s="60"/>
      <c r="AQX9" s="60"/>
      <c r="AQY9" s="60"/>
      <c r="AQZ9" s="60"/>
      <c r="ARA9" s="60"/>
      <c r="ARB9" s="60"/>
      <c r="ARC9" s="60"/>
      <c r="ARD9" s="60"/>
      <c r="ARE9" s="60"/>
      <c r="ARF9" s="60"/>
      <c r="ARG9" s="60"/>
      <c r="ARH9" s="60"/>
      <c r="ARI9" s="60"/>
      <c r="ARJ9" s="60"/>
      <c r="ARK9" s="60"/>
      <c r="ARL9" s="60"/>
      <c r="ARM9" s="60"/>
      <c r="ARN9" s="60"/>
      <c r="ARO9" s="60"/>
      <c r="ARP9" s="60"/>
      <c r="ARQ9" s="60"/>
      <c r="ARR9" s="60"/>
      <c r="ARS9" s="60"/>
      <c r="ART9" s="60"/>
      <c r="ARU9" s="60"/>
      <c r="ARV9" s="60"/>
      <c r="ARW9" s="60"/>
      <c r="ARX9" s="60"/>
      <c r="ARY9" s="60"/>
      <c r="ARZ9" s="60"/>
      <c r="ASA9" s="60"/>
      <c r="ASB9" s="60"/>
      <c r="ASC9" s="60"/>
      <c r="ASD9" s="60"/>
      <c r="ASE9" s="60"/>
      <c r="ASF9" s="60"/>
      <c r="ASG9" s="60"/>
      <c r="ASH9" s="60"/>
      <c r="ASI9" s="60"/>
      <c r="ASJ9" s="60"/>
      <c r="ASK9" s="60"/>
      <c r="ASL9" s="60"/>
      <c r="ASM9" s="60"/>
      <c r="ASN9" s="60"/>
      <c r="ASO9" s="60"/>
      <c r="ASP9" s="60"/>
      <c r="ASQ9" s="60"/>
      <c r="ASR9" s="60"/>
      <c r="ASS9" s="60"/>
      <c r="AST9" s="60"/>
      <c r="ASU9" s="60"/>
      <c r="ASV9" s="60"/>
      <c r="ASW9" s="60"/>
      <c r="ASX9" s="60"/>
      <c r="ASY9" s="60"/>
      <c r="ASZ9" s="60"/>
      <c r="ATA9" s="60"/>
      <c r="ATB9" s="60"/>
      <c r="ATC9" s="60"/>
      <c r="ATD9" s="60"/>
      <c r="ATE9" s="60"/>
      <c r="ATF9" s="60"/>
      <c r="ATG9" s="60"/>
      <c r="ATH9" s="60"/>
      <c r="ATI9" s="60"/>
      <c r="ATJ9" s="60"/>
      <c r="ATK9" s="60"/>
      <c r="ATL9" s="60"/>
      <c r="ATM9" s="60"/>
      <c r="ATN9" s="60"/>
      <c r="ATO9" s="60"/>
      <c r="ATP9" s="60"/>
      <c r="ATQ9" s="60"/>
      <c r="ATR9" s="60"/>
      <c r="ATS9" s="60"/>
      <c r="ATT9" s="60"/>
      <c r="ATU9" s="60"/>
      <c r="ATV9" s="60"/>
      <c r="ATW9" s="60"/>
      <c r="ATX9" s="60"/>
      <c r="ATY9" s="60"/>
      <c r="ATZ9" s="60"/>
      <c r="AUA9" s="60"/>
      <c r="AUB9" s="60"/>
      <c r="AUC9" s="60"/>
      <c r="AUD9" s="60"/>
      <c r="AUE9" s="60"/>
      <c r="AUF9" s="60"/>
      <c r="AUG9" s="60"/>
      <c r="AUH9" s="60"/>
      <c r="AUI9" s="60"/>
      <c r="AUJ9" s="60"/>
      <c r="AUK9" s="60"/>
      <c r="AUL9" s="60"/>
      <c r="AUM9" s="60"/>
      <c r="AUN9" s="60"/>
      <c r="AUO9" s="60"/>
      <c r="AUP9" s="60"/>
      <c r="AUQ9" s="60"/>
      <c r="AUR9" s="60"/>
      <c r="AUS9" s="60"/>
      <c r="AUT9" s="60"/>
      <c r="AUU9" s="60"/>
      <c r="AUV9" s="60"/>
      <c r="AUW9" s="60"/>
      <c r="AUX9" s="60"/>
      <c r="AUY9" s="60"/>
      <c r="AUZ9" s="60"/>
      <c r="AVA9" s="60"/>
      <c r="AVB9" s="60"/>
      <c r="AVC9" s="60"/>
      <c r="AVD9" s="60"/>
      <c r="AVE9" s="60"/>
      <c r="AVF9" s="60"/>
      <c r="AVG9" s="60"/>
      <c r="AVH9" s="60"/>
      <c r="AVI9" s="60"/>
      <c r="AVJ9" s="60"/>
      <c r="AVK9" s="60"/>
      <c r="AVL9" s="60"/>
      <c r="AVM9" s="60"/>
      <c r="AVN9" s="60"/>
      <c r="AVO9" s="60"/>
      <c r="AVP9" s="60"/>
      <c r="AVQ9" s="60"/>
      <c r="AVR9" s="60"/>
      <c r="AVS9" s="60"/>
      <c r="AVT9" s="60"/>
      <c r="AVU9" s="60"/>
      <c r="AVV9" s="60"/>
      <c r="AVW9" s="60"/>
      <c r="AVX9" s="60"/>
      <c r="AVY9" s="60"/>
      <c r="AVZ9" s="60"/>
      <c r="AWA9" s="60"/>
      <c r="AWB9" s="60"/>
      <c r="AWC9" s="60"/>
      <c r="AWD9" s="60"/>
      <c r="AWE9" s="60"/>
      <c r="AWF9" s="60"/>
      <c r="AWG9" s="60"/>
      <c r="AWH9" s="60"/>
      <c r="AWI9" s="60"/>
      <c r="AWJ9" s="60"/>
      <c r="AWK9" s="60"/>
      <c r="AWL9" s="60"/>
      <c r="AWM9" s="60"/>
      <c r="AWN9" s="60"/>
      <c r="AWO9" s="60"/>
      <c r="AWP9" s="60"/>
      <c r="AWQ9" s="60"/>
      <c r="AWR9" s="60"/>
      <c r="AWS9" s="60"/>
      <c r="AWT9" s="60"/>
      <c r="AWU9" s="60"/>
      <c r="AWV9" s="60"/>
      <c r="AWW9" s="60"/>
      <c r="AWX9" s="60"/>
      <c r="AWY9" s="60"/>
      <c r="AWZ9" s="60"/>
      <c r="AXA9" s="60"/>
      <c r="AXB9" s="60"/>
      <c r="AXC9" s="60"/>
      <c r="AXD9" s="60"/>
      <c r="AXE9" s="60"/>
      <c r="AXF9" s="60"/>
      <c r="AXG9" s="60"/>
      <c r="AXH9" s="60"/>
      <c r="AXI9" s="60"/>
      <c r="AXJ9" s="60"/>
      <c r="AXK9" s="60"/>
      <c r="AXL9" s="60"/>
      <c r="AXM9" s="60"/>
      <c r="AXN9" s="60"/>
      <c r="AXO9" s="60"/>
      <c r="AXP9" s="60"/>
      <c r="AXQ9" s="60"/>
      <c r="AXR9" s="60"/>
      <c r="AXS9" s="60"/>
      <c r="AXT9" s="60"/>
      <c r="AXU9" s="60"/>
      <c r="AXV9" s="60"/>
      <c r="AXW9" s="60"/>
      <c r="AXX9" s="60"/>
      <c r="AXY9" s="60"/>
      <c r="AXZ9" s="60"/>
      <c r="AYA9" s="60"/>
      <c r="AYB9" s="60"/>
      <c r="AYC9" s="60"/>
      <c r="AYD9" s="60"/>
      <c r="AYE9" s="60"/>
      <c r="AYF9" s="60"/>
      <c r="AYG9" s="60"/>
      <c r="AYH9" s="60"/>
      <c r="AYI9" s="60"/>
      <c r="AYJ9" s="60"/>
      <c r="AYK9" s="60"/>
      <c r="AYL9" s="60"/>
      <c r="AYM9" s="60"/>
      <c r="AYN9" s="60"/>
      <c r="AYO9" s="60"/>
      <c r="AYP9" s="60"/>
      <c r="AYQ9" s="60"/>
      <c r="AYR9" s="60"/>
      <c r="AYS9" s="60"/>
      <c r="AYT9" s="60"/>
      <c r="AYU9" s="60"/>
      <c r="AYV9" s="60"/>
      <c r="AYW9" s="60"/>
      <c r="AYX9" s="60"/>
      <c r="AYY9" s="60"/>
      <c r="AYZ9" s="60"/>
      <c r="AZA9" s="60"/>
      <c r="AZB9" s="60"/>
      <c r="AZC9" s="60"/>
      <c r="AZD9" s="60"/>
      <c r="AZE9" s="60"/>
      <c r="AZF9" s="60"/>
      <c r="AZG9" s="60"/>
      <c r="AZH9" s="60"/>
      <c r="AZI9" s="60"/>
      <c r="AZJ9" s="60"/>
      <c r="AZK9" s="60"/>
      <c r="AZL9" s="60"/>
      <c r="AZM9" s="60"/>
      <c r="AZN9" s="60"/>
      <c r="AZO9" s="60"/>
      <c r="AZP9" s="60"/>
      <c r="AZQ9" s="60"/>
      <c r="AZR9" s="60"/>
      <c r="AZS9" s="60"/>
      <c r="AZT9" s="60"/>
      <c r="AZU9" s="60"/>
      <c r="AZV9" s="60"/>
      <c r="AZW9" s="60"/>
      <c r="AZX9" s="60"/>
      <c r="AZY9" s="60"/>
      <c r="AZZ9" s="60"/>
      <c r="BAA9" s="60"/>
      <c r="BAB9" s="60"/>
      <c r="BAC9" s="60"/>
      <c r="BAD9" s="60"/>
      <c r="BAE9" s="60"/>
      <c r="BAF9" s="60"/>
      <c r="BAG9" s="60"/>
      <c r="BAH9" s="60"/>
      <c r="BAI9" s="60"/>
      <c r="BAJ9" s="60"/>
      <c r="BAK9" s="60"/>
      <c r="BAL9" s="60"/>
      <c r="BAM9" s="60"/>
      <c r="BAN9" s="60"/>
      <c r="BAO9" s="60"/>
      <c r="BAP9" s="60"/>
      <c r="BAQ9" s="60"/>
      <c r="BAR9" s="60"/>
      <c r="BAS9" s="60"/>
      <c r="BAT9" s="60"/>
      <c r="BAU9" s="60"/>
      <c r="BAV9" s="60"/>
      <c r="BAW9" s="60"/>
      <c r="BAX9" s="60"/>
      <c r="BAY9" s="60"/>
      <c r="BAZ9" s="60"/>
      <c r="BBA9" s="60"/>
      <c r="BBB9" s="60"/>
      <c r="BBC9" s="60"/>
      <c r="BBD9" s="60"/>
      <c r="BBE9" s="60"/>
      <c r="BBF9" s="60"/>
      <c r="BBG9" s="60"/>
      <c r="BBH9" s="60"/>
      <c r="BBI9" s="60"/>
      <c r="BBJ9" s="60"/>
      <c r="BBK9" s="60"/>
      <c r="BBL9" s="60"/>
      <c r="BBM9" s="60"/>
      <c r="BBN9" s="60"/>
      <c r="BBO9" s="60"/>
      <c r="BBP9" s="60"/>
      <c r="BBQ9" s="60"/>
      <c r="BBR9" s="60"/>
      <c r="BBS9" s="60"/>
      <c r="BBT9" s="60"/>
      <c r="BBU9" s="60"/>
      <c r="BBV9" s="60"/>
      <c r="BBW9" s="60"/>
      <c r="BBX9" s="60"/>
      <c r="BBY9" s="60"/>
      <c r="BBZ9" s="60"/>
      <c r="BCA9" s="60"/>
      <c r="BCB9" s="60"/>
      <c r="BCC9" s="60"/>
      <c r="BCD9" s="60"/>
      <c r="BCE9" s="60"/>
      <c r="BCF9" s="60"/>
      <c r="BCG9" s="60"/>
      <c r="BCH9" s="60"/>
      <c r="BCI9" s="60"/>
      <c r="BCJ9" s="60"/>
      <c r="BCK9" s="60"/>
      <c r="BCL9" s="60"/>
      <c r="BCM9" s="60"/>
      <c r="BCN9" s="60"/>
      <c r="BCO9" s="60"/>
      <c r="BCP9" s="60"/>
      <c r="BCQ9" s="60"/>
      <c r="BCR9" s="60"/>
      <c r="BCS9" s="60"/>
      <c r="BCT9" s="60"/>
      <c r="BCU9" s="60"/>
      <c r="BCV9" s="60"/>
      <c r="BCW9" s="60"/>
      <c r="BCX9" s="60"/>
      <c r="BCY9" s="60"/>
      <c r="BCZ9" s="60"/>
      <c r="BDA9" s="60"/>
      <c r="BDB9" s="60"/>
      <c r="BDC9" s="60"/>
      <c r="BDD9" s="60"/>
      <c r="BDE9" s="60"/>
      <c r="BDF9" s="60"/>
      <c r="BDG9" s="60"/>
      <c r="BDH9" s="60"/>
      <c r="BDI9" s="60"/>
      <c r="BDJ9" s="60"/>
      <c r="BDK9" s="60"/>
      <c r="BDL9" s="60"/>
      <c r="BDM9" s="60"/>
      <c r="BDN9" s="60"/>
      <c r="BDO9" s="60"/>
      <c r="BDP9" s="60"/>
      <c r="BDQ9" s="60"/>
      <c r="BDR9" s="60"/>
      <c r="BDS9" s="60"/>
      <c r="BDT9" s="60"/>
      <c r="BDU9" s="60"/>
      <c r="BDV9" s="60"/>
      <c r="BDW9" s="60"/>
      <c r="BDX9" s="60"/>
      <c r="BDY9" s="60"/>
      <c r="BDZ9" s="60"/>
      <c r="BEA9" s="60"/>
      <c r="BEB9" s="60"/>
      <c r="BEC9" s="60"/>
      <c r="BED9" s="60"/>
      <c r="BEE9" s="60"/>
      <c r="BEF9" s="60"/>
      <c r="BEG9" s="60"/>
      <c r="BEH9" s="60"/>
      <c r="BEI9" s="60"/>
      <c r="BEJ9" s="60"/>
      <c r="BEK9" s="60"/>
      <c r="BEL9" s="60"/>
      <c r="BEM9" s="60"/>
      <c r="BEN9" s="60"/>
      <c r="BEO9" s="60"/>
      <c r="BEP9" s="60"/>
      <c r="BEQ9" s="60"/>
      <c r="BER9" s="60"/>
      <c r="BES9" s="60"/>
      <c r="BET9" s="60"/>
      <c r="BEU9" s="60"/>
      <c r="BEV9" s="60"/>
      <c r="BEW9" s="60"/>
      <c r="BEX9" s="60"/>
      <c r="BEY9" s="60"/>
      <c r="BEZ9" s="60"/>
      <c r="BFA9" s="60"/>
      <c r="BFB9" s="60"/>
      <c r="BFC9" s="60"/>
      <c r="BFD9" s="60"/>
      <c r="BFE9" s="60"/>
      <c r="BFF9" s="60"/>
      <c r="BFG9" s="60"/>
      <c r="BFH9" s="60"/>
      <c r="BFI9" s="60"/>
      <c r="BFJ9" s="60"/>
      <c r="BFK9" s="60"/>
      <c r="BFL9" s="60"/>
      <c r="BFM9" s="60"/>
      <c r="BFN9" s="60"/>
      <c r="BFO9" s="60"/>
      <c r="BFP9" s="60"/>
      <c r="BFQ9" s="60"/>
      <c r="BFR9" s="60"/>
      <c r="BFS9" s="60"/>
      <c r="BFT9" s="60"/>
      <c r="BFU9" s="60"/>
      <c r="BFV9" s="60"/>
      <c r="BFW9" s="60"/>
      <c r="BFX9" s="60"/>
      <c r="BFY9" s="60"/>
      <c r="BFZ9" s="60"/>
      <c r="BGA9" s="60"/>
      <c r="BGB9" s="60"/>
      <c r="BGC9" s="60"/>
      <c r="BGD9" s="60"/>
      <c r="BGE9" s="60"/>
      <c r="BGF9" s="60"/>
      <c r="BGG9" s="60"/>
      <c r="BGH9" s="60"/>
      <c r="BGI9" s="60"/>
      <c r="BGJ9" s="60"/>
      <c r="BGK9" s="60"/>
      <c r="BGL9" s="60"/>
      <c r="BGM9" s="60"/>
      <c r="BGN9" s="60"/>
      <c r="BGO9" s="60"/>
      <c r="BGP9" s="60"/>
      <c r="BGQ9" s="60"/>
      <c r="BGR9" s="60"/>
      <c r="BGS9" s="60"/>
      <c r="BGT9" s="60"/>
      <c r="BGU9" s="60"/>
      <c r="BGV9" s="60"/>
      <c r="BGW9" s="60"/>
      <c r="BGX9" s="60"/>
      <c r="BGY9" s="60"/>
      <c r="BGZ9" s="60"/>
      <c r="BHA9" s="60"/>
      <c r="BHB9" s="60"/>
      <c r="BHC9" s="60"/>
      <c r="BHD9" s="60"/>
      <c r="BHE9" s="60"/>
      <c r="BHF9" s="60"/>
      <c r="BHG9" s="60"/>
      <c r="BHH9" s="60"/>
      <c r="BHI9" s="60"/>
      <c r="BHJ9" s="60"/>
      <c r="BHK9" s="60"/>
      <c r="BHL9" s="60"/>
      <c r="BHM9" s="60"/>
      <c r="BHN9" s="60"/>
      <c r="BHO9" s="60"/>
      <c r="BHP9" s="60"/>
      <c r="BHQ9" s="60"/>
      <c r="BHR9" s="60"/>
      <c r="BHS9" s="60"/>
      <c r="BHT9" s="60"/>
      <c r="BHU9" s="60"/>
      <c r="BHV9" s="60"/>
      <c r="BHW9" s="60"/>
      <c r="BHX9" s="60"/>
      <c r="BHY9" s="60"/>
      <c r="BHZ9" s="60"/>
      <c r="BIA9" s="60"/>
      <c r="BIB9" s="60"/>
      <c r="BIC9" s="60"/>
      <c r="BID9" s="60"/>
      <c r="BIE9" s="60"/>
      <c r="BIF9" s="60"/>
      <c r="BIG9" s="60"/>
      <c r="BIH9" s="60"/>
      <c r="BII9" s="60"/>
      <c r="BIJ9" s="60"/>
      <c r="BIK9" s="60"/>
      <c r="BIL9" s="60"/>
    </row>
    <row r="10" spans="2:1598" x14ac:dyDescent="0.25">
      <c r="B10" s="132"/>
      <c r="C10" s="6" t="s">
        <v>0</v>
      </c>
      <c r="D10" s="135"/>
      <c r="E10" s="6" t="s">
        <v>1</v>
      </c>
      <c r="F10" s="134" t="s">
        <v>4</v>
      </c>
      <c r="G10" s="58"/>
      <c r="H10" s="58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56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56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56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56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56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56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56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56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56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56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56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56"/>
      <c r="OQ10" s="57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56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56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56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56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56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56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56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56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56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56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56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56"/>
      <c r="ADX10" s="57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56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56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56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56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56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56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56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56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56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56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56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56"/>
      <c r="ATE10" s="57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56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56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56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56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56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56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56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56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56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56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56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56"/>
      <c r="BIL10" s="57"/>
    </row>
    <row r="11" spans="2:1598" x14ac:dyDescent="0.25">
      <c r="B11" s="132"/>
      <c r="C11" s="6" t="s">
        <v>0</v>
      </c>
      <c r="D11" s="135"/>
      <c r="E11" s="6" t="s">
        <v>1</v>
      </c>
      <c r="F11" s="112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60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60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60"/>
      <c r="GN11" s="60"/>
      <c r="GO11" s="60"/>
      <c r="GP11" s="60"/>
      <c r="GQ11" s="60"/>
      <c r="GR11" s="60"/>
      <c r="GS11" s="60"/>
      <c r="GT11" s="60"/>
      <c r="GU11" s="60"/>
      <c r="GV11" s="60"/>
      <c r="GW11" s="60"/>
      <c r="GX11" s="60"/>
      <c r="GY11" s="60"/>
      <c r="GZ11" s="60"/>
      <c r="HA11" s="60"/>
      <c r="HB11" s="60"/>
      <c r="HC11" s="60"/>
      <c r="HD11" s="60"/>
      <c r="HE11" s="60"/>
      <c r="HF11" s="60"/>
      <c r="HG11" s="60"/>
      <c r="HH11" s="60"/>
      <c r="HI11" s="60"/>
      <c r="HJ11" s="60"/>
      <c r="HK11" s="60"/>
      <c r="HL11" s="60"/>
      <c r="HM11" s="60"/>
      <c r="HN11" s="60"/>
      <c r="HO11" s="60"/>
      <c r="HP11" s="60"/>
      <c r="HQ11" s="60"/>
      <c r="HR11" s="60"/>
      <c r="HS11" s="60"/>
      <c r="HT11" s="60"/>
      <c r="HU11" s="60"/>
      <c r="HV11" s="60"/>
      <c r="HW11" s="60"/>
      <c r="HX11" s="60"/>
      <c r="HY11" s="60"/>
      <c r="HZ11" s="60"/>
      <c r="IA11" s="60"/>
      <c r="IB11" s="60"/>
      <c r="IC11" s="60"/>
      <c r="ID11" s="60"/>
      <c r="IE11" s="60"/>
      <c r="IF11" s="60"/>
      <c r="IG11" s="60"/>
      <c r="IH11" s="60"/>
      <c r="II11" s="60"/>
      <c r="IJ11" s="60"/>
      <c r="IK11" s="60"/>
      <c r="IL11" s="60"/>
      <c r="IM11" s="60"/>
      <c r="IN11" s="60"/>
      <c r="IO11" s="60"/>
      <c r="IP11" s="60"/>
      <c r="IQ11" s="60"/>
      <c r="IR11" s="60"/>
      <c r="IS11" s="60"/>
      <c r="IT11" s="60"/>
      <c r="IU11" s="60"/>
      <c r="IV11" s="60"/>
      <c r="IW11" s="60"/>
      <c r="IX11" s="60"/>
      <c r="IY11" s="60"/>
      <c r="IZ11" s="60"/>
      <c r="JA11" s="60"/>
      <c r="JB11" s="60"/>
      <c r="JC11" s="60"/>
      <c r="JD11" s="60"/>
      <c r="JE11" s="60"/>
      <c r="JF11" s="60"/>
      <c r="JG11" s="60"/>
      <c r="JH11" s="60"/>
      <c r="JI11" s="60"/>
      <c r="JJ11" s="60"/>
      <c r="JK11" s="60"/>
      <c r="JL11" s="60"/>
      <c r="JM11" s="60"/>
      <c r="JN11" s="60"/>
      <c r="JO11" s="60"/>
      <c r="JP11" s="60"/>
      <c r="JQ11" s="60"/>
      <c r="JR11" s="60"/>
      <c r="JS11" s="60"/>
      <c r="JT11" s="60"/>
      <c r="JU11" s="60"/>
      <c r="JV11" s="60"/>
      <c r="JW11" s="60"/>
      <c r="JX11" s="60"/>
      <c r="JY11" s="60"/>
      <c r="JZ11" s="60"/>
      <c r="KA11" s="60"/>
      <c r="KB11" s="60"/>
      <c r="KC11" s="60"/>
      <c r="KD11" s="60"/>
      <c r="KE11" s="60"/>
      <c r="KF11" s="60"/>
      <c r="KG11" s="60"/>
      <c r="KH11" s="60"/>
      <c r="KI11" s="60"/>
      <c r="KJ11" s="60"/>
      <c r="KK11" s="60"/>
      <c r="KL11" s="60"/>
      <c r="KM11" s="60"/>
      <c r="KN11" s="60"/>
      <c r="KO11" s="60"/>
      <c r="KP11" s="60"/>
      <c r="KQ11" s="60"/>
      <c r="KR11" s="60"/>
      <c r="KS11" s="60"/>
      <c r="KT11" s="60"/>
      <c r="KU11" s="60"/>
      <c r="KV11" s="60"/>
      <c r="KW11" s="60"/>
      <c r="KX11" s="60"/>
      <c r="KY11" s="60"/>
      <c r="KZ11" s="60"/>
      <c r="LA11" s="60"/>
      <c r="LB11" s="60"/>
      <c r="LC11" s="60"/>
      <c r="LD11" s="60"/>
      <c r="LE11" s="60"/>
      <c r="LF11" s="60"/>
      <c r="LG11" s="60"/>
      <c r="LH11" s="60"/>
      <c r="LI11" s="60"/>
      <c r="LJ11" s="60"/>
      <c r="LK11" s="60"/>
      <c r="LL11" s="60"/>
      <c r="LM11" s="60"/>
      <c r="LN11" s="60"/>
      <c r="LO11" s="60"/>
      <c r="LP11" s="60"/>
      <c r="LQ11" s="60"/>
      <c r="LR11" s="60"/>
      <c r="LS11" s="60"/>
      <c r="LT11" s="60"/>
      <c r="LU11" s="60"/>
      <c r="LV11" s="60"/>
      <c r="LW11" s="60"/>
      <c r="LX11" s="60"/>
      <c r="LY11" s="60"/>
      <c r="LZ11" s="60"/>
      <c r="MA11" s="60"/>
      <c r="MB11" s="60"/>
      <c r="MC11" s="60"/>
      <c r="MD11" s="60"/>
      <c r="ME11" s="60"/>
      <c r="MF11" s="60"/>
      <c r="MG11" s="60"/>
      <c r="MH11" s="60"/>
      <c r="MI11" s="60"/>
      <c r="MJ11" s="60"/>
      <c r="MK11" s="60"/>
      <c r="ML11" s="60"/>
      <c r="MM11" s="60"/>
      <c r="MN11" s="60"/>
      <c r="MO11" s="60"/>
      <c r="MP11" s="60"/>
      <c r="MQ11" s="60"/>
      <c r="MR11" s="60"/>
      <c r="MS11" s="60"/>
      <c r="MT11" s="60"/>
      <c r="MU11" s="60"/>
      <c r="MV11" s="60"/>
      <c r="MW11" s="60"/>
      <c r="MX11" s="60"/>
      <c r="MY11" s="60"/>
      <c r="MZ11" s="60"/>
      <c r="NA11" s="60"/>
      <c r="NB11" s="60"/>
      <c r="NC11" s="60"/>
      <c r="ND11" s="60"/>
      <c r="NE11" s="60"/>
      <c r="NF11" s="60"/>
      <c r="NG11" s="60"/>
      <c r="NH11" s="60"/>
      <c r="NI11" s="60"/>
      <c r="NJ11" s="60"/>
      <c r="NK11" s="60"/>
      <c r="NL11" s="60"/>
      <c r="NM11" s="60"/>
      <c r="NN11" s="60"/>
      <c r="NO11" s="60"/>
      <c r="NP11" s="60"/>
      <c r="NQ11" s="60"/>
      <c r="NR11" s="60"/>
      <c r="NS11" s="60"/>
      <c r="NT11" s="60"/>
      <c r="NU11" s="60"/>
      <c r="NV11" s="60"/>
      <c r="NW11" s="60"/>
      <c r="NX11" s="60"/>
      <c r="NY11" s="60"/>
      <c r="NZ11" s="60"/>
      <c r="OA11" s="60"/>
      <c r="OB11" s="60"/>
      <c r="OC11" s="60"/>
      <c r="OD11" s="60"/>
      <c r="OE11" s="60"/>
      <c r="OF11" s="60"/>
      <c r="OG11" s="60"/>
      <c r="OH11" s="60"/>
      <c r="OI11" s="60"/>
      <c r="OJ11" s="60"/>
      <c r="OK11" s="60"/>
      <c r="OL11" s="60"/>
      <c r="OM11" s="60"/>
      <c r="ON11" s="60"/>
      <c r="OO11" s="60"/>
      <c r="OP11" s="60"/>
      <c r="OQ11" s="60"/>
      <c r="OR11" s="60"/>
      <c r="OS11" s="60"/>
      <c r="OT11" s="60"/>
      <c r="OU11" s="60"/>
      <c r="OV11" s="60"/>
      <c r="OW11" s="60"/>
      <c r="OX11" s="60"/>
      <c r="OY11" s="60"/>
      <c r="OZ11" s="60"/>
      <c r="PA11" s="60"/>
      <c r="PB11" s="60"/>
      <c r="PC11" s="60"/>
      <c r="PD11" s="60"/>
      <c r="PE11" s="60"/>
      <c r="PF11" s="60"/>
      <c r="PG11" s="60"/>
      <c r="PH11" s="60"/>
      <c r="PI11" s="60"/>
      <c r="PJ11" s="60"/>
      <c r="PK11" s="60"/>
      <c r="PL11" s="60"/>
      <c r="PM11" s="60"/>
      <c r="PN11" s="60"/>
      <c r="PO11" s="60"/>
      <c r="PP11" s="60"/>
      <c r="PQ11" s="60"/>
      <c r="PR11" s="60"/>
      <c r="PS11" s="60"/>
      <c r="PT11" s="60"/>
      <c r="PU11" s="60"/>
      <c r="PV11" s="60"/>
      <c r="PW11" s="60"/>
      <c r="PX11" s="60"/>
      <c r="PY11" s="60"/>
      <c r="PZ11" s="60"/>
      <c r="QA11" s="60"/>
      <c r="QB11" s="60"/>
      <c r="QC11" s="60"/>
      <c r="QD11" s="60"/>
      <c r="QE11" s="60"/>
      <c r="QF11" s="60"/>
      <c r="QG11" s="60"/>
      <c r="QH11" s="60"/>
      <c r="QI11" s="60"/>
      <c r="QJ11" s="60"/>
      <c r="QK11" s="60"/>
      <c r="QL11" s="60"/>
      <c r="QM11" s="60"/>
      <c r="QN11" s="60"/>
      <c r="QO11" s="60"/>
      <c r="QP11" s="60"/>
      <c r="QQ11" s="60"/>
      <c r="QR11" s="60"/>
      <c r="QS11" s="60"/>
      <c r="QT11" s="60"/>
      <c r="QU11" s="60"/>
      <c r="QV11" s="60"/>
      <c r="QW11" s="60"/>
      <c r="QX11" s="60"/>
      <c r="QY11" s="60"/>
      <c r="QZ11" s="60"/>
      <c r="RA11" s="60"/>
      <c r="RB11" s="60"/>
      <c r="RC11" s="60"/>
      <c r="RD11" s="60"/>
      <c r="RE11" s="60"/>
      <c r="RF11" s="60"/>
      <c r="RG11" s="60"/>
      <c r="RH11" s="60"/>
      <c r="RI11" s="60"/>
      <c r="RJ11" s="60"/>
      <c r="RK11" s="60"/>
      <c r="RL11" s="60"/>
      <c r="RM11" s="60"/>
      <c r="RN11" s="60"/>
      <c r="RO11" s="60"/>
      <c r="RP11" s="60"/>
      <c r="RQ11" s="60"/>
      <c r="RR11" s="60"/>
      <c r="RS11" s="60"/>
      <c r="RT11" s="60"/>
      <c r="RU11" s="60"/>
      <c r="RV11" s="60"/>
      <c r="RW11" s="60"/>
      <c r="RX11" s="60"/>
      <c r="RY11" s="60"/>
      <c r="RZ11" s="60"/>
      <c r="SA11" s="60"/>
      <c r="SB11" s="60"/>
      <c r="SC11" s="60"/>
      <c r="SD11" s="60"/>
      <c r="SE11" s="60"/>
      <c r="SF11" s="60"/>
      <c r="SG11" s="60"/>
      <c r="SH11" s="60"/>
      <c r="SI11" s="60"/>
      <c r="SJ11" s="60"/>
      <c r="SK11" s="60"/>
      <c r="SL11" s="60"/>
      <c r="SM11" s="60"/>
      <c r="SN11" s="60"/>
      <c r="SO11" s="60"/>
      <c r="SP11" s="60"/>
      <c r="SQ11" s="60"/>
      <c r="SR11" s="60"/>
      <c r="SS11" s="60"/>
      <c r="ST11" s="60"/>
      <c r="SU11" s="60"/>
      <c r="SV11" s="60"/>
      <c r="SW11" s="60"/>
      <c r="SX11" s="60"/>
      <c r="SY11" s="60"/>
      <c r="SZ11" s="60"/>
      <c r="TA11" s="60"/>
      <c r="TB11" s="60"/>
      <c r="TC11" s="60"/>
      <c r="TD11" s="60"/>
      <c r="TE11" s="60"/>
      <c r="TF11" s="60"/>
      <c r="TG11" s="60"/>
      <c r="TH11" s="60"/>
      <c r="TI11" s="60"/>
      <c r="TJ11" s="60"/>
      <c r="TK11" s="60"/>
      <c r="TL11" s="60"/>
      <c r="TM11" s="60"/>
      <c r="TN11" s="60"/>
      <c r="TO11" s="60"/>
      <c r="TP11" s="60"/>
      <c r="TQ11" s="60"/>
      <c r="TR11" s="60"/>
      <c r="TS11" s="60"/>
      <c r="TT11" s="60"/>
      <c r="TU11" s="60"/>
      <c r="TV11" s="60"/>
      <c r="TW11" s="60"/>
      <c r="TX11" s="60"/>
      <c r="TY11" s="60"/>
      <c r="TZ11" s="60"/>
      <c r="UA11" s="60"/>
      <c r="UB11" s="60"/>
      <c r="UC11" s="60"/>
      <c r="UD11" s="60"/>
      <c r="UE11" s="60"/>
      <c r="UF11" s="60"/>
      <c r="UG11" s="60"/>
      <c r="UH11" s="60"/>
      <c r="UI11" s="60"/>
      <c r="UJ11" s="60"/>
      <c r="UK11" s="60"/>
      <c r="UL11" s="60"/>
      <c r="UM11" s="60"/>
      <c r="UN11" s="60"/>
      <c r="UO11" s="60"/>
      <c r="UP11" s="60"/>
      <c r="UQ11" s="60"/>
      <c r="UR11" s="60"/>
      <c r="US11" s="60"/>
      <c r="UT11" s="60"/>
      <c r="UU11" s="60"/>
      <c r="UV11" s="60"/>
      <c r="UW11" s="60"/>
      <c r="UX11" s="60"/>
      <c r="UY11" s="60"/>
      <c r="UZ11" s="60"/>
      <c r="VA11" s="60"/>
      <c r="VB11" s="60"/>
      <c r="VC11" s="60"/>
      <c r="VD11" s="60"/>
      <c r="VE11" s="60"/>
      <c r="VF11" s="60"/>
      <c r="VG11" s="60"/>
      <c r="VH11" s="60"/>
      <c r="VI11" s="60"/>
      <c r="VJ11" s="60"/>
      <c r="VK11" s="60"/>
      <c r="VL11" s="60"/>
      <c r="VM11" s="60"/>
      <c r="VN11" s="60"/>
      <c r="VO11" s="60"/>
      <c r="VP11" s="60"/>
      <c r="VQ11" s="60"/>
      <c r="VR11" s="60"/>
      <c r="VS11" s="60"/>
      <c r="VT11" s="60"/>
      <c r="VU11" s="60"/>
      <c r="VV11" s="60"/>
      <c r="VW11" s="60"/>
      <c r="VX11" s="60"/>
      <c r="VY11" s="60"/>
      <c r="VZ11" s="60"/>
      <c r="WA11" s="60"/>
      <c r="WB11" s="60"/>
      <c r="WC11" s="60"/>
      <c r="WD11" s="60"/>
      <c r="WE11" s="60"/>
      <c r="WF11" s="60"/>
      <c r="WG11" s="60"/>
      <c r="WH11" s="60"/>
      <c r="WI11" s="60"/>
      <c r="WJ11" s="60"/>
      <c r="WK11" s="60"/>
      <c r="WL11" s="60"/>
      <c r="WM11" s="60"/>
      <c r="WN11" s="60"/>
      <c r="WO11" s="60"/>
      <c r="WP11" s="60"/>
      <c r="WQ11" s="60"/>
      <c r="WR11" s="60"/>
      <c r="WS11" s="60"/>
      <c r="WT11" s="60"/>
      <c r="WU11" s="60"/>
      <c r="WV11" s="60"/>
      <c r="WW11" s="60"/>
      <c r="WX11" s="60"/>
      <c r="WY11" s="60"/>
      <c r="WZ11" s="60"/>
      <c r="XA11" s="60"/>
      <c r="XB11" s="60"/>
      <c r="XC11" s="60"/>
      <c r="XD11" s="60"/>
      <c r="XE11" s="60"/>
      <c r="XF11" s="60"/>
      <c r="XG11" s="60"/>
      <c r="XH11" s="60"/>
      <c r="XI11" s="60"/>
      <c r="XJ11" s="60"/>
      <c r="XK11" s="60"/>
      <c r="XL11" s="60"/>
      <c r="XM11" s="60"/>
      <c r="XN11" s="60"/>
      <c r="XO11" s="60"/>
      <c r="XP11" s="60"/>
      <c r="XQ11" s="60"/>
      <c r="XR11" s="60"/>
      <c r="XS11" s="60"/>
      <c r="XT11" s="60"/>
      <c r="XU11" s="60"/>
      <c r="XV11" s="60"/>
      <c r="XW11" s="60"/>
      <c r="XX11" s="60"/>
      <c r="XY11" s="60"/>
      <c r="XZ11" s="60"/>
      <c r="YA11" s="60"/>
      <c r="YB11" s="60"/>
      <c r="YC11" s="60"/>
      <c r="YD11" s="60"/>
      <c r="YE11" s="60"/>
      <c r="YF11" s="60"/>
      <c r="YG11" s="60"/>
      <c r="YH11" s="60"/>
      <c r="YI11" s="60"/>
      <c r="YJ11" s="60"/>
      <c r="YK11" s="60"/>
      <c r="YL11" s="60"/>
      <c r="YM11" s="60"/>
      <c r="YN11" s="60"/>
      <c r="YO11" s="60"/>
      <c r="YP11" s="60"/>
      <c r="YQ11" s="60"/>
      <c r="YR11" s="60"/>
      <c r="YS11" s="60"/>
      <c r="YT11" s="60"/>
      <c r="YU11" s="60"/>
      <c r="YV11" s="60"/>
      <c r="YW11" s="60"/>
      <c r="YX11" s="60"/>
      <c r="YY11" s="60"/>
      <c r="YZ11" s="60"/>
      <c r="ZA11" s="60"/>
      <c r="ZB11" s="60"/>
      <c r="ZC11" s="60"/>
      <c r="ZD11" s="60"/>
      <c r="ZE11" s="60"/>
      <c r="ZF11" s="60"/>
      <c r="ZG11" s="60"/>
      <c r="ZH11" s="60"/>
      <c r="ZI11" s="60"/>
      <c r="ZJ11" s="60"/>
      <c r="ZK11" s="60"/>
      <c r="ZL11" s="60"/>
      <c r="ZM11" s="60"/>
      <c r="ZN11" s="60"/>
      <c r="ZO11" s="60"/>
      <c r="ZP11" s="60"/>
      <c r="ZQ11" s="60"/>
      <c r="ZR11" s="60"/>
      <c r="ZS11" s="60"/>
      <c r="ZT11" s="60"/>
      <c r="ZU11" s="60"/>
      <c r="ZV11" s="60"/>
      <c r="ZW11" s="60"/>
      <c r="ZX11" s="60"/>
      <c r="ZY11" s="60"/>
      <c r="ZZ11" s="60"/>
      <c r="AAA11" s="60"/>
      <c r="AAB11" s="60"/>
      <c r="AAC11" s="60"/>
      <c r="AAD11" s="60"/>
      <c r="AAE11" s="60"/>
      <c r="AAF11" s="60"/>
      <c r="AAG11" s="60"/>
      <c r="AAH11" s="60"/>
      <c r="AAI11" s="60"/>
      <c r="AAJ11" s="60"/>
      <c r="AAK11" s="60"/>
      <c r="AAL11" s="60"/>
      <c r="AAM11" s="60"/>
      <c r="AAN11" s="60"/>
      <c r="AAO11" s="60"/>
      <c r="AAP11" s="60"/>
      <c r="AAQ11" s="60"/>
      <c r="AAR11" s="60"/>
      <c r="AAS11" s="60"/>
      <c r="AAT11" s="60"/>
      <c r="AAU11" s="60"/>
      <c r="AAV11" s="60"/>
      <c r="AAW11" s="60"/>
      <c r="AAX11" s="60"/>
      <c r="AAY11" s="60"/>
      <c r="AAZ11" s="60"/>
      <c r="ABA11" s="60"/>
      <c r="ABB11" s="60"/>
      <c r="ABC11" s="60"/>
      <c r="ABD11" s="60"/>
      <c r="ABE11" s="60"/>
      <c r="ABF11" s="60"/>
      <c r="ABG11" s="60"/>
      <c r="ABH11" s="60"/>
      <c r="ABI11" s="60"/>
      <c r="ABJ11" s="60"/>
      <c r="ABK11" s="60"/>
      <c r="ABL11" s="60"/>
      <c r="ABM11" s="60"/>
      <c r="ABN11" s="60"/>
      <c r="ABO11" s="60"/>
      <c r="ABP11" s="60"/>
      <c r="ABQ11" s="60"/>
      <c r="ABR11" s="60"/>
      <c r="ABS11" s="60"/>
      <c r="ABT11" s="60"/>
      <c r="ABU11" s="60"/>
      <c r="ABV11" s="60"/>
      <c r="ABW11" s="60"/>
      <c r="ABX11" s="60"/>
      <c r="ABY11" s="60"/>
      <c r="ABZ11" s="60"/>
      <c r="ACA11" s="60"/>
      <c r="ACB11" s="60"/>
      <c r="ACC11" s="60"/>
      <c r="ACD11" s="60"/>
      <c r="ACE11" s="60"/>
      <c r="ACF11" s="60"/>
      <c r="ACG11" s="60"/>
      <c r="ACH11" s="60"/>
      <c r="ACI11" s="60"/>
      <c r="ACJ11" s="60"/>
      <c r="ACK11" s="60"/>
      <c r="ACL11" s="60"/>
      <c r="ACM11" s="60"/>
      <c r="ACN11" s="60"/>
      <c r="ACO11" s="60"/>
      <c r="ACP11" s="60"/>
      <c r="ACQ11" s="60"/>
      <c r="ACR11" s="60"/>
      <c r="ACS11" s="60"/>
      <c r="ACT11" s="60"/>
      <c r="ACU11" s="60"/>
      <c r="ACV11" s="60"/>
      <c r="ACW11" s="60"/>
      <c r="ACX11" s="60"/>
      <c r="ACY11" s="60"/>
      <c r="ACZ11" s="60"/>
      <c r="ADA11" s="60"/>
      <c r="ADB11" s="60"/>
      <c r="ADC11" s="60"/>
      <c r="ADD11" s="60"/>
      <c r="ADE11" s="60"/>
      <c r="ADF11" s="60"/>
      <c r="ADG11" s="60"/>
      <c r="ADH11" s="60"/>
      <c r="ADI11" s="60"/>
      <c r="ADJ11" s="60"/>
      <c r="ADK11" s="60"/>
      <c r="ADL11" s="60"/>
      <c r="ADM11" s="60"/>
      <c r="ADN11" s="60"/>
      <c r="ADO11" s="60"/>
      <c r="ADP11" s="60"/>
      <c r="ADQ11" s="60"/>
      <c r="ADR11" s="60"/>
      <c r="ADS11" s="60"/>
      <c r="ADT11" s="60"/>
      <c r="ADU11" s="60"/>
      <c r="ADV11" s="60"/>
      <c r="ADW11" s="60"/>
      <c r="ADX11" s="60"/>
      <c r="ADY11" s="60"/>
      <c r="ADZ11" s="60"/>
      <c r="AEA11" s="60"/>
      <c r="AEB11" s="60"/>
      <c r="AEC11" s="60"/>
      <c r="AED11" s="60"/>
      <c r="AEE11" s="60"/>
      <c r="AEF11" s="60"/>
      <c r="AEG11" s="60"/>
      <c r="AEH11" s="60"/>
      <c r="AEI11" s="60"/>
      <c r="AEJ11" s="60"/>
      <c r="AEK11" s="60"/>
      <c r="AEL11" s="60"/>
      <c r="AEM11" s="60"/>
      <c r="AEN11" s="60"/>
      <c r="AEO11" s="60"/>
      <c r="AEP11" s="60"/>
      <c r="AEQ11" s="60"/>
      <c r="AER11" s="60"/>
      <c r="AES11" s="60"/>
      <c r="AET11" s="60"/>
      <c r="AEU11" s="60"/>
      <c r="AEV11" s="60"/>
      <c r="AEW11" s="60"/>
      <c r="AEX11" s="60"/>
      <c r="AEY11" s="60"/>
      <c r="AEZ11" s="60"/>
      <c r="AFA11" s="60"/>
      <c r="AFB11" s="60"/>
      <c r="AFC11" s="60"/>
      <c r="AFD11" s="60"/>
      <c r="AFE11" s="60"/>
      <c r="AFF11" s="60"/>
      <c r="AFG11" s="60"/>
      <c r="AFH11" s="60"/>
      <c r="AFI11" s="60"/>
      <c r="AFJ11" s="60"/>
      <c r="AFK11" s="60"/>
      <c r="AFL11" s="60"/>
      <c r="AFM11" s="60"/>
      <c r="AFN11" s="60"/>
      <c r="AFO11" s="60"/>
      <c r="AFP11" s="60"/>
      <c r="AFQ11" s="60"/>
      <c r="AFR11" s="60"/>
      <c r="AFS11" s="60"/>
      <c r="AFT11" s="60"/>
      <c r="AFU11" s="60"/>
      <c r="AFV11" s="60"/>
      <c r="AFW11" s="60"/>
      <c r="AFX11" s="60"/>
      <c r="AFY11" s="60"/>
      <c r="AFZ11" s="60"/>
      <c r="AGA11" s="60"/>
      <c r="AGB11" s="60"/>
      <c r="AGC11" s="60"/>
      <c r="AGD11" s="60"/>
      <c r="AGE11" s="60"/>
      <c r="AGF11" s="60"/>
      <c r="AGG11" s="60"/>
      <c r="AGH11" s="60"/>
      <c r="AGI11" s="60"/>
      <c r="AGJ11" s="60"/>
      <c r="AGK11" s="60"/>
      <c r="AGL11" s="60"/>
      <c r="AGM11" s="60"/>
      <c r="AGN11" s="60"/>
      <c r="AGO11" s="60"/>
      <c r="AGP11" s="60"/>
      <c r="AGQ11" s="60"/>
      <c r="AGR11" s="60"/>
      <c r="AGS11" s="60"/>
      <c r="AGT11" s="60"/>
      <c r="AGU11" s="60"/>
      <c r="AGV11" s="60"/>
      <c r="AGW11" s="60"/>
      <c r="AGX11" s="60"/>
      <c r="AGY11" s="60"/>
      <c r="AGZ11" s="60"/>
      <c r="AHA11" s="60"/>
      <c r="AHB11" s="60"/>
      <c r="AHC11" s="60"/>
      <c r="AHD11" s="60"/>
      <c r="AHE11" s="60"/>
      <c r="AHF11" s="60"/>
      <c r="AHG11" s="60"/>
      <c r="AHH11" s="60"/>
      <c r="AHI11" s="60"/>
      <c r="AHJ11" s="60"/>
      <c r="AHK11" s="60"/>
      <c r="AHL11" s="60"/>
      <c r="AHM11" s="60"/>
      <c r="AHN11" s="60"/>
      <c r="AHO11" s="60"/>
      <c r="AHP11" s="60"/>
      <c r="AHQ11" s="60"/>
      <c r="AHR11" s="60"/>
      <c r="AHS11" s="60"/>
      <c r="AHT11" s="60"/>
      <c r="AHU11" s="60"/>
      <c r="AHV11" s="60"/>
      <c r="AHW11" s="60"/>
      <c r="AHX11" s="60"/>
      <c r="AHY11" s="60"/>
      <c r="AHZ11" s="60"/>
      <c r="AIA11" s="60"/>
      <c r="AIB11" s="60"/>
      <c r="AIC11" s="60"/>
      <c r="AID11" s="60"/>
      <c r="AIE11" s="60"/>
      <c r="AIF11" s="60"/>
      <c r="AIG11" s="60"/>
      <c r="AIH11" s="60"/>
      <c r="AII11" s="60"/>
      <c r="AIJ11" s="60"/>
      <c r="AIK11" s="60"/>
      <c r="AIL11" s="60"/>
      <c r="AIM11" s="60"/>
      <c r="AIN11" s="60"/>
      <c r="AIO11" s="60"/>
      <c r="AIP11" s="60"/>
      <c r="AIQ11" s="60"/>
      <c r="AIR11" s="60"/>
      <c r="AIS11" s="60"/>
      <c r="AIT11" s="60"/>
      <c r="AIU11" s="60"/>
      <c r="AIV11" s="60"/>
      <c r="AIW11" s="60"/>
      <c r="AIX11" s="60"/>
      <c r="AIY11" s="60"/>
      <c r="AIZ11" s="60"/>
      <c r="AJA11" s="60"/>
      <c r="AJB11" s="60"/>
      <c r="AJC11" s="60"/>
      <c r="AJD11" s="60"/>
      <c r="AJE11" s="60"/>
      <c r="AJF11" s="60"/>
      <c r="AJG11" s="60"/>
      <c r="AJH11" s="60"/>
      <c r="AJI11" s="60"/>
      <c r="AJJ11" s="60"/>
      <c r="AJK11" s="60"/>
      <c r="AJL11" s="60"/>
      <c r="AJM11" s="60"/>
      <c r="AJN11" s="60"/>
      <c r="AJO11" s="60"/>
      <c r="AJP11" s="60"/>
      <c r="AJQ11" s="60"/>
      <c r="AJR11" s="60"/>
      <c r="AJS11" s="60"/>
      <c r="AJT11" s="60"/>
      <c r="AJU11" s="60"/>
      <c r="AJV11" s="60"/>
      <c r="AJW11" s="60"/>
      <c r="AJX11" s="60"/>
      <c r="AJY11" s="60"/>
      <c r="AJZ11" s="60"/>
      <c r="AKA11" s="60"/>
      <c r="AKB11" s="60"/>
      <c r="AKC11" s="60"/>
      <c r="AKD11" s="60"/>
      <c r="AKE11" s="60"/>
      <c r="AKF11" s="60"/>
      <c r="AKG11" s="60"/>
      <c r="AKH11" s="60"/>
      <c r="AKI11" s="60"/>
      <c r="AKJ11" s="60"/>
      <c r="AKK11" s="60"/>
      <c r="AKL11" s="60"/>
      <c r="AKM11" s="60"/>
      <c r="AKN11" s="60"/>
      <c r="AKO11" s="60"/>
      <c r="AKP11" s="60"/>
      <c r="AKQ11" s="60"/>
      <c r="AKR11" s="60"/>
      <c r="AKS11" s="60"/>
      <c r="AKT11" s="60"/>
      <c r="AKU11" s="60"/>
      <c r="AKV11" s="60"/>
      <c r="AKW11" s="60"/>
      <c r="AKX11" s="60"/>
      <c r="AKY11" s="60"/>
      <c r="AKZ11" s="60"/>
      <c r="ALA11" s="60"/>
      <c r="ALB11" s="60"/>
      <c r="ALC11" s="60"/>
      <c r="ALD11" s="60"/>
      <c r="ALE11" s="60"/>
      <c r="ALF11" s="60"/>
      <c r="ALG11" s="60"/>
      <c r="ALH11" s="60"/>
      <c r="ALI11" s="60"/>
      <c r="ALJ11" s="60"/>
      <c r="ALK11" s="60"/>
      <c r="ALL11" s="60"/>
      <c r="ALM11" s="60"/>
      <c r="ALN11" s="60"/>
      <c r="ALO11" s="60"/>
      <c r="ALP11" s="60"/>
      <c r="ALQ11" s="60"/>
      <c r="ALR11" s="60"/>
      <c r="ALS11" s="60"/>
      <c r="ALT11" s="60"/>
      <c r="ALU11" s="60"/>
      <c r="ALV11" s="60"/>
      <c r="ALW11" s="60"/>
      <c r="ALX11" s="60"/>
      <c r="ALY11" s="60"/>
      <c r="ALZ11" s="60"/>
      <c r="AMA11" s="60"/>
      <c r="AMB11" s="60"/>
      <c r="AMC11" s="60"/>
      <c r="AMD11" s="60"/>
      <c r="AME11" s="60"/>
      <c r="AMF11" s="60"/>
      <c r="AMG11" s="60"/>
      <c r="AMH11" s="60"/>
      <c r="AMI11" s="60"/>
      <c r="AMJ11" s="60"/>
      <c r="AMK11" s="60"/>
      <c r="AML11" s="60"/>
      <c r="AMM11" s="60"/>
      <c r="AMN11" s="60"/>
      <c r="AMO11" s="60"/>
      <c r="AMP11" s="60"/>
      <c r="AMQ11" s="60"/>
      <c r="AMR11" s="60"/>
      <c r="AMS11" s="60"/>
      <c r="AMT11" s="60"/>
      <c r="AMU11" s="60"/>
      <c r="AMV11" s="60"/>
      <c r="AMW11" s="60"/>
      <c r="AMX11" s="60"/>
      <c r="AMY11" s="60"/>
      <c r="AMZ11" s="60"/>
      <c r="ANA11" s="60"/>
      <c r="ANB11" s="60"/>
      <c r="ANC11" s="60"/>
      <c r="AND11" s="60"/>
      <c r="ANE11" s="60"/>
      <c r="ANF11" s="60"/>
      <c r="ANG11" s="60"/>
      <c r="ANH11" s="60"/>
      <c r="ANI11" s="60"/>
      <c r="ANJ11" s="60"/>
      <c r="ANK11" s="60"/>
      <c r="ANL11" s="60"/>
      <c r="ANM11" s="60"/>
      <c r="ANN11" s="60"/>
      <c r="ANO11" s="60"/>
      <c r="ANP11" s="60"/>
      <c r="ANQ11" s="60"/>
      <c r="ANR11" s="60"/>
      <c r="ANS11" s="60"/>
      <c r="ANT11" s="60"/>
      <c r="ANU11" s="60"/>
      <c r="ANV11" s="60"/>
      <c r="ANW11" s="60"/>
      <c r="ANX11" s="60"/>
      <c r="ANY11" s="60"/>
      <c r="ANZ11" s="60"/>
      <c r="AOA11" s="60"/>
      <c r="AOB11" s="60"/>
      <c r="AOC11" s="60"/>
      <c r="AOD11" s="60"/>
      <c r="AOE11" s="60"/>
      <c r="AOF11" s="60"/>
      <c r="AOG11" s="60"/>
      <c r="AOH11" s="60"/>
      <c r="AOI11" s="60"/>
      <c r="AOJ11" s="60"/>
      <c r="AOK11" s="60"/>
      <c r="AOL11" s="60"/>
      <c r="AOM11" s="60"/>
      <c r="AON11" s="60"/>
      <c r="AOO11" s="60"/>
      <c r="AOP11" s="60"/>
      <c r="AOQ11" s="60"/>
      <c r="AOR11" s="60"/>
      <c r="AOS11" s="60"/>
      <c r="AOT11" s="60"/>
      <c r="AOU11" s="60"/>
      <c r="AOV11" s="60"/>
      <c r="AOW11" s="60"/>
      <c r="AOX11" s="60"/>
      <c r="AOY11" s="60"/>
      <c r="AOZ11" s="60"/>
      <c r="APA11" s="60"/>
      <c r="APB11" s="60"/>
      <c r="APC11" s="60"/>
      <c r="APD11" s="60"/>
      <c r="APE11" s="60"/>
      <c r="APF11" s="60"/>
      <c r="APG11" s="60"/>
      <c r="APH11" s="60"/>
      <c r="API11" s="60"/>
      <c r="APJ11" s="60"/>
      <c r="APK11" s="60"/>
      <c r="APL11" s="60"/>
      <c r="APM11" s="60"/>
      <c r="APN11" s="60"/>
      <c r="APO11" s="60"/>
      <c r="APP11" s="60"/>
      <c r="APQ11" s="60"/>
      <c r="APR11" s="60"/>
      <c r="APS11" s="60"/>
      <c r="APT11" s="60"/>
      <c r="APU11" s="60"/>
      <c r="APV11" s="60"/>
      <c r="APW11" s="60"/>
      <c r="APX11" s="60"/>
      <c r="APY11" s="60"/>
      <c r="APZ11" s="60"/>
      <c r="AQA11" s="60"/>
      <c r="AQB11" s="60"/>
      <c r="AQC11" s="60"/>
      <c r="AQD11" s="60"/>
      <c r="AQE11" s="60"/>
      <c r="AQF11" s="60"/>
      <c r="AQG11" s="60"/>
      <c r="AQH11" s="60"/>
      <c r="AQI11" s="60"/>
      <c r="AQJ11" s="60"/>
      <c r="AQK11" s="60"/>
      <c r="AQL11" s="60"/>
      <c r="AQM11" s="60"/>
      <c r="AQN11" s="60"/>
      <c r="AQO11" s="60"/>
      <c r="AQP11" s="60"/>
      <c r="AQQ11" s="60"/>
      <c r="AQR11" s="60"/>
      <c r="AQS11" s="60"/>
      <c r="AQT11" s="60"/>
      <c r="AQU11" s="60"/>
      <c r="AQV11" s="60"/>
      <c r="AQW11" s="60"/>
      <c r="AQX11" s="60"/>
      <c r="AQY11" s="60"/>
      <c r="AQZ11" s="60"/>
      <c r="ARA11" s="60"/>
      <c r="ARB11" s="60"/>
      <c r="ARC11" s="60"/>
      <c r="ARD11" s="60"/>
      <c r="ARE11" s="60"/>
      <c r="ARF11" s="60"/>
      <c r="ARG11" s="60"/>
      <c r="ARH11" s="60"/>
      <c r="ARI11" s="60"/>
      <c r="ARJ11" s="60"/>
      <c r="ARK11" s="60"/>
      <c r="ARL11" s="60"/>
      <c r="ARM11" s="60"/>
      <c r="ARN11" s="60"/>
      <c r="ARO11" s="60"/>
      <c r="ARP11" s="60"/>
      <c r="ARQ11" s="60"/>
      <c r="ARR11" s="60"/>
      <c r="ARS11" s="60"/>
      <c r="ART11" s="60"/>
      <c r="ARU11" s="60"/>
      <c r="ARV11" s="60"/>
      <c r="ARW11" s="60"/>
      <c r="ARX11" s="60"/>
      <c r="ARY11" s="60"/>
      <c r="ARZ11" s="60"/>
      <c r="ASA11" s="60"/>
      <c r="ASB11" s="60"/>
      <c r="ASC11" s="60"/>
      <c r="ASD11" s="60"/>
      <c r="ASE11" s="60"/>
      <c r="ASF11" s="60"/>
      <c r="ASG11" s="60"/>
      <c r="ASH11" s="60"/>
      <c r="ASI11" s="60"/>
      <c r="ASJ11" s="60"/>
      <c r="ASK11" s="60"/>
      <c r="ASL11" s="60"/>
      <c r="ASM11" s="60"/>
      <c r="ASN11" s="60"/>
      <c r="ASO11" s="60"/>
      <c r="ASP11" s="60"/>
      <c r="ASQ11" s="60"/>
      <c r="ASR11" s="60"/>
      <c r="ASS11" s="60"/>
      <c r="AST11" s="60"/>
      <c r="ASU11" s="60"/>
      <c r="ASV11" s="60"/>
      <c r="ASW11" s="60"/>
      <c r="ASX11" s="60"/>
      <c r="ASY11" s="60"/>
      <c r="ASZ11" s="60"/>
      <c r="ATA11" s="60"/>
      <c r="ATB11" s="60"/>
      <c r="ATC11" s="60"/>
      <c r="ATD11" s="60"/>
      <c r="ATE11" s="60"/>
      <c r="ATF11" s="60"/>
      <c r="ATG11" s="60"/>
      <c r="ATH11" s="60"/>
      <c r="ATI11" s="60"/>
      <c r="ATJ11" s="60"/>
      <c r="ATK11" s="60"/>
      <c r="ATL11" s="60"/>
      <c r="ATM11" s="60"/>
      <c r="ATN11" s="60"/>
      <c r="ATO11" s="60"/>
      <c r="ATP11" s="60"/>
      <c r="ATQ11" s="60"/>
      <c r="ATR11" s="60"/>
      <c r="ATS11" s="60"/>
      <c r="ATT11" s="60"/>
      <c r="ATU11" s="60"/>
      <c r="ATV11" s="60"/>
      <c r="ATW11" s="60"/>
      <c r="ATX11" s="60"/>
      <c r="ATY11" s="60"/>
      <c r="ATZ11" s="60"/>
      <c r="AUA11" s="60"/>
      <c r="AUB11" s="60"/>
      <c r="AUC11" s="60"/>
      <c r="AUD11" s="60"/>
      <c r="AUE11" s="60"/>
      <c r="AUF11" s="60"/>
      <c r="AUG11" s="60"/>
      <c r="AUH11" s="60"/>
      <c r="AUI11" s="60"/>
      <c r="AUJ11" s="60"/>
      <c r="AUK11" s="60"/>
      <c r="AUL11" s="60"/>
      <c r="AUM11" s="60"/>
      <c r="AUN11" s="60"/>
      <c r="AUO11" s="60"/>
      <c r="AUP11" s="60"/>
      <c r="AUQ11" s="60"/>
      <c r="AUR11" s="60"/>
      <c r="AUS11" s="60"/>
      <c r="AUT11" s="60"/>
      <c r="AUU11" s="60"/>
      <c r="AUV11" s="60"/>
      <c r="AUW11" s="60"/>
      <c r="AUX11" s="60"/>
      <c r="AUY11" s="60"/>
      <c r="AUZ11" s="60"/>
      <c r="AVA11" s="60"/>
      <c r="AVB11" s="60"/>
      <c r="AVC11" s="60"/>
      <c r="AVD11" s="60"/>
      <c r="AVE11" s="60"/>
      <c r="AVF11" s="60"/>
      <c r="AVG11" s="60"/>
      <c r="AVH11" s="60"/>
      <c r="AVI11" s="60"/>
      <c r="AVJ11" s="60"/>
      <c r="AVK11" s="60"/>
      <c r="AVL11" s="60"/>
      <c r="AVM11" s="60"/>
      <c r="AVN11" s="60"/>
      <c r="AVO11" s="60"/>
      <c r="AVP11" s="60"/>
      <c r="AVQ11" s="60"/>
      <c r="AVR11" s="60"/>
      <c r="AVS11" s="60"/>
      <c r="AVT11" s="60"/>
      <c r="AVU11" s="60"/>
      <c r="AVV11" s="60"/>
      <c r="AVW11" s="60"/>
      <c r="AVX11" s="60"/>
      <c r="AVY11" s="60"/>
      <c r="AVZ11" s="60"/>
      <c r="AWA11" s="60"/>
      <c r="AWB11" s="60"/>
      <c r="AWC11" s="60"/>
      <c r="AWD11" s="60"/>
      <c r="AWE11" s="60"/>
      <c r="AWF11" s="60"/>
      <c r="AWG11" s="60"/>
      <c r="AWH11" s="60"/>
      <c r="AWI11" s="60"/>
      <c r="AWJ11" s="60"/>
      <c r="AWK11" s="60"/>
      <c r="AWL11" s="60"/>
      <c r="AWM11" s="60"/>
      <c r="AWN11" s="60"/>
      <c r="AWO11" s="60"/>
      <c r="AWP11" s="60"/>
      <c r="AWQ11" s="60"/>
      <c r="AWR11" s="60"/>
      <c r="AWS11" s="60"/>
      <c r="AWT11" s="60"/>
      <c r="AWU11" s="60"/>
      <c r="AWV11" s="60"/>
      <c r="AWW11" s="60"/>
      <c r="AWX11" s="60"/>
      <c r="AWY11" s="60"/>
      <c r="AWZ11" s="60"/>
      <c r="AXA11" s="60"/>
      <c r="AXB11" s="60"/>
      <c r="AXC11" s="60"/>
      <c r="AXD11" s="60"/>
      <c r="AXE11" s="60"/>
      <c r="AXF11" s="60"/>
      <c r="AXG11" s="60"/>
      <c r="AXH11" s="60"/>
      <c r="AXI11" s="60"/>
      <c r="AXJ11" s="60"/>
      <c r="AXK11" s="60"/>
      <c r="AXL11" s="60"/>
      <c r="AXM11" s="60"/>
      <c r="AXN11" s="60"/>
      <c r="AXO11" s="60"/>
      <c r="AXP11" s="60"/>
      <c r="AXQ11" s="60"/>
      <c r="AXR11" s="60"/>
      <c r="AXS11" s="60"/>
      <c r="AXT11" s="60"/>
      <c r="AXU11" s="60"/>
      <c r="AXV11" s="60"/>
      <c r="AXW11" s="60"/>
      <c r="AXX11" s="60"/>
      <c r="AXY11" s="60"/>
      <c r="AXZ11" s="60"/>
      <c r="AYA11" s="60"/>
      <c r="AYB11" s="60"/>
      <c r="AYC11" s="60"/>
      <c r="AYD11" s="60"/>
      <c r="AYE11" s="60"/>
      <c r="AYF11" s="60"/>
      <c r="AYG11" s="60"/>
      <c r="AYH11" s="60"/>
      <c r="AYI11" s="60"/>
      <c r="AYJ11" s="60"/>
      <c r="AYK11" s="60"/>
      <c r="AYL11" s="60"/>
      <c r="AYM11" s="60"/>
      <c r="AYN11" s="60"/>
      <c r="AYO11" s="60"/>
      <c r="AYP11" s="60"/>
      <c r="AYQ11" s="60"/>
      <c r="AYR11" s="60"/>
      <c r="AYS11" s="60"/>
      <c r="AYT11" s="60"/>
      <c r="AYU11" s="60"/>
      <c r="AYV11" s="60"/>
      <c r="AYW11" s="60"/>
      <c r="AYX11" s="60"/>
      <c r="AYY11" s="60"/>
      <c r="AYZ11" s="60"/>
      <c r="AZA11" s="60"/>
      <c r="AZB11" s="60"/>
      <c r="AZC11" s="60"/>
      <c r="AZD11" s="60"/>
      <c r="AZE11" s="60"/>
      <c r="AZF11" s="60"/>
      <c r="AZG11" s="60"/>
      <c r="AZH11" s="60"/>
      <c r="AZI11" s="60"/>
      <c r="AZJ11" s="60"/>
      <c r="AZK11" s="60"/>
      <c r="AZL11" s="60"/>
      <c r="AZM11" s="60"/>
      <c r="AZN11" s="60"/>
      <c r="AZO11" s="60"/>
      <c r="AZP11" s="60"/>
      <c r="AZQ11" s="60"/>
      <c r="AZR11" s="60"/>
      <c r="AZS11" s="60"/>
      <c r="AZT11" s="60"/>
      <c r="AZU11" s="60"/>
      <c r="AZV11" s="60"/>
      <c r="AZW11" s="60"/>
      <c r="AZX11" s="60"/>
      <c r="AZY11" s="60"/>
      <c r="AZZ11" s="60"/>
      <c r="BAA11" s="60"/>
      <c r="BAB11" s="60"/>
      <c r="BAC11" s="60"/>
      <c r="BAD11" s="60"/>
      <c r="BAE11" s="60"/>
      <c r="BAF11" s="60"/>
      <c r="BAG11" s="60"/>
      <c r="BAH11" s="60"/>
      <c r="BAI11" s="60"/>
      <c r="BAJ11" s="60"/>
      <c r="BAK11" s="60"/>
      <c r="BAL11" s="60"/>
      <c r="BAM11" s="60"/>
      <c r="BAN11" s="60"/>
      <c r="BAO11" s="60"/>
      <c r="BAP11" s="60"/>
      <c r="BAQ11" s="60"/>
      <c r="BAR11" s="60"/>
      <c r="BAS11" s="60"/>
      <c r="BAT11" s="60"/>
      <c r="BAU11" s="60"/>
      <c r="BAV11" s="60"/>
      <c r="BAW11" s="60"/>
      <c r="BAX11" s="60"/>
      <c r="BAY11" s="60"/>
      <c r="BAZ11" s="60"/>
      <c r="BBA11" s="60"/>
      <c r="BBB11" s="60"/>
      <c r="BBC11" s="60"/>
      <c r="BBD11" s="60"/>
      <c r="BBE11" s="60"/>
      <c r="BBF11" s="60"/>
      <c r="BBG11" s="60"/>
      <c r="BBH11" s="60"/>
      <c r="BBI11" s="60"/>
      <c r="BBJ11" s="60"/>
      <c r="BBK11" s="60"/>
      <c r="BBL11" s="60"/>
      <c r="BBM11" s="60"/>
      <c r="BBN11" s="60"/>
      <c r="BBO11" s="60"/>
      <c r="BBP11" s="60"/>
      <c r="BBQ11" s="60"/>
      <c r="BBR11" s="60"/>
      <c r="BBS11" s="60"/>
      <c r="BBT11" s="60"/>
      <c r="BBU11" s="60"/>
      <c r="BBV11" s="60"/>
      <c r="BBW11" s="60"/>
      <c r="BBX11" s="60"/>
      <c r="BBY11" s="60"/>
      <c r="BBZ11" s="60"/>
      <c r="BCA11" s="60"/>
      <c r="BCB11" s="60"/>
      <c r="BCC11" s="60"/>
      <c r="BCD11" s="60"/>
      <c r="BCE11" s="60"/>
      <c r="BCF11" s="60"/>
      <c r="BCG11" s="60"/>
      <c r="BCH11" s="60"/>
      <c r="BCI11" s="60"/>
      <c r="BCJ11" s="60"/>
      <c r="BCK11" s="60"/>
      <c r="BCL11" s="60"/>
      <c r="BCM11" s="60"/>
      <c r="BCN11" s="60"/>
      <c r="BCO11" s="60"/>
      <c r="BCP11" s="60"/>
      <c r="BCQ11" s="60"/>
      <c r="BCR11" s="60"/>
      <c r="BCS11" s="60"/>
      <c r="BCT11" s="60"/>
      <c r="BCU11" s="60"/>
      <c r="BCV11" s="60"/>
      <c r="BCW11" s="60"/>
      <c r="BCX11" s="60"/>
      <c r="BCY11" s="60"/>
      <c r="BCZ11" s="60"/>
      <c r="BDA11" s="60"/>
      <c r="BDB11" s="60"/>
      <c r="BDC11" s="60"/>
      <c r="BDD11" s="60"/>
      <c r="BDE11" s="60"/>
      <c r="BDF11" s="60"/>
      <c r="BDG11" s="60"/>
      <c r="BDH11" s="60"/>
      <c r="BDI11" s="60"/>
      <c r="BDJ11" s="60"/>
      <c r="BDK11" s="60"/>
      <c r="BDL11" s="60"/>
      <c r="BDM11" s="60"/>
      <c r="BDN11" s="60"/>
      <c r="BDO11" s="60"/>
      <c r="BDP11" s="60"/>
      <c r="BDQ11" s="60"/>
      <c r="BDR11" s="60"/>
      <c r="BDS11" s="60"/>
      <c r="BDT11" s="60"/>
      <c r="BDU11" s="60"/>
      <c r="BDV11" s="60"/>
      <c r="BDW11" s="60"/>
      <c r="BDX11" s="60"/>
      <c r="BDY11" s="60"/>
      <c r="BDZ11" s="60"/>
      <c r="BEA11" s="60"/>
      <c r="BEB11" s="60"/>
      <c r="BEC11" s="60"/>
      <c r="BED11" s="60"/>
      <c r="BEE11" s="60"/>
      <c r="BEF11" s="60"/>
      <c r="BEG11" s="60"/>
      <c r="BEH11" s="60"/>
      <c r="BEI11" s="60"/>
      <c r="BEJ11" s="60"/>
      <c r="BEK11" s="60"/>
      <c r="BEL11" s="60"/>
      <c r="BEM11" s="60"/>
      <c r="BEN11" s="60"/>
      <c r="BEO11" s="60"/>
      <c r="BEP11" s="60"/>
      <c r="BEQ11" s="60"/>
      <c r="BER11" s="60"/>
      <c r="BES11" s="60"/>
      <c r="BET11" s="60"/>
      <c r="BEU11" s="60"/>
      <c r="BEV11" s="60"/>
      <c r="BEW11" s="60"/>
      <c r="BEX11" s="60"/>
      <c r="BEY11" s="60"/>
      <c r="BEZ11" s="60"/>
      <c r="BFA11" s="60"/>
      <c r="BFB11" s="60"/>
      <c r="BFC11" s="60"/>
      <c r="BFD11" s="60"/>
      <c r="BFE11" s="60"/>
      <c r="BFF11" s="60"/>
      <c r="BFG11" s="60"/>
      <c r="BFH11" s="60"/>
      <c r="BFI11" s="60"/>
      <c r="BFJ11" s="60"/>
      <c r="BFK11" s="60"/>
      <c r="BFL11" s="60"/>
      <c r="BFM11" s="60"/>
      <c r="BFN11" s="60"/>
      <c r="BFO11" s="60"/>
      <c r="BFP11" s="60"/>
      <c r="BFQ11" s="60"/>
      <c r="BFR11" s="60"/>
      <c r="BFS11" s="60"/>
      <c r="BFT11" s="60"/>
      <c r="BFU11" s="60"/>
      <c r="BFV11" s="60"/>
      <c r="BFW11" s="60"/>
      <c r="BFX11" s="60"/>
      <c r="BFY11" s="60"/>
      <c r="BFZ11" s="60"/>
      <c r="BGA11" s="60"/>
      <c r="BGB11" s="60"/>
      <c r="BGC11" s="60"/>
      <c r="BGD11" s="60"/>
      <c r="BGE11" s="60"/>
      <c r="BGF11" s="60"/>
      <c r="BGG11" s="60"/>
      <c r="BGH11" s="60"/>
      <c r="BGI11" s="60"/>
      <c r="BGJ11" s="60"/>
      <c r="BGK11" s="60"/>
      <c r="BGL11" s="60"/>
      <c r="BGM11" s="60"/>
      <c r="BGN11" s="60"/>
      <c r="BGO11" s="60"/>
      <c r="BGP11" s="60"/>
      <c r="BGQ11" s="60"/>
      <c r="BGR11" s="60"/>
      <c r="BGS11" s="60"/>
      <c r="BGT11" s="60"/>
      <c r="BGU11" s="60"/>
      <c r="BGV11" s="60"/>
      <c r="BGW11" s="60"/>
      <c r="BGX11" s="60"/>
      <c r="BGY11" s="60"/>
      <c r="BGZ11" s="60"/>
      <c r="BHA11" s="60"/>
      <c r="BHB11" s="60"/>
      <c r="BHC11" s="60"/>
      <c r="BHD11" s="60"/>
      <c r="BHE11" s="60"/>
      <c r="BHF11" s="60"/>
      <c r="BHG11" s="60"/>
      <c r="BHH11" s="60"/>
      <c r="BHI11" s="60"/>
      <c r="BHJ11" s="60"/>
      <c r="BHK11" s="60"/>
      <c r="BHL11" s="60"/>
      <c r="BHM11" s="60"/>
      <c r="BHN11" s="60"/>
      <c r="BHO11" s="60"/>
      <c r="BHP11" s="60"/>
      <c r="BHQ11" s="60"/>
      <c r="BHR11" s="60"/>
      <c r="BHS11" s="60"/>
      <c r="BHT11" s="60"/>
      <c r="BHU11" s="60"/>
      <c r="BHV11" s="60"/>
      <c r="BHW11" s="60"/>
      <c r="BHX11" s="60"/>
      <c r="BHY11" s="60"/>
      <c r="BHZ11" s="60"/>
      <c r="BIA11" s="60"/>
      <c r="BIB11" s="60"/>
      <c r="BIC11" s="60"/>
      <c r="BID11" s="60"/>
      <c r="BIE11" s="60"/>
      <c r="BIF11" s="60"/>
      <c r="BIG11" s="60"/>
      <c r="BIH11" s="60"/>
      <c r="BII11" s="60"/>
      <c r="BIJ11" s="60"/>
      <c r="BIK11" s="60"/>
      <c r="BIL11" s="60"/>
    </row>
    <row r="12" spans="2:1598" x14ac:dyDescent="0.25">
      <c r="B12" s="132"/>
      <c r="C12" s="6" t="s">
        <v>0</v>
      </c>
      <c r="D12" s="135"/>
      <c r="E12" s="6" t="s">
        <v>1</v>
      </c>
      <c r="F12" s="134" t="s">
        <v>5</v>
      </c>
      <c r="G12" s="58"/>
      <c r="H12" s="58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56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56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56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56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56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56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56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56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30"/>
      <c r="KK12" s="30"/>
      <c r="KL12" s="30"/>
      <c r="KM12" s="30"/>
      <c r="KN12" s="30"/>
      <c r="KO12" s="30"/>
      <c r="KP12" s="30"/>
      <c r="KQ12" s="30"/>
      <c r="KR12" s="30"/>
      <c r="KS12" s="30"/>
      <c r="KT12" s="30"/>
      <c r="KU12" s="56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56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56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30"/>
      <c r="OI12" s="30"/>
      <c r="OJ12" s="30"/>
      <c r="OK12" s="30"/>
      <c r="OL12" s="30"/>
      <c r="OM12" s="30"/>
      <c r="ON12" s="30"/>
      <c r="OO12" s="30"/>
      <c r="OP12" s="56"/>
      <c r="OQ12" s="57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30"/>
      <c r="PM12" s="30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56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56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56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56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30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56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30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56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56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56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0"/>
      <c r="ZT12" s="30"/>
      <c r="ZU12" s="30"/>
      <c r="ZV12" s="30"/>
      <c r="ZW12" s="30"/>
      <c r="ZX12" s="30"/>
      <c r="ZY12" s="30"/>
      <c r="ZZ12" s="30"/>
      <c r="AAA12" s="30"/>
      <c r="AAB12" s="56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56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56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56"/>
      <c r="ADX12" s="57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30"/>
      <c r="AET12" s="30"/>
      <c r="AEU12" s="30"/>
      <c r="AEV12" s="30"/>
      <c r="AEW12" s="30"/>
      <c r="AEX12" s="30"/>
      <c r="AEY12" s="30"/>
      <c r="AEZ12" s="30"/>
      <c r="AFA12" s="30"/>
      <c r="AFB12" s="30"/>
      <c r="AFC12" s="30"/>
      <c r="AFD12" s="30"/>
      <c r="AFE12" s="56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30"/>
      <c r="AGB12" s="30"/>
      <c r="AGC12" s="30"/>
      <c r="AGD12" s="30"/>
      <c r="AGE12" s="30"/>
      <c r="AGF12" s="30"/>
      <c r="AGG12" s="30"/>
      <c r="AGH12" s="30"/>
      <c r="AGI12" s="30"/>
      <c r="AGJ12" s="30"/>
      <c r="AGK12" s="30"/>
      <c r="AGL12" s="56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30"/>
      <c r="AHI12" s="30"/>
      <c r="AHJ12" s="30"/>
      <c r="AHK12" s="30"/>
      <c r="AHL12" s="30"/>
      <c r="AHM12" s="30"/>
      <c r="AHN12" s="30"/>
      <c r="AHO12" s="30"/>
      <c r="AHP12" s="30"/>
      <c r="AHQ12" s="30"/>
      <c r="AHR12" s="30"/>
      <c r="AHS12" s="56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56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56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56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56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56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56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30"/>
      <c r="AQF12" s="30"/>
      <c r="AQG12" s="30"/>
      <c r="AQH12" s="30"/>
      <c r="AQI12" s="30"/>
      <c r="AQJ12" s="30"/>
      <c r="AQK12" s="30"/>
      <c r="AQL12" s="30"/>
      <c r="AQM12" s="30"/>
      <c r="AQN12" s="30"/>
      <c r="AQO12" s="30"/>
      <c r="AQP12" s="56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30"/>
      <c r="ARM12" s="30"/>
      <c r="ARN12" s="30"/>
      <c r="ARO12" s="30"/>
      <c r="ARP12" s="30"/>
      <c r="ARQ12" s="30"/>
      <c r="ARR12" s="30"/>
      <c r="ARS12" s="30"/>
      <c r="ART12" s="30"/>
      <c r="ARU12" s="30"/>
      <c r="ARV12" s="30"/>
      <c r="ARW12" s="56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30"/>
      <c r="AST12" s="30"/>
      <c r="ASU12" s="30"/>
      <c r="ASV12" s="30"/>
      <c r="ASW12" s="30"/>
      <c r="ASX12" s="30"/>
      <c r="ASY12" s="30"/>
      <c r="ASZ12" s="30"/>
      <c r="ATA12" s="30"/>
      <c r="ATB12" s="30"/>
      <c r="ATC12" s="30"/>
      <c r="ATD12" s="56"/>
      <c r="ATE12" s="57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30"/>
      <c r="AUA12" s="30"/>
      <c r="AUB12" s="30"/>
      <c r="AUC12" s="30"/>
      <c r="AUD12" s="30"/>
      <c r="AUE12" s="30"/>
      <c r="AUF12" s="30"/>
      <c r="AUG12" s="30"/>
      <c r="AUH12" s="30"/>
      <c r="AUI12" s="30"/>
      <c r="AUJ12" s="30"/>
      <c r="AUK12" s="30"/>
      <c r="AUL12" s="56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30"/>
      <c r="AVI12" s="30"/>
      <c r="AVJ12" s="30"/>
      <c r="AVK12" s="30"/>
      <c r="AVL12" s="30"/>
      <c r="AVM12" s="30"/>
      <c r="AVN12" s="30"/>
      <c r="AVO12" s="30"/>
      <c r="AVP12" s="30"/>
      <c r="AVQ12" s="30"/>
      <c r="AVR12" s="30"/>
      <c r="AVS12" s="56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30"/>
      <c r="AWP12" s="30"/>
      <c r="AWQ12" s="30"/>
      <c r="AWR12" s="30"/>
      <c r="AWS12" s="30"/>
      <c r="AWT12" s="30"/>
      <c r="AWU12" s="30"/>
      <c r="AWV12" s="30"/>
      <c r="AWW12" s="30"/>
      <c r="AWX12" s="30"/>
      <c r="AWY12" s="30"/>
      <c r="AWZ12" s="56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30"/>
      <c r="AXW12" s="30"/>
      <c r="AXX12" s="30"/>
      <c r="AXY12" s="30"/>
      <c r="AXZ12" s="30"/>
      <c r="AYA12" s="30"/>
      <c r="AYB12" s="30"/>
      <c r="AYC12" s="30"/>
      <c r="AYD12" s="30"/>
      <c r="AYE12" s="30"/>
      <c r="AYF12" s="30"/>
      <c r="AYG12" s="56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30"/>
      <c r="AZD12" s="30"/>
      <c r="AZE12" s="30"/>
      <c r="AZF12" s="30"/>
      <c r="AZG12" s="30"/>
      <c r="AZH12" s="30"/>
      <c r="AZI12" s="30"/>
      <c r="AZJ12" s="30"/>
      <c r="AZK12" s="30"/>
      <c r="AZL12" s="30"/>
      <c r="AZM12" s="30"/>
      <c r="AZN12" s="56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30"/>
      <c r="BAK12" s="30"/>
      <c r="BAL12" s="30"/>
      <c r="BAM12" s="30"/>
      <c r="BAN12" s="30"/>
      <c r="BAO12" s="30"/>
      <c r="BAP12" s="30"/>
      <c r="BAQ12" s="30"/>
      <c r="BAR12" s="30"/>
      <c r="BAS12" s="30"/>
      <c r="BAT12" s="30"/>
      <c r="BAU12" s="56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30"/>
      <c r="BBR12" s="30"/>
      <c r="BBS12" s="30"/>
      <c r="BBT12" s="30"/>
      <c r="BBU12" s="30"/>
      <c r="BBV12" s="30"/>
      <c r="BBW12" s="30"/>
      <c r="BBX12" s="30"/>
      <c r="BBY12" s="30"/>
      <c r="BBZ12" s="30"/>
      <c r="BCA12" s="30"/>
      <c r="BCB12" s="56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30"/>
      <c r="BCY12" s="30"/>
      <c r="BCZ12" s="30"/>
      <c r="BDA12" s="30"/>
      <c r="BDB12" s="30"/>
      <c r="BDC12" s="30"/>
      <c r="BDD12" s="30"/>
      <c r="BDE12" s="30"/>
      <c r="BDF12" s="30"/>
      <c r="BDG12" s="30"/>
      <c r="BDH12" s="30"/>
      <c r="BDI12" s="56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30"/>
      <c r="BEF12" s="30"/>
      <c r="BEG12" s="30"/>
      <c r="BEH12" s="30"/>
      <c r="BEI12" s="30"/>
      <c r="BEJ12" s="30"/>
      <c r="BEK12" s="30"/>
      <c r="BEL12" s="30"/>
      <c r="BEM12" s="30"/>
      <c r="BEN12" s="30"/>
      <c r="BEO12" s="30"/>
      <c r="BEP12" s="56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30"/>
      <c r="BFM12" s="30"/>
      <c r="BFN12" s="30"/>
      <c r="BFO12" s="30"/>
      <c r="BFP12" s="30"/>
      <c r="BFQ12" s="30"/>
      <c r="BFR12" s="30"/>
      <c r="BFS12" s="30"/>
      <c r="BFT12" s="30"/>
      <c r="BFU12" s="30"/>
      <c r="BFV12" s="30"/>
      <c r="BFW12" s="56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30"/>
      <c r="BGT12" s="30"/>
      <c r="BGU12" s="30"/>
      <c r="BGV12" s="30"/>
      <c r="BGW12" s="30"/>
      <c r="BGX12" s="30"/>
      <c r="BGY12" s="30"/>
      <c r="BGZ12" s="30"/>
      <c r="BHA12" s="30"/>
      <c r="BHB12" s="30"/>
      <c r="BHC12" s="30"/>
      <c r="BHD12" s="56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30"/>
      <c r="BIA12" s="30"/>
      <c r="BIB12" s="30"/>
      <c r="BIC12" s="30"/>
      <c r="BID12" s="30"/>
      <c r="BIE12" s="30"/>
      <c r="BIF12" s="30"/>
      <c r="BIG12" s="30"/>
      <c r="BIH12" s="30"/>
      <c r="BII12" s="30"/>
      <c r="BIJ12" s="30"/>
      <c r="BIK12" s="56"/>
      <c r="BIL12" s="57"/>
    </row>
    <row r="13" spans="2:1598" x14ac:dyDescent="0.25">
      <c r="B13" s="132"/>
      <c r="C13" s="6" t="s">
        <v>0</v>
      </c>
      <c r="D13" s="112"/>
      <c r="E13" s="6" t="s">
        <v>1</v>
      </c>
      <c r="F13" s="112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60"/>
      <c r="EN13" s="60"/>
      <c r="EO13" s="60"/>
      <c r="EP13" s="60"/>
      <c r="EQ13" s="60"/>
      <c r="ER13" s="60"/>
      <c r="ES13" s="60"/>
      <c r="ET13" s="60"/>
      <c r="EU13" s="60"/>
      <c r="EV13" s="60"/>
      <c r="EW13" s="60"/>
      <c r="EX13" s="60"/>
      <c r="EY13" s="60"/>
      <c r="EZ13" s="60"/>
      <c r="FA13" s="60"/>
      <c r="FB13" s="60"/>
      <c r="FC13" s="60"/>
      <c r="FD13" s="60"/>
      <c r="FE13" s="60"/>
      <c r="FF13" s="60"/>
      <c r="FG13" s="60"/>
      <c r="FH13" s="60"/>
      <c r="FI13" s="60"/>
      <c r="FJ13" s="60"/>
      <c r="FK13" s="60"/>
      <c r="FL13" s="60"/>
      <c r="FM13" s="60"/>
      <c r="FN13" s="60"/>
      <c r="FO13" s="60"/>
      <c r="FP13" s="60"/>
      <c r="FQ13" s="60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60"/>
      <c r="GD13" s="60"/>
      <c r="GE13" s="60"/>
      <c r="GF13" s="60"/>
      <c r="GG13" s="60"/>
      <c r="GH13" s="60"/>
      <c r="GI13" s="60"/>
      <c r="GJ13" s="60"/>
      <c r="GK13" s="60"/>
      <c r="GL13" s="60"/>
      <c r="GM13" s="60"/>
      <c r="GN13" s="60"/>
      <c r="GO13" s="60"/>
      <c r="GP13" s="60"/>
      <c r="GQ13" s="60"/>
      <c r="GR13" s="60"/>
      <c r="GS13" s="60"/>
      <c r="GT13" s="60"/>
      <c r="GU13" s="60"/>
      <c r="GV13" s="60"/>
      <c r="GW13" s="60"/>
      <c r="GX13" s="60"/>
      <c r="GY13" s="60"/>
      <c r="GZ13" s="60"/>
      <c r="HA13" s="60"/>
      <c r="HB13" s="60"/>
      <c r="HC13" s="60"/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60"/>
      <c r="HT13" s="60"/>
      <c r="HU13" s="60"/>
      <c r="HV13" s="60"/>
      <c r="HW13" s="60"/>
      <c r="HX13" s="60"/>
      <c r="HY13" s="60"/>
      <c r="HZ13" s="60"/>
      <c r="IA13" s="60"/>
      <c r="IB13" s="60"/>
      <c r="IC13" s="60"/>
      <c r="ID13" s="60"/>
      <c r="IE13" s="60"/>
      <c r="IF13" s="60"/>
      <c r="IG13" s="60"/>
      <c r="IH13" s="60"/>
      <c r="II13" s="60"/>
      <c r="IJ13" s="60"/>
      <c r="IK13" s="60"/>
      <c r="IL13" s="60"/>
      <c r="IM13" s="60"/>
      <c r="IN13" s="60"/>
      <c r="IO13" s="60"/>
      <c r="IP13" s="60"/>
      <c r="IQ13" s="60"/>
      <c r="IR13" s="60"/>
      <c r="IS13" s="60"/>
      <c r="IT13" s="60"/>
      <c r="IU13" s="60"/>
      <c r="IV13" s="60"/>
      <c r="IW13" s="60"/>
      <c r="IX13" s="60"/>
      <c r="IY13" s="60"/>
      <c r="IZ13" s="60"/>
      <c r="JA13" s="60"/>
      <c r="JB13" s="60"/>
      <c r="JC13" s="60"/>
      <c r="JD13" s="60"/>
      <c r="JE13" s="60"/>
      <c r="JF13" s="60"/>
      <c r="JG13" s="60"/>
      <c r="JH13" s="60"/>
      <c r="JI13" s="60"/>
      <c r="JJ13" s="60"/>
      <c r="JK13" s="60"/>
      <c r="JL13" s="60"/>
      <c r="JM13" s="60"/>
      <c r="JN13" s="60"/>
      <c r="JO13" s="60"/>
      <c r="JP13" s="60"/>
      <c r="JQ13" s="60"/>
      <c r="JR13" s="60"/>
      <c r="JS13" s="60"/>
      <c r="JT13" s="60"/>
      <c r="JU13" s="60"/>
      <c r="JV13" s="60"/>
      <c r="JW13" s="60"/>
      <c r="JX13" s="60"/>
      <c r="JY13" s="60"/>
      <c r="JZ13" s="60"/>
      <c r="KA13" s="60"/>
      <c r="KB13" s="60"/>
      <c r="KC13" s="60"/>
      <c r="KD13" s="60"/>
      <c r="KE13" s="60"/>
      <c r="KF13" s="60"/>
      <c r="KG13" s="60"/>
      <c r="KH13" s="60"/>
      <c r="KI13" s="60"/>
      <c r="KJ13" s="60"/>
      <c r="KK13" s="60"/>
      <c r="KL13" s="60"/>
      <c r="KM13" s="60"/>
      <c r="KN13" s="60"/>
      <c r="KO13" s="60"/>
      <c r="KP13" s="60"/>
      <c r="KQ13" s="60"/>
      <c r="KR13" s="60"/>
      <c r="KS13" s="60"/>
      <c r="KT13" s="60"/>
      <c r="KU13" s="60"/>
      <c r="KV13" s="60"/>
      <c r="KW13" s="60"/>
      <c r="KX13" s="60"/>
      <c r="KY13" s="60"/>
      <c r="KZ13" s="60"/>
      <c r="LA13" s="60"/>
      <c r="LB13" s="60"/>
      <c r="LC13" s="60"/>
      <c r="LD13" s="60"/>
      <c r="LE13" s="60"/>
      <c r="LF13" s="60"/>
      <c r="LG13" s="60"/>
      <c r="LH13" s="60"/>
      <c r="LI13" s="60"/>
      <c r="LJ13" s="60"/>
      <c r="LK13" s="60"/>
      <c r="LL13" s="60"/>
      <c r="LM13" s="60"/>
      <c r="LN13" s="60"/>
      <c r="LO13" s="60"/>
      <c r="LP13" s="60"/>
      <c r="LQ13" s="60"/>
      <c r="LR13" s="60"/>
      <c r="LS13" s="60"/>
      <c r="LT13" s="60"/>
      <c r="LU13" s="60"/>
      <c r="LV13" s="60"/>
      <c r="LW13" s="60"/>
      <c r="LX13" s="60"/>
      <c r="LY13" s="60"/>
      <c r="LZ13" s="60"/>
      <c r="MA13" s="60"/>
      <c r="MB13" s="60"/>
      <c r="MC13" s="60"/>
      <c r="MD13" s="60"/>
      <c r="ME13" s="60"/>
      <c r="MF13" s="60"/>
      <c r="MG13" s="60"/>
      <c r="MH13" s="60"/>
      <c r="MI13" s="60"/>
      <c r="MJ13" s="60"/>
      <c r="MK13" s="60"/>
      <c r="ML13" s="60"/>
      <c r="MM13" s="60"/>
      <c r="MN13" s="60"/>
      <c r="MO13" s="60"/>
      <c r="MP13" s="60"/>
      <c r="MQ13" s="60"/>
      <c r="MR13" s="60"/>
      <c r="MS13" s="60"/>
      <c r="MT13" s="60"/>
      <c r="MU13" s="60"/>
      <c r="MV13" s="60"/>
      <c r="MW13" s="60"/>
      <c r="MX13" s="60"/>
      <c r="MY13" s="60"/>
      <c r="MZ13" s="60"/>
      <c r="NA13" s="60"/>
      <c r="NB13" s="60"/>
      <c r="NC13" s="60"/>
      <c r="ND13" s="60"/>
      <c r="NE13" s="60"/>
      <c r="NF13" s="60"/>
      <c r="NG13" s="60"/>
      <c r="NH13" s="60"/>
      <c r="NI13" s="60"/>
      <c r="NJ13" s="60"/>
      <c r="NK13" s="60"/>
      <c r="NL13" s="60"/>
      <c r="NM13" s="60"/>
      <c r="NN13" s="60"/>
      <c r="NO13" s="60"/>
      <c r="NP13" s="60"/>
      <c r="NQ13" s="60"/>
      <c r="NR13" s="60"/>
      <c r="NS13" s="60"/>
      <c r="NT13" s="60"/>
      <c r="NU13" s="60"/>
      <c r="NV13" s="60"/>
      <c r="NW13" s="60"/>
      <c r="NX13" s="60"/>
      <c r="NY13" s="60"/>
      <c r="NZ13" s="60"/>
      <c r="OA13" s="60"/>
      <c r="OB13" s="60"/>
      <c r="OC13" s="60"/>
      <c r="OD13" s="60"/>
      <c r="OE13" s="60"/>
      <c r="OF13" s="60"/>
      <c r="OG13" s="60"/>
      <c r="OH13" s="60"/>
      <c r="OI13" s="60"/>
      <c r="OJ13" s="60"/>
      <c r="OK13" s="60"/>
      <c r="OL13" s="60"/>
      <c r="OM13" s="60"/>
      <c r="ON13" s="60"/>
      <c r="OO13" s="60"/>
      <c r="OP13" s="60"/>
      <c r="OQ13" s="60"/>
      <c r="OR13" s="60"/>
      <c r="OS13" s="60"/>
      <c r="OT13" s="60"/>
      <c r="OU13" s="60"/>
      <c r="OV13" s="60"/>
      <c r="OW13" s="60"/>
      <c r="OX13" s="60"/>
      <c r="OY13" s="60"/>
      <c r="OZ13" s="60"/>
      <c r="PA13" s="60"/>
      <c r="PB13" s="60"/>
      <c r="PC13" s="60"/>
      <c r="PD13" s="60"/>
      <c r="PE13" s="60"/>
      <c r="PF13" s="60"/>
      <c r="PG13" s="60"/>
      <c r="PH13" s="60"/>
      <c r="PI13" s="60"/>
      <c r="PJ13" s="60"/>
      <c r="PK13" s="60"/>
      <c r="PL13" s="60"/>
      <c r="PM13" s="60"/>
      <c r="PN13" s="60"/>
      <c r="PO13" s="60"/>
      <c r="PP13" s="60"/>
      <c r="PQ13" s="60"/>
      <c r="PR13" s="60"/>
      <c r="PS13" s="60"/>
      <c r="PT13" s="60"/>
      <c r="PU13" s="60"/>
      <c r="PV13" s="60"/>
      <c r="PW13" s="60"/>
      <c r="PX13" s="60"/>
      <c r="PY13" s="60"/>
      <c r="PZ13" s="60"/>
      <c r="QA13" s="60"/>
      <c r="QB13" s="60"/>
      <c r="QC13" s="60"/>
      <c r="QD13" s="60"/>
      <c r="QE13" s="60"/>
      <c r="QF13" s="60"/>
      <c r="QG13" s="60"/>
      <c r="QH13" s="60"/>
      <c r="QI13" s="60"/>
      <c r="QJ13" s="60"/>
      <c r="QK13" s="60"/>
      <c r="QL13" s="60"/>
      <c r="QM13" s="60"/>
      <c r="QN13" s="60"/>
      <c r="QO13" s="60"/>
      <c r="QP13" s="60"/>
      <c r="QQ13" s="60"/>
      <c r="QR13" s="60"/>
      <c r="QS13" s="60"/>
      <c r="QT13" s="60"/>
      <c r="QU13" s="60"/>
      <c r="QV13" s="60"/>
      <c r="QW13" s="60"/>
      <c r="QX13" s="60"/>
      <c r="QY13" s="60"/>
      <c r="QZ13" s="60"/>
      <c r="RA13" s="60"/>
      <c r="RB13" s="60"/>
      <c r="RC13" s="60"/>
      <c r="RD13" s="60"/>
      <c r="RE13" s="60"/>
      <c r="RF13" s="60"/>
      <c r="RG13" s="60"/>
      <c r="RH13" s="60"/>
      <c r="RI13" s="60"/>
      <c r="RJ13" s="60"/>
      <c r="RK13" s="60"/>
      <c r="RL13" s="60"/>
      <c r="RM13" s="60"/>
      <c r="RN13" s="60"/>
      <c r="RO13" s="60"/>
      <c r="RP13" s="60"/>
      <c r="RQ13" s="60"/>
      <c r="RR13" s="60"/>
      <c r="RS13" s="60"/>
      <c r="RT13" s="60"/>
      <c r="RU13" s="60"/>
      <c r="RV13" s="60"/>
      <c r="RW13" s="60"/>
      <c r="RX13" s="60"/>
      <c r="RY13" s="60"/>
      <c r="RZ13" s="60"/>
      <c r="SA13" s="60"/>
      <c r="SB13" s="60"/>
      <c r="SC13" s="60"/>
      <c r="SD13" s="60"/>
      <c r="SE13" s="60"/>
      <c r="SF13" s="60"/>
      <c r="SG13" s="60"/>
      <c r="SH13" s="60"/>
      <c r="SI13" s="60"/>
      <c r="SJ13" s="60"/>
      <c r="SK13" s="60"/>
      <c r="SL13" s="60"/>
      <c r="SM13" s="60"/>
      <c r="SN13" s="60"/>
      <c r="SO13" s="60"/>
      <c r="SP13" s="60"/>
      <c r="SQ13" s="60"/>
      <c r="SR13" s="60"/>
      <c r="SS13" s="60"/>
      <c r="ST13" s="60"/>
      <c r="SU13" s="60"/>
      <c r="SV13" s="60"/>
      <c r="SW13" s="60"/>
      <c r="SX13" s="60"/>
      <c r="SY13" s="60"/>
      <c r="SZ13" s="60"/>
      <c r="TA13" s="60"/>
      <c r="TB13" s="60"/>
      <c r="TC13" s="60"/>
      <c r="TD13" s="60"/>
      <c r="TE13" s="60"/>
      <c r="TF13" s="60"/>
      <c r="TG13" s="60"/>
      <c r="TH13" s="60"/>
      <c r="TI13" s="60"/>
      <c r="TJ13" s="60"/>
      <c r="TK13" s="60"/>
      <c r="TL13" s="60"/>
      <c r="TM13" s="60"/>
      <c r="TN13" s="60"/>
      <c r="TO13" s="60"/>
      <c r="TP13" s="60"/>
      <c r="TQ13" s="60"/>
      <c r="TR13" s="60"/>
      <c r="TS13" s="60"/>
      <c r="TT13" s="60"/>
      <c r="TU13" s="60"/>
      <c r="TV13" s="60"/>
      <c r="TW13" s="60"/>
      <c r="TX13" s="60"/>
      <c r="TY13" s="60"/>
      <c r="TZ13" s="60"/>
      <c r="UA13" s="60"/>
      <c r="UB13" s="60"/>
      <c r="UC13" s="60"/>
      <c r="UD13" s="60"/>
      <c r="UE13" s="60"/>
      <c r="UF13" s="60"/>
      <c r="UG13" s="60"/>
      <c r="UH13" s="60"/>
      <c r="UI13" s="60"/>
      <c r="UJ13" s="60"/>
      <c r="UK13" s="60"/>
      <c r="UL13" s="60"/>
      <c r="UM13" s="60"/>
      <c r="UN13" s="60"/>
      <c r="UO13" s="60"/>
      <c r="UP13" s="60"/>
      <c r="UQ13" s="60"/>
      <c r="UR13" s="60"/>
      <c r="US13" s="60"/>
      <c r="UT13" s="60"/>
      <c r="UU13" s="60"/>
      <c r="UV13" s="60"/>
      <c r="UW13" s="60"/>
      <c r="UX13" s="60"/>
      <c r="UY13" s="60"/>
      <c r="UZ13" s="60"/>
      <c r="VA13" s="60"/>
      <c r="VB13" s="60"/>
      <c r="VC13" s="60"/>
      <c r="VD13" s="60"/>
      <c r="VE13" s="60"/>
      <c r="VF13" s="60"/>
      <c r="VG13" s="60"/>
      <c r="VH13" s="60"/>
      <c r="VI13" s="60"/>
      <c r="VJ13" s="60"/>
      <c r="VK13" s="60"/>
      <c r="VL13" s="60"/>
      <c r="VM13" s="60"/>
      <c r="VN13" s="60"/>
      <c r="VO13" s="60"/>
      <c r="VP13" s="60"/>
      <c r="VQ13" s="60"/>
      <c r="VR13" s="60"/>
      <c r="VS13" s="60"/>
      <c r="VT13" s="60"/>
      <c r="VU13" s="60"/>
      <c r="VV13" s="60"/>
      <c r="VW13" s="60"/>
      <c r="VX13" s="60"/>
      <c r="VY13" s="60"/>
      <c r="VZ13" s="60"/>
      <c r="WA13" s="60"/>
      <c r="WB13" s="60"/>
      <c r="WC13" s="60"/>
      <c r="WD13" s="60"/>
      <c r="WE13" s="60"/>
      <c r="WF13" s="60"/>
      <c r="WG13" s="60"/>
      <c r="WH13" s="60"/>
      <c r="WI13" s="60"/>
      <c r="WJ13" s="60"/>
      <c r="WK13" s="60"/>
      <c r="WL13" s="60"/>
      <c r="WM13" s="60"/>
      <c r="WN13" s="60"/>
      <c r="WO13" s="60"/>
      <c r="WP13" s="60"/>
      <c r="WQ13" s="60"/>
      <c r="WR13" s="60"/>
      <c r="WS13" s="60"/>
      <c r="WT13" s="60"/>
      <c r="WU13" s="60"/>
      <c r="WV13" s="60"/>
      <c r="WW13" s="60"/>
      <c r="WX13" s="60"/>
      <c r="WY13" s="60"/>
      <c r="WZ13" s="60"/>
      <c r="XA13" s="60"/>
      <c r="XB13" s="60"/>
      <c r="XC13" s="60"/>
      <c r="XD13" s="60"/>
      <c r="XE13" s="60"/>
      <c r="XF13" s="60"/>
      <c r="XG13" s="60"/>
      <c r="XH13" s="60"/>
      <c r="XI13" s="60"/>
      <c r="XJ13" s="60"/>
      <c r="XK13" s="60"/>
      <c r="XL13" s="60"/>
      <c r="XM13" s="60"/>
      <c r="XN13" s="60"/>
      <c r="XO13" s="60"/>
      <c r="XP13" s="60"/>
      <c r="XQ13" s="60"/>
      <c r="XR13" s="60"/>
      <c r="XS13" s="60"/>
      <c r="XT13" s="60"/>
      <c r="XU13" s="60"/>
      <c r="XV13" s="60"/>
      <c r="XW13" s="60"/>
      <c r="XX13" s="60"/>
      <c r="XY13" s="60"/>
      <c r="XZ13" s="60"/>
      <c r="YA13" s="60"/>
      <c r="YB13" s="60"/>
      <c r="YC13" s="60"/>
      <c r="YD13" s="60"/>
      <c r="YE13" s="60"/>
      <c r="YF13" s="60"/>
      <c r="YG13" s="60"/>
      <c r="YH13" s="60"/>
      <c r="YI13" s="60"/>
      <c r="YJ13" s="60"/>
      <c r="YK13" s="60"/>
      <c r="YL13" s="60"/>
      <c r="YM13" s="60"/>
      <c r="YN13" s="60"/>
      <c r="YO13" s="60"/>
      <c r="YP13" s="60"/>
      <c r="YQ13" s="60"/>
      <c r="YR13" s="60"/>
      <c r="YS13" s="60"/>
      <c r="YT13" s="60"/>
      <c r="YU13" s="60"/>
      <c r="YV13" s="60"/>
      <c r="YW13" s="60"/>
      <c r="YX13" s="60"/>
      <c r="YY13" s="60"/>
      <c r="YZ13" s="60"/>
      <c r="ZA13" s="60"/>
      <c r="ZB13" s="60"/>
      <c r="ZC13" s="60"/>
      <c r="ZD13" s="60"/>
      <c r="ZE13" s="60"/>
      <c r="ZF13" s="60"/>
      <c r="ZG13" s="60"/>
      <c r="ZH13" s="60"/>
      <c r="ZI13" s="60"/>
      <c r="ZJ13" s="60"/>
      <c r="ZK13" s="60"/>
      <c r="ZL13" s="60"/>
      <c r="ZM13" s="60"/>
      <c r="ZN13" s="60"/>
      <c r="ZO13" s="60"/>
      <c r="ZP13" s="60"/>
      <c r="ZQ13" s="60"/>
      <c r="ZR13" s="60"/>
      <c r="ZS13" s="60"/>
      <c r="ZT13" s="60"/>
      <c r="ZU13" s="60"/>
      <c r="ZV13" s="60"/>
      <c r="ZW13" s="60"/>
      <c r="ZX13" s="60"/>
      <c r="ZY13" s="60"/>
      <c r="ZZ13" s="60"/>
      <c r="AAA13" s="60"/>
      <c r="AAB13" s="60"/>
      <c r="AAC13" s="60"/>
      <c r="AAD13" s="60"/>
      <c r="AAE13" s="60"/>
      <c r="AAF13" s="60"/>
      <c r="AAG13" s="60"/>
      <c r="AAH13" s="60"/>
      <c r="AAI13" s="60"/>
      <c r="AAJ13" s="60"/>
      <c r="AAK13" s="60"/>
      <c r="AAL13" s="60"/>
      <c r="AAM13" s="60"/>
      <c r="AAN13" s="60"/>
      <c r="AAO13" s="60"/>
      <c r="AAP13" s="60"/>
      <c r="AAQ13" s="60"/>
      <c r="AAR13" s="60"/>
      <c r="AAS13" s="60"/>
      <c r="AAT13" s="60"/>
      <c r="AAU13" s="60"/>
      <c r="AAV13" s="60"/>
      <c r="AAW13" s="60"/>
      <c r="AAX13" s="60"/>
      <c r="AAY13" s="60"/>
      <c r="AAZ13" s="60"/>
      <c r="ABA13" s="60"/>
      <c r="ABB13" s="60"/>
      <c r="ABC13" s="60"/>
      <c r="ABD13" s="60"/>
      <c r="ABE13" s="60"/>
      <c r="ABF13" s="60"/>
      <c r="ABG13" s="60"/>
      <c r="ABH13" s="60"/>
      <c r="ABI13" s="60"/>
      <c r="ABJ13" s="60"/>
      <c r="ABK13" s="60"/>
      <c r="ABL13" s="60"/>
      <c r="ABM13" s="60"/>
      <c r="ABN13" s="60"/>
      <c r="ABO13" s="60"/>
      <c r="ABP13" s="60"/>
      <c r="ABQ13" s="60"/>
      <c r="ABR13" s="60"/>
      <c r="ABS13" s="60"/>
      <c r="ABT13" s="60"/>
      <c r="ABU13" s="60"/>
      <c r="ABV13" s="60"/>
      <c r="ABW13" s="60"/>
      <c r="ABX13" s="60"/>
      <c r="ABY13" s="60"/>
      <c r="ABZ13" s="60"/>
      <c r="ACA13" s="60"/>
      <c r="ACB13" s="60"/>
      <c r="ACC13" s="60"/>
      <c r="ACD13" s="60"/>
      <c r="ACE13" s="60"/>
      <c r="ACF13" s="60"/>
      <c r="ACG13" s="60"/>
      <c r="ACH13" s="60"/>
      <c r="ACI13" s="60"/>
      <c r="ACJ13" s="60"/>
      <c r="ACK13" s="60"/>
      <c r="ACL13" s="60"/>
      <c r="ACM13" s="60"/>
      <c r="ACN13" s="60"/>
      <c r="ACO13" s="60"/>
      <c r="ACP13" s="60"/>
      <c r="ACQ13" s="60"/>
      <c r="ACR13" s="60"/>
      <c r="ACS13" s="60"/>
      <c r="ACT13" s="60"/>
      <c r="ACU13" s="60"/>
      <c r="ACV13" s="60"/>
      <c r="ACW13" s="60"/>
      <c r="ACX13" s="60"/>
      <c r="ACY13" s="60"/>
      <c r="ACZ13" s="60"/>
      <c r="ADA13" s="60"/>
      <c r="ADB13" s="60"/>
      <c r="ADC13" s="60"/>
      <c r="ADD13" s="60"/>
      <c r="ADE13" s="60"/>
      <c r="ADF13" s="60"/>
      <c r="ADG13" s="60"/>
      <c r="ADH13" s="60"/>
      <c r="ADI13" s="60"/>
      <c r="ADJ13" s="60"/>
      <c r="ADK13" s="60"/>
      <c r="ADL13" s="60"/>
      <c r="ADM13" s="60"/>
      <c r="ADN13" s="60"/>
      <c r="ADO13" s="60"/>
      <c r="ADP13" s="60"/>
      <c r="ADQ13" s="60"/>
      <c r="ADR13" s="60"/>
      <c r="ADS13" s="60"/>
      <c r="ADT13" s="60"/>
      <c r="ADU13" s="60"/>
      <c r="ADV13" s="60"/>
      <c r="ADW13" s="60"/>
      <c r="ADX13" s="60"/>
      <c r="ADY13" s="60"/>
      <c r="ADZ13" s="60"/>
      <c r="AEA13" s="60"/>
      <c r="AEB13" s="60"/>
      <c r="AEC13" s="60"/>
      <c r="AED13" s="60"/>
      <c r="AEE13" s="60"/>
      <c r="AEF13" s="60"/>
      <c r="AEG13" s="60"/>
      <c r="AEH13" s="60"/>
      <c r="AEI13" s="60"/>
      <c r="AEJ13" s="60"/>
      <c r="AEK13" s="60"/>
      <c r="AEL13" s="60"/>
      <c r="AEM13" s="60"/>
      <c r="AEN13" s="60"/>
      <c r="AEO13" s="60"/>
      <c r="AEP13" s="60"/>
      <c r="AEQ13" s="60"/>
      <c r="AER13" s="60"/>
      <c r="AES13" s="60"/>
      <c r="AET13" s="60"/>
      <c r="AEU13" s="60"/>
      <c r="AEV13" s="60"/>
      <c r="AEW13" s="60"/>
      <c r="AEX13" s="60"/>
      <c r="AEY13" s="60"/>
      <c r="AEZ13" s="60"/>
      <c r="AFA13" s="60"/>
      <c r="AFB13" s="60"/>
      <c r="AFC13" s="60"/>
      <c r="AFD13" s="60"/>
      <c r="AFE13" s="60"/>
      <c r="AFF13" s="60"/>
      <c r="AFG13" s="60"/>
      <c r="AFH13" s="60"/>
      <c r="AFI13" s="60"/>
      <c r="AFJ13" s="60"/>
      <c r="AFK13" s="60"/>
      <c r="AFL13" s="60"/>
      <c r="AFM13" s="60"/>
      <c r="AFN13" s="60"/>
      <c r="AFO13" s="60"/>
      <c r="AFP13" s="60"/>
      <c r="AFQ13" s="60"/>
      <c r="AFR13" s="60"/>
      <c r="AFS13" s="60"/>
      <c r="AFT13" s="60"/>
      <c r="AFU13" s="60"/>
      <c r="AFV13" s="60"/>
      <c r="AFW13" s="60"/>
      <c r="AFX13" s="60"/>
      <c r="AFY13" s="60"/>
      <c r="AFZ13" s="60"/>
      <c r="AGA13" s="60"/>
      <c r="AGB13" s="60"/>
      <c r="AGC13" s="60"/>
      <c r="AGD13" s="60"/>
      <c r="AGE13" s="60"/>
      <c r="AGF13" s="60"/>
      <c r="AGG13" s="60"/>
      <c r="AGH13" s="60"/>
      <c r="AGI13" s="60"/>
      <c r="AGJ13" s="60"/>
      <c r="AGK13" s="60"/>
      <c r="AGL13" s="60"/>
      <c r="AGM13" s="60"/>
      <c r="AGN13" s="60"/>
      <c r="AGO13" s="60"/>
      <c r="AGP13" s="60"/>
      <c r="AGQ13" s="60"/>
      <c r="AGR13" s="60"/>
      <c r="AGS13" s="60"/>
      <c r="AGT13" s="60"/>
      <c r="AGU13" s="60"/>
      <c r="AGV13" s="60"/>
      <c r="AGW13" s="60"/>
      <c r="AGX13" s="60"/>
      <c r="AGY13" s="60"/>
      <c r="AGZ13" s="60"/>
      <c r="AHA13" s="60"/>
      <c r="AHB13" s="60"/>
      <c r="AHC13" s="60"/>
      <c r="AHD13" s="60"/>
      <c r="AHE13" s="60"/>
      <c r="AHF13" s="60"/>
      <c r="AHG13" s="60"/>
      <c r="AHH13" s="60"/>
      <c r="AHI13" s="60"/>
      <c r="AHJ13" s="60"/>
      <c r="AHK13" s="60"/>
      <c r="AHL13" s="60"/>
      <c r="AHM13" s="60"/>
      <c r="AHN13" s="60"/>
      <c r="AHO13" s="60"/>
      <c r="AHP13" s="60"/>
      <c r="AHQ13" s="60"/>
      <c r="AHR13" s="60"/>
      <c r="AHS13" s="60"/>
      <c r="AHT13" s="60"/>
      <c r="AHU13" s="60"/>
      <c r="AHV13" s="60"/>
      <c r="AHW13" s="60"/>
      <c r="AHX13" s="60"/>
      <c r="AHY13" s="60"/>
      <c r="AHZ13" s="60"/>
      <c r="AIA13" s="60"/>
      <c r="AIB13" s="60"/>
      <c r="AIC13" s="60"/>
      <c r="AID13" s="60"/>
      <c r="AIE13" s="60"/>
      <c r="AIF13" s="60"/>
      <c r="AIG13" s="60"/>
      <c r="AIH13" s="60"/>
      <c r="AII13" s="60"/>
      <c r="AIJ13" s="60"/>
      <c r="AIK13" s="60"/>
      <c r="AIL13" s="60"/>
      <c r="AIM13" s="60"/>
      <c r="AIN13" s="60"/>
      <c r="AIO13" s="60"/>
      <c r="AIP13" s="60"/>
      <c r="AIQ13" s="60"/>
      <c r="AIR13" s="60"/>
      <c r="AIS13" s="60"/>
      <c r="AIT13" s="60"/>
      <c r="AIU13" s="60"/>
      <c r="AIV13" s="60"/>
      <c r="AIW13" s="60"/>
      <c r="AIX13" s="60"/>
      <c r="AIY13" s="60"/>
      <c r="AIZ13" s="60"/>
      <c r="AJA13" s="60"/>
      <c r="AJB13" s="60"/>
      <c r="AJC13" s="60"/>
      <c r="AJD13" s="60"/>
      <c r="AJE13" s="60"/>
      <c r="AJF13" s="60"/>
      <c r="AJG13" s="60"/>
      <c r="AJH13" s="60"/>
      <c r="AJI13" s="60"/>
      <c r="AJJ13" s="60"/>
      <c r="AJK13" s="60"/>
      <c r="AJL13" s="60"/>
      <c r="AJM13" s="60"/>
      <c r="AJN13" s="60"/>
      <c r="AJO13" s="60"/>
      <c r="AJP13" s="60"/>
      <c r="AJQ13" s="60"/>
      <c r="AJR13" s="60"/>
      <c r="AJS13" s="60"/>
      <c r="AJT13" s="60"/>
      <c r="AJU13" s="60"/>
      <c r="AJV13" s="60"/>
      <c r="AJW13" s="60"/>
      <c r="AJX13" s="60"/>
      <c r="AJY13" s="60"/>
      <c r="AJZ13" s="60"/>
      <c r="AKA13" s="60"/>
      <c r="AKB13" s="60"/>
      <c r="AKC13" s="60"/>
      <c r="AKD13" s="60"/>
      <c r="AKE13" s="60"/>
      <c r="AKF13" s="60"/>
      <c r="AKG13" s="60"/>
      <c r="AKH13" s="60"/>
      <c r="AKI13" s="60"/>
      <c r="AKJ13" s="60"/>
      <c r="AKK13" s="60"/>
      <c r="AKL13" s="60"/>
      <c r="AKM13" s="60"/>
      <c r="AKN13" s="60"/>
      <c r="AKO13" s="60"/>
      <c r="AKP13" s="60"/>
      <c r="AKQ13" s="60"/>
      <c r="AKR13" s="60"/>
      <c r="AKS13" s="60"/>
      <c r="AKT13" s="60"/>
      <c r="AKU13" s="60"/>
      <c r="AKV13" s="60"/>
      <c r="AKW13" s="60"/>
      <c r="AKX13" s="60"/>
      <c r="AKY13" s="60"/>
      <c r="AKZ13" s="60"/>
      <c r="ALA13" s="60"/>
      <c r="ALB13" s="60"/>
      <c r="ALC13" s="60"/>
      <c r="ALD13" s="60"/>
      <c r="ALE13" s="60"/>
      <c r="ALF13" s="60"/>
      <c r="ALG13" s="60"/>
      <c r="ALH13" s="60"/>
      <c r="ALI13" s="60"/>
      <c r="ALJ13" s="60"/>
      <c r="ALK13" s="60"/>
      <c r="ALL13" s="60"/>
      <c r="ALM13" s="60"/>
      <c r="ALN13" s="60"/>
      <c r="ALO13" s="60"/>
      <c r="ALP13" s="60"/>
      <c r="ALQ13" s="60"/>
      <c r="ALR13" s="60"/>
      <c r="ALS13" s="60"/>
      <c r="ALT13" s="60"/>
      <c r="ALU13" s="60"/>
      <c r="ALV13" s="60"/>
      <c r="ALW13" s="60"/>
      <c r="ALX13" s="60"/>
      <c r="ALY13" s="60"/>
      <c r="ALZ13" s="60"/>
      <c r="AMA13" s="60"/>
      <c r="AMB13" s="60"/>
      <c r="AMC13" s="60"/>
      <c r="AMD13" s="60"/>
      <c r="AME13" s="60"/>
      <c r="AMF13" s="60"/>
      <c r="AMG13" s="60"/>
      <c r="AMH13" s="60"/>
      <c r="AMI13" s="60"/>
      <c r="AMJ13" s="60"/>
      <c r="AMK13" s="60"/>
      <c r="AML13" s="60"/>
      <c r="AMM13" s="60"/>
      <c r="AMN13" s="60"/>
      <c r="AMO13" s="60"/>
      <c r="AMP13" s="60"/>
      <c r="AMQ13" s="60"/>
      <c r="AMR13" s="60"/>
      <c r="AMS13" s="60"/>
      <c r="AMT13" s="60"/>
      <c r="AMU13" s="60"/>
      <c r="AMV13" s="60"/>
      <c r="AMW13" s="60"/>
      <c r="AMX13" s="60"/>
      <c r="AMY13" s="60"/>
      <c r="AMZ13" s="60"/>
      <c r="ANA13" s="60"/>
      <c r="ANB13" s="60"/>
      <c r="ANC13" s="60"/>
      <c r="AND13" s="60"/>
      <c r="ANE13" s="60"/>
      <c r="ANF13" s="60"/>
      <c r="ANG13" s="60"/>
      <c r="ANH13" s="60"/>
      <c r="ANI13" s="60"/>
      <c r="ANJ13" s="60"/>
      <c r="ANK13" s="60"/>
      <c r="ANL13" s="60"/>
      <c r="ANM13" s="60"/>
      <c r="ANN13" s="60"/>
      <c r="ANO13" s="60"/>
      <c r="ANP13" s="60"/>
      <c r="ANQ13" s="60"/>
      <c r="ANR13" s="60"/>
      <c r="ANS13" s="60"/>
      <c r="ANT13" s="60"/>
      <c r="ANU13" s="60"/>
      <c r="ANV13" s="60"/>
      <c r="ANW13" s="60"/>
      <c r="ANX13" s="60"/>
      <c r="ANY13" s="60"/>
      <c r="ANZ13" s="60"/>
      <c r="AOA13" s="60"/>
      <c r="AOB13" s="60"/>
      <c r="AOC13" s="60"/>
      <c r="AOD13" s="60"/>
      <c r="AOE13" s="60"/>
      <c r="AOF13" s="60"/>
      <c r="AOG13" s="60"/>
      <c r="AOH13" s="60"/>
      <c r="AOI13" s="60"/>
      <c r="AOJ13" s="60"/>
      <c r="AOK13" s="60"/>
      <c r="AOL13" s="60"/>
      <c r="AOM13" s="60"/>
      <c r="AON13" s="60"/>
      <c r="AOO13" s="60"/>
      <c r="AOP13" s="60"/>
      <c r="AOQ13" s="60"/>
      <c r="AOR13" s="60"/>
      <c r="AOS13" s="60"/>
      <c r="AOT13" s="60"/>
      <c r="AOU13" s="60"/>
      <c r="AOV13" s="60"/>
      <c r="AOW13" s="60"/>
      <c r="AOX13" s="60"/>
      <c r="AOY13" s="60"/>
      <c r="AOZ13" s="60"/>
      <c r="APA13" s="60"/>
      <c r="APB13" s="60"/>
      <c r="APC13" s="60"/>
      <c r="APD13" s="60"/>
      <c r="APE13" s="60"/>
      <c r="APF13" s="60"/>
      <c r="APG13" s="60"/>
      <c r="APH13" s="60"/>
      <c r="API13" s="60"/>
      <c r="APJ13" s="60"/>
      <c r="APK13" s="60"/>
      <c r="APL13" s="60"/>
      <c r="APM13" s="60"/>
      <c r="APN13" s="60"/>
      <c r="APO13" s="60"/>
      <c r="APP13" s="60"/>
      <c r="APQ13" s="60"/>
      <c r="APR13" s="60"/>
      <c r="APS13" s="60"/>
      <c r="APT13" s="60"/>
      <c r="APU13" s="60"/>
      <c r="APV13" s="60"/>
      <c r="APW13" s="60"/>
      <c r="APX13" s="60"/>
      <c r="APY13" s="60"/>
      <c r="APZ13" s="60"/>
      <c r="AQA13" s="60"/>
      <c r="AQB13" s="60"/>
      <c r="AQC13" s="60"/>
      <c r="AQD13" s="60"/>
      <c r="AQE13" s="60"/>
      <c r="AQF13" s="60"/>
      <c r="AQG13" s="60"/>
      <c r="AQH13" s="60"/>
      <c r="AQI13" s="60"/>
      <c r="AQJ13" s="60"/>
      <c r="AQK13" s="60"/>
      <c r="AQL13" s="60"/>
      <c r="AQM13" s="60"/>
      <c r="AQN13" s="60"/>
      <c r="AQO13" s="60"/>
      <c r="AQP13" s="60"/>
      <c r="AQQ13" s="60"/>
      <c r="AQR13" s="60"/>
      <c r="AQS13" s="60"/>
      <c r="AQT13" s="60"/>
      <c r="AQU13" s="60"/>
      <c r="AQV13" s="60"/>
      <c r="AQW13" s="60"/>
      <c r="AQX13" s="60"/>
      <c r="AQY13" s="60"/>
      <c r="AQZ13" s="60"/>
      <c r="ARA13" s="60"/>
      <c r="ARB13" s="60"/>
      <c r="ARC13" s="60"/>
      <c r="ARD13" s="60"/>
      <c r="ARE13" s="60"/>
      <c r="ARF13" s="60"/>
      <c r="ARG13" s="60"/>
      <c r="ARH13" s="60"/>
      <c r="ARI13" s="60"/>
      <c r="ARJ13" s="60"/>
      <c r="ARK13" s="60"/>
      <c r="ARL13" s="60"/>
      <c r="ARM13" s="60"/>
      <c r="ARN13" s="60"/>
      <c r="ARO13" s="60"/>
      <c r="ARP13" s="60"/>
      <c r="ARQ13" s="60"/>
      <c r="ARR13" s="60"/>
      <c r="ARS13" s="60"/>
      <c r="ART13" s="60"/>
      <c r="ARU13" s="60"/>
      <c r="ARV13" s="60"/>
      <c r="ARW13" s="60"/>
      <c r="ARX13" s="60"/>
      <c r="ARY13" s="60"/>
      <c r="ARZ13" s="60"/>
      <c r="ASA13" s="60"/>
      <c r="ASB13" s="60"/>
      <c r="ASC13" s="60"/>
      <c r="ASD13" s="60"/>
      <c r="ASE13" s="60"/>
      <c r="ASF13" s="60"/>
      <c r="ASG13" s="60"/>
      <c r="ASH13" s="60"/>
      <c r="ASI13" s="60"/>
      <c r="ASJ13" s="60"/>
      <c r="ASK13" s="60"/>
      <c r="ASL13" s="60"/>
      <c r="ASM13" s="60"/>
      <c r="ASN13" s="60"/>
      <c r="ASO13" s="60"/>
      <c r="ASP13" s="60"/>
      <c r="ASQ13" s="60"/>
      <c r="ASR13" s="60"/>
      <c r="ASS13" s="60"/>
      <c r="AST13" s="60"/>
      <c r="ASU13" s="60"/>
      <c r="ASV13" s="60"/>
      <c r="ASW13" s="60"/>
      <c r="ASX13" s="60"/>
      <c r="ASY13" s="60"/>
      <c r="ASZ13" s="60"/>
      <c r="ATA13" s="60"/>
      <c r="ATB13" s="60"/>
      <c r="ATC13" s="60"/>
      <c r="ATD13" s="60"/>
      <c r="ATE13" s="60"/>
      <c r="ATF13" s="60"/>
      <c r="ATG13" s="60"/>
      <c r="ATH13" s="60"/>
      <c r="ATI13" s="60"/>
      <c r="ATJ13" s="60"/>
      <c r="ATK13" s="60"/>
      <c r="ATL13" s="60"/>
      <c r="ATM13" s="60"/>
      <c r="ATN13" s="60"/>
      <c r="ATO13" s="60"/>
      <c r="ATP13" s="60"/>
      <c r="ATQ13" s="60"/>
      <c r="ATR13" s="60"/>
      <c r="ATS13" s="60"/>
      <c r="ATT13" s="60"/>
      <c r="ATU13" s="60"/>
      <c r="ATV13" s="60"/>
      <c r="ATW13" s="60"/>
      <c r="ATX13" s="60"/>
      <c r="ATY13" s="60"/>
      <c r="ATZ13" s="60"/>
      <c r="AUA13" s="60"/>
      <c r="AUB13" s="60"/>
      <c r="AUC13" s="60"/>
      <c r="AUD13" s="60"/>
      <c r="AUE13" s="60"/>
      <c r="AUF13" s="60"/>
      <c r="AUG13" s="60"/>
      <c r="AUH13" s="60"/>
      <c r="AUI13" s="60"/>
      <c r="AUJ13" s="60"/>
      <c r="AUK13" s="60"/>
      <c r="AUL13" s="60"/>
      <c r="AUM13" s="60"/>
      <c r="AUN13" s="60"/>
      <c r="AUO13" s="60"/>
      <c r="AUP13" s="60"/>
      <c r="AUQ13" s="60"/>
      <c r="AUR13" s="60"/>
      <c r="AUS13" s="60"/>
      <c r="AUT13" s="60"/>
      <c r="AUU13" s="60"/>
      <c r="AUV13" s="60"/>
      <c r="AUW13" s="60"/>
      <c r="AUX13" s="60"/>
      <c r="AUY13" s="60"/>
      <c r="AUZ13" s="60"/>
      <c r="AVA13" s="60"/>
      <c r="AVB13" s="60"/>
      <c r="AVC13" s="60"/>
      <c r="AVD13" s="60"/>
      <c r="AVE13" s="60"/>
      <c r="AVF13" s="60"/>
      <c r="AVG13" s="60"/>
      <c r="AVH13" s="60"/>
      <c r="AVI13" s="60"/>
      <c r="AVJ13" s="60"/>
      <c r="AVK13" s="60"/>
      <c r="AVL13" s="60"/>
      <c r="AVM13" s="60"/>
      <c r="AVN13" s="60"/>
      <c r="AVO13" s="60"/>
      <c r="AVP13" s="60"/>
      <c r="AVQ13" s="60"/>
      <c r="AVR13" s="60"/>
      <c r="AVS13" s="60"/>
      <c r="AVT13" s="60"/>
      <c r="AVU13" s="60"/>
      <c r="AVV13" s="60"/>
      <c r="AVW13" s="60"/>
      <c r="AVX13" s="60"/>
      <c r="AVY13" s="60"/>
      <c r="AVZ13" s="60"/>
      <c r="AWA13" s="60"/>
      <c r="AWB13" s="60"/>
      <c r="AWC13" s="60"/>
      <c r="AWD13" s="60"/>
      <c r="AWE13" s="60"/>
      <c r="AWF13" s="60"/>
      <c r="AWG13" s="60"/>
      <c r="AWH13" s="60"/>
      <c r="AWI13" s="60"/>
      <c r="AWJ13" s="60"/>
      <c r="AWK13" s="60"/>
      <c r="AWL13" s="60"/>
      <c r="AWM13" s="60"/>
      <c r="AWN13" s="60"/>
      <c r="AWO13" s="60"/>
      <c r="AWP13" s="60"/>
      <c r="AWQ13" s="60"/>
      <c r="AWR13" s="60"/>
      <c r="AWS13" s="60"/>
      <c r="AWT13" s="60"/>
      <c r="AWU13" s="60"/>
      <c r="AWV13" s="60"/>
      <c r="AWW13" s="60"/>
      <c r="AWX13" s="60"/>
      <c r="AWY13" s="60"/>
      <c r="AWZ13" s="60"/>
      <c r="AXA13" s="60"/>
      <c r="AXB13" s="60"/>
      <c r="AXC13" s="60"/>
      <c r="AXD13" s="60"/>
      <c r="AXE13" s="60"/>
      <c r="AXF13" s="60"/>
      <c r="AXG13" s="60"/>
      <c r="AXH13" s="60"/>
      <c r="AXI13" s="60"/>
      <c r="AXJ13" s="60"/>
      <c r="AXK13" s="60"/>
      <c r="AXL13" s="60"/>
      <c r="AXM13" s="60"/>
      <c r="AXN13" s="60"/>
      <c r="AXO13" s="60"/>
      <c r="AXP13" s="60"/>
      <c r="AXQ13" s="60"/>
      <c r="AXR13" s="60"/>
      <c r="AXS13" s="60"/>
      <c r="AXT13" s="60"/>
      <c r="AXU13" s="60"/>
      <c r="AXV13" s="60"/>
      <c r="AXW13" s="60"/>
      <c r="AXX13" s="60"/>
      <c r="AXY13" s="60"/>
      <c r="AXZ13" s="60"/>
      <c r="AYA13" s="60"/>
      <c r="AYB13" s="60"/>
      <c r="AYC13" s="60"/>
      <c r="AYD13" s="60"/>
      <c r="AYE13" s="60"/>
      <c r="AYF13" s="60"/>
      <c r="AYG13" s="60"/>
      <c r="AYH13" s="60"/>
      <c r="AYI13" s="60"/>
      <c r="AYJ13" s="60"/>
      <c r="AYK13" s="60"/>
      <c r="AYL13" s="60"/>
      <c r="AYM13" s="60"/>
      <c r="AYN13" s="60"/>
      <c r="AYO13" s="60"/>
      <c r="AYP13" s="60"/>
      <c r="AYQ13" s="60"/>
      <c r="AYR13" s="60"/>
      <c r="AYS13" s="60"/>
      <c r="AYT13" s="60"/>
      <c r="AYU13" s="60"/>
      <c r="AYV13" s="60"/>
      <c r="AYW13" s="60"/>
      <c r="AYX13" s="60"/>
      <c r="AYY13" s="60"/>
      <c r="AYZ13" s="60"/>
      <c r="AZA13" s="60"/>
      <c r="AZB13" s="60"/>
      <c r="AZC13" s="60"/>
      <c r="AZD13" s="60"/>
      <c r="AZE13" s="60"/>
      <c r="AZF13" s="60"/>
      <c r="AZG13" s="60"/>
      <c r="AZH13" s="60"/>
      <c r="AZI13" s="60"/>
      <c r="AZJ13" s="60"/>
      <c r="AZK13" s="60"/>
      <c r="AZL13" s="60"/>
      <c r="AZM13" s="60"/>
      <c r="AZN13" s="60"/>
      <c r="AZO13" s="60"/>
      <c r="AZP13" s="60"/>
      <c r="AZQ13" s="60"/>
      <c r="AZR13" s="60"/>
      <c r="AZS13" s="60"/>
      <c r="AZT13" s="60"/>
      <c r="AZU13" s="60"/>
      <c r="AZV13" s="60"/>
      <c r="AZW13" s="60"/>
      <c r="AZX13" s="60"/>
      <c r="AZY13" s="60"/>
      <c r="AZZ13" s="60"/>
      <c r="BAA13" s="60"/>
      <c r="BAB13" s="60"/>
      <c r="BAC13" s="60"/>
      <c r="BAD13" s="60"/>
      <c r="BAE13" s="60"/>
      <c r="BAF13" s="60"/>
      <c r="BAG13" s="60"/>
      <c r="BAH13" s="60"/>
      <c r="BAI13" s="60"/>
      <c r="BAJ13" s="60"/>
      <c r="BAK13" s="60"/>
      <c r="BAL13" s="60"/>
      <c r="BAM13" s="60"/>
      <c r="BAN13" s="60"/>
      <c r="BAO13" s="60"/>
      <c r="BAP13" s="60"/>
      <c r="BAQ13" s="60"/>
      <c r="BAR13" s="60"/>
      <c r="BAS13" s="60"/>
      <c r="BAT13" s="60"/>
      <c r="BAU13" s="60"/>
      <c r="BAV13" s="60"/>
      <c r="BAW13" s="60"/>
      <c r="BAX13" s="60"/>
      <c r="BAY13" s="60"/>
      <c r="BAZ13" s="60"/>
      <c r="BBA13" s="60"/>
      <c r="BBB13" s="60"/>
      <c r="BBC13" s="60"/>
      <c r="BBD13" s="60"/>
      <c r="BBE13" s="60"/>
      <c r="BBF13" s="60"/>
      <c r="BBG13" s="60"/>
      <c r="BBH13" s="60"/>
      <c r="BBI13" s="60"/>
      <c r="BBJ13" s="60"/>
      <c r="BBK13" s="60"/>
      <c r="BBL13" s="60"/>
      <c r="BBM13" s="60"/>
      <c r="BBN13" s="60"/>
      <c r="BBO13" s="60"/>
      <c r="BBP13" s="60"/>
      <c r="BBQ13" s="60"/>
      <c r="BBR13" s="60"/>
      <c r="BBS13" s="60"/>
      <c r="BBT13" s="60"/>
      <c r="BBU13" s="60"/>
      <c r="BBV13" s="60"/>
      <c r="BBW13" s="60"/>
      <c r="BBX13" s="60"/>
      <c r="BBY13" s="60"/>
      <c r="BBZ13" s="60"/>
      <c r="BCA13" s="60"/>
      <c r="BCB13" s="60"/>
      <c r="BCC13" s="60"/>
      <c r="BCD13" s="60"/>
      <c r="BCE13" s="60"/>
      <c r="BCF13" s="60"/>
      <c r="BCG13" s="60"/>
      <c r="BCH13" s="60"/>
      <c r="BCI13" s="60"/>
      <c r="BCJ13" s="60"/>
      <c r="BCK13" s="60"/>
      <c r="BCL13" s="60"/>
      <c r="BCM13" s="60"/>
      <c r="BCN13" s="60"/>
      <c r="BCO13" s="60"/>
      <c r="BCP13" s="60"/>
      <c r="BCQ13" s="60"/>
      <c r="BCR13" s="60"/>
      <c r="BCS13" s="60"/>
      <c r="BCT13" s="60"/>
      <c r="BCU13" s="60"/>
      <c r="BCV13" s="60"/>
      <c r="BCW13" s="60"/>
      <c r="BCX13" s="60"/>
      <c r="BCY13" s="60"/>
      <c r="BCZ13" s="60"/>
      <c r="BDA13" s="60"/>
      <c r="BDB13" s="60"/>
      <c r="BDC13" s="60"/>
      <c r="BDD13" s="60"/>
      <c r="BDE13" s="60"/>
      <c r="BDF13" s="60"/>
      <c r="BDG13" s="60"/>
      <c r="BDH13" s="60"/>
      <c r="BDI13" s="60"/>
      <c r="BDJ13" s="60"/>
      <c r="BDK13" s="60"/>
      <c r="BDL13" s="60"/>
      <c r="BDM13" s="60"/>
      <c r="BDN13" s="60"/>
      <c r="BDO13" s="60"/>
      <c r="BDP13" s="60"/>
      <c r="BDQ13" s="60"/>
      <c r="BDR13" s="60"/>
      <c r="BDS13" s="60"/>
      <c r="BDT13" s="60"/>
      <c r="BDU13" s="60"/>
      <c r="BDV13" s="60"/>
      <c r="BDW13" s="60"/>
      <c r="BDX13" s="60"/>
      <c r="BDY13" s="60"/>
      <c r="BDZ13" s="60"/>
      <c r="BEA13" s="60"/>
      <c r="BEB13" s="60"/>
      <c r="BEC13" s="60"/>
      <c r="BED13" s="60"/>
      <c r="BEE13" s="60"/>
      <c r="BEF13" s="60"/>
      <c r="BEG13" s="60"/>
      <c r="BEH13" s="60"/>
      <c r="BEI13" s="60"/>
      <c r="BEJ13" s="60"/>
      <c r="BEK13" s="60"/>
      <c r="BEL13" s="60"/>
      <c r="BEM13" s="60"/>
      <c r="BEN13" s="60"/>
      <c r="BEO13" s="60"/>
      <c r="BEP13" s="60"/>
      <c r="BEQ13" s="60"/>
      <c r="BER13" s="60"/>
      <c r="BES13" s="60"/>
      <c r="BET13" s="60"/>
      <c r="BEU13" s="60"/>
      <c r="BEV13" s="60"/>
      <c r="BEW13" s="60"/>
      <c r="BEX13" s="60"/>
      <c r="BEY13" s="60"/>
      <c r="BEZ13" s="60"/>
      <c r="BFA13" s="60"/>
      <c r="BFB13" s="60"/>
      <c r="BFC13" s="60"/>
      <c r="BFD13" s="60"/>
      <c r="BFE13" s="60"/>
      <c r="BFF13" s="60"/>
      <c r="BFG13" s="60"/>
      <c r="BFH13" s="60"/>
      <c r="BFI13" s="60"/>
      <c r="BFJ13" s="60"/>
      <c r="BFK13" s="60"/>
      <c r="BFL13" s="60"/>
      <c r="BFM13" s="60"/>
      <c r="BFN13" s="60"/>
      <c r="BFO13" s="60"/>
      <c r="BFP13" s="60"/>
      <c r="BFQ13" s="60"/>
      <c r="BFR13" s="60"/>
      <c r="BFS13" s="60"/>
      <c r="BFT13" s="60"/>
      <c r="BFU13" s="60"/>
      <c r="BFV13" s="60"/>
      <c r="BFW13" s="60"/>
      <c r="BFX13" s="60"/>
      <c r="BFY13" s="60"/>
      <c r="BFZ13" s="60"/>
      <c r="BGA13" s="60"/>
      <c r="BGB13" s="60"/>
      <c r="BGC13" s="60"/>
      <c r="BGD13" s="60"/>
      <c r="BGE13" s="60"/>
      <c r="BGF13" s="60"/>
      <c r="BGG13" s="60"/>
      <c r="BGH13" s="60"/>
      <c r="BGI13" s="60"/>
      <c r="BGJ13" s="60"/>
      <c r="BGK13" s="60"/>
      <c r="BGL13" s="60"/>
      <c r="BGM13" s="60"/>
      <c r="BGN13" s="60"/>
      <c r="BGO13" s="60"/>
      <c r="BGP13" s="60"/>
      <c r="BGQ13" s="60"/>
      <c r="BGR13" s="60"/>
      <c r="BGS13" s="60"/>
      <c r="BGT13" s="60"/>
      <c r="BGU13" s="60"/>
      <c r="BGV13" s="60"/>
      <c r="BGW13" s="60"/>
      <c r="BGX13" s="60"/>
      <c r="BGY13" s="60"/>
      <c r="BGZ13" s="60"/>
      <c r="BHA13" s="60"/>
      <c r="BHB13" s="60"/>
      <c r="BHC13" s="60"/>
      <c r="BHD13" s="60"/>
      <c r="BHE13" s="60"/>
      <c r="BHF13" s="60"/>
      <c r="BHG13" s="60"/>
      <c r="BHH13" s="60"/>
      <c r="BHI13" s="60"/>
      <c r="BHJ13" s="60"/>
      <c r="BHK13" s="60"/>
      <c r="BHL13" s="60"/>
      <c r="BHM13" s="60"/>
      <c r="BHN13" s="60"/>
      <c r="BHO13" s="60"/>
      <c r="BHP13" s="60"/>
      <c r="BHQ13" s="60"/>
      <c r="BHR13" s="60"/>
      <c r="BHS13" s="60"/>
      <c r="BHT13" s="60"/>
      <c r="BHU13" s="60"/>
      <c r="BHV13" s="60"/>
      <c r="BHW13" s="60"/>
      <c r="BHX13" s="60"/>
      <c r="BHY13" s="60"/>
      <c r="BHZ13" s="60"/>
      <c r="BIA13" s="60"/>
      <c r="BIB13" s="60"/>
      <c r="BIC13" s="60"/>
      <c r="BID13" s="60"/>
      <c r="BIE13" s="60"/>
      <c r="BIF13" s="60"/>
      <c r="BIG13" s="60"/>
      <c r="BIH13" s="60"/>
      <c r="BII13" s="60"/>
      <c r="BIJ13" s="60"/>
      <c r="BIK13" s="60"/>
      <c r="BIL13" s="60"/>
    </row>
    <row r="14" spans="2:1598" x14ac:dyDescent="0.25">
      <c r="B14" s="132"/>
      <c r="C14" s="6" t="s">
        <v>0</v>
      </c>
      <c r="D14" s="134" t="s">
        <v>2</v>
      </c>
      <c r="E14" s="6" t="s">
        <v>2</v>
      </c>
      <c r="F14" s="134" t="s">
        <v>6</v>
      </c>
      <c r="G14" s="58"/>
      <c r="H14" s="58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56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56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56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56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56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56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56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56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56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56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56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56"/>
      <c r="OQ14" s="57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56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56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56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56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56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56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56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56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56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56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56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56"/>
      <c r="ADX14" s="57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56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56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56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56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56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56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56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56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56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30"/>
      <c r="AQF14" s="30"/>
      <c r="AQG14" s="30"/>
      <c r="AQH14" s="30"/>
      <c r="AQI14" s="30"/>
      <c r="AQJ14" s="30"/>
      <c r="AQK14" s="30"/>
      <c r="AQL14" s="30"/>
      <c r="AQM14" s="30"/>
      <c r="AQN14" s="30"/>
      <c r="AQO14" s="30"/>
      <c r="AQP14" s="56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30"/>
      <c r="ARM14" s="30"/>
      <c r="ARN14" s="30"/>
      <c r="ARO14" s="30"/>
      <c r="ARP14" s="30"/>
      <c r="ARQ14" s="30"/>
      <c r="ARR14" s="30"/>
      <c r="ARS14" s="30"/>
      <c r="ART14" s="30"/>
      <c r="ARU14" s="30"/>
      <c r="ARV14" s="30"/>
      <c r="ARW14" s="56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30"/>
      <c r="AST14" s="30"/>
      <c r="ASU14" s="30"/>
      <c r="ASV14" s="30"/>
      <c r="ASW14" s="30"/>
      <c r="ASX14" s="30"/>
      <c r="ASY14" s="30"/>
      <c r="ASZ14" s="30"/>
      <c r="ATA14" s="30"/>
      <c r="ATB14" s="30"/>
      <c r="ATC14" s="30"/>
      <c r="ATD14" s="56"/>
      <c r="ATE14" s="57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30"/>
      <c r="AUA14" s="30"/>
      <c r="AUB14" s="30"/>
      <c r="AUC14" s="30"/>
      <c r="AUD14" s="30"/>
      <c r="AUE14" s="30"/>
      <c r="AUF14" s="30"/>
      <c r="AUG14" s="30"/>
      <c r="AUH14" s="30"/>
      <c r="AUI14" s="30"/>
      <c r="AUJ14" s="30"/>
      <c r="AUK14" s="30"/>
      <c r="AUL14" s="56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30"/>
      <c r="AVI14" s="30"/>
      <c r="AVJ14" s="30"/>
      <c r="AVK14" s="30"/>
      <c r="AVL14" s="30"/>
      <c r="AVM14" s="30"/>
      <c r="AVN14" s="30"/>
      <c r="AVO14" s="30"/>
      <c r="AVP14" s="30"/>
      <c r="AVQ14" s="30"/>
      <c r="AVR14" s="30"/>
      <c r="AVS14" s="56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30"/>
      <c r="AWP14" s="30"/>
      <c r="AWQ14" s="30"/>
      <c r="AWR14" s="30"/>
      <c r="AWS14" s="30"/>
      <c r="AWT14" s="30"/>
      <c r="AWU14" s="30"/>
      <c r="AWV14" s="30"/>
      <c r="AWW14" s="30"/>
      <c r="AWX14" s="30"/>
      <c r="AWY14" s="30"/>
      <c r="AWZ14" s="56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30"/>
      <c r="AXW14" s="30"/>
      <c r="AXX14" s="30"/>
      <c r="AXY14" s="30"/>
      <c r="AXZ14" s="30"/>
      <c r="AYA14" s="30"/>
      <c r="AYB14" s="30"/>
      <c r="AYC14" s="30"/>
      <c r="AYD14" s="30"/>
      <c r="AYE14" s="30"/>
      <c r="AYF14" s="30"/>
      <c r="AYG14" s="56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30"/>
      <c r="AZD14" s="30"/>
      <c r="AZE14" s="30"/>
      <c r="AZF14" s="30"/>
      <c r="AZG14" s="30"/>
      <c r="AZH14" s="30"/>
      <c r="AZI14" s="30"/>
      <c r="AZJ14" s="30"/>
      <c r="AZK14" s="30"/>
      <c r="AZL14" s="30"/>
      <c r="AZM14" s="30"/>
      <c r="AZN14" s="56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30"/>
      <c r="BAK14" s="30"/>
      <c r="BAL14" s="30"/>
      <c r="BAM14" s="30"/>
      <c r="BAN14" s="30"/>
      <c r="BAO14" s="30"/>
      <c r="BAP14" s="30"/>
      <c r="BAQ14" s="30"/>
      <c r="BAR14" s="30"/>
      <c r="BAS14" s="30"/>
      <c r="BAT14" s="30"/>
      <c r="BAU14" s="56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30"/>
      <c r="BBR14" s="30"/>
      <c r="BBS14" s="30"/>
      <c r="BBT14" s="30"/>
      <c r="BBU14" s="30"/>
      <c r="BBV14" s="30"/>
      <c r="BBW14" s="30"/>
      <c r="BBX14" s="30"/>
      <c r="BBY14" s="30"/>
      <c r="BBZ14" s="30"/>
      <c r="BCA14" s="30"/>
      <c r="BCB14" s="56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30"/>
      <c r="BCY14" s="30"/>
      <c r="BCZ14" s="30"/>
      <c r="BDA14" s="30"/>
      <c r="BDB14" s="30"/>
      <c r="BDC14" s="30"/>
      <c r="BDD14" s="30"/>
      <c r="BDE14" s="30"/>
      <c r="BDF14" s="30"/>
      <c r="BDG14" s="30"/>
      <c r="BDH14" s="30"/>
      <c r="BDI14" s="56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30"/>
      <c r="BEF14" s="30"/>
      <c r="BEG14" s="30"/>
      <c r="BEH14" s="30"/>
      <c r="BEI14" s="30"/>
      <c r="BEJ14" s="30"/>
      <c r="BEK14" s="30"/>
      <c r="BEL14" s="30"/>
      <c r="BEM14" s="30"/>
      <c r="BEN14" s="30"/>
      <c r="BEO14" s="30"/>
      <c r="BEP14" s="56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30"/>
      <c r="BFM14" s="30"/>
      <c r="BFN14" s="30"/>
      <c r="BFO14" s="30"/>
      <c r="BFP14" s="30"/>
      <c r="BFQ14" s="30"/>
      <c r="BFR14" s="30"/>
      <c r="BFS14" s="30"/>
      <c r="BFT14" s="30"/>
      <c r="BFU14" s="30"/>
      <c r="BFV14" s="30"/>
      <c r="BFW14" s="56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30"/>
      <c r="BGT14" s="30"/>
      <c r="BGU14" s="30"/>
      <c r="BGV14" s="30"/>
      <c r="BGW14" s="30"/>
      <c r="BGX14" s="30"/>
      <c r="BGY14" s="30"/>
      <c r="BGZ14" s="30"/>
      <c r="BHA14" s="30"/>
      <c r="BHB14" s="30"/>
      <c r="BHC14" s="30"/>
      <c r="BHD14" s="56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30"/>
      <c r="BIA14" s="30"/>
      <c r="BIB14" s="30"/>
      <c r="BIC14" s="30"/>
      <c r="BID14" s="30"/>
      <c r="BIE14" s="30"/>
      <c r="BIF14" s="30"/>
      <c r="BIG14" s="30"/>
      <c r="BIH14" s="30"/>
      <c r="BII14" s="30"/>
      <c r="BIJ14" s="30"/>
      <c r="BIK14" s="56"/>
      <c r="BIL14" s="57"/>
    </row>
    <row r="15" spans="2:1598" x14ac:dyDescent="0.25">
      <c r="B15" s="132"/>
      <c r="C15" s="6" t="s">
        <v>0</v>
      </c>
      <c r="D15" s="135"/>
      <c r="E15" s="6" t="s">
        <v>2</v>
      </c>
      <c r="F15" s="112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  <c r="DR15" s="60"/>
      <c r="DS15" s="60"/>
      <c r="DT15" s="60"/>
      <c r="DU15" s="60"/>
      <c r="DV15" s="60"/>
      <c r="DW15" s="60"/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60"/>
      <c r="EN15" s="60"/>
      <c r="EO15" s="60"/>
      <c r="EP15" s="60"/>
      <c r="EQ15" s="60"/>
      <c r="ER15" s="60"/>
      <c r="ES15" s="60"/>
      <c r="ET15" s="60"/>
      <c r="EU15" s="60"/>
      <c r="EV15" s="60"/>
      <c r="EW15" s="60"/>
      <c r="EX15" s="60"/>
      <c r="EY15" s="60"/>
      <c r="EZ15" s="60"/>
      <c r="FA15" s="60"/>
      <c r="FB15" s="60"/>
      <c r="FC15" s="60"/>
      <c r="FD15" s="60"/>
      <c r="FE15" s="60"/>
      <c r="FF15" s="60"/>
      <c r="FG15" s="60"/>
      <c r="FH15" s="60"/>
      <c r="FI15" s="60"/>
      <c r="FJ15" s="60"/>
      <c r="FK15" s="60"/>
      <c r="FL15" s="60"/>
      <c r="FM15" s="60"/>
      <c r="FN15" s="60"/>
      <c r="FO15" s="60"/>
      <c r="FP15" s="60"/>
      <c r="FQ15" s="60"/>
      <c r="FR15" s="60"/>
      <c r="FS15" s="60"/>
      <c r="FT15" s="60"/>
      <c r="FU15" s="60"/>
      <c r="FV15" s="60"/>
      <c r="FW15" s="60"/>
      <c r="FX15" s="60"/>
      <c r="FY15" s="60"/>
      <c r="FZ15" s="60"/>
      <c r="GA15" s="60"/>
      <c r="GB15" s="60"/>
      <c r="GC15" s="60"/>
      <c r="GD15" s="60"/>
      <c r="GE15" s="60"/>
      <c r="GF15" s="60"/>
      <c r="GG15" s="60"/>
      <c r="GH15" s="60"/>
      <c r="GI15" s="60"/>
      <c r="GJ15" s="60"/>
      <c r="GK15" s="60"/>
      <c r="GL15" s="60"/>
      <c r="GM15" s="60"/>
      <c r="GN15" s="60"/>
      <c r="GO15" s="60"/>
      <c r="GP15" s="60"/>
      <c r="GQ15" s="60"/>
      <c r="GR15" s="60"/>
      <c r="GS15" s="60"/>
      <c r="GT15" s="60"/>
      <c r="GU15" s="60"/>
      <c r="GV15" s="60"/>
      <c r="GW15" s="60"/>
      <c r="GX15" s="60"/>
      <c r="GY15" s="60"/>
      <c r="GZ15" s="60"/>
      <c r="HA15" s="60"/>
      <c r="HB15" s="60"/>
      <c r="HC15" s="60"/>
      <c r="HD15" s="60"/>
      <c r="HE15" s="60"/>
      <c r="HF15" s="60"/>
      <c r="HG15" s="60"/>
      <c r="HH15" s="60"/>
      <c r="HI15" s="60"/>
      <c r="HJ15" s="60"/>
      <c r="HK15" s="60"/>
      <c r="HL15" s="60"/>
      <c r="HM15" s="60"/>
      <c r="HN15" s="60"/>
      <c r="HO15" s="60"/>
      <c r="HP15" s="60"/>
      <c r="HQ15" s="60"/>
      <c r="HR15" s="60"/>
      <c r="HS15" s="60"/>
      <c r="HT15" s="60"/>
      <c r="HU15" s="60"/>
      <c r="HV15" s="60"/>
      <c r="HW15" s="60"/>
      <c r="HX15" s="60"/>
      <c r="HY15" s="60"/>
      <c r="HZ15" s="60"/>
      <c r="IA15" s="60"/>
      <c r="IB15" s="60"/>
      <c r="IC15" s="60"/>
      <c r="ID15" s="60"/>
      <c r="IE15" s="60"/>
      <c r="IF15" s="60"/>
      <c r="IG15" s="60"/>
      <c r="IH15" s="60"/>
      <c r="II15" s="60"/>
      <c r="IJ15" s="60"/>
      <c r="IK15" s="60"/>
      <c r="IL15" s="60"/>
      <c r="IM15" s="60"/>
      <c r="IN15" s="60"/>
      <c r="IO15" s="60"/>
      <c r="IP15" s="60"/>
      <c r="IQ15" s="60"/>
      <c r="IR15" s="60"/>
      <c r="IS15" s="60"/>
      <c r="IT15" s="60"/>
      <c r="IU15" s="60"/>
      <c r="IV15" s="60"/>
      <c r="IW15" s="60"/>
      <c r="IX15" s="60"/>
      <c r="IY15" s="60"/>
      <c r="IZ15" s="60"/>
      <c r="JA15" s="60"/>
      <c r="JB15" s="60"/>
      <c r="JC15" s="60"/>
      <c r="JD15" s="60"/>
      <c r="JE15" s="60"/>
      <c r="JF15" s="60"/>
      <c r="JG15" s="60"/>
      <c r="JH15" s="60"/>
      <c r="JI15" s="60"/>
      <c r="JJ15" s="60"/>
      <c r="JK15" s="60"/>
      <c r="JL15" s="60"/>
      <c r="JM15" s="60"/>
      <c r="JN15" s="60"/>
      <c r="JO15" s="60"/>
      <c r="JP15" s="60"/>
      <c r="JQ15" s="60"/>
      <c r="JR15" s="60"/>
      <c r="JS15" s="60"/>
      <c r="JT15" s="60"/>
      <c r="JU15" s="60"/>
      <c r="JV15" s="60"/>
      <c r="JW15" s="60"/>
      <c r="JX15" s="60"/>
      <c r="JY15" s="60"/>
      <c r="JZ15" s="60"/>
      <c r="KA15" s="60"/>
      <c r="KB15" s="60"/>
      <c r="KC15" s="60"/>
      <c r="KD15" s="60"/>
      <c r="KE15" s="60"/>
      <c r="KF15" s="60"/>
      <c r="KG15" s="60"/>
      <c r="KH15" s="60"/>
      <c r="KI15" s="60"/>
      <c r="KJ15" s="60"/>
      <c r="KK15" s="60"/>
      <c r="KL15" s="60"/>
      <c r="KM15" s="60"/>
      <c r="KN15" s="60"/>
      <c r="KO15" s="60"/>
      <c r="KP15" s="60"/>
      <c r="KQ15" s="60"/>
      <c r="KR15" s="60"/>
      <c r="KS15" s="60"/>
      <c r="KT15" s="60"/>
      <c r="KU15" s="60"/>
      <c r="KV15" s="60"/>
      <c r="KW15" s="60"/>
      <c r="KX15" s="60"/>
      <c r="KY15" s="60"/>
      <c r="KZ15" s="60"/>
      <c r="LA15" s="60"/>
      <c r="LB15" s="60"/>
      <c r="LC15" s="60"/>
      <c r="LD15" s="60"/>
      <c r="LE15" s="60"/>
      <c r="LF15" s="60"/>
      <c r="LG15" s="60"/>
      <c r="LH15" s="60"/>
      <c r="LI15" s="60"/>
      <c r="LJ15" s="60"/>
      <c r="LK15" s="60"/>
      <c r="LL15" s="60"/>
      <c r="LM15" s="60"/>
      <c r="LN15" s="60"/>
      <c r="LO15" s="60"/>
      <c r="LP15" s="60"/>
      <c r="LQ15" s="60"/>
      <c r="LR15" s="60"/>
      <c r="LS15" s="60"/>
      <c r="LT15" s="60"/>
      <c r="LU15" s="60"/>
      <c r="LV15" s="60"/>
      <c r="LW15" s="60"/>
      <c r="LX15" s="60"/>
      <c r="LY15" s="60"/>
      <c r="LZ15" s="60"/>
      <c r="MA15" s="60"/>
      <c r="MB15" s="60"/>
      <c r="MC15" s="60"/>
      <c r="MD15" s="60"/>
      <c r="ME15" s="60"/>
      <c r="MF15" s="60"/>
      <c r="MG15" s="60"/>
      <c r="MH15" s="60"/>
      <c r="MI15" s="60"/>
      <c r="MJ15" s="60"/>
      <c r="MK15" s="60"/>
      <c r="ML15" s="60"/>
      <c r="MM15" s="60"/>
      <c r="MN15" s="60"/>
      <c r="MO15" s="60"/>
      <c r="MP15" s="60"/>
      <c r="MQ15" s="60"/>
      <c r="MR15" s="60"/>
      <c r="MS15" s="60"/>
      <c r="MT15" s="60"/>
      <c r="MU15" s="60"/>
      <c r="MV15" s="60"/>
      <c r="MW15" s="60"/>
      <c r="MX15" s="60"/>
      <c r="MY15" s="60"/>
      <c r="MZ15" s="60"/>
      <c r="NA15" s="60"/>
      <c r="NB15" s="60"/>
      <c r="NC15" s="60"/>
      <c r="ND15" s="60"/>
      <c r="NE15" s="60"/>
      <c r="NF15" s="60"/>
      <c r="NG15" s="60"/>
      <c r="NH15" s="60"/>
      <c r="NI15" s="60"/>
      <c r="NJ15" s="60"/>
      <c r="NK15" s="60"/>
      <c r="NL15" s="60"/>
      <c r="NM15" s="60"/>
      <c r="NN15" s="60"/>
      <c r="NO15" s="60"/>
      <c r="NP15" s="60"/>
      <c r="NQ15" s="60"/>
      <c r="NR15" s="60"/>
      <c r="NS15" s="60"/>
      <c r="NT15" s="60"/>
      <c r="NU15" s="60"/>
      <c r="NV15" s="60"/>
      <c r="NW15" s="60"/>
      <c r="NX15" s="60"/>
      <c r="NY15" s="60"/>
      <c r="NZ15" s="60"/>
      <c r="OA15" s="60"/>
      <c r="OB15" s="60"/>
      <c r="OC15" s="60"/>
      <c r="OD15" s="60"/>
      <c r="OE15" s="60"/>
      <c r="OF15" s="60"/>
      <c r="OG15" s="60"/>
      <c r="OH15" s="60"/>
      <c r="OI15" s="60"/>
      <c r="OJ15" s="60"/>
      <c r="OK15" s="60"/>
      <c r="OL15" s="60"/>
      <c r="OM15" s="60"/>
      <c r="ON15" s="60"/>
      <c r="OO15" s="60"/>
      <c r="OP15" s="60"/>
      <c r="OQ15" s="60"/>
      <c r="OR15" s="60"/>
      <c r="OS15" s="60"/>
      <c r="OT15" s="60"/>
      <c r="OU15" s="60"/>
      <c r="OV15" s="60"/>
      <c r="OW15" s="60"/>
      <c r="OX15" s="60"/>
      <c r="OY15" s="60"/>
      <c r="OZ15" s="60"/>
      <c r="PA15" s="60"/>
      <c r="PB15" s="60"/>
      <c r="PC15" s="60"/>
      <c r="PD15" s="60"/>
      <c r="PE15" s="60"/>
      <c r="PF15" s="60"/>
      <c r="PG15" s="60"/>
      <c r="PH15" s="60"/>
      <c r="PI15" s="60"/>
      <c r="PJ15" s="60"/>
      <c r="PK15" s="60"/>
      <c r="PL15" s="60"/>
      <c r="PM15" s="60"/>
      <c r="PN15" s="60"/>
      <c r="PO15" s="60"/>
      <c r="PP15" s="60"/>
      <c r="PQ15" s="60"/>
      <c r="PR15" s="60"/>
      <c r="PS15" s="60"/>
      <c r="PT15" s="60"/>
      <c r="PU15" s="60"/>
      <c r="PV15" s="60"/>
      <c r="PW15" s="60"/>
      <c r="PX15" s="60"/>
      <c r="PY15" s="60"/>
      <c r="PZ15" s="60"/>
      <c r="QA15" s="60"/>
      <c r="QB15" s="60"/>
      <c r="QC15" s="60"/>
      <c r="QD15" s="60"/>
      <c r="QE15" s="60"/>
      <c r="QF15" s="60"/>
      <c r="QG15" s="60"/>
      <c r="QH15" s="60"/>
      <c r="QI15" s="60"/>
      <c r="QJ15" s="60"/>
      <c r="QK15" s="60"/>
      <c r="QL15" s="60"/>
      <c r="QM15" s="60"/>
      <c r="QN15" s="60"/>
      <c r="QO15" s="60"/>
      <c r="QP15" s="60"/>
      <c r="QQ15" s="60"/>
      <c r="QR15" s="60"/>
      <c r="QS15" s="60"/>
      <c r="QT15" s="60"/>
      <c r="QU15" s="60"/>
      <c r="QV15" s="60"/>
      <c r="QW15" s="60"/>
      <c r="QX15" s="60"/>
      <c r="QY15" s="60"/>
      <c r="QZ15" s="60"/>
      <c r="RA15" s="60"/>
      <c r="RB15" s="60"/>
      <c r="RC15" s="60"/>
      <c r="RD15" s="60"/>
      <c r="RE15" s="60"/>
      <c r="RF15" s="60"/>
      <c r="RG15" s="60"/>
      <c r="RH15" s="60"/>
      <c r="RI15" s="60"/>
      <c r="RJ15" s="60"/>
      <c r="RK15" s="60"/>
      <c r="RL15" s="60"/>
      <c r="RM15" s="60"/>
      <c r="RN15" s="60"/>
      <c r="RO15" s="60"/>
      <c r="RP15" s="60"/>
      <c r="RQ15" s="60"/>
      <c r="RR15" s="60"/>
      <c r="RS15" s="60"/>
      <c r="RT15" s="60"/>
      <c r="RU15" s="60"/>
      <c r="RV15" s="60"/>
      <c r="RW15" s="60"/>
      <c r="RX15" s="60"/>
      <c r="RY15" s="60"/>
      <c r="RZ15" s="60"/>
      <c r="SA15" s="60"/>
      <c r="SB15" s="60"/>
      <c r="SC15" s="60"/>
      <c r="SD15" s="60"/>
      <c r="SE15" s="60"/>
      <c r="SF15" s="60"/>
      <c r="SG15" s="60"/>
      <c r="SH15" s="60"/>
      <c r="SI15" s="60"/>
      <c r="SJ15" s="60"/>
      <c r="SK15" s="60"/>
      <c r="SL15" s="60"/>
      <c r="SM15" s="60"/>
      <c r="SN15" s="60"/>
      <c r="SO15" s="60"/>
      <c r="SP15" s="60"/>
      <c r="SQ15" s="60"/>
      <c r="SR15" s="60"/>
      <c r="SS15" s="60"/>
      <c r="ST15" s="60"/>
      <c r="SU15" s="60"/>
      <c r="SV15" s="60"/>
      <c r="SW15" s="60"/>
      <c r="SX15" s="60"/>
      <c r="SY15" s="60"/>
      <c r="SZ15" s="60"/>
      <c r="TA15" s="60"/>
      <c r="TB15" s="60"/>
      <c r="TC15" s="60"/>
      <c r="TD15" s="60"/>
      <c r="TE15" s="60"/>
      <c r="TF15" s="60"/>
      <c r="TG15" s="60"/>
      <c r="TH15" s="60"/>
      <c r="TI15" s="60"/>
      <c r="TJ15" s="60"/>
      <c r="TK15" s="60"/>
      <c r="TL15" s="60"/>
      <c r="TM15" s="60"/>
      <c r="TN15" s="60"/>
      <c r="TO15" s="60"/>
      <c r="TP15" s="60"/>
      <c r="TQ15" s="60"/>
      <c r="TR15" s="60"/>
      <c r="TS15" s="60"/>
      <c r="TT15" s="60"/>
      <c r="TU15" s="60"/>
      <c r="TV15" s="60"/>
      <c r="TW15" s="60"/>
      <c r="TX15" s="60"/>
      <c r="TY15" s="60"/>
      <c r="TZ15" s="60"/>
      <c r="UA15" s="60"/>
      <c r="UB15" s="60"/>
      <c r="UC15" s="60"/>
      <c r="UD15" s="60"/>
      <c r="UE15" s="60"/>
      <c r="UF15" s="60"/>
      <c r="UG15" s="60"/>
      <c r="UH15" s="60"/>
      <c r="UI15" s="60"/>
      <c r="UJ15" s="60"/>
      <c r="UK15" s="60"/>
      <c r="UL15" s="60"/>
      <c r="UM15" s="60"/>
      <c r="UN15" s="60"/>
      <c r="UO15" s="60"/>
      <c r="UP15" s="60"/>
      <c r="UQ15" s="60"/>
      <c r="UR15" s="60"/>
      <c r="US15" s="60"/>
      <c r="UT15" s="60"/>
      <c r="UU15" s="60"/>
      <c r="UV15" s="60"/>
      <c r="UW15" s="60"/>
      <c r="UX15" s="60"/>
      <c r="UY15" s="60"/>
      <c r="UZ15" s="60"/>
      <c r="VA15" s="60"/>
      <c r="VB15" s="60"/>
      <c r="VC15" s="60"/>
      <c r="VD15" s="60"/>
      <c r="VE15" s="60"/>
      <c r="VF15" s="60"/>
      <c r="VG15" s="60"/>
      <c r="VH15" s="60"/>
      <c r="VI15" s="60"/>
      <c r="VJ15" s="60"/>
      <c r="VK15" s="60"/>
      <c r="VL15" s="60"/>
      <c r="VM15" s="60"/>
      <c r="VN15" s="60"/>
      <c r="VO15" s="60"/>
      <c r="VP15" s="60"/>
      <c r="VQ15" s="60"/>
      <c r="VR15" s="60"/>
      <c r="VS15" s="60"/>
      <c r="VT15" s="60"/>
      <c r="VU15" s="60"/>
      <c r="VV15" s="60"/>
      <c r="VW15" s="60"/>
      <c r="VX15" s="60"/>
      <c r="VY15" s="60"/>
      <c r="VZ15" s="60"/>
      <c r="WA15" s="60"/>
      <c r="WB15" s="60"/>
      <c r="WC15" s="60"/>
      <c r="WD15" s="60"/>
      <c r="WE15" s="60"/>
      <c r="WF15" s="60"/>
      <c r="WG15" s="60"/>
      <c r="WH15" s="60"/>
      <c r="WI15" s="60"/>
      <c r="WJ15" s="60"/>
      <c r="WK15" s="60"/>
      <c r="WL15" s="60"/>
      <c r="WM15" s="60"/>
      <c r="WN15" s="60"/>
      <c r="WO15" s="60"/>
      <c r="WP15" s="60"/>
      <c r="WQ15" s="60"/>
      <c r="WR15" s="60"/>
      <c r="WS15" s="60"/>
      <c r="WT15" s="60"/>
      <c r="WU15" s="60"/>
      <c r="WV15" s="60"/>
      <c r="WW15" s="60"/>
      <c r="WX15" s="60"/>
      <c r="WY15" s="60"/>
      <c r="WZ15" s="60"/>
      <c r="XA15" s="60"/>
      <c r="XB15" s="60"/>
      <c r="XC15" s="60"/>
      <c r="XD15" s="60"/>
      <c r="XE15" s="60"/>
      <c r="XF15" s="60"/>
      <c r="XG15" s="60"/>
      <c r="XH15" s="60"/>
      <c r="XI15" s="60"/>
      <c r="XJ15" s="60"/>
      <c r="XK15" s="60"/>
      <c r="XL15" s="60"/>
      <c r="XM15" s="60"/>
      <c r="XN15" s="60"/>
      <c r="XO15" s="60"/>
      <c r="XP15" s="60"/>
      <c r="XQ15" s="60"/>
      <c r="XR15" s="60"/>
      <c r="XS15" s="60"/>
      <c r="XT15" s="60"/>
      <c r="XU15" s="60"/>
      <c r="XV15" s="60"/>
      <c r="XW15" s="60"/>
      <c r="XX15" s="60"/>
      <c r="XY15" s="60"/>
      <c r="XZ15" s="60"/>
      <c r="YA15" s="60"/>
      <c r="YB15" s="60"/>
      <c r="YC15" s="60"/>
      <c r="YD15" s="60"/>
      <c r="YE15" s="60"/>
      <c r="YF15" s="60"/>
      <c r="YG15" s="60"/>
      <c r="YH15" s="60"/>
      <c r="YI15" s="60"/>
      <c r="YJ15" s="60"/>
      <c r="YK15" s="60"/>
      <c r="YL15" s="60"/>
      <c r="YM15" s="60"/>
      <c r="YN15" s="60"/>
      <c r="YO15" s="60"/>
      <c r="YP15" s="60"/>
      <c r="YQ15" s="60"/>
      <c r="YR15" s="60"/>
      <c r="YS15" s="60"/>
      <c r="YT15" s="60"/>
      <c r="YU15" s="60"/>
      <c r="YV15" s="60"/>
      <c r="YW15" s="60"/>
      <c r="YX15" s="60"/>
      <c r="YY15" s="60"/>
      <c r="YZ15" s="60"/>
      <c r="ZA15" s="60"/>
      <c r="ZB15" s="60"/>
      <c r="ZC15" s="60"/>
      <c r="ZD15" s="60"/>
      <c r="ZE15" s="60"/>
      <c r="ZF15" s="60"/>
      <c r="ZG15" s="60"/>
      <c r="ZH15" s="60"/>
      <c r="ZI15" s="60"/>
      <c r="ZJ15" s="60"/>
      <c r="ZK15" s="60"/>
      <c r="ZL15" s="60"/>
      <c r="ZM15" s="60"/>
      <c r="ZN15" s="60"/>
      <c r="ZO15" s="60"/>
      <c r="ZP15" s="60"/>
      <c r="ZQ15" s="60"/>
      <c r="ZR15" s="60"/>
      <c r="ZS15" s="60"/>
      <c r="ZT15" s="60"/>
      <c r="ZU15" s="60"/>
      <c r="ZV15" s="60"/>
      <c r="ZW15" s="60"/>
      <c r="ZX15" s="60"/>
      <c r="ZY15" s="60"/>
      <c r="ZZ15" s="60"/>
      <c r="AAA15" s="60"/>
      <c r="AAB15" s="60"/>
      <c r="AAC15" s="60"/>
      <c r="AAD15" s="60"/>
      <c r="AAE15" s="60"/>
      <c r="AAF15" s="60"/>
      <c r="AAG15" s="60"/>
      <c r="AAH15" s="60"/>
      <c r="AAI15" s="60"/>
      <c r="AAJ15" s="60"/>
      <c r="AAK15" s="60"/>
      <c r="AAL15" s="60"/>
      <c r="AAM15" s="60"/>
      <c r="AAN15" s="60"/>
      <c r="AAO15" s="60"/>
      <c r="AAP15" s="60"/>
      <c r="AAQ15" s="60"/>
      <c r="AAR15" s="60"/>
      <c r="AAS15" s="60"/>
      <c r="AAT15" s="60"/>
      <c r="AAU15" s="60"/>
      <c r="AAV15" s="60"/>
      <c r="AAW15" s="60"/>
      <c r="AAX15" s="60"/>
      <c r="AAY15" s="60"/>
      <c r="AAZ15" s="60"/>
      <c r="ABA15" s="60"/>
      <c r="ABB15" s="60"/>
      <c r="ABC15" s="60"/>
      <c r="ABD15" s="60"/>
      <c r="ABE15" s="60"/>
      <c r="ABF15" s="60"/>
      <c r="ABG15" s="60"/>
      <c r="ABH15" s="60"/>
      <c r="ABI15" s="60"/>
      <c r="ABJ15" s="60"/>
      <c r="ABK15" s="60"/>
      <c r="ABL15" s="60"/>
      <c r="ABM15" s="60"/>
      <c r="ABN15" s="60"/>
      <c r="ABO15" s="60"/>
      <c r="ABP15" s="60"/>
      <c r="ABQ15" s="60"/>
      <c r="ABR15" s="60"/>
      <c r="ABS15" s="60"/>
      <c r="ABT15" s="60"/>
      <c r="ABU15" s="60"/>
      <c r="ABV15" s="60"/>
      <c r="ABW15" s="60"/>
      <c r="ABX15" s="60"/>
      <c r="ABY15" s="60"/>
      <c r="ABZ15" s="60"/>
      <c r="ACA15" s="60"/>
      <c r="ACB15" s="60"/>
      <c r="ACC15" s="60"/>
      <c r="ACD15" s="60"/>
      <c r="ACE15" s="60"/>
      <c r="ACF15" s="60"/>
      <c r="ACG15" s="60"/>
      <c r="ACH15" s="60"/>
      <c r="ACI15" s="60"/>
      <c r="ACJ15" s="60"/>
      <c r="ACK15" s="60"/>
      <c r="ACL15" s="60"/>
      <c r="ACM15" s="60"/>
      <c r="ACN15" s="60"/>
      <c r="ACO15" s="60"/>
      <c r="ACP15" s="60"/>
      <c r="ACQ15" s="60"/>
      <c r="ACR15" s="60"/>
      <c r="ACS15" s="60"/>
      <c r="ACT15" s="60"/>
      <c r="ACU15" s="60"/>
      <c r="ACV15" s="60"/>
      <c r="ACW15" s="60"/>
      <c r="ACX15" s="60"/>
      <c r="ACY15" s="60"/>
      <c r="ACZ15" s="60"/>
      <c r="ADA15" s="60"/>
      <c r="ADB15" s="60"/>
      <c r="ADC15" s="60"/>
      <c r="ADD15" s="60"/>
      <c r="ADE15" s="60"/>
      <c r="ADF15" s="60"/>
      <c r="ADG15" s="60"/>
      <c r="ADH15" s="60"/>
      <c r="ADI15" s="60"/>
      <c r="ADJ15" s="60"/>
      <c r="ADK15" s="60"/>
      <c r="ADL15" s="60"/>
      <c r="ADM15" s="60"/>
      <c r="ADN15" s="60"/>
      <c r="ADO15" s="60"/>
      <c r="ADP15" s="60"/>
      <c r="ADQ15" s="60"/>
      <c r="ADR15" s="60"/>
      <c r="ADS15" s="60"/>
      <c r="ADT15" s="60"/>
      <c r="ADU15" s="60"/>
      <c r="ADV15" s="60"/>
      <c r="ADW15" s="60"/>
      <c r="ADX15" s="60"/>
      <c r="ADY15" s="60"/>
      <c r="ADZ15" s="60"/>
      <c r="AEA15" s="60"/>
      <c r="AEB15" s="60"/>
      <c r="AEC15" s="60"/>
      <c r="AED15" s="60"/>
      <c r="AEE15" s="60"/>
      <c r="AEF15" s="60"/>
      <c r="AEG15" s="60"/>
      <c r="AEH15" s="60"/>
      <c r="AEI15" s="60"/>
      <c r="AEJ15" s="60"/>
      <c r="AEK15" s="60"/>
      <c r="AEL15" s="60"/>
      <c r="AEM15" s="60"/>
      <c r="AEN15" s="60"/>
      <c r="AEO15" s="60"/>
      <c r="AEP15" s="60"/>
      <c r="AEQ15" s="60"/>
      <c r="AER15" s="60"/>
      <c r="AES15" s="60"/>
      <c r="AET15" s="60"/>
      <c r="AEU15" s="60"/>
      <c r="AEV15" s="60"/>
      <c r="AEW15" s="60"/>
      <c r="AEX15" s="60"/>
      <c r="AEY15" s="60"/>
      <c r="AEZ15" s="60"/>
      <c r="AFA15" s="60"/>
      <c r="AFB15" s="60"/>
      <c r="AFC15" s="60"/>
      <c r="AFD15" s="60"/>
      <c r="AFE15" s="60"/>
      <c r="AFF15" s="60"/>
      <c r="AFG15" s="60"/>
      <c r="AFH15" s="60"/>
      <c r="AFI15" s="60"/>
      <c r="AFJ15" s="60"/>
      <c r="AFK15" s="60"/>
      <c r="AFL15" s="60"/>
      <c r="AFM15" s="60"/>
      <c r="AFN15" s="60"/>
      <c r="AFO15" s="60"/>
      <c r="AFP15" s="60"/>
      <c r="AFQ15" s="60"/>
      <c r="AFR15" s="60"/>
      <c r="AFS15" s="60"/>
      <c r="AFT15" s="60"/>
      <c r="AFU15" s="60"/>
      <c r="AFV15" s="60"/>
      <c r="AFW15" s="60"/>
      <c r="AFX15" s="60"/>
      <c r="AFY15" s="60"/>
      <c r="AFZ15" s="60"/>
      <c r="AGA15" s="60"/>
      <c r="AGB15" s="60"/>
      <c r="AGC15" s="60"/>
      <c r="AGD15" s="60"/>
      <c r="AGE15" s="60"/>
      <c r="AGF15" s="60"/>
      <c r="AGG15" s="60"/>
      <c r="AGH15" s="60"/>
      <c r="AGI15" s="60"/>
      <c r="AGJ15" s="60"/>
      <c r="AGK15" s="60"/>
      <c r="AGL15" s="60"/>
      <c r="AGM15" s="60"/>
      <c r="AGN15" s="60"/>
      <c r="AGO15" s="60"/>
      <c r="AGP15" s="60"/>
      <c r="AGQ15" s="60"/>
      <c r="AGR15" s="60"/>
      <c r="AGS15" s="60"/>
      <c r="AGT15" s="60"/>
      <c r="AGU15" s="60"/>
      <c r="AGV15" s="60"/>
      <c r="AGW15" s="60"/>
      <c r="AGX15" s="60"/>
      <c r="AGY15" s="60"/>
      <c r="AGZ15" s="60"/>
      <c r="AHA15" s="60"/>
      <c r="AHB15" s="60"/>
      <c r="AHC15" s="60"/>
      <c r="AHD15" s="60"/>
      <c r="AHE15" s="60"/>
      <c r="AHF15" s="60"/>
      <c r="AHG15" s="60"/>
      <c r="AHH15" s="60"/>
      <c r="AHI15" s="60"/>
      <c r="AHJ15" s="60"/>
      <c r="AHK15" s="60"/>
      <c r="AHL15" s="60"/>
      <c r="AHM15" s="60"/>
      <c r="AHN15" s="60"/>
      <c r="AHO15" s="60"/>
      <c r="AHP15" s="60"/>
      <c r="AHQ15" s="60"/>
      <c r="AHR15" s="60"/>
      <c r="AHS15" s="60"/>
      <c r="AHT15" s="60"/>
      <c r="AHU15" s="60"/>
      <c r="AHV15" s="60"/>
      <c r="AHW15" s="60"/>
      <c r="AHX15" s="60"/>
      <c r="AHY15" s="60"/>
      <c r="AHZ15" s="60"/>
      <c r="AIA15" s="60"/>
      <c r="AIB15" s="60"/>
      <c r="AIC15" s="60"/>
      <c r="AID15" s="60"/>
      <c r="AIE15" s="60"/>
      <c r="AIF15" s="60"/>
      <c r="AIG15" s="60"/>
      <c r="AIH15" s="60"/>
      <c r="AII15" s="60"/>
      <c r="AIJ15" s="60"/>
      <c r="AIK15" s="60"/>
      <c r="AIL15" s="60"/>
      <c r="AIM15" s="60"/>
      <c r="AIN15" s="60"/>
      <c r="AIO15" s="60"/>
      <c r="AIP15" s="60"/>
      <c r="AIQ15" s="60"/>
      <c r="AIR15" s="60"/>
      <c r="AIS15" s="60"/>
      <c r="AIT15" s="60"/>
      <c r="AIU15" s="60"/>
      <c r="AIV15" s="60"/>
      <c r="AIW15" s="60"/>
      <c r="AIX15" s="60"/>
      <c r="AIY15" s="60"/>
      <c r="AIZ15" s="60"/>
      <c r="AJA15" s="60"/>
      <c r="AJB15" s="60"/>
      <c r="AJC15" s="60"/>
      <c r="AJD15" s="60"/>
      <c r="AJE15" s="60"/>
      <c r="AJF15" s="60"/>
      <c r="AJG15" s="60"/>
      <c r="AJH15" s="60"/>
      <c r="AJI15" s="60"/>
      <c r="AJJ15" s="60"/>
      <c r="AJK15" s="60"/>
      <c r="AJL15" s="60"/>
      <c r="AJM15" s="60"/>
      <c r="AJN15" s="60"/>
      <c r="AJO15" s="60"/>
      <c r="AJP15" s="60"/>
      <c r="AJQ15" s="60"/>
      <c r="AJR15" s="60"/>
      <c r="AJS15" s="60"/>
      <c r="AJT15" s="60"/>
      <c r="AJU15" s="60"/>
      <c r="AJV15" s="60"/>
      <c r="AJW15" s="60"/>
      <c r="AJX15" s="60"/>
      <c r="AJY15" s="60"/>
      <c r="AJZ15" s="60"/>
      <c r="AKA15" s="60"/>
      <c r="AKB15" s="60"/>
      <c r="AKC15" s="60"/>
      <c r="AKD15" s="60"/>
      <c r="AKE15" s="60"/>
      <c r="AKF15" s="60"/>
      <c r="AKG15" s="60"/>
      <c r="AKH15" s="60"/>
      <c r="AKI15" s="60"/>
      <c r="AKJ15" s="60"/>
      <c r="AKK15" s="60"/>
      <c r="AKL15" s="60"/>
      <c r="AKM15" s="60"/>
      <c r="AKN15" s="60"/>
      <c r="AKO15" s="60"/>
      <c r="AKP15" s="60"/>
      <c r="AKQ15" s="60"/>
      <c r="AKR15" s="60"/>
      <c r="AKS15" s="60"/>
      <c r="AKT15" s="60"/>
      <c r="AKU15" s="60"/>
      <c r="AKV15" s="60"/>
      <c r="AKW15" s="60"/>
      <c r="AKX15" s="60"/>
      <c r="AKY15" s="60"/>
      <c r="AKZ15" s="60"/>
      <c r="ALA15" s="60"/>
      <c r="ALB15" s="60"/>
      <c r="ALC15" s="60"/>
      <c r="ALD15" s="60"/>
      <c r="ALE15" s="60"/>
      <c r="ALF15" s="60"/>
      <c r="ALG15" s="60"/>
      <c r="ALH15" s="60"/>
      <c r="ALI15" s="60"/>
      <c r="ALJ15" s="60"/>
      <c r="ALK15" s="60"/>
      <c r="ALL15" s="60"/>
      <c r="ALM15" s="60"/>
      <c r="ALN15" s="60"/>
      <c r="ALO15" s="60"/>
      <c r="ALP15" s="60"/>
      <c r="ALQ15" s="60"/>
      <c r="ALR15" s="60"/>
      <c r="ALS15" s="60"/>
      <c r="ALT15" s="60"/>
      <c r="ALU15" s="60"/>
      <c r="ALV15" s="60"/>
      <c r="ALW15" s="60"/>
      <c r="ALX15" s="60"/>
      <c r="ALY15" s="60"/>
      <c r="ALZ15" s="60"/>
      <c r="AMA15" s="60"/>
      <c r="AMB15" s="60"/>
      <c r="AMC15" s="60"/>
      <c r="AMD15" s="60"/>
      <c r="AME15" s="60"/>
      <c r="AMF15" s="60"/>
      <c r="AMG15" s="60"/>
      <c r="AMH15" s="60"/>
      <c r="AMI15" s="60"/>
      <c r="AMJ15" s="60"/>
      <c r="AMK15" s="60"/>
      <c r="AML15" s="60"/>
      <c r="AMM15" s="60"/>
      <c r="AMN15" s="60"/>
      <c r="AMO15" s="60"/>
      <c r="AMP15" s="60"/>
      <c r="AMQ15" s="60"/>
      <c r="AMR15" s="60"/>
      <c r="AMS15" s="60"/>
      <c r="AMT15" s="60"/>
      <c r="AMU15" s="60"/>
      <c r="AMV15" s="60"/>
      <c r="AMW15" s="60"/>
      <c r="AMX15" s="60"/>
      <c r="AMY15" s="60"/>
      <c r="AMZ15" s="60"/>
      <c r="ANA15" s="60"/>
      <c r="ANB15" s="60"/>
      <c r="ANC15" s="60"/>
      <c r="AND15" s="60"/>
      <c r="ANE15" s="60"/>
      <c r="ANF15" s="60"/>
      <c r="ANG15" s="60"/>
      <c r="ANH15" s="60"/>
      <c r="ANI15" s="60"/>
      <c r="ANJ15" s="60"/>
      <c r="ANK15" s="60"/>
      <c r="ANL15" s="60"/>
      <c r="ANM15" s="60"/>
      <c r="ANN15" s="60"/>
      <c r="ANO15" s="60"/>
      <c r="ANP15" s="60"/>
      <c r="ANQ15" s="60"/>
      <c r="ANR15" s="60"/>
      <c r="ANS15" s="60"/>
      <c r="ANT15" s="60"/>
      <c r="ANU15" s="60"/>
      <c r="ANV15" s="60"/>
      <c r="ANW15" s="60"/>
      <c r="ANX15" s="60"/>
      <c r="ANY15" s="60"/>
      <c r="ANZ15" s="60"/>
      <c r="AOA15" s="60"/>
      <c r="AOB15" s="60"/>
      <c r="AOC15" s="60"/>
      <c r="AOD15" s="60"/>
      <c r="AOE15" s="60"/>
      <c r="AOF15" s="60"/>
      <c r="AOG15" s="60"/>
      <c r="AOH15" s="60"/>
      <c r="AOI15" s="60"/>
      <c r="AOJ15" s="60"/>
      <c r="AOK15" s="60"/>
      <c r="AOL15" s="60"/>
      <c r="AOM15" s="60"/>
      <c r="AON15" s="60"/>
      <c r="AOO15" s="60"/>
      <c r="AOP15" s="60"/>
      <c r="AOQ15" s="60"/>
      <c r="AOR15" s="60"/>
      <c r="AOS15" s="60"/>
      <c r="AOT15" s="60"/>
      <c r="AOU15" s="60"/>
      <c r="AOV15" s="60"/>
      <c r="AOW15" s="60"/>
      <c r="AOX15" s="60"/>
      <c r="AOY15" s="60"/>
      <c r="AOZ15" s="60"/>
      <c r="APA15" s="60"/>
      <c r="APB15" s="60"/>
      <c r="APC15" s="60"/>
      <c r="APD15" s="60"/>
      <c r="APE15" s="60"/>
      <c r="APF15" s="60"/>
      <c r="APG15" s="60"/>
      <c r="APH15" s="60"/>
      <c r="API15" s="60"/>
      <c r="APJ15" s="60"/>
      <c r="APK15" s="60"/>
      <c r="APL15" s="60"/>
      <c r="APM15" s="60"/>
      <c r="APN15" s="60"/>
      <c r="APO15" s="60"/>
      <c r="APP15" s="60"/>
      <c r="APQ15" s="60"/>
      <c r="APR15" s="60"/>
      <c r="APS15" s="60"/>
      <c r="APT15" s="60"/>
      <c r="APU15" s="60"/>
      <c r="APV15" s="60"/>
      <c r="APW15" s="60"/>
      <c r="APX15" s="60"/>
      <c r="APY15" s="60"/>
      <c r="APZ15" s="60"/>
      <c r="AQA15" s="60"/>
      <c r="AQB15" s="60"/>
      <c r="AQC15" s="60"/>
      <c r="AQD15" s="60"/>
      <c r="AQE15" s="60"/>
      <c r="AQF15" s="60"/>
      <c r="AQG15" s="60"/>
      <c r="AQH15" s="60"/>
      <c r="AQI15" s="60"/>
      <c r="AQJ15" s="60"/>
      <c r="AQK15" s="60"/>
      <c r="AQL15" s="60"/>
      <c r="AQM15" s="60"/>
      <c r="AQN15" s="60"/>
      <c r="AQO15" s="60"/>
      <c r="AQP15" s="60"/>
      <c r="AQQ15" s="60"/>
      <c r="AQR15" s="60"/>
      <c r="AQS15" s="60"/>
      <c r="AQT15" s="60"/>
      <c r="AQU15" s="60"/>
      <c r="AQV15" s="60"/>
      <c r="AQW15" s="60"/>
      <c r="AQX15" s="60"/>
      <c r="AQY15" s="60"/>
      <c r="AQZ15" s="60"/>
      <c r="ARA15" s="60"/>
      <c r="ARB15" s="60"/>
      <c r="ARC15" s="60"/>
      <c r="ARD15" s="60"/>
      <c r="ARE15" s="60"/>
      <c r="ARF15" s="60"/>
      <c r="ARG15" s="60"/>
      <c r="ARH15" s="60"/>
      <c r="ARI15" s="60"/>
      <c r="ARJ15" s="60"/>
      <c r="ARK15" s="60"/>
      <c r="ARL15" s="60"/>
      <c r="ARM15" s="60"/>
      <c r="ARN15" s="60"/>
      <c r="ARO15" s="60"/>
      <c r="ARP15" s="60"/>
      <c r="ARQ15" s="60"/>
      <c r="ARR15" s="60"/>
      <c r="ARS15" s="60"/>
      <c r="ART15" s="60"/>
      <c r="ARU15" s="60"/>
      <c r="ARV15" s="60"/>
      <c r="ARW15" s="60"/>
      <c r="ARX15" s="60"/>
      <c r="ARY15" s="60"/>
      <c r="ARZ15" s="60"/>
      <c r="ASA15" s="60"/>
      <c r="ASB15" s="60"/>
      <c r="ASC15" s="60"/>
      <c r="ASD15" s="60"/>
      <c r="ASE15" s="60"/>
      <c r="ASF15" s="60"/>
      <c r="ASG15" s="60"/>
      <c r="ASH15" s="60"/>
      <c r="ASI15" s="60"/>
      <c r="ASJ15" s="60"/>
      <c r="ASK15" s="60"/>
      <c r="ASL15" s="60"/>
      <c r="ASM15" s="60"/>
      <c r="ASN15" s="60"/>
      <c r="ASO15" s="60"/>
      <c r="ASP15" s="60"/>
      <c r="ASQ15" s="60"/>
      <c r="ASR15" s="60"/>
      <c r="ASS15" s="60"/>
      <c r="AST15" s="60"/>
      <c r="ASU15" s="60"/>
      <c r="ASV15" s="60"/>
      <c r="ASW15" s="60"/>
      <c r="ASX15" s="60"/>
      <c r="ASY15" s="60"/>
      <c r="ASZ15" s="60"/>
      <c r="ATA15" s="60"/>
      <c r="ATB15" s="60"/>
      <c r="ATC15" s="60"/>
      <c r="ATD15" s="60"/>
      <c r="ATE15" s="60"/>
      <c r="ATF15" s="60"/>
      <c r="ATG15" s="60"/>
      <c r="ATH15" s="60"/>
      <c r="ATI15" s="60"/>
      <c r="ATJ15" s="60"/>
      <c r="ATK15" s="60"/>
      <c r="ATL15" s="60"/>
      <c r="ATM15" s="60"/>
      <c r="ATN15" s="60"/>
      <c r="ATO15" s="60"/>
      <c r="ATP15" s="60"/>
      <c r="ATQ15" s="60"/>
      <c r="ATR15" s="60"/>
      <c r="ATS15" s="60"/>
      <c r="ATT15" s="60"/>
      <c r="ATU15" s="60"/>
      <c r="ATV15" s="60"/>
      <c r="ATW15" s="60"/>
      <c r="ATX15" s="60"/>
      <c r="ATY15" s="60"/>
      <c r="ATZ15" s="60"/>
      <c r="AUA15" s="60"/>
      <c r="AUB15" s="60"/>
      <c r="AUC15" s="60"/>
      <c r="AUD15" s="60"/>
      <c r="AUE15" s="60"/>
      <c r="AUF15" s="60"/>
      <c r="AUG15" s="60"/>
      <c r="AUH15" s="60"/>
      <c r="AUI15" s="60"/>
      <c r="AUJ15" s="60"/>
      <c r="AUK15" s="60"/>
      <c r="AUL15" s="60"/>
      <c r="AUM15" s="60"/>
      <c r="AUN15" s="60"/>
      <c r="AUO15" s="60"/>
      <c r="AUP15" s="60"/>
      <c r="AUQ15" s="60"/>
      <c r="AUR15" s="60"/>
      <c r="AUS15" s="60"/>
      <c r="AUT15" s="60"/>
      <c r="AUU15" s="60"/>
      <c r="AUV15" s="60"/>
      <c r="AUW15" s="60"/>
      <c r="AUX15" s="60"/>
      <c r="AUY15" s="60"/>
      <c r="AUZ15" s="60"/>
      <c r="AVA15" s="60"/>
      <c r="AVB15" s="60"/>
      <c r="AVC15" s="60"/>
      <c r="AVD15" s="60"/>
      <c r="AVE15" s="60"/>
      <c r="AVF15" s="60"/>
      <c r="AVG15" s="60"/>
      <c r="AVH15" s="60"/>
      <c r="AVI15" s="60"/>
      <c r="AVJ15" s="60"/>
      <c r="AVK15" s="60"/>
      <c r="AVL15" s="60"/>
      <c r="AVM15" s="60"/>
      <c r="AVN15" s="60"/>
      <c r="AVO15" s="60"/>
      <c r="AVP15" s="60"/>
      <c r="AVQ15" s="60"/>
      <c r="AVR15" s="60"/>
      <c r="AVS15" s="60"/>
      <c r="AVT15" s="60"/>
      <c r="AVU15" s="60"/>
      <c r="AVV15" s="60"/>
      <c r="AVW15" s="60"/>
      <c r="AVX15" s="60"/>
      <c r="AVY15" s="60"/>
      <c r="AVZ15" s="60"/>
      <c r="AWA15" s="60"/>
      <c r="AWB15" s="60"/>
      <c r="AWC15" s="60"/>
      <c r="AWD15" s="60"/>
      <c r="AWE15" s="60"/>
      <c r="AWF15" s="60"/>
      <c r="AWG15" s="60"/>
      <c r="AWH15" s="60"/>
      <c r="AWI15" s="60"/>
      <c r="AWJ15" s="60"/>
      <c r="AWK15" s="60"/>
      <c r="AWL15" s="60"/>
      <c r="AWM15" s="60"/>
      <c r="AWN15" s="60"/>
      <c r="AWO15" s="60"/>
      <c r="AWP15" s="60"/>
      <c r="AWQ15" s="60"/>
      <c r="AWR15" s="60"/>
      <c r="AWS15" s="60"/>
      <c r="AWT15" s="60"/>
      <c r="AWU15" s="60"/>
      <c r="AWV15" s="60"/>
      <c r="AWW15" s="60"/>
      <c r="AWX15" s="60"/>
      <c r="AWY15" s="60"/>
      <c r="AWZ15" s="60"/>
      <c r="AXA15" s="60"/>
      <c r="AXB15" s="60"/>
      <c r="AXC15" s="60"/>
      <c r="AXD15" s="60"/>
      <c r="AXE15" s="60"/>
      <c r="AXF15" s="60"/>
      <c r="AXG15" s="60"/>
      <c r="AXH15" s="60"/>
      <c r="AXI15" s="60"/>
      <c r="AXJ15" s="60"/>
      <c r="AXK15" s="60"/>
      <c r="AXL15" s="60"/>
      <c r="AXM15" s="60"/>
      <c r="AXN15" s="60"/>
      <c r="AXO15" s="60"/>
      <c r="AXP15" s="60"/>
      <c r="AXQ15" s="60"/>
      <c r="AXR15" s="60"/>
      <c r="AXS15" s="60"/>
      <c r="AXT15" s="60"/>
      <c r="AXU15" s="60"/>
      <c r="AXV15" s="60"/>
      <c r="AXW15" s="60"/>
      <c r="AXX15" s="60"/>
      <c r="AXY15" s="60"/>
      <c r="AXZ15" s="60"/>
      <c r="AYA15" s="60"/>
      <c r="AYB15" s="60"/>
      <c r="AYC15" s="60"/>
      <c r="AYD15" s="60"/>
      <c r="AYE15" s="60"/>
      <c r="AYF15" s="60"/>
      <c r="AYG15" s="60"/>
      <c r="AYH15" s="60"/>
      <c r="AYI15" s="60"/>
      <c r="AYJ15" s="60"/>
      <c r="AYK15" s="60"/>
      <c r="AYL15" s="60"/>
      <c r="AYM15" s="60"/>
      <c r="AYN15" s="60"/>
      <c r="AYO15" s="60"/>
      <c r="AYP15" s="60"/>
      <c r="AYQ15" s="60"/>
      <c r="AYR15" s="60"/>
      <c r="AYS15" s="60"/>
      <c r="AYT15" s="60"/>
      <c r="AYU15" s="60"/>
      <c r="AYV15" s="60"/>
      <c r="AYW15" s="60"/>
      <c r="AYX15" s="60"/>
      <c r="AYY15" s="60"/>
      <c r="AYZ15" s="60"/>
      <c r="AZA15" s="60"/>
      <c r="AZB15" s="60"/>
      <c r="AZC15" s="60"/>
      <c r="AZD15" s="60"/>
      <c r="AZE15" s="60"/>
      <c r="AZF15" s="60"/>
      <c r="AZG15" s="60"/>
      <c r="AZH15" s="60"/>
      <c r="AZI15" s="60"/>
      <c r="AZJ15" s="60"/>
      <c r="AZK15" s="60"/>
      <c r="AZL15" s="60"/>
      <c r="AZM15" s="60"/>
      <c r="AZN15" s="60"/>
      <c r="AZO15" s="60"/>
      <c r="AZP15" s="60"/>
      <c r="AZQ15" s="60"/>
      <c r="AZR15" s="60"/>
      <c r="AZS15" s="60"/>
      <c r="AZT15" s="60"/>
      <c r="AZU15" s="60"/>
      <c r="AZV15" s="60"/>
      <c r="AZW15" s="60"/>
      <c r="AZX15" s="60"/>
      <c r="AZY15" s="60"/>
      <c r="AZZ15" s="60"/>
      <c r="BAA15" s="60"/>
      <c r="BAB15" s="60"/>
      <c r="BAC15" s="60"/>
      <c r="BAD15" s="60"/>
      <c r="BAE15" s="60"/>
      <c r="BAF15" s="60"/>
      <c r="BAG15" s="60"/>
      <c r="BAH15" s="60"/>
      <c r="BAI15" s="60"/>
      <c r="BAJ15" s="60"/>
      <c r="BAK15" s="60"/>
      <c r="BAL15" s="60"/>
      <c r="BAM15" s="60"/>
      <c r="BAN15" s="60"/>
      <c r="BAO15" s="60"/>
      <c r="BAP15" s="60"/>
      <c r="BAQ15" s="60"/>
      <c r="BAR15" s="60"/>
      <c r="BAS15" s="60"/>
      <c r="BAT15" s="60"/>
      <c r="BAU15" s="60"/>
      <c r="BAV15" s="60"/>
      <c r="BAW15" s="60"/>
      <c r="BAX15" s="60"/>
      <c r="BAY15" s="60"/>
      <c r="BAZ15" s="60"/>
      <c r="BBA15" s="60"/>
      <c r="BBB15" s="60"/>
      <c r="BBC15" s="60"/>
      <c r="BBD15" s="60"/>
      <c r="BBE15" s="60"/>
      <c r="BBF15" s="60"/>
      <c r="BBG15" s="60"/>
      <c r="BBH15" s="60"/>
      <c r="BBI15" s="60"/>
      <c r="BBJ15" s="60"/>
      <c r="BBK15" s="60"/>
      <c r="BBL15" s="60"/>
      <c r="BBM15" s="60"/>
      <c r="BBN15" s="60"/>
      <c r="BBO15" s="60"/>
      <c r="BBP15" s="60"/>
      <c r="BBQ15" s="60"/>
      <c r="BBR15" s="60"/>
      <c r="BBS15" s="60"/>
      <c r="BBT15" s="60"/>
      <c r="BBU15" s="60"/>
      <c r="BBV15" s="60"/>
      <c r="BBW15" s="60"/>
      <c r="BBX15" s="60"/>
      <c r="BBY15" s="60"/>
      <c r="BBZ15" s="60"/>
      <c r="BCA15" s="60"/>
      <c r="BCB15" s="60"/>
      <c r="BCC15" s="60"/>
      <c r="BCD15" s="60"/>
      <c r="BCE15" s="60"/>
      <c r="BCF15" s="60"/>
      <c r="BCG15" s="60"/>
      <c r="BCH15" s="60"/>
      <c r="BCI15" s="60"/>
      <c r="BCJ15" s="60"/>
      <c r="BCK15" s="60"/>
      <c r="BCL15" s="60"/>
      <c r="BCM15" s="60"/>
      <c r="BCN15" s="60"/>
      <c r="BCO15" s="60"/>
      <c r="BCP15" s="60"/>
      <c r="BCQ15" s="60"/>
      <c r="BCR15" s="60"/>
      <c r="BCS15" s="60"/>
      <c r="BCT15" s="60"/>
      <c r="BCU15" s="60"/>
      <c r="BCV15" s="60"/>
      <c r="BCW15" s="60"/>
      <c r="BCX15" s="60"/>
      <c r="BCY15" s="60"/>
      <c r="BCZ15" s="60"/>
      <c r="BDA15" s="60"/>
      <c r="BDB15" s="60"/>
      <c r="BDC15" s="60"/>
      <c r="BDD15" s="60"/>
      <c r="BDE15" s="60"/>
      <c r="BDF15" s="60"/>
      <c r="BDG15" s="60"/>
      <c r="BDH15" s="60"/>
      <c r="BDI15" s="60"/>
      <c r="BDJ15" s="60"/>
      <c r="BDK15" s="60"/>
      <c r="BDL15" s="60"/>
      <c r="BDM15" s="60"/>
      <c r="BDN15" s="60"/>
      <c r="BDO15" s="60"/>
      <c r="BDP15" s="60"/>
      <c r="BDQ15" s="60"/>
      <c r="BDR15" s="60"/>
      <c r="BDS15" s="60"/>
      <c r="BDT15" s="60"/>
      <c r="BDU15" s="60"/>
      <c r="BDV15" s="60"/>
      <c r="BDW15" s="60"/>
      <c r="BDX15" s="60"/>
      <c r="BDY15" s="60"/>
      <c r="BDZ15" s="60"/>
      <c r="BEA15" s="60"/>
      <c r="BEB15" s="60"/>
      <c r="BEC15" s="60"/>
      <c r="BED15" s="60"/>
      <c r="BEE15" s="60"/>
      <c r="BEF15" s="60"/>
      <c r="BEG15" s="60"/>
      <c r="BEH15" s="60"/>
      <c r="BEI15" s="60"/>
      <c r="BEJ15" s="60"/>
      <c r="BEK15" s="60"/>
      <c r="BEL15" s="60"/>
      <c r="BEM15" s="60"/>
      <c r="BEN15" s="60"/>
      <c r="BEO15" s="60"/>
      <c r="BEP15" s="60"/>
      <c r="BEQ15" s="60"/>
      <c r="BER15" s="60"/>
      <c r="BES15" s="60"/>
      <c r="BET15" s="60"/>
      <c r="BEU15" s="60"/>
      <c r="BEV15" s="60"/>
      <c r="BEW15" s="60"/>
      <c r="BEX15" s="60"/>
      <c r="BEY15" s="60"/>
      <c r="BEZ15" s="60"/>
      <c r="BFA15" s="60"/>
      <c r="BFB15" s="60"/>
      <c r="BFC15" s="60"/>
      <c r="BFD15" s="60"/>
      <c r="BFE15" s="60"/>
      <c r="BFF15" s="60"/>
      <c r="BFG15" s="60"/>
      <c r="BFH15" s="60"/>
      <c r="BFI15" s="60"/>
      <c r="BFJ15" s="60"/>
      <c r="BFK15" s="60"/>
      <c r="BFL15" s="60"/>
      <c r="BFM15" s="60"/>
      <c r="BFN15" s="60"/>
      <c r="BFO15" s="60"/>
      <c r="BFP15" s="60"/>
      <c r="BFQ15" s="60"/>
      <c r="BFR15" s="60"/>
      <c r="BFS15" s="60"/>
      <c r="BFT15" s="60"/>
      <c r="BFU15" s="60"/>
      <c r="BFV15" s="60"/>
      <c r="BFW15" s="60"/>
      <c r="BFX15" s="60"/>
      <c r="BFY15" s="60"/>
      <c r="BFZ15" s="60"/>
      <c r="BGA15" s="60"/>
      <c r="BGB15" s="60"/>
      <c r="BGC15" s="60"/>
      <c r="BGD15" s="60"/>
      <c r="BGE15" s="60"/>
      <c r="BGF15" s="60"/>
      <c r="BGG15" s="60"/>
      <c r="BGH15" s="60"/>
      <c r="BGI15" s="60"/>
      <c r="BGJ15" s="60"/>
      <c r="BGK15" s="60"/>
      <c r="BGL15" s="60"/>
      <c r="BGM15" s="60"/>
      <c r="BGN15" s="60"/>
      <c r="BGO15" s="60"/>
      <c r="BGP15" s="60"/>
      <c r="BGQ15" s="60"/>
      <c r="BGR15" s="60"/>
      <c r="BGS15" s="60"/>
      <c r="BGT15" s="60"/>
      <c r="BGU15" s="60"/>
      <c r="BGV15" s="60"/>
      <c r="BGW15" s="60"/>
      <c r="BGX15" s="60"/>
      <c r="BGY15" s="60"/>
      <c r="BGZ15" s="60"/>
      <c r="BHA15" s="60"/>
      <c r="BHB15" s="60"/>
      <c r="BHC15" s="60"/>
      <c r="BHD15" s="60"/>
      <c r="BHE15" s="60"/>
      <c r="BHF15" s="60"/>
      <c r="BHG15" s="60"/>
      <c r="BHH15" s="60"/>
      <c r="BHI15" s="60"/>
      <c r="BHJ15" s="60"/>
      <c r="BHK15" s="60"/>
      <c r="BHL15" s="60"/>
      <c r="BHM15" s="60"/>
      <c r="BHN15" s="60"/>
      <c r="BHO15" s="60"/>
      <c r="BHP15" s="60"/>
      <c r="BHQ15" s="60"/>
      <c r="BHR15" s="60"/>
      <c r="BHS15" s="60"/>
      <c r="BHT15" s="60"/>
      <c r="BHU15" s="60"/>
      <c r="BHV15" s="60"/>
      <c r="BHW15" s="60"/>
      <c r="BHX15" s="60"/>
      <c r="BHY15" s="60"/>
      <c r="BHZ15" s="60"/>
      <c r="BIA15" s="60"/>
      <c r="BIB15" s="60"/>
      <c r="BIC15" s="60"/>
      <c r="BID15" s="60"/>
      <c r="BIE15" s="60"/>
      <c r="BIF15" s="60"/>
      <c r="BIG15" s="60"/>
      <c r="BIH15" s="60"/>
      <c r="BII15" s="60"/>
      <c r="BIJ15" s="60"/>
      <c r="BIK15" s="60"/>
      <c r="BIL15" s="60"/>
    </row>
    <row r="16" spans="2:1598" x14ac:dyDescent="0.25">
      <c r="B16" s="132"/>
      <c r="C16" s="6" t="s">
        <v>0</v>
      </c>
      <c r="D16" s="135"/>
      <c r="E16" s="6" t="s">
        <v>2</v>
      </c>
      <c r="F16" s="134" t="s">
        <v>7</v>
      </c>
      <c r="G16" s="58"/>
      <c r="H16" s="58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56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56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56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56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56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56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56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56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30"/>
      <c r="KK16" s="30"/>
      <c r="KL16" s="30"/>
      <c r="KM16" s="30"/>
      <c r="KN16" s="30"/>
      <c r="KO16" s="30"/>
      <c r="KP16" s="30"/>
      <c r="KQ16" s="30"/>
      <c r="KR16" s="30"/>
      <c r="KS16" s="30"/>
      <c r="KT16" s="30"/>
      <c r="KU16" s="56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56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56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30"/>
      <c r="OI16" s="30"/>
      <c r="OJ16" s="30"/>
      <c r="OK16" s="30"/>
      <c r="OL16" s="30"/>
      <c r="OM16" s="30"/>
      <c r="ON16" s="30"/>
      <c r="OO16" s="30"/>
      <c r="OP16" s="56"/>
      <c r="OQ16" s="57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30"/>
      <c r="PM16" s="30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56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56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56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56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30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56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30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56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56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56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0"/>
      <c r="ZT16" s="30"/>
      <c r="ZU16" s="30"/>
      <c r="ZV16" s="30"/>
      <c r="ZW16" s="30"/>
      <c r="ZX16" s="30"/>
      <c r="ZY16" s="30"/>
      <c r="ZZ16" s="30"/>
      <c r="AAA16" s="30"/>
      <c r="AAB16" s="56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56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56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56"/>
      <c r="ADX16" s="57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30"/>
      <c r="AET16" s="30"/>
      <c r="AEU16" s="30"/>
      <c r="AEV16" s="30"/>
      <c r="AEW16" s="30"/>
      <c r="AEX16" s="30"/>
      <c r="AEY16" s="30"/>
      <c r="AEZ16" s="30"/>
      <c r="AFA16" s="30"/>
      <c r="AFB16" s="30"/>
      <c r="AFC16" s="30"/>
      <c r="AFD16" s="30"/>
      <c r="AFE16" s="56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30"/>
      <c r="AGB16" s="30"/>
      <c r="AGC16" s="30"/>
      <c r="AGD16" s="30"/>
      <c r="AGE16" s="30"/>
      <c r="AGF16" s="30"/>
      <c r="AGG16" s="30"/>
      <c r="AGH16" s="30"/>
      <c r="AGI16" s="30"/>
      <c r="AGJ16" s="30"/>
      <c r="AGK16" s="30"/>
      <c r="AGL16" s="56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30"/>
      <c r="AHI16" s="30"/>
      <c r="AHJ16" s="30"/>
      <c r="AHK16" s="30"/>
      <c r="AHL16" s="30"/>
      <c r="AHM16" s="30"/>
      <c r="AHN16" s="30"/>
      <c r="AHO16" s="30"/>
      <c r="AHP16" s="30"/>
      <c r="AHQ16" s="30"/>
      <c r="AHR16" s="30"/>
      <c r="AHS16" s="56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56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56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56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56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56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56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30"/>
      <c r="AQF16" s="30"/>
      <c r="AQG16" s="30"/>
      <c r="AQH16" s="30"/>
      <c r="AQI16" s="30"/>
      <c r="AQJ16" s="30"/>
      <c r="AQK16" s="30"/>
      <c r="AQL16" s="30"/>
      <c r="AQM16" s="30"/>
      <c r="AQN16" s="30"/>
      <c r="AQO16" s="30"/>
      <c r="AQP16" s="56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30"/>
      <c r="ARM16" s="30"/>
      <c r="ARN16" s="30"/>
      <c r="ARO16" s="30"/>
      <c r="ARP16" s="30"/>
      <c r="ARQ16" s="30"/>
      <c r="ARR16" s="30"/>
      <c r="ARS16" s="30"/>
      <c r="ART16" s="30"/>
      <c r="ARU16" s="30"/>
      <c r="ARV16" s="30"/>
      <c r="ARW16" s="56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30"/>
      <c r="AST16" s="30"/>
      <c r="ASU16" s="30"/>
      <c r="ASV16" s="30"/>
      <c r="ASW16" s="30"/>
      <c r="ASX16" s="30"/>
      <c r="ASY16" s="30"/>
      <c r="ASZ16" s="30"/>
      <c r="ATA16" s="30"/>
      <c r="ATB16" s="30"/>
      <c r="ATC16" s="30"/>
      <c r="ATD16" s="56"/>
      <c r="ATE16" s="57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30"/>
      <c r="AUA16" s="30"/>
      <c r="AUB16" s="30"/>
      <c r="AUC16" s="30"/>
      <c r="AUD16" s="30"/>
      <c r="AUE16" s="30"/>
      <c r="AUF16" s="30"/>
      <c r="AUG16" s="30"/>
      <c r="AUH16" s="30"/>
      <c r="AUI16" s="30"/>
      <c r="AUJ16" s="30"/>
      <c r="AUK16" s="30"/>
      <c r="AUL16" s="56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30"/>
      <c r="AVI16" s="30"/>
      <c r="AVJ16" s="30"/>
      <c r="AVK16" s="30"/>
      <c r="AVL16" s="30"/>
      <c r="AVM16" s="30"/>
      <c r="AVN16" s="30"/>
      <c r="AVO16" s="30"/>
      <c r="AVP16" s="30"/>
      <c r="AVQ16" s="30"/>
      <c r="AVR16" s="30"/>
      <c r="AVS16" s="56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30"/>
      <c r="AWP16" s="30"/>
      <c r="AWQ16" s="30"/>
      <c r="AWR16" s="30"/>
      <c r="AWS16" s="30"/>
      <c r="AWT16" s="30"/>
      <c r="AWU16" s="30"/>
      <c r="AWV16" s="30"/>
      <c r="AWW16" s="30"/>
      <c r="AWX16" s="30"/>
      <c r="AWY16" s="30"/>
      <c r="AWZ16" s="56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30"/>
      <c r="AXW16" s="30"/>
      <c r="AXX16" s="30"/>
      <c r="AXY16" s="30"/>
      <c r="AXZ16" s="30"/>
      <c r="AYA16" s="30"/>
      <c r="AYB16" s="30"/>
      <c r="AYC16" s="30"/>
      <c r="AYD16" s="30"/>
      <c r="AYE16" s="30"/>
      <c r="AYF16" s="30"/>
      <c r="AYG16" s="56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30"/>
      <c r="AZD16" s="30"/>
      <c r="AZE16" s="30"/>
      <c r="AZF16" s="30"/>
      <c r="AZG16" s="30"/>
      <c r="AZH16" s="30"/>
      <c r="AZI16" s="30"/>
      <c r="AZJ16" s="30"/>
      <c r="AZK16" s="30"/>
      <c r="AZL16" s="30"/>
      <c r="AZM16" s="30"/>
      <c r="AZN16" s="56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30"/>
      <c r="BAK16" s="30"/>
      <c r="BAL16" s="30"/>
      <c r="BAM16" s="30"/>
      <c r="BAN16" s="30"/>
      <c r="BAO16" s="30"/>
      <c r="BAP16" s="30"/>
      <c r="BAQ16" s="30"/>
      <c r="BAR16" s="30"/>
      <c r="BAS16" s="30"/>
      <c r="BAT16" s="30"/>
      <c r="BAU16" s="56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30"/>
      <c r="BBR16" s="30"/>
      <c r="BBS16" s="30"/>
      <c r="BBT16" s="30"/>
      <c r="BBU16" s="30"/>
      <c r="BBV16" s="30"/>
      <c r="BBW16" s="30"/>
      <c r="BBX16" s="30"/>
      <c r="BBY16" s="30"/>
      <c r="BBZ16" s="30"/>
      <c r="BCA16" s="30"/>
      <c r="BCB16" s="56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30"/>
      <c r="BCY16" s="30"/>
      <c r="BCZ16" s="30"/>
      <c r="BDA16" s="30"/>
      <c r="BDB16" s="30"/>
      <c r="BDC16" s="30"/>
      <c r="BDD16" s="30"/>
      <c r="BDE16" s="30"/>
      <c r="BDF16" s="30"/>
      <c r="BDG16" s="30"/>
      <c r="BDH16" s="30"/>
      <c r="BDI16" s="56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30"/>
      <c r="BEF16" s="30"/>
      <c r="BEG16" s="30"/>
      <c r="BEH16" s="30"/>
      <c r="BEI16" s="30"/>
      <c r="BEJ16" s="30"/>
      <c r="BEK16" s="30"/>
      <c r="BEL16" s="30"/>
      <c r="BEM16" s="30"/>
      <c r="BEN16" s="30"/>
      <c r="BEO16" s="30"/>
      <c r="BEP16" s="56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30"/>
      <c r="BFM16" s="30"/>
      <c r="BFN16" s="30"/>
      <c r="BFO16" s="30"/>
      <c r="BFP16" s="30"/>
      <c r="BFQ16" s="30"/>
      <c r="BFR16" s="30"/>
      <c r="BFS16" s="30"/>
      <c r="BFT16" s="30"/>
      <c r="BFU16" s="30"/>
      <c r="BFV16" s="30"/>
      <c r="BFW16" s="56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30"/>
      <c r="BGT16" s="30"/>
      <c r="BGU16" s="30"/>
      <c r="BGV16" s="30"/>
      <c r="BGW16" s="30"/>
      <c r="BGX16" s="30"/>
      <c r="BGY16" s="30"/>
      <c r="BGZ16" s="30"/>
      <c r="BHA16" s="30"/>
      <c r="BHB16" s="30"/>
      <c r="BHC16" s="30"/>
      <c r="BHD16" s="56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30"/>
      <c r="BIA16" s="30"/>
      <c r="BIB16" s="30"/>
      <c r="BIC16" s="30"/>
      <c r="BID16" s="30"/>
      <c r="BIE16" s="30"/>
      <c r="BIF16" s="30"/>
      <c r="BIG16" s="30"/>
      <c r="BIH16" s="30"/>
      <c r="BII16" s="30"/>
      <c r="BIJ16" s="30"/>
      <c r="BIK16" s="56"/>
      <c r="BIL16" s="57"/>
    </row>
    <row r="17" spans="2:1598" x14ac:dyDescent="0.25">
      <c r="B17" s="133"/>
      <c r="C17" s="6" t="s">
        <v>0</v>
      </c>
      <c r="D17" s="112"/>
      <c r="E17" s="6" t="s">
        <v>2</v>
      </c>
      <c r="F17" s="112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60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60"/>
      <c r="ET17" s="60"/>
      <c r="EU17" s="60"/>
      <c r="EV17" s="60"/>
      <c r="EW17" s="60"/>
      <c r="EX17" s="60"/>
      <c r="EY17" s="60"/>
      <c r="EZ17" s="60"/>
      <c r="FA17" s="60"/>
      <c r="FB17" s="60"/>
      <c r="FC17" s="60"/>
      <c r="FD17" s="60"/>
      <c r="FE17" s="60"/>
      <c r="FF17" s="60"/>
      <c r="FG17" s="60"/>
      <c r="FH17" s="60"/>
      <c r="FI17" s="60"/>
      <c r="FJ17" s="60"/>
      <c r="FK17" s="60"/>
      <c r="FL17" s="60"/>
      <c r="FM17" s="60"/>
      <c r="FN17" s="60"/>
      <c r="FO17" s="60"/>
      <c r="FP17" s="60"/>
      <c r="FQ17" s="60"/>
      <c r="FR17" s="60"/>
      <c r="FS17" s="60"/>
      <c r="FT17" s="60"/>
      <c r="FU17" s="60"/>
      <c r="FV17" s="60"/>
      <c r="FW17" s="60"/>
      <c r="FX17" s="60"/>
      <c r="FY17" s="60"/>
      <c r="FZ17" s="60"/>
      <c r="GA17" s="60"/>
      <c r="GB17" s="60"/>
      <c r="GC17" s="60"/>
      <c r="GD17" s="60"/>
      <c r="GE17" s="60"/>
      <c r="GF17" s="60"/>
      <c r="GG17" s="60"/>
      <c r="GH17" s="60"/>
      <c r="GI17" s="60"/>
      <c r="GJ17" s="60"/>
      <c r="GK17" s="60"/>
      <c r="GL17" s="60"/>
      <c r="GM17" s="60"/>
      <c r="GN17" s="60"/>
      <c r="GO17" s="60"/>
      <c r="GP17" s="60"/>
      <c r="GQ17" s="60"/>
      <c r="GR17" s="60"/>
      <c r="GS17" s="60"/>
      <c r="GT17" s="60"/>
      <c r="GU17" s="60"/>
      <c r="GV17" s="60"/>
      <c r="GW17" s="60"/>
      <c r="GX17" s="60"/>
      <c r="GY17" s="60"/>
      <c r="GZ17" s="60"/>
      <c r="HA17" s="60"/>
      <c r="HB17" s="60"/>
      <c r="HC17" s="60"/>
      <c r="HD17" s="60"/>
      <c r="HE17" s="60"/>
      <c r="HF17" s="60"/>
      <c r="HG17" s="60"/>
      <c r="HH17" s="60"/>
      <c r="HI17" s="60"/>
      <c r="HJ17" s="60"/>
      <c r="HK17" s="60"/>
      <c r="HL17" s="60"/>
      <c r="HM17" s="60"/>
      <c r="HN17" s="60"/>
      <c r="HO17" s="60"/>
      <c r="HP17" s="60"/>
      <c r="HQ17" s="60"/>
      <c r="HR17" s="60"/>
      <c r="HS17" s="60"/>
      <c r="HT17" s="60"/>
      <c r="HU17" s="60"/>
      <c r="HV17" s="60"/>
      <c r="HW17" s="60"/>
      <c r="HX17" s="60"/>
      <c r="HY17" s="60"/>
      <c r="HZ17" s="60"/>
      <c r="IA17" s="60"/>
      <c r="IB17" s="60"/>
      <c r="IC17" s="60"/>
      <c r="ID17" s="60"/>
      <c r="IE17" s="60"/>
      <c r="IF17" s="60"/>
      <c r="IG17" s="60"/>
      <c r="IH17" s="60"/>
      <c r="II17" s="60"/>
      <c r="IJ17" s="60"/>
      <c r="IK17" s="60"/>
      <c r="IL17" s="60"/>
      <c r="IM17" s="60"/>
      <c r="IN17" s="60"/>
      <c r="IO17" s="60"/>
      <c r="IP17" s="60"/>
      <c r="IQ17" s="60"/>
      <c r="IR17" s="60"/>
      <c r="IS17" s="60"/>
      <c r="IT17" s="60"/>
      <c r="IU17" s="60"/>
      <c r="IV17" s="60"/>
      <c r="IW17" s="60"/>
      <c r="IX17" s="60"/>
      <c r="IY17" s="60"/>
      <c r="IZ17" s="60"/>
      <c r="JA17" s="60"/>
      <c r="JB17" s="60"/>
      <c r="JC17" s="60"/>
      <c r="JD17" s="60"/>
      <c r="JE17" s="60"/>
      <c r="JF17" s="60"/>
      <c r="JG17" s="60"/>
      <c r="JH17" s="60"/>
      <c r="JI17" s="60"/>
      <c r="JJ17" s="60"/>
      <c r="JK17" s="60"/>
      <c r="JL17" s="60"/>
      <c r="JM17" s="60"/>
      <c r="JN17" s="60"/>
      <c r="JO17" s="60"/>
      <c r="JP17" s="60"/>
      <c r="JQ17" s="60"/>
      <c r="JR17" s="60"/>
      <c r="JS17" s="60"/>
      <c r="JT17" s="60"/>
      <c r="JU17" s="60"/>
      <c r="JV17" s="60"/>
      <c r="JW17" s="60"/>
      <c r="JX17" s="60"/>
      <c r="JY17" s="60"/>
      <c r="JZ17" s="60"/>
      <c r="KA17" s="60"/>
      <c r="KB17" s="60"/>
      <c r="KC17" s="60"/>
      <c r="KD17" s="60"/>
      <c r="KE17" s="60"/>
      <c r="KF17" s="60"/>
      <c r="KG17" s="60"/>
      <c r="KH17" s="60"/>
      <c r="KI17" s="60"/>
      <c r="KJ17" s="60"/>
      <c r="KK17" s="60"/>
      <c r="KL17" s="60"/>
      <c r="KM17" s="60"/>
      <c r="KN17" s="60"/>
      <c r="KO17" s="60"/>
      <c r="KP17" s="60"/>
      <c r="KQ17" s="60"/>
      <c r="KR17" s="60"/>
      <c r="KS17" s="60"/>
      <c r="KT17" s="60"/>
      <c r="KU17" s="60"/>
      <c r="KV17" s="60"/>
      <c r="KW17" s="60"/>
      <c r="KX17" s="60"/>
      <c r="KY17" s="60"/>
      <c r="KZ17" s="60"/>
      <c r="LA17" s="60"/>
      <c r="LB17" s="60"/>
      <c r="LC17" s="60"/>
      <c r="LD17" s="60"/>
      <c r="LE17" s="60"/>
      <c r="LF17" s="60"/>
      <c r="LG17" s="60"/>
      <c r="LH17" s="60"/>
      <c r="LI17" s="60"/>
      <c r="LJ17" s="60"/>
      <c r="LK17" s="60"/>
      <c r="LL17" s="60"/>
      <c r="LM17" s="60"/>
      <c r="LN17" s="60"/>
      <c r="LO17" s="60"/>
      <c r="LP17" s="60"/>
      <c r="LQ17" s="60"/>
      <c r="LR17" s="60"/>
      <c r="LS17" s="60"/>
      <c r="LT17" s="60"/>
      <c r="LU17" s="60"/>
      <c r="LV17" s="60"/>
      <c r="LW17" s="60"/>
      <c r="LX17" s="60"/>
      <c r="LY17" s="60"/>
      <c r="LZ17" s="60"/>
      <c r="MA17" s="60"/>
      <c r="MB17" s="60"/>
      <c r="MC17" s="60"/>
      <c r="MD17" s="60"/>
      <c r="ME17" s="60"/>
      <c r="MF17" s="60"/>
      <c r="MG17" s="60"/>
      <c r="MH17" s="60"/>
      <c r="MI17" s="60"/>
      <c r="MJ17" s="60"/>
      <c r="MK17" s="60"/>
      <c r="ML17" s="60"/>
      <c r="MM17" s="60"/>
      <c r="MN17" s="60"/>
      <c r="MO17" s="60"/>
      <c r="MP17" s="60"/>
      <c r="MQ17" s="60"/>
      <c r="MR17" s="60"/>
      <c r="MS17" s="60"/>
      <c r="MT17" s="60"/>
      <c r="MU17" s="60"/>
      <c r="MV17" s="60"/>
      <c r="MW17" s="60"/>
      <c r="MX17" s="60"/>
      <c r="MY17" s="60"/>
      <c r="MZ17" s="60"/>
      <c r="NA17" s="60"/>
      <c r="NB17" s="60"/>
      <c r="NC17" s="60"/>
      <c r="ND17" s="60"/>
      <c r="NE17" s="60"/>
      <c r="NF17" s="60"/>
      <c r="NG17" s="60"/>
      <c r="NH17" s="60"/>
      <c r="NI17" s="60"/>
      <c r="NJ17" s="60"/>
      <c r="NK17" s="60"/>
      <c r="NL17" s="60"/>
      <c r="NM17" s="60"/>
      <c r="NN17" s="60"/>
      <c r="NO17" s="60"/>
      <c r="NP17" s="60"/>
      <c r="NQ17" s="60"/>
      <c r="NR17" s="60"/>
      <c r="NS17" s="60"/>
      <c r="NT17" s="60"/>
      <c r="NU17" s="60"/>
      <c r="NV17" s="60"/>
      <c r="NW17" s="60"/>
      <c r="NX17" s="60"/>
      <c r="NY17" s="60"/>
      <c r="NZ17" s="60"/>
      <c r="OA17" s="60"/>
      <c r="OB17" s="60"/>
      <c r="OC17" s="60"/>
      <c r="OD17" s="60"/>
      <c r="OE17" s="60"/>
      <c r="OF17" s="60"/>
      <c r="OG17" s="60"/>
      <c r="OH17" s="60"/>
      <c r="OI17" s="60"/>
      <c r="OJ17" s="60"/>
      <c r="OK17" s="60"/>
      <c r="OL17" s="60"/>
      <c r="OM17" s="60"/>
      <c r="ON17" s="60"/>
      <c r="OO17" s="60"/>
      <c r="OP17" s="60"/>
      <c r="OQ17" s="60"/>
      <c r="OR17" s="60"/>
      <c r="OS17" s="60"/>
      <c r="OT17" s="60"/>
      <c r="OU17" s="60"/>
      <c r="OV17" s="60"/>
      <c r="OW17" s="60"/>
      <c r="OX17" s="60"/>
      <c r="OY17" s="60"/>
      <c r="OZ17" s="60"/>
      <c r="PA17" s="60"/>
      <c r="PB17" s="60"/>
      <c r="PC17" s="60"/>
      <c r="PD17" s="60"/>
      <c r="PE17" s="60"/>
      <c r="PF17" s="60"/>
      <c r="PG17" s="60"/>
      <c r="PH17" s="60"/>
      <c r="PI17" s="60"/>
      <c r="PJ17" s="60"/>
      <c r="PK17" s="60"/>
      <c r="PL17" s="60"/>
      <c r="PM17" s="60"/>
      <c r="PN17" s="60"/>
      <c r="PO17" s="60"/>
      <c r="PP17" s="60"/>
      <c r="PQ17" s="60"/>
      <c r="PR17" s="60"/>
      <c r="PS17" s="60"/>
      <c r="PT17" s="60"/>
      <c r="PU17" s="60"/>
      <c r="PV17" s="60"/>
      <c r="PW17" s="60"/>
      <c r="PX17" s="60"/>
      <c r="PY17" s="60"/>
      <c r="PZ17" s="60"/>
      <c r="QA17" s="60"/>
      <c r="QB17" s="60"/>
      <c r="QC17" s="60"/>
      <c r="QD17" s="60"/>
      <c r="QE17" s="60"/>
      <c r="QF17" s="60"/>
      <c r="QG17" s="60"/>
      <c r="QH17" s="60"/>
      <c r="QI17" s="60"/>
      <c r="QJ17" s="60"/>
      <c r="QK17" s="60"/>
      <c r="QL17" s="60"/>
      <c r="QM17" s="60"/>
      <c r="QN17" s="60"/>
      <c r="QO17" s="60"/>
      <c r="QP17" s="60"/>
      <c r="QQ17" s="60"/>
      <c r="QR17" s="60"/>
      <c r="QS17" s="60"/>
      <c r="QT17" s="60"/>
      <c r="QU17" s="60"/>
      <c r="QV17" s="60"/>
      <c r="QW17" s="60"/>
      <c r="QX17" s="60"/>
      <c r="QY17" s="60"/>
      <c r="QZ17" s="60"/>
      <c r="RA17" s="60"/>
      <c r="RB17" s="60"/>
      <c r="RC17" s="60"/>
      <c r="RD17" s="60"/>
      <c r="RE17" s="60"/>
      <c r="RF17" s="60"/>
      <c r="RG17" s="60"/>
      <c r="RH17" s="60"/>
      <c r="RI17" s="60"/>
      <c r="RJ17" s="60"/>
      <c r="RK17" s="60"/>
      <c r="RL17" s="60"/>
      <c r="RM17" s="60"/>
      <c r="RN17" s="60"/>
      <c r="RO17" s="60"/>
      <c r="RP17" s="60"/>
      <c r="RQ17" s="60"/>
      <c r="RR17" s="60"/>
      <c r="RS17" s="60"/>
      <c r="RT17" s="60"/>
      <c r="RU17" s="60"/>
      <c r="RV17" s="60"/>
      <c r="RW17" s="60"/>
      <c r="RX17" s="60"/>
      <c r="RY17" s="60"/>
      <c r="RZ17" s="60"/>
      <c r="SA17" s="60"/>
      <c r="SB17" s="60"/>
      <c r="SC17" s="60"/>
      <c r="SD17" s="60"/>
      <c r="SE17" s="60"/>
      <c r="SF17" s="60"/>
      <c r="SG17" s="60"/>
      <c r="SH17" s="60"/>
      <c r="SI17" s="60"/>
      <c r="SJ17" s="60"/>
      <c r="SK17" s="60"/>
      <c r="SL17" s="60"/>
      <c r="SM17" s="60"/>
      <c r="SN17" s="60"/>
      <c r="SO17" s="60"/>
      <c r="SP17" s="60"/>
      <c r="SQ17" s="60"/>
      <c r="SR17" s="60"/>
      <c r="SS17" s="60"/>
      <c r="ST17" s="60"/>
      <c r="SU17" s="60"/>
      <c r="SV17" s="60"/>
      <c r="SW17" s="60"/>
      <c r="SX17" s="60"/>
      <c r="SY17" s="60"/>
      <c r="SZ17" s="60"/>
      <c r="TA17" s="60"/>
      <c r="TB17" s="60"/>
      <c r="TC17" s="60"/>
      <c r="TD17" s="60"/>
      <c r="TE17" s="60"/>
      <c r="TF17" s="60"/>
      <c r="TG17" s="60"/>
      <c r="TH17" s="60"/>
      <c r="TI17" s="60"/>
      <c r="TJ17" s="60"/>
      <c r="TK17" s="60"/>
      <c r="TL17" s="60"/>
      <c r="TM17" s="60"/>
      <c r="TN17" s="60"/>
      <c r="TO17" s="60"/>
      <c r="TP17" s="60"/>
      <c r="TQ17" s="60"/>
      <c r="TR17" s="60"/>
      <c r="TS17" s="60"/>
      <c r="TT17" s="60"/>
      <c r="TU17" s="60"/>
      <c r="TV17" s="60"/>
      <c r="TW17" s="60"/>
      <c r="TX17" s="60"/>
      <c r="TY17" s="60"/>
      <c r="TZ17" s="60"/>
      <c r="UA17" s="60"/>
      <c r="UB17" s="60"/>
      <c r="UC17" s="60"/>
      <c r="UD17" s="60"/>
      <c r="UE17" s="60"/>
      <c r="UF17" s="60"/>
      <c r="UG17" s="60"/>
      <c r="UH17" s="60"/>
      <c r="UI17" s="60"/>
      <c r="UJ17" s="60"/>
      <c r="UK17" s="60"/>
      <c r="UL17" s="60"/>
      <c r="UM17" s="60"/>
      <c r="UN17" s="60"/>
      <c r="UO17" s="60"/>
      <c r="UP17" s="60"/>
      <c r="UQ17" s="60"/>
      <c r="UR17" s="60"/>
      <c r="US17" s="60"/>
      <c r="UT17" s="60"/>
      <c r="UU17" s="60"/>
      <c r="UV17" s="60"/>
      <c r="UW17" s="60"/>
      <c r="UX17" s="60"/>
      <c r="UY17" s="60"/>
      <c r="UZ17" s="60"/>
      <c r="VA17" s="60"/>
      <c r="VB17" s="60"/>
      <c r="VC17" s="60"/>
      <c r="VD17" s="60"/>
      <c r="VE17" s="60"/>
      <c r="VF17" s="60"/>
      <c r="VG17" s="60"/>
      <c r="VH17" s="60"/>
      <c r="VI17" s="60"/>
      <c r="VJ17" s="60"/>
      <c r="VK17" s="60"/>
      <c r="VL17" s="60"/>
      <c r="VM17" s="60"/>
      <c r="VN17" s="60"/>
      <c r="VO17" s="60"/>
      <c r="VP17" s="60"/>
      <c r="VQ17" s="60"/>
      <c r="VR17" s="60"/>
      <c r="VS17" s="60"/>
      <c r="VT17" s="60"/>
      <c r="VU17" s="60"/>
      <c r="VV17" s="60"/>
      <c r="VW17" s="60"/>
      <c r="VX17" s="60"/>
      <c r="VY17" s="60"/>
      <c r="VZ17" s="60"/>
      <c r="WA17" s="60"/>
      <c r="WB17" s="60"/>
      <c r="WC17" s="60"/>
      <c r="WD17" s="60"/>
      <c r="WE17" s="60"/>
      <c r="WF17" s="60"/>
      <c r="WG17" s="60"/>
      <c r="WH17" s="60"/>
      <c r="WI17" s="60"/>
      <c r="WJ17" s="60"/>
      <c r="WK17" s="60"/>
      <c r="WL17" s="60"/>
      <c r="WM17" s="60"/>
      <c r="WN17" s="60"/>
      <c r="WO17" s="60"/>
      <c r="WP17" s="60"/>
      <c r="WQ17" s="60"/>
      <c r="WR17" s="60"/>
      <c r="WS17" s="60"/>
      <c r="WT17" s="60"/>
      <c r="WU17" s="60"/>
      <c r="WV17" s="60"/>
      <c r="WW17" s="60"/>
      <c r="WX17" s="60"/>
      <c r="WY17" s="60"/>
      <c r="WZ17" s="60"/>
      <c r="XA17" s="60"/>
      <c r="XB17" s="60"/>
      <c r="XC17" s="60"/>
      <c r="XD17" s="60"/>
      <c r="XE17" s="60"/>
      <c r="XF17" s="60"/>
      <c r="XG17" s="60"/>
      <c r="XH17" s="60"/>
      <c r="XI17" s="60"/>
      <c r="XJ17" s="60"/>
      <c r="XK17" s="60"/>
      <c r="XL17" s="60"/>
      <c r="XM17" s="60"/>
      <c r="XN17" s="60"/>
      <c r="XO17" s="60"/>
      <c r="XP17" s="60"/>
      <c r="XQ17" s="60"/>
      <c r="XR17" s="60"/>
      <c r="XS17" s="60"/>
      <c r="XT17" s="60"/>
      <c r="XU17" s="60"/>
      <c r="XV17" s="60"/>
      <c r="XW17" s="60"/>
      <c r="XX17" s="60"/>
      <c r="XY17" s="60"/>
      <c r="XZ17" s="60"/>
      <c r="YA17" s="60"/>
      <c r="YB17" s="60"/>
      <c r="YC17" s="60"/>
      <c r="YD17" s="60"/>
      <c r="YE17" s="60"/>
      <c r="YF17" s="60"/>
      <c r="YG17" s="60"/>
      <c r="YH17" s="60"/>
      <c r="YI17" s="60"/>
      <c r="YJ17" s="60"/>
      <c r="YK17" s="60"/>
      <c r="YL17" s="60"/>
      <c r="YM17" s="60"/>
      <c r="YN17" s="60"/>
      <c r="YO17" s="60"/>
      <c r="YP17" s="60"/>
      <c r="YQ17" s="60"/>
      <c r="YR17" s="60"/>
      <c r="YS17" s="60"/>
      <c r="YT17" s="60"/>
      <c r="YU17" s="60"/>
      <c r="YV17" s="60"/>
      <c r="YW17" s="60"/>
      <c r="YX17" s="60"/>
      <c r="YY17" s="60"/>
      <c r="YZ17" s="60"/>
      <c r="ZA17" s="60"/>
      <c r="ZB17" s="60"/>
      <c r="ZC17" s="60"/>
      <c r="ZD17" s="60"/>
      <c r="ZE17" s="60"/>
      <c r="ZF17" s="60"/>
      <c r="ZG17" s="60"/>
      <c r="ZH17" s="60"/>
      <c r="ZI17" s="60"/>
      <c r="ZJ17" s="60"/>
      <c r="ZK17" s="60"/>
      <c r="ZL17" s="60"/>
      <c r="ZM17" s="60"/>
      <c r="ZN17" s="60"/>
      <c r="ZO17" s="60"/>
      <c r="ZP17" s="60"/>
      <c r="ZQ17" s="60"/>
      <c r="ZR17" s="60"/>
      <c r="ZS17" s="60"/>
      <c r="ZT17" s="60"/>
      <c r="ZU17" s="60"/>
      <c r="ZV17" s="60"/>
      <c r="ZW17" s="60"/>
      <c r="ZX17" s="60"/>
      <c r="ZY17" s="60"/>
      <c r="ZZ17" s="60"/>
      <c r="AAA17" s="60"/>
      <c r="AAB17" s="60"/>
      <c r="AAC17" s="60"/>
      <c r="AAD17" s="60"/>
      <c r="AAE17" s="60"/>
      <c r="AAF17" s="60"/>
      <c r="AAG17" s="60"/>
      <c r="AAH17" s="60"/>
      <c r="AAI17" s="60"/>
      <c r="AAJ17" s="60"/>
      <c r="AAK17" s="60"/>
      <c r="AAL17" s="60"/>
      <c r="AAM17" s="60"/>
      <c r="AAN17" s="60"/>
      <c r="AAO17" s="60"/>
      <c r="AAP17" s="60"/>
      <c r="AAQ17" s="60"/>
      <c r="AAR17" s="60"/>
      <c r="AAS17" s="60"/>
      <c r="AAT17" s="60"/>
      <c r="AAU17" s="60"/>
      <c r="AAV17" s="60"/>
      <c r="AAW17" s="60"/>
      <c r="AAX17" s="60"/>
      <c r="AAY17" s="60"/>
      <c r="AAZ17" s="60"/>
      <c r="ABA17" s="60"/>
      <c r="ABB17" s="60"/>
      <c r="ABC17" s="60"/>
      <c r="ABD17" s="60"/>
      <c r="ABE17" s="60"/>
      <c r="ABF17" s="60"/>
      <c r="ABG17" s="60"/>
      <c r="ABH17" s="60"/>
      <c r="ABI17" s="60"/>
      <c r="ABJ17" s="60"/>
      <c r="ABK17" s="60"/>
      <c r="ABL17" s="60"/>
      <c r="ABM17" s="60"/>
      <c r="ABN17" s="60"/>
      <c r="ABO17" s="60"/>
      <c r="ABP17" s="60"/>
      <c r="ABQ17" s="60"/>
      <c r="ABR17" s="60"/>
      <c r="ABS17" s="60"/>
      <c r="ABT17" s="60"/>
      <c r="ABU17" s="60"/>
      <c r="ABV17" s="60"/>
      <c r="ABW17" s="60"/>
      <c r="ABX17" s="60"/>
      <c r="ABY17" s="60"/>
      <c r="ABZ17" s="60"/>
      <c r="ACA17" s="60"/>
      <c r="ACB17" s="60"/>
      <c r="ACC17" s="60"/>
      <c r="ACD17" s="60"/>
      <c r="ACE17" s="60"/>
      <c r="ACF17" s="60"/>
      <c r="ACG17" s="60"/>
      <c r="ACH17" s="60"/>
      <c r="ACI17" s="60"/>
      <c r="ACJ17" s="60"/>
      <c r="ACK17" s="60"/>
      <c r="ACL17" s="60"/>
      <c r="ACM17" s="60"/>
      <c r="ACN17" s="60"/>
      <c r="ACO17" s="60"/>
      <c r="ACP17" s="60"/>
      <c r="ACQ17" s="60"/>
      <c r="ACR17" s="60"/>
      <c r="ACS17" s="60"/>
      <c r="ACT17" s="60"/>
      <c r="ACU17" s="60"/>
      <c r="ACV17" s="60"/>
      <c r="ACW17" s="60"/>
      <c r="ACX17" s="60"/>
      <c r="ACY17" s="60"/>
      <c r="ACZ17" s="60"/>
      <c r="ADA17" s="60"/>
      <c r="ADB17" s="60"/>
      <c r="ADC17" s="60"/>
      <c r="ADD17" s="60"/>
      <c r="ADE17" s="60"/>
      <c r="ADF17" s="60"/>
      <c r="ADG17" s="60"/>
      <c r="ADH17" s="60"/>
      <c r="ADI17" s="60"/>
      <c r="ADJ17" s="60"/>
      <c r="ADK17" s="60"/>
      <c r="ADL17" s="60"/>
      <c r="ADM17" s="60"/>
      <c r="ADN17" s="60"/>
      <c r="ADO17" s="60"/>
      <c r="ADP17" s="60"/>
      <c r="ADQ17" s="60"/>
      <c r="ADR17" s="60"/>
      <c r="ADS17" s="60"/>
      <c r="ADT17" s="60"/>
      <c r="ADU17" s="60"/>
      <c r="ADV17" s="60"/>
      <c r="ADW17" s="60"/>
      <c r="ADX17" s="60"/>
      <c r="ADY17" s="60"/>
      <c r="ADZ17" s="60"/>
      <c r="AEA17" s="60"/>
      <c r="AEB17" s="60"/>
      <c r="AEC17" s="60"/>
      <c r="AED17" s="60"/>
      <c r="AEE17" s="60"/>
      <c r="AEF17" s="60"/>
      <c r="AEG17" s="60"/>
      <c r="AEH17" s="60"/>
      <c r="AEI17" s="60"/>
      <c r="AEJ17" s="60"/>
      <c r="AEK17" s="60"/>
      <c r="AEL17" s="60"/>
      <c r="AEM17" s="60"/>
      <c r="AEN17" s="60"/>
      <c r="AEO17" s="60"/>
      <c r="AEP17" s="60"/>
      <c r="AEQ17" s="60"/>
      <c r="AER17" s="60"/>
      <c r="AES17" s="60"/>
      <c r="AET17" s="60"/>
      <c r="AEU17" s="60"/>
      <c r="AEV17" s="60"/>
      <c r="AEW17" s="60"/>
      <c r="AEX17" s="60"/>
      <c r="AEY17" s="60"/>
      <c r="AEZ17" s="60"/>
      <c r="AFA17" s="60"/>
      <c r="AFB17" s="60"/>
      <c r="AFC17" s="60"/>
      <c r="AFD17" s="60"/>
      <c r="AFE17" s="60"/>
      <c r="AFF17" s="60"/>
      <c r="AFG17" s="60"/>
      <c r="AFH17" s="60"/>
      <c r="AFI17" s="60"/>
      <c r="AFJ17" s="60"/>
      <c r="AFK17" s="60"/>
      <c r="AFL17" s="60"/>
      <c r="AFM17" s="60"/>
      <c r="AFN17" s="60"/>
      <c r="AFO17" s="60"/>
      <c r="AFP17" s="60"/>
      <c r="AFQ17" s="60"/>
      <c r="AFR17" s="60"/>
      <c r="AFS17" s="60"/>
      <c r="AFT17" s="60"/>
      <c r="AFU17" s="60"/>
      <c r="AFV17" s="60"/>
      <c r="AFW17" s="60"/>
      <c r="AFX17" s="60"/>
      <c r="AFY17" s="60"/>
      <c r="AFZ17" s="60"/>
      <c r="AGA17" s="60"/>
      <c r="AGB17" s="60"/>
      <c r="AGC17" s="60"/>
      <c r="AGD17" s="60"/>
      <c r="AGE17" s="60"/>
      <c r="AGF17" s="60"/>
      <c r="AGG17" s="60"/>
      <c r="AGH17" s="60"/>
      <c r="AGI17" s="60"/>
      <c r="AGJ17" s="60"/>
      <c r="AGK17" s="60"/>
      <c r="AGL17" s="60"/>
      <c r="AGM17" s="60"/>
      <c r="AGN17" s="60"/>
      <c r="AGO17" s="60"/>
      <c r="AGP17" s="60"/>
      <c r="AGQ17" s="60"/>
      <c r="AGR17" s="60"/>
      <c r="AGS17" s="60"/>
      <c r="AGT17" s="60"/>
      <c r="AGU17" s="60"/>
      <c r="AGV17" s="60"/>
      <c r="AGW17" s="60"/>
      <c r="AGX17" s="60"/>
      <c r="AGY17" s="60"/>
      <c r="AGZ17" s="60"/>
      <c r="AHA17" s="60"/>
      <c r="AHB17" s="60"/>
      <c r="AHC17" s="60"/>
      <c r="AHD17" s="60"/>
      <c r="AHE17" s="60"/>
      <c r="AHF17" s="60"/>
      <c r="AHG17" s="60"/>
      <c r="AHH17" s="60"/>
      <c r="AHI17" s="60"/>
      <c r="AHJ17" s="60"/>
      <c r="AHK17" s="60"/>
      <c r="AHL17" s="60"/>
      <c r="AHM17" s="60"/>
      <c r="AHN17" s="60"/>
      <c r="AHO17" s="60"/>
      <c r="AHP17" s="60"/>
      <c r="AHQ17" s="60"/>
      <c r="AHR17" s="60"/>
      <c r="AHS17" s="60"/>
      <c r="AHT17" s="60"/>
      <c r="AHU17" s="60"/>
      <c r="AHV17" s="60"/>
      <c r="AHW17" s="60"/>
      <c r="AHX17" s="60"/>
      <c r="AHY17" s="60"/>
      <c r="AHZ17" s="60"/>
      <c r="AIA17" s="60"/>
      <c r="AIB17" s="60"/>
      <c r="AIC17" s="60"/>
      <c r="AID17" s="60"/>
      <c r="AIE17" s="60"/>
      <c r="AIF17" s="60"/>
      <c r="AIG17" s="60"/>
      <c r="AIH17" s="60"/>
      <c r="AII17" s="60"/>
      <c r="AIJ17" s="60"/>
      <c r="AIK17" s="60"/>
      <c r="AIL17" s="60"/>
      <c r="AIM17" s="60"/>
      <c r="AIN17" s="60"/>
      <c r="AIO17" s="60"/>
      <c r="AIP17" s="60"/>
      <c r="AIQ17" s="60"/>
      <c r="AIR17" s="60"/>
      <c r="AIS17" s="60"/>
      <c r="AIT17" s="60"/>
      <c r="AIU17" s="60"/>
      <c r="AIV17" s="60"/>
      <c r="AIW17" s="60"/>
      <c r="AIX17" s="60"/>
      <c r="AIY17" s="60"/>
      <c r="AIZ17" s="60"/>
      <c r="AJA17" s="60"/>
      <c r="AJB17" s="60"/>
      <c r="AJC17" s="60"/>
      <c r="AJD17" s="60"/>
      <c r="AJE17" s="60"/>
      <c r="AJF17" s="60"/>
      <c r="AJG17" s="60"/>
      <c r="AJH17" s="60"/>
      <c r="AJI17" s="60"/>
      <c r="AJJ17" s="60"/>
      <c r="AJK17" s="60"/>
      <c r="AJL17" s="60"/>
      <c r="AJM17" s="60"/>
      <c r="AJN17" s="60"/>
      <c r="AJO17" s="60"/>
      <c r="AJP17" s="60"/>
      <c r="AJQ17" s="60"/>
      <c r="AJR17" s="60"/>
      <c r="AJS17" s="60"/>
      <c r="AJT17" s="60"/>
      <c r="AJU17" s="60"/>
      <c r="AJV17" s="60"/>
      <c r="AJW17" s="60"/>
      <c r="AJX17" s="60"/>
      <c r="AJY17" s="60"/>
      <c r="AJZ17" s="60"/>
      <c r="AKA17" s="60"/>
      <c r="AKB17" s="60"/>
      <c r="AKC17" s="60"/>
      <c r="AKD17" s="60"/>
      <c r="AKE17" s="60"/>
      <c r="AKF17" s="60"/>
      <c r="AKG17" s="60"/>
      <c r="AKH17" s="60"/>
      <c r="AKI17" s="60"/>
      <c r="AKJ17" s="60"/>
      <c r="AKK17" s="60"/>
      <c r="AKL17" s="60"/>
      <c r="AKM17" s="60"/>
      <c r="AKN17" s="60"/>
      <c r="AKO17" s="60"/>
      <c r="AKP17" s="60"/>
      <c r="AKQ17" s="60"/>
      <c r="AKR17" s="60"/>
      <c r="AKS17" s="60"/>
      <c r="AKT17" s="60"/>
      <c r="AKU17" s="60"/>
      <c r="AKV17" s="60"/>
      <c r="AKW17" s="60"/>
      <c r="AKX17" s="60"/>
      <c r="AKY17" s="60"/>
      <c r="AKZ17" s="60"/>
      <c r="ALA17" s="60"/>
      <c r="ALB17" s="60"/>
      <c r="ALC17" s="60"/>
      <c r="ALD17" s="60"/>
      <c r="ALE17" s="60"/>
      <c r="ALF17" s="60"/>
      <c r="ALG17" s="60"/>
      <c r="ALH17" s="60"/>
      <c r="ALI17" s="60"/>
      <c r="ALJ17" s="60"/>
      <c r="ALK17" s="60"/>
      <c r="ALL17" s="60"/>
      <c r="ALM17" s="60"/>
      <c r="ALN17" s="60"/>
      <c r="ALO17" s="60"/>
      <c r="ALP17" s="60"/>
      <c r="ALQ17" s="60"/>
      <c r="ALR17" s="60"/>
      <c r="ALS17" s="60"/>
      <c r="ALT17" s="60"/>
      <c r="ALU17" s="60"/>
      <c r="ALV17" s="60"/>
      <c r="ALW17" s="60"/>
      <c r="ALX17" s="60"/>
      <c r="ALY17" s="60"/>
      <c r="ALZ17" s="60"/>
      <c r="AMA17" s="60"/>
      <c r="AMB17" s="60"/>
      <c r="AMC17" s="60"/>
      <c r="AMD17" s="60"/>
      <c r="AME17" s="60"/>
      <c r="AMF17" s="60"/>
      <c r="AMG17" s="60"/>
      <c r="AMH17" s="60"/>
      <c r="AMI17" s="60"/>
      <c r="AMJ17" s="60"/>
      <c r="AMK17" s="60"/>
      <c r="AML17" s="60"/>
      <c r="AMM17" s="60"/>
      <c r="AMN17" s="60"/>
      <c r="AMO17" s="60"/>
      <c r="AMP17" s="60"/>
      <c r="AMQ17" s="60"/>
      <c r="AMR17" s="60"/>
      <c r="AMS17" s="60"/>
      <c r="AMT17" s="60"/>
      <c r="AMU17" s="60"/>
      <c r="AMV17" s="60"/>
      <c r="AMW17" s="60"/>
      <c r="AMX17" s="60"/>
      <c r="AMY17" s="60"/>
      <c r="AMZ17" s="60"/>
      <c r="ANA17" s="60"/>
      <c r="ANB17" s="60"/>
      <c r="ANC17" s="60"/>
      <c r="AND17" s="60"/>
      <c r="ANE17" s="60"/>
      <c r="ANF17" s="60"/>
      <c r="ANG17" s="60"/>
      <c r="ANH17" s="60"/>
      <c r="ANI17" s="60"/>
      <c r="ANJ17" s="60"/>
      <c r="ANK17" s="60"/>
      <c r="ANL17" s="60"/>
      <c r="ANM17" s="60"/>
      <c r="ANN17" s="60"/>
      <c r="ANO17" s="60"/>
      <c r="ANP17" s="60"/>
      <c r="ANQ17" s="60"/>
      <c r="ANR17" s="60"/>
      <c r="ANS17" s="60"/>
      <c r="ANT17" s="60"/>
      <c r="ANU17" s="60"/>
      <c r="ANV17" s="60"/>
      <c r="ANW17" s="60"/>
      <c r="ANX17" s="60"/>
      <c r="ANY17" s="60"/>
      <c r="ANZ17" s="60"/>
      <c r="AOA17" s="60"/>
      <c r="AOB17" s="60"/>
      <c r="AOC17" s="60"/>
      <c r="AOD17" s="60"/>
      <c r="AOE17" s="60"/>
      <c r="AOF17" s="60"/>
      <c r="AOG17" s="60"/>
      <c r="AOH17" s="60"/>
      <c r="AOI17" s="60"/>
      <c r="AOJ17" s="60"/>
      <c r="AOK17" s="60"/>
      <c r="AOL17" s="60"/>
      <c r="AOM17" s="60"/>
      <c r="AON17" s="60"/>
      <c r="AOO17" s="60"/>
      <c r="AOP17" s="60"/>
      <c r="AOQ17" s="60"/>
      <c r="AOR17" s="60"/>
      <c r="AOS17" s="60"/>
      <c r="AOT17" s="60"/>
      <c r="AOU17" s="60"/>
      <c r="AOV17" s="60"/>
      <c r="AOW17" s="60"/>
      <c r="AOX17" s="60"/>
      <c r="AOY17" s="60"/>
      <c r="AOZ17" s="60"/>
      <c r="APA17" s="60"/>
      <c r="APB17" s="60"/>
      <c r="APC17" s="60"/>
      <c r="APD17" s="60"/>
      <c r="APE17" s="60"/>
      <c r="APF17" s="60"/>
      <c r="APG17" s="60"/>
      <c r="APH17" s="60"/>
      <c r="API17" s="60"/>
      <c r="APJ17" s="60"/>
      <c r="APK17" s="60"/>
      <c r="APL17" s="60"/>
      <c r="APM17" s="60"/>
      <c r="APN17" s="60"/>
      <c r="APO17" s="60"/>
      <c r="APP17" s="60"/>
      <c r="APQ17" s="60"/>
      <c r="APR17" s="60"/>
      <c r="APS17" s="60"/>
      <c r="APT17" s="60"/>
      <c r="APU17" s="60"/>
      <c r="APV17" s="60"/>
      <c r="APW17" s="60"/>
      <c r="APX17" s="60"/>
      <c r="APY17" s="60"/>
      <c r="APZ17" s="60"/>
      <c r="AQA17" s="60"/>
      <c r="AQB17" s="60"/>
      <c r="AQC17" s="60"/>
      <c r="AQD17" s="60"/>
      <c r="AQE17" s="60"/>
      <c r="AQF17" s="60"/>
      <c r="AQG17" s="60"/>
      <c r="AQH17" s="60"/>
      <c r="AQI17" s="60"/>
      <c r="AQJ17" s="60"/>
      <c r="AQK17" s="60"/>
      <c r="AQL17" s="60"/>
      <c r="AQM17" s="60"/>
      <c r="AQN17" s="60"/>
      <c r="AQO17" s="60"/>
      <c r="AQP17" s="60"/>
      <c r="AQQ17" s="60"/>
      <c r="AQR17" s="60"/>
      <c r="AQS17" s="60"/>
      <c r="AQT17" s="60"/>
      <c r="AQU17" s="60"/>
      <c r="AQV17" s="60"/>
      <c r="AQW17" s="60"/>
      <c r="AQX17" s="60"/>
      <c r="AQY17" s="60"/>
      <c r="AQZ17" s="60"/>
      <c r="ARA17" s="60"/>
      <c r="ARB17" s="60"/>
      <c r="ARC17" s="60"/>
      <c r="ARD17" s="60"/>
      <c r="ARE17" s="60"/>
      <c r="ARF17" s="60"/>
      <c r="ARG17" s="60"/>
      <c r="ARH17" s="60"/>
      <c r="ARI17" s="60"/>
      <c r="ARJ17" s="60"/>
      <c r="ARK17" s="60"/>
      <c r="ARL17" s="60"/>
      <c r="ARM17" s="60"/>
      <c r="ARN17" s="60"/>
      <c r="ARO17" s="60"/>
      <c r="ARP17" s="60"/>
      <c r="ARQ17" s="60"/>
      <c r="ARR17" s="60"/>
      <c r="ARS17" s="60"/>
      <c r="ART17" s="60"/>
      <c r="ARU17" s="60"/>
      <c r="ARV17" s="60"/>
      <c r="ARW17" s="60"/>
      <c r="ARX17" s="60"/>
      <c r="ARY17" s="60"/>
      <c r="ARZ17" s="60"/>
      <c r="ASA17" s="60"/>
      <c r="ASB17" s="60"/>
      <c r="ASC17" s="60"/>
      <c r="ASD17" s="60"/>
      <c r="ASE17" s="60"/>
      <c r="ASF17" s="60"/>
      <c r="ASG17" s="60"/>
      <c r="ASH17" s="60"/>
      <c r="ASI17" s="60"/>
      <c r="ASJ17" s="60"/>
      <c r="ASK17" s="60"/>
      <c r="ASL17" s="60"/>
      <c r="ASM17" s="60"/>
      <c r="ASN17" s="60"/>
      <c r="ASO17" s="60"/>
      <c r="ASP17" s="60"/>
      <c r="ASQ17" s="60"/>
      <c r="ASR17" s="60"/>
      <c r="ASS17" s="60"/>
      <c r="AST17" s="60"/>
      <c r="ASU17" s="60"/>
      <c r="ASV17" s="60"/>
      <c r="ASW17" s="60"/>
      <c r="ASX17" s="60"/>
      <c r="ASY17" s="60"/>
      <c r="ASZ17" s="60"/>
      <c r="ATA17" s="60"/>
      <c r="ATB17" s="60"/>
      <c r="ATC17" s="60"/>
      <c r="ATD17" s="60"/>
      <c r="ATE17" s="60"/>
      <c r="ATF17" s="60"/>
      <c r="ATG17" s="60"/>
      <c r="ATH17" s="60"/>
      <c r="ATI17" s="60"/>
      <c r="ATJ17" s="60"/>
      <c r="ATK17" s="60"/>
      <c r="ATL17" s="60"/>
      <c r="ATM17" s="60"/>
      <c r="ATN17" s="60"/>
      <c r="ATO17" s="60"/>
      <c r="ATP17" s="60"/>
      <c r="ATQ17" s="60"/>
      <c r="ATR17" s="60"/>
      <c r="ATS17" s="60"/>
      <c r="ATT17" s="60"/>
      <c r="ATU17" s="60"/>
      <c r="ATV17" s="60"/>
      <c r="ATW17" s="60"/>
      <c r="ATX17" s="60"/>
      <c r="ATY17" s="60"/>
      <c r="ATZ17" s="60"/>
      <c r="AUA17" s="60"/>
      <c r="AUB17" s="60"/>
      <c r="AUC17" s="60"/>
      <c r="AUD17" s="60"/>
      <c r="AUE17" s="60"/>
      <c r="AUF17" s="60"/>
      <c r="AUG17" s="60"/>
      <c r="AUH17" s="60"/>
      <c r="AUI17" s="60"/>
      <c r="AUJ17" s="60"/>
      <c r="AUK17" s="60"/>
      <c r="AUL17" s="60"/>
      <c r="AUM17" s="60"/>
      <c r="AUN17" s="60"/>
      <c r="AUO17" s="60"/>
      <c r="AUP17" s="60"/>
      <c r="AUQ17" s="60"/>
      <c r="AUR17" s="60"/>
      <c r="AUS17" s="60"/>
      <c r="AUT17" s="60"/>
      <c r="AUU17" s="60"/>
      <c r="AUV17" s="60"/>
      <c r="AUW17" s="60"/>
      <c r="AUX17" s="60"/>
      <c r="AUY17" s="60"/>
      <c r="AUZ17" s="60"/>
      <c r="AVA17" s="60"/>
      <c r="AVB17" s="60"/>
      <c r="AVC17" s="60"/>
      <c r="AVD17" s="60"/>
      <c r="AVE17" s="60"/>
      <c r="AVF17" s="60"/>
      <c r="AVG17" s="60"/>
      <c r="AVH17" s="60"/>
      <c r="AVI17" s="60"/>
      <c r="AVJ17" s="60"/>
      <c r="AVK17" s="60"/>
      <c r="AVL17" s="60"/>
      <c r="AVM17" s="60"/>
      <c r="AVN17" s="60"/>
      <c r="AVO17" s="60"/>
      <c r="AVP17" s="60"/>
      <c r="AVQ17" s="60"/>
      <c r="AVR17" s="60"/>
      <c r="AVS17" s="60"/>
      <c r="AVT17" s="60"/>
      <c r="AVU17" s="60"/>
      <c r="AVV17" s="60"/>
      <c r="AVW17" s="60"/>
      <c r="AVX17" s="60"/>
      <c r="AVY17" s="60"/>
      <c r="AVZ17" s="60"/>
      <c r="AWA17" s="60"/>
      <c r="AWB17" s="60"/>
      <c r="AWC17" s="60"/>
      <c r="AWD17" s="60"/>
      <c r="AWE17" s="60"/>
      <c r="AWF17" s="60"/>
      <c r="AWG17" s="60"/>
      <c r="AWH17" s="60"/>
      <c r="AWI17" s="60"/>
      <c r="AWJ17" s="60"/>
      <c r="AWK17" s="60"/>
      <c r="AWL17" s="60"/>
      <c r="AWM17" s="60"/>
      <c r="AWN17" s="60"/>
      <c r="AWO17" s="60"/>
      <c r="AWP17" s="60"/>
      <c r="AWQ17" s="60"/>
      <c r="AWR17" s="60"/>
      <c r="AWS17" s="60"/>
      <c r="AWT17" s="60"/>
      <c r="AWU17" s="60"/>
      <c r="AWV17" s="60"/>
      <c r="AWW17" s="60"/>
      <c r="AWX17" s="60"/>
      <c r="AWY17" s="60"/>
      <c r="AWZ17" s="60"/>
      <c r="AXA17" s="60"/>
      <c r="AXB17" s="60"/>
      <c r="AXC17" s="60"/>
      <c r="AXD17" s="60"/>
      <c r="AXE17" s="60"/>
      <c r="AXF17" s="60"/>
      <c r="AXG17" s="60"/>
      <c r="AXH17" s="60"/>
      <c r="AXI17" s="60"/>
      <c r="AXJ17" s="60"/>
      <c r="AXK17" s="60"/>
      <c r="AXL17" s="60"/>
      <c r="AXM17" s="60"/>
      <c r="AXN17" s="60"/>
      <c r="AXO17" s="60"/>
      <c r="AXP17" s="60"/>
      <c r="AXQ17" s="60"/>
      <c r="AXR17" s="60"/>
      <c r="AXS17" s="60"/>
      <c r="AXT17" s="60"/>
      <c r="AXU17" s="60"/>
      <c r="AXV17" s="60"/>
      <c r="AXW17" s="60"/>
      <c r="AXX17" s="60"/>
      <c r="AXY17" s="60"/>
      <c r="AXZ17" s="60"/>
      <c r="AYA17" s="60"/>
      <c r="AYB17" s="60"/>
      <c r="AYC17" s="60"/>
      <c r="AYD17" s="60"/>
      <c r="AYE17" s="60"/>
      <c r="AYF17" s="60"/>
      <c r="AYG17" s="60"/>
      <c r="AYH17" s="60"/>
      <c r="AYI17" s="60"/>
      <c r="AYJ17" s="60"/>
      <c r="AYK17" s="60"/>
      <c r="AYL17" s="60"/>
      <c r="AYM17" s="60"/>
      <c r="AYN17" s="60"/>
      <c r="AYO17" s="60"/>
      <c r="AYP17" s="60"/>
      <c r="AYQ17" s="60"/>
      <c r="AYR17" s="60"/>
      <c r="AYS17" s="60"/>
      <c r="AYT17" s="60"/>
      <c r="AYU17" s="60"/>
      <c r="AYV17" s="60"/>
      <c r="AYW17" s="60"/>
      <c r="AYX17" s="60"/>
      <c r="AYY17" s="60"/>
      <c r="AYZ17" s="60"/>
      <c r="AZA17" s="60"/>
      <c r="AZB17" s="60"/>
      <c r="AZC17" s="60"/>
      <c r="AZD17" s="60"/>
      <c r="AZE17" s="60"/>
      <c r="AZF17" s="60"/>
      <c r="AZG17" s="60"/>
      <c r="AZH17" s="60"/>
      <c r="AZI17" s="60"/>
      <c r="AZJ17" s="60"/>
      <c r="AZK17" s="60"/>
      <c r="AZL17" s="60"/>
      <c r="AZM17" s="60"/>
      <c r="AZN17" s="60"/>
      <c r="AZO17" s="60"/>
      <c r="AZP17" s="60"/>
      <c r="AZQ17" s="60"/>
      <c r="AZR17" s="60"/>
      <c r="AZS17" s="60"/>
      <c r="AZT17" s="60"/>
      <c r="AZU17" s="60"/>
      <c r="AZV17" s="60"/>
      <c r="AZW17" s="60"/>
      <c r="AZX17" s="60"/>
      <c r="AZY17" s="60"/>
      <c r="AZZ17" s="60"/>
      <c r="BAA17" s="60"/>
      <c r="BAB17" s="60"/>
      <c r="BAC17" s="60"/>
      <c r="BAD17" s="60"/>
      <c r="BAE17" s="60"/>
      <c r="BAF17" s="60"/>
      <c r="BAG17" s="60"/>
      <c r="BAH17" s="60"/>
      <c r="BAI17" s="60"/>
      <c r="BAJ17" s="60"/>
      <c r="BAK17" s="60"/>
      <c r="BAL17" s="60"/>
      <c r="BAM17" s="60"/>
      <c r="BAN17" s="60"/>
      <c r="BAO17" s="60"/>
      <c r="BAP17" s="60"/>
      <c r="BAQ17" s="60"/>
      <c r="BAR17" s="60"/>
      <c r="BAS17" s="60"/>
      <c r="BAT17" s="60"/>
      <c r="BAU17" s="60"/>
      <c r="BAV17" s="60"/>
      <c r="BAW17" s="60"/>
      <c r="BAX17" s="60"/>
      <c r="BAY17" s="60"/>
      <c r="BAZ17" s="60"/>
      <c r="BBA17" s="60"/>
      <c r="BBB17" s="60"/>
      <c r="BBC17" s="60"/>
      <c r="BBD17" s="60"/>
      <c r="BBE17" s="60"/>
      <c r="BBF17" s="60"/>
      <c r="BBG17" s="60"/>
      <c r="BBH17" s="60"/>
      <c r="BBI17" s="60"/>
      <c r="BBJ17" s="60"/>
      <c r="BBK17" s="60"/>
      <c r="BBL17" s="60"/>
      <c r="BBM17" s="60"/>
      <c r="BBN17" s="60"/>
      <c r="BBO17" s="60"/>
      <c r="BBP17" s="60"/>
      <c r="BBQ17" s="60"/>
      <c r="BBR17" s="60"/>
      <c r="BBS17" s="60"/>
      <c r="BBT17" s="60"/>
      <c r="BBU17" s="60"/>
      <c r="BBV17" s="60"/>
      <c r="BBW17" s="60"/>
      <c r="BBX17" s="60"/>
      <c r="BBY17" s="60"/>
      <c r="BBZ17" s="60"/>
      <c r="BCA17" s="60"/>
      <c r="BCB17" s="60"/>
      <c r="BCC17" s="60"/>
      <c r="BCD17" s="60"/>
      <c r="BCE17" s="60"/>
      <c r="BCF17" s="60"/>
      <c r="BCG17" s="60"/>
      <c r="BCH17" s="60"/>
      <c r="BCI17" s="60"/>
      <c r="BCJ17" s="60"/>
      <c r="BCK17" s="60"/>
      <c r="BCL17" s="60"/>
      <c r="BCM17" s="60"/>
      <c r="BCN17" s="60"/>
      <c r="BCO17" s="60"/>
      <c r="BCP17" s="60"/>
      <c r="BCQ17" s="60"/>
      <c r="BCR17" s="60"/>
      <c r="BCS17" s="60"/>
      <c r="BCT17" s="60"/>
      <c r="BCU17" s="60"/>
      <c r="BCV17" s="60"/>
      <c r="BCW17" s="60"/>
      <c r="BCX17" s="60"/>
      <c r="BCY17" s="60"/>
      <c r="BCZ17" s="60"/>
      <c r="BDA17" s="60"/>
      <c r="BDB17" s="60"/>
      <c r="BDC17" s="60"/>
      <c r="BDD17" s="60"/>
      <c r="BDE17" s="60"/>
      <c r="BDF17" s="60"/>
      <c r="BDG17" s="60"/>
      <c r="BDH17" s="60"/>
      <c r="BDI17" s="60"/>
      <c r="BDJ17" s="60"/>
      <c r="BDK17" s="60"/>
      <c r="BDL17" s="60"/>
      <c r="BDM17" s="60"/>
      <c r="BDN17" s="60"/>
      <c r="BDO17" s="60"/>
      <c r="BDP17" s="60"/>
      <c r="BDQ17" s="60"/>
      <c r="BDR17" s="60"/>
      <c r="BDS17" s="60"/>
      <c r="BDT17" s="60"/>
      <c r="BDU17" s="60"/>
      <c r="BDV17" s="60"/>
      <c r="BDW17" s="60"/>
      <c r="BDX17" s="60"/>
      <c r="BDY17" s="60"/>
      <c r="BDZ17" s="60"/>
      <c r="BEA17" s="60"/>
      <c r="BEB17" s="60"/>
      <c r="BEC17" s="60"/>
      <c r="BED17" s="60"/>
      <c r="BEE17" s="60"/>
      <c r="BEF17" s="60"/>
      <c r="BEG17" s="60"/>
      <c r="BEH17" s="60"/>
      <c r="BEI17" s="60"/>
      <c r="BEJ17" s="60"/>
      <c r="BEK17" s="60"/>
      <c r="BEL17" s="60"/>
      <c r="BEM17" s="60"/>
      <c r="BEN17" s="60"/>
      <c r="BEO17" s="60"/>
      <c r="BEP17" s="60"/>
      <c r="BEQ17" s="60"/>
      <c r="BER17" s="60"/>
      <c r="BES17" s="60"/>
      <c r="BET17" s="60"/>
      <c r="BEU17" s="60"/>
      <c r="BEV17" s="60"/>
      <c r="BEW17" s="60"/>
      <c r="BEX17" s="60"/>
      <c r="BEY17" s="60"/>
      <c r="BEZ17" s="60"/>
      <c r="BFA17" s="60"/>
      <c r="BFB17" s="60"/>
      <c r="BFC17" s="60"/>
      <c r="BFD17" s="60"/>
      <c r="BFE17" s="60"/>
      <c r="BFF17" s="60"/>
      <c r="BFG17" s="60"/>
      <c r="BFH17" s="60"/>
      <c r="BFI17" s="60"/>
      <c r="BFJ17" s="60"/>
      <c r="BFK17" s="60"/>
      <c r="BFL17" s="60"/>
      <c r="BFM17" s="60"/>
      <c r="BFN17" s="60"/>
      <c r="BFO17" s="60"/>
      <c r="BFP17" s="60"/>
      <c r="BFQ17" s="60"/>
      <c r="BFR17" s="60"/>
      <c r="BFS17" s="60"/>
      <c r="BFT17" s="60"/>
      <c r="BFU17" s="60"/>
      <c r="BFV17" s="60"/>
      <c r="BFW17" s="60"/>
      <c r="BFX17" s="60"/>
      <c r="BFY17" s="60"/>
      <c r="BFZ17" s="60"/>
      <c r="BGA17" s="60"/>
      <c r="BGB17" s="60"/>
      <c r="BGC17" s="60"/>
      <c r="BGD17" s="60"/>
      <c r="BGE17" s="60"/>
      <c r="BGF17" s="60"/>
      <c r="BGG17" s="60"/>
      <c r="BGH17" s="60"/>
      <c r="BGI17" s="60"/>
      <c r="BGJ17" s="60"/>
      <c r="BGK17" s="60"/>
      <c r="BGL17" s="60"/>
      <c r="BGM17" s="60"/>
      <c r="BGN17" s="60"/>
      <c r="BGO17" s="60"/>
      <c r="BGP17" s="60"/>
      <c r="BGQ17" s="60"/>
      <c r="BGR17" s="60"/>
      <c r="BGS17" s="60"/>
      <c r="BGT17" s="60"/>
      <c r="BGU17" s="60"/>
      <c r="BGV17" s="60"/>
      <c r="BGW17" s="60"/>
      <c r="BGX17" s="60"/>
      <c r="BGY17" s="60"/>
      <c r="BGZ17" s="60"/>
      <c r="BHA17" s="60"/>
      <c r="BHB17" s="60"/>
      <c r="BHC17" s="60"/>
      <c r="BHD17" s="60"/>
      <c r="BHE17" s="60"/>
      <c r="BHF17" s="60"/>
      <c r="BHG17" s="60"/>
      <c r="BHH17" s="60"/>
      <c r="BHI17" s="60"/>
      <c r="BHJ17" s="60"/>
      <c r="BHK17" s="60"/>
      <c r="BHL17" s="60"/>
      <c r="BHM17" s="60"/>
      <c r="BHN17" s="60"/>
      <c r="BHO17" s="60"/>
      <c r="BHP17" s="60"/>
      <c r="BHQ17" s="60"/>
      <c r="BHR17" s="60"/>
      <c r="BHS17" s="60"/>
      <c r="BHT17" s="60"/>
      <c r="BHU17" s="60"/>
      <c r="BHV17" s="60"/>
      <c r="BHW17" s="60"/>
      <c r="BHX17" s="60"/>
      <c r="BHY17" s="60"/>
      <c r="BHZ17" s="60"/>
      <c r="BIA17" s="60"/>
      <c r="BIB17" s="60"/>
      <c r="BIC17" s="60"/>
      <c r="BID17" s="60"/>
      <c r="BIE17" s="60"/>
      <c r="BIF17" s="60"/>
      <c r="BIG17" s="60"/>
      <c r="BIH17" s="60"/>
      <c r="BII17" s="60"/>
      <c r="BIJ17" s="60"/>
      <c r="BIK17" s="60"/>
      <c r="BIL17" s="60"/>
    </row>
    <row r="28" spans="2:1598" x14ac:dyDescent="0.25">
      <c r="N28" s="126" t="s">
        <v>0</v>
      </c>
      <c r="O28" s="6" t="s">
        <v>0</v>
      </c>
      <c r="P28" s="111" t="s">
        <v>1</v>
      </c>
      <c r="Q28" s="6" t="s">
        <v>1</v>
      </c>
      <c r="R28" s="111" t="s">
        <v>3</v>
      </c>
    </row>
    <row r="29" spans="2:1598" x14ac:dyDescent="0.25">
      <c r="N29" s="126"/>
      <c r="O29" s="6" t="s">
        <v>0</v>
      </c>
      <c r="P29" s="111"/>
      <c r="Q29" s="6" t="s">
        <v>1</v>
      </c>
      <c r="R29" s="111"/>
    </row>
    <row r="30" spans="2:1598" x14ac:dyDescent="0.25">
      <c r="N30" s="111"/>
      <c r="O30" s="6" t="s">
        <v>0</v>
      </c>
      <c r="P30" s="111"/>
      <c r="Q30" s="6" t="s">
        <v>1</v>
      </c>
      <c r="R30" s="111"/>
    </row>
    <row r="31" spans="2:1598" x14ac:dyDescent="0.25">
      <c r="N31" s="111"/>
      <c r="O31" s="6" t="s">
        <v>0</v>
      </c>
      <c r="P31" s="111"/>
      <c r="Q31" s="6" t="s">
        <v>1</v>
      </c>
      <c r="R31" s="111"/>
    </row>
    <row r="32" spans="2:1598" x14ac:dyDescent="0.25">
      <c r="N32" s="111"/>
      <c r="O32" s="6" t="s">
        <v>0</v>
      </c>
      <c r="P32" s="111"/>
      <c r="Q32" s="6" t="s">
        <v>1</v>
      </c>
      <c r="R32" s="111" t="s">
        <v>4</v>
      </c>
    </row>
    <row r="33" spans="14:18" x14ac:dyDescent="0.25">
      <c r="N33" s="111"/>
      <c r="O33" s="6" t="s">
        <v>0</v>
      </c>
      <c r="P33" s="111"/>
      <c r="Q33" s="6" t="s">
        <v>1</v>
      </c>
      <c r="R33" s="111"/>
    </row>
    <row r="34" spans="14:18" x14ac:dyDescent="0.25">
      <c r="N34" s="111"/>
      <c r="O34" s="6" t="s">
        <v>0</v>
      </c>
      <c r="P34" s="111"/>
      <c r="Q34" s="6" t="s">
        <v>1</v>
      </c>
      <c r="R34" s="111"/>
    </row>
    <row r="35" spans="14:18" x14ac:dyDescent="0.25">
      <c r="N35" s="111"/>
      <c r="O35" s="6" t="s">
        <v>0</v>
      </c>
      <c r="P35" s="111"/>
      <c r="Q35" s="6" t="s">
        <v>1</v>
      </c>
      <c r="R35" s="111"/>
    </row>
    <row r="36" spans="14:18" x14ac:dyDescent="0.25">
      <c r="N36" s="111"/>
      <c r="O36" s="6" t="s">
        <v>0</v>
      </c>
      <c r="P36" s="111"/>
      <c r="Q36" s="6" t="s">
        <v>1</v>
      </c>
      <c r="R36" s="111" t="s">
        <v>5</v>
      </c>
    </row>
    <row r="37" spans="14:18" x14ac:dyDescent="0.25">
      <c r="N37" s="111"/>
      <c r="O37" s="6" t="s">
        <v>0</v>
      </c>
      <c r="P37" s="111"/>
      <c r="Q37" s="6" t="s">
        <v>1</v>
      </c>
      <c r="R37" s="111"/>
    </row>
    <row r="38" spans="14:18" x14ac:dyDescent="0.25">
      <c r="N38" s="111"/>
      <c r="O38" s="6" t="s">
        <v>0</v>
      </c>
      <c r="P38" s="111"/>
      <c r="Q38" s="6" t="s">
        <v>1</v>
      </c>
      <c r="R38" s="111"/>
    </row>
    <row r="39" spans="14:18" x14ac:dyDescent="0.25">
      <c r="N39" s="111"/>
      <c r="O39" s="6" t="s">
        <v>0</v>
      </c>
      <c r="P39" s="111" t="s">
        <v>2</v>
      </c>
      <c r="Q39" s="6" t="s">
        <v>2</v>
      </c>
      <c r="R39" s="111" t="s">
        <v>6</v>
      </c>
    </row>
    <row r="40" spans="14:18" x14ac:dyDescent="0.25">
      <c r="N40" s="111"/>
      <c r="O40" s="6" t="s">
        <v>0</v>
      </c>
      <c r="P40" s="111"/>
      <c r="Q40" s="6" t="s">
        <v>2</v>
      </c>
      <c r="R40" s="111"/>
    </row>
    <row r="41" spans="14:18" x14ac:dyDescent="0.25">
      <c r="N41" s="111"/>
      <c r="O41" s="6" t="s">
        <v>0</v>
      </c>
      <c r="P41" s="111"/>
      <c r="Q41" s="6" t="s">
        <v>2</v>
      </c>
      <c r="R41" s="111"/>
    </row>
    <row r="42" spans="14:18" x14ac:dyDescent="0.25">
      <c r="N42" s="111"/>
      <c r="O42" s="6" t="s">
        <v>0</v>
      </c>
      <c r="P42" s="111"/>
      <c r="Q42" s="6" t="s">
        <v>2</v>
      </c>
      <c r="R42" s="111"/>
    </row>
    <row r="43" spans="14:18" x14ac:dyDescent="0.25">
      <c r="N43" s="111"/>
      <c r="O43" s="6" t="s">
        <v>0</v>
      </c>
      <c r="P43" s="111"/>
      <c r="Q43" s="6" t="s">
        <v>2</v>
      </c>
      <c r="R43" s="111" t="s">
        <v>7</v>
      </c>
    </row>
    <row r="44" spans="14:18" x14ac:dyDescent="0.25">
      <c r="N44" s="111"/>
      <c r="O44" s="6" t="s">
        <v>0</v>
      </c>
      <c r="P44" s="111"/>
      <c r="Q44" s="6" t="s">
        <v>2</v>
      </c>
      <c r="R44" s="111"/>
    </row>
    <row r="45" spans="14:18" x14ac:dyDescent="0.25">
      <c r="N45" s="111"/>
      <c r="O45" s="6" t="s">
        <v>0</v>
      </c>
      <c r="P45" s="111"/>
      <c r="Q45" s="6" t="s">
        <v>2</v>
      </c>
      <c r="R45" s="111"/>
    </row>
    <row r="46" spans="14:18" x14ac:dyDescent="0.25">
      <c r="N46" s="111"/>
      <c r="O46" s="6" t="s">
        <v>0</v>
      </c>
      <c r="P46" s="111"/>
      <c r="Q46" s="6" t="s">
        <v>2</v>
      </c>
      <c r="R46" s="111"/>
    </row>
    <row r="47" spans="14:18" x14ac:dyDescent="0.25">
      <c r="N47" s="111"/>
      <c r="O47" s="6" t="s">
        <v>0</v>
      </c>
      <c r="P47" s="111"/>
      <c r="Q47" s="6" t="s">
        <v>2</v>
      </c>
      <c r="R47" s="111"/>
    </row>
  </sheetData>
  <mergeCells count="71">
    <mergeCell ref="MC5:NH5"/>
    <mergeCell ref="I3:BIL3"/>
    <mergeCell ref="I4:OQ4"/>
    <mergeCell ref="OR4:ADX4"/>
    <mergeCell ref="ADY4:ATE4"/>
    <mergeCell ref="AUL4:BIL4"/>
    <mergeCell ref="I5:AN5"/>
    <mergeCell ref="AQ5:BV5"/>
    <mergeCell ref="BY5:DD5"/>
    <mergeCell ref="DF5:EK5"/>
    <mergeCell ref="EM5:FR5"/>
    <mergeCell ref="FT5:GY5"/>
    <mergeCell ref="HA5:IF5"/>
    <mergeCell ref="IH5:JM5"/>
    <mergeCell ref="JO5:KT5"/>
    <mergeCell ref="KV5:MA5"/>
    <mergeCell ref="ABJ5:ACO5"/>
    <mergeCell ref="NJ5:OO5"/>
    <mergeCell ref="OR5:PW5"/>
    <mergeCell ref="PY5:RD5"/>
    <mergeCell ref="RF5:SK5"/>
    <mergeCell ref="SM5:TR5"/>
    <mergeCell ref="TT5:UY5"/>
    <mergeCell ref="VA5:WF5"/>
    <mergeCell ref="WH5:XM5"/>
    <mergeCell ref="XO5:YT5"/>
    <mergeCell ref="YV5:AAA5"/>
    <mergeCell ref="AAC5:ABH5"/>
    <mergeCell ref="AQQ5:ARV5"/>
    <mergeCell ref="ACQ5:ADV5"/>
    <mergeCell ref="ADY5:AFD5"/>
    <mergeCell ref="AFF5:AGK5"/>
    <mergeCell ref="AGM5:AHR5"/>
    <mergeCell ref="AHT5:AIY5"/>
    <mergeCell ref="AJA5:AKF5"/>
    <mergeCell ref="AKH5:ALM5"/>
    <mergeCell ref="ALO5:AMT5"/>
    <mergeCell ref="AMV5:AOA5"/>
    <mergeCell ref="AOC5:APH5"/>
    <mergeCell ref="APJ5:AQO5"/>
    <mergeCell ref="BFX5:BHC5"/>
    <mergeCell ref="ARX5:ATC5"/>
    <mergeCell ref="ATF5:AUK5"/>
    <mergeCell ref="AUM5:AVR5"/>
    <mergeCell ref="AVT5:AWY5"/>
    <mergeCell ref="AXA5:AYF5"/>
    <mergeCell ref="AYH5:AZM5"/>
    <mergeCell ref="R43:R47"/>
    <mergeCell ref="BHE5:BIJ5"/>
    <mergeCell ref="AO5:AP5"/>
    <mergeCell ref="BW5:BX5"/>
    <mergeCell ref="N28:N47"/>
    <mergeCell ref="P28:P38"/>
    <mergeCell ref="R28:R31"/>
    <mergeCell ref="R32:R35"/>
    <mergeCell ref="R36:R38"/>
    <mergeCell ref="P39:P47"/>
    <mergeCell ref="R39:R42"/>
    <mergeCell ref="AZO5:BAT5"/>
    <mergeCell ref="BAV5:BCA5"/>
    <mergeCell ref="BCC5:BDH5"/>
    <mergeCell ref="BDJ5:BEO5"/>
    <mergeCell ref="BEQ5:BFV5"/>
    <mergeCell ref="B7:B17"/>
    <mergeCell ref="D7:D13"/>
    <mergeCell ref="D14:D17"/>
    <mergeCell ref="F14:F15"/>
    <mergeCell ref="F16:F17"/>
    <mergeCell ref="F7:F9"/>
    <mergeCell ref="F10:F11"/>
    <mergeCell ref="F12:F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>
                  <from>
                    <xdr:col>5</xdr:col>
                    <xdr:colOff>409575</xdr:colOff>
                    <xdr:row>2</xdr:row>
                    <xdr:rowOff>390525</xdr:rowOff>
                  </from>
                  <to>
                    <xdr:col>6</xdr:col>
                    <xdr:colOff>447675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B1:Q51"/>
  <sheetViews>
    <sheetView showGridLines="0" workbookViewId="0">
      <pane xSplit="8" ySplit="8" topLeftCell="I9" activePane="bottomRight" state="frozen"/>
      <selection pane="topRight" activeCell="H1" sqref="H1"/>
      <selection pane="bottomLeft" activeCell="A8" sqref="A8"/>
      <selection pane="bottomRight" activeCell="G4" sqref="G4:H4"/>
    </sheetView>
  </sheetViews>
  <sheetFormatPr defaultRowHeight="15" outlineLevelRow="1" x14ac:dyDescent="0.25"/>
  <cols>
    <col min="3" max="3" width="3.140625" style="2" hidden="1" customWidth="1"/>
    <col min="4" max="4" width="8.7109375" style="2" bestFit="1" customWidth="1"/>
    <col min="5" max="5" width="4.42578125" style="2" hidden="1" customWidth="1"/>
    <col min="6" max="6" width="4.42578125" style="2" customWidth="1"/>
    <col min="7" max="7" width="4.85546875" bestFit="1" customWidth="1"/>
    <col min="8" max="8" width="19.28515625" bestFit="1" customWidth="1"/>
    <col min="9" max="9" width="9.7109375" bestFit="1" customWidth="1"/>
    <col min="10" max="10" width="9.28515625" bestFit="1" customWidth="1"/>
    <col min="11" max="11" width="11.5703125" bestFit="1" customWidth="1"/>
    <col min="12" max="12" width="9.28515625" bestFit="1" customWidth="1"/>
    <col min="13" max="13" width="9.28515625" customWidth="1"/>
    <col min="14" max="14" width="9.28515625" bestFit="1" customWidth="1"/>
    <col min="15" max="15" width="9.28515625" customWidth="1"/>
    <col min="16" max="16" width="9.28515625" bestFit="1" customWidth="1"/>
    <col min="17" max="17" width="11.28515625" bestFit="1" customWidth="1"/>
  </cols>
  <sheetData>
    <row r="1" spans="2:17" ht="14.45" x14ac:dyDescent="0.3">
      <c r="G1" s="121" t="s">
        <v>11</v>
      </c>
      <c r="H1" s="122"/>
      <c r="I1" s="3">
        <v>1</v>
      </c>
      <c r="J1" s="3">
        <f>I1+1</f>
        <v>2</v>
      </c>
      <c r="K1" s="3">
        <v>4</v>
      </c>
      <c r="L1" s="3">
        <v>3</v>
      </c>
      <c r="M1" s="3"/>
      <c r="N1" s="3">
        <v>5</v>
      </c>
      <c r="O1" s="3"/>
      <c r="P1" s="3"/>
      <c r="Q1" s="2" t="s">
        <v>17</v>
      </c>
    </row>
    <row r="2" spans="2:17" ht="14.45" x14ac:dyDescent="0.3">
      <c r="G2" s="121" t="s">
        <v>8</v>
      </c>
      <c r="H2" s="122"/>
      <c r="I2" s="3">
        <v>2</v>
      </c>
      <c r="J2" s="3">
        <v>2</v>
      </c>
      <c r="K2" s="3">
        <v>2</v>
      </c>
      <c r="L2" s="3">
        <v>2</v>
      </c>
      <c r="M2" s="3"/>
      <c r="N2" s="3">
        <v>3</v>
      </c>
      <c r="O2" s="3"/>
      <c r="P2" s="3"/>
      <c r="Q2" s="3"/>
    </row>
    <row r="3" spans="2:17" ht="14.45" x14ac:dyDescent="0.3">
      <c r="G3" s="121" t="s">
        <v>9</v>
      </c>
      <c r="H3" s="122"/>
      <c r="I3" s="3">
        <v>2018</v>
      </c>
      <c r="J3" s="3">
        <v>2018</v>
      </c>
      <c r="K3" s="3">
        <v>2018</v>
      </c>
      <c r="L3" s="3">
        <v>2018</v>
      </c>
      <c r="M3" s="3"/>
      <c r="N3" s="3">
        <v>2018</v>
      </c>
      <c r="O3" s="3"/>
      <c r="P3" s="3"/>
      <c r="Q3" s="3"/>
    </row>
    <row r="4" spans="2:17" ht="14.45" x14ac:dyDescent="0.3">
      <c r="G4" s="121" t="s">
        <v>10</v>
      </c>
      <c r="H4" s="122"/>
      <c r="I4" s="3"/>
      <c r="J4" s="3"/>
      <c r="K4" s="3"/>
      <c r="L4" s="3"/>
      <c r="M4" s="3"/>
      <c r="N4" s="3"/>
      <c r="O4" s="3"/>
      <c r="P4" s="3"/>
      <c r="Q4" s="3"/>
    </row>
    <row r="5" spans="2:17" ht="28.9" x14ac:dyDescent="0.3">
      <c r="G5" s="123" t="s">
        <v>18</v>
      </c>
      <c r="H5" s="124"/>
      <c r="I5" s="36" t="s">
        <v>19</v>
      </c>
      <c r="J5" s="37"/>
      <c r="K5" s="37" t="s">
        <v>28</v>
      </c>
      <c r="L5" s="37" t="s">
        <v>35</v>
      </c>
      <c r="M5" s="37" t="s">
        <v>35</v>
      </c>
      <c r="N5" s="37" t="s">
        <v>34</v>
      </c>
      <c r="O5" s="37"/>
      <c r="P5" s="37"/>
      <c r="Q5" s="37"/>
    </row>
    <row r="6" spans="2:17" ht="14.45" x14ac:dyDescent="0.3">
      <c r="G6" s="22"/>
      <c r="H6" s="22"/>
      <c r="I6" s="44"/>
      <c r="J6" s="45"/>
      <c r="K6" s="45"/>
      <c r="L6" s="45"/>
      <c r="M6" s="45"/>
      <c r="N6" s="45"/>
      <c r="O6" s="45"/>
      <c r="P6" s="45"/>
      <c r="Q6" s="45"/>
    </row>
    <row r="7" spans="2:17" ht="14.45" x14ac:dyDescent="0.3">
      <c r="B7" s="118" t="s">
        <v>36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</row>
    <row r="8" spans="2:17" ht="14.25" customHeight="1" outlineLevel="1" x14ac:dyDescent="0.3">
      <c r="G8" s="46" t="s">
        <v>25</v>
      </c>
      <c r="H8" s="47" t="s">
        <v>18</v>
      </c>
      <c r="I8" s="125" t="s">
        <v>29</v>
      </c>
      <c r="J8" s="125"/>
      <c r="K8" s="125"/>
      <c r="L8" s="125"/>
      <c r="M8" s="125"/>
      <c r="N8" s="125"/>
      <c r="O8" s="125"/>
      <c r="P8" s="125"/>
      <c r="Q8" s="48" t="s">
        <v>30</v>
      </c>
    </row>
    <row r="9" spans="2:17" ht="15.75" outlineLevel="1" x14ac:dyDescent="0.25">
      <c r="B9" s="126" t="s">
        <v>0</v>
      </c>
      <c r="C9" s="6" t="s">
        <v>0</v>
      </c>
      <c r="D9" s="111" t="s">
        <v>1</v>
      </c>
      <c r="E9" s="6" t="s">
        <v>1</v>
      </c>
      <c r="F9" s="111" t="s">
        <v>3</v>
      </c>
      <c r="G9" s="26" t="s">
        <v>3</v>
      </c>
      <c r="H9" s="18" t="s">
        <v>43</v>
      </c>
      <c r="I9" s="5">
        <f>-I23</f>
        <v>0</v>
      </c>
      <c r="J9" s="5">
        <f t="shared" ref="J9:P9" si="0">-J23</f>
        <v>0</v>
      </c>
      <c r="K9" s="5">
        <f t="shared" si="0"/>
        <v>10000</v>
      </c>
      <c r="L9" s="5">
        <f t="shared" si="0"/>
        <v>0</v>
      </c>
      <c r="M9" s="5"/>
      <c r="N9" s="5">
        <f t="shared" si="0"/>
        <v>0</v>
      </c>
      <c r="O9" s="5"/>
      <c r="P9" s="5">
        <f t="shared" si="0"/>
        <v>0</v>
      </c>
      <c r="Q9" s="25">
        <f>SUM(I9:P9)</f>
        <v>10000</v>
      </c>
    </row>
    <row r="10" spans="2:17" ht="15.75" outlineLevel="1" x14ac:dyDescent="0.25">
      <c r="B10" s="126"/>
      <c r="C10" s="6" t="s">
        <v>0</v>
      </c>
      <c r="D10" s="111"/>
      <c r="E10" s="6" t="s">
        <v>1</v>
      </c>
      <c r="F10" s="111"/>
      <c r="G10" s="27" t="s">
        <v>3</v>
      </c>
      <c r="H10" s="19"/>
      <c r="I10" s="5"/>
      <c r="J10" s="5"/>
      <c r="K10" s="5"/>
      <c r="L10" s="5"/>
      <c r="M10" s="5"/>
      <c r="N10" s="5"/>
      <c r="O10" s="5"/>
      <c r="P10" s="5"/>
      <c r="Q10" s="25">
        <f>SUM(I10:P10)</f>
        <v>0</v>
      </c>
    </row>
    <row r="11" spans="2:17" ht="15.75" outlineLevel="1" x14ac:dyDescent="0.25">
      <c r="B11" s="111"/>
      <c r="C11" s="6" t="s">
        <v>0</v>
      </c>
      <c r="D11" s="111"/>
      <c r="E11" s="6" t="s">
        <v>1</v>
      </c>
      <c r="F11" s="111"/>
      <c r="G11" s="27" t="s">
        <v>3</v>
      </c>
      <c r="H11" s="19"/>
      <c r="I11" s="5"/>
      <c r="J11" s="5"/>
      <c r="K11" s="5"/>
      <c r="L11" s="5"/>
      <c r="M11" s="5"/>
      <c r="N11" s="5"/>
      <c r="O11" s="5"/>
      <c r="P11" s="5"/>
      <c r="Q11" s="25">
        <f>SUM(I11:P11)</f>
        <v>0</v>
      </c>
    </row>
    <row r="12" spans="2:17" outlineLevel="1" x14ac:dyDescent="0.25">
      <c r="B12" s="111"/>
      <c r="C12" s="6" t="s">
        <v>0</v>
      </c>
      <c r="D12" s="111"/>
      <c r="E12" s="6" t="s">
        <v>1</v>
      </c>
      <c r="F12" s="111"/>
      <c r="G12" s="28"/>
      <c r="H12" s="20" t="s">
        <v>12</v>
      </c>
      <c r="I12" s="12">
        <f t="shared" ref="I12:P12" si="1">SUM(I9:I11)</f>
        <v>0</v>
      </c>
      <c r="J12" s="13">
        <f t="shared" si="1"/>
        <v>0</v>
      </c>
      <c r="K12" s="13">
        <f t="shared" si="1"/>
        <v>10000</v>
      </c>
      <c r="L12" s="13"/>
      <c r="M12" s="13"/>
      <c r="N12" s="13"/>
      <c r="O12" s="13"/>
      <c r="P12" s="14">
        <f t="shared" si="1"/>
        <v>0</v>
      </c>
      <c r="Q12" s="24">
        <f>SUM(Q9:Q11)</f>
        <v>10000</v>
      </c>
    </row>
    <row r="13" spans="2:17" ht="15.75" outlineLevel="1" x14ac:dyDescent="0.25">
      <c r="B13" s="111"/>
      <c r="C13" s="6" t="s">
        <v>0</v>
      </c>
      <c r="D13" s="111"/>
      <c r="E13" s="6" t="s">
        <v>1</v>
      </c>
      <c r="F13" s="111" t="s">
        <v>4</v>
      </c>
      <c r="G13" s="27" t="s">
        <v>4</v>
      </c>
      <c r="H13" s="19" t="s">
        <v>41</v>
      </c>
      <c r="I13" s="5">
        <f>-I28</f>
        <v>-200</v>
      </c>
      <c r="J13" s="5">
        <f t="shared" ref="J13:P13" si="2">-J28</f>
        <v>0</v>
      </c>
      <c r="K13" s="5">
        <f t="shared" si="2"/>
        <v>0</v>
      </c>
      <c r="L13" s="5"/>
      <c r="M13" s="5"/>
      <c r="N13" s="5">
        <f t="shared" si="2"/>
        <v>0</v>
      </c>
      <c r="O13" s="5"/>
      <c r="P13" s="5">
        <f t="shared" si="2"/>
        <v>0</v>
      </c>
      <c r="Q13" s="25">
        <f>SUM(I13:P13)</f>
        <v>-200</v>
      </c>
    </row>
    <row r="14" spans="2:17" ht="15.75" outlineLevel="1" x14ac:dyDescent="0.25">
      <c r="B14" s="111"/>
      <c r="C14" s="6" t="s">
        <v>0</v>
      </c>
      <c r="D14" s="111"/>
      <c r="E14" s="6" t="s">
        <v>1</v>
      </c>
      <c r="F14" s="111"/>
      <c r="G14" s="27" t="s">
        <v>4</v>
      </c>
      <c r="H14" s="19" t="s">
        <v>41</v>
      </c>
      <c r="I14" s="5"/>
      <c r="J14" s="5"/>
      <c r="K14" s="5"/>
      <c r="L14" s="5">
        <v>-30</v>
      </c>
      <c r="M14" s="5"/>
      <c r="N14" s="5"/>
      <c r="O14" s="5"/>
      <c r="P14" s="5"/>
      <c r="Q14" s="25">
        <f>SUM(I14:P14)</f>
        <v>-30</v>
      </c>
    </row>
    <row r="15" spans="2:17" ht="15.75" outlineLevel="1" x14ac:dyDescent="0.25">
      <c r="B15" s="111"/>
      <c r="C15" s="6" t="s">
        <v>0</v>
      </c>
      <c r="D15" s="111"/>
      <c r="E15" s="6" t="s">
        <v>1</v>
      </c>
      <c r="F15" s="111"/>
      <c r="G15" s="27" t="s">
        <v>4</v>
      </c>
      <c r="H15" s="19" t="s">
        <v>39</v>
      </c>
      <c r="I15" s="5"/>
      <c r="J15" s="5"/>
      <c r="K15" s="5"/>
      <c r="L15" s="5"/>
      <c r="M15" s="5">
        <v>-100</v>
      </c>
      <c r="N15" s="5"/>
      <c r="O15" s="5"/>
      <c r="P15" s="5"/>
      <c r="Q15" s="25">
        <f>SUM(I15:P15)</f>
        <v>-100</v>
      </c>
    </row>
    <row r="16" spans="2:17" outlineLevel="1" x14ac:dyDescent="0.25">
      <c r="B16" s="111"/>
      <c r="C16" s="6" t="s">
        <v>0</v>
      </c>
      <c r="D16" s="111"/>
      <c r="E16" s="6" t="s">
        <v>1</v>
      </c>
      <c r="F16" s="111"/>
      <c r="G16" s="28"/>
      <c r="H16" s="20" t="s">
        <v>13</v>
      </c>
      <c r="I16" s="12">
        <f t="shared" ref="I16:N16" si="3">SUM(I13:I15)</f>
        <v>-200</v>
      </c>
      <c r="J16" s="13">
        <f t="shared" si="3"/>
        <v>0</v>
      </c>
      <c r="K16" s="13">
        <f t="shared" si="3"/>
        <v>0</v>
      </c>
      <c r="L16" s="13">
        <f t="shared" si="3"/>
        <v>-30</v>
      </c>
      <c r="M16" s="13">
        <f t="shared" si="3"/>
        <v>-100</v>
      </c>
      <c r="N16" s="13">
        <f t="shared" si="3"/>
        <v>0</v>
      </c>
      <c r="O16" s="13"/>
      <c r="P16" s="14">
        <f t="shared" ref="P16" si="4">SUM(P13:P15)</f>
        <v>0</v>
      </c>
      <c r="Q16" s="24">
        <f>SUM(Q13:Q15)</f>
        <v>-330</v>
      </c>
    </row>
    <row r="17" spans="2:17" ht="15.75" outlineLevel="1" x14ac:dyDescent="0.25">
      <c r="B17" s="111"/>
      <c r="C17" s="6" t="s">
        <v>0</v>
      </c>
      <c r="D17" s="111"/>
      <c r="E17" s="6" t="s">
        <v>1</v>
      </c>
      <c r="F17" s="111" t="s">
        <v>5</v>
      </c>
      <c r="G17" s="27" t="s">
        <v>5</v>
      </c>
      <c r="H17" s="19"/>
      <c r="I17" s="5"/>
      <c r="J17" s="5"/>
      <c r="K17" s="5"/>
      <c r="L17" s="5"/>
      <c r="M17" s="5"/>
      <c r="N17" s="5"/>
      <c r="O17" s="5"/>
      <c r="P17" s="5"/>
      <c r="Q17" s="25">
        <f>SUM(I17:P17)</f>
        <v>0</v>
      </c>
    </row>
    <row r="18" spans="2:17" ht="15.75" outlineLevel="1" x14ac:dyDescent="0.25">
      <c r="B18" s="111"/>
      <c r="C18" s="6" t="s">
        <v>0</v>
      </c>
      <c r="D18" s="111"/>
      <c r="E18" s="6" t="s">
        <v>1</v>
      </c>
      <c r="F18" s="111"/>
      <c r="G18" s="27" t="s">
        <v>5</v>
      </c>
      <c r="H18" s="19"/>
      <c r="I18" s="5"/>
      <c r="J18" s="5"/>
      <c r="K18" s="5"/>
      <c r="L18" s="5"/>
      <c r="M18" s="5"/>
      <c r="N18" s="5"/>
      <c r="O18" s="5"/>
      <c r="P18" s="5"/>
      <c r="Q18" s="25">
        <f>SUM(I18:P18)</f>
        <v>0</v>
      </c>
    </row>
    <row r="19" spans="2:17" outlineLevel="1" x14ac:dyDescent="0.25">
      <c r="B19" s="111"/>
      <c r="C19" s="6" t="s">
        <v>0</v>
      </c>
      <c r="D19" s="111"/>
      <c r="E19" s="6" t="s">
        <v>1</v>
      </c>
      <c r="F19" s="111"/>
      <c r="G19" s="28"/>
      <c r="H19" s="20" t="s">
        <v>14</v>
      </c>
      <c r="I19" s="12">
        <f t="shared" ref="I19:Q19" si="5">SUM(I17:I18)</f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4">
        <f t="shared" si="5"/>
        <v>0</v>
      </c>
      <c r="Q19" s="24">
        <f t="shared" si="5"/>
        <v>0</v>
      </c>
    </row>
    <row r="20" spans="2:17" ht="15.75" outlineLevel="1" x14ac:dyDescent="0.25">
      <c r="B20" s="111"/>
      <c r="C20" s="6" t="s">
        <v>0</v>
      </c>
      <c r="D20" s="111" t="s">
        <v>2</v>
      </c>
      <c r="E20" s="6" t="s">
        <v>2</v>
      </c>
      <c r="F20" s="111" t="s">
        <v>6</v>
      </c>
      <c r="G20" s="27" t="s">
        <v>6</v>
      </c>
      <c r="H20" s="19" t="s">
        <v>37</v>
      </c>
      <c r="I20" s="5"/>
      <c r="J20" s="5"/>
      <c r="K20" s="5">
        <v>-10000</v>
      </c>
      <c r="L20" s="5"/>
      <c r="M20" s="5"/>
      <c r="N20" s="5"/>
      <c r="O20" s="5"/>
      <c r="P20" s="5"/>
      <c r="Q20" s="25">
        <f>SUM(I20:P20)</f>
        <v>-10000</v>
      </c>
    </row>
    <row r="21" spans="2:17" ht="15.75" outlineLevel="1" x14ac:dyDescent="0.25">
      <c r="B21" s="111"/>
      <c r="C21" s="6" t="s">
        <v>0</v>
      </c>
      <c r="D21" s="111"/>
      <c r="E21" s="6" t="s">
        <v>2</v>
      </c>
      <c r="F21" s="111"/>
      <c r="G21" s="27" t="s">
        <v>6</v>
      </c>
      <c r="H21" s="19"/>
      <c r="I21" s="5"/>
      <c r="J21" s="5"/>
      <c r="K21" s="5"/>
      <c r="L21" s="5"/>
      <c r="M21" s="5"/>
      <c r="N21" s="5"/>
      <c r="O21" s="5"/>
      <c r="P21" s="5"/>
      <c r="Q21" s="25">
        <f>SUM(I21:P21)</f>
        <v>0</v>
      </c>
    </row>
    <row r="22" spans="2:17" ht="15.75" outlineLevel="1" x14ac:dyDescent="0.25">
      <c r="B22" s="111"/>
      <c r="C22" s="6" t="s">
        <v>0</v>
      </c>
      <c r="D22" s="111"/>
      <c r="E22" s="6" t="s">
        <v>2</v>
      </c>
      <c r="F22" s="111"/>
      <c r="G22" s="27" t="s">
        <v>6</v>
      </c>
      <c r="H22" s="19"/>
      <c r="I22" s="5"/>
      <c r="J22" s="5"/>
      <c r="K22" s="5"/>
      <c r="L22" s="5"/>
      <c r="M22" s="5"/>
      <c r="N22" s="5"/>
      <c r="O22" s="5"/>
      <c r="P22" s="5"/>
      <c r="Q22" s="25">
        <f>SUM(I22:P22)</f>
        <v>0</v>
      </c>
    </row>
    <row r="23" spans="2:17" outlineLevel="1" x14ac:dyDescent="0.25">
      <c r="B23" s="111"/>
      <c r="C23" s="6" t="s">
        <v>0</v>
      </c>
      <c r="D23" s="111"/>
      <c r="E23" s="6" t="s">
        <v>2</v>
      </c>
      <c r="F23" s="111"/>
      <c r="G23" s="28"/>
      <c r="H23" s="20" t="s">
        <v>15</v>
      </c>
      <c r="I23" s="12">
        <f t="shared" ref="I23:Q23" si="6">SUM(I20:I22)</f>
        <v>0</v>
      </c>
      <c r="J23" s="13">
        <f t="shared" si="6"/>
        <v>0</v>
      </c>
      <c r="K23" s="13">
        <f t="shared" si="6"/>
        <v>-10000</v>
      </c>
      <c r="L23" s="13">
        <f t="shared" si="6"/>
        <v>0</v>
      </c>
      <c r="M23" s="13">
        <f t="shared" si="6"/>
        <v>0</v>
      </c>
      <c r="N23" s="13">
        <f t="shared" si="6"/>
        <v>0</v>
      </c>
      <c r="O23" s="13">
        <f t="shared" si="6"/>
        <v>0</v>
      </c>
      <c r="P23" s="14">
        <f t="shared" si="6"/>
        <v>0</v>
      </c>
      <c r="Q23" s="24">
        <f t="shared" si="6"/>
        <v>-10000</v>
      </c>
    </row>
    <row r="24" spans="2:17" ht="15.75" outlineLevel="1" x14ac:dyDescent="0.25">
      <c r="B24" s="111"/>
      <c r="C24" s="6" t="s">
        <v>0</v>
      </c>
      <c r="D24" s="111"/>
      <c r="E24" s="6" t="s">
        <v>2</v>
      </c>
      <c r="F24" s="111" t="s">
        <v>7</v>
      </c>
      <c r="G24" s="27" t="s">
        <v>7</v>
      </c>
      <c r="H24" s="19"/>
      <c r="I24" s="5"/>
      <c r="J24" s="5"/>
      <c r="K24" s="5"/>
      <c r="L24" s="5"/>
      <c r="M24" s="5"/>
      <c r="N24" s="5"/>
      <c r="O24" s="5"/>
      <c r="P24" s="5"/>
      <c r="Q24" s="25">
        <f>SUM(I24:P24)</f>
        <v>0</v>
      </c>
    </row>
    <row r="25" spans="2:17" ht="15.75" outlineLevel="1" x14ac:dyDescent="0.25">
      <c r="B25" s="111"/>
      <c r="C25" s="6" t="s">
        <v>0</v>
      </c>
      <c r="D25" s="111"/>
      <c r="E25" s="6" t="s">
        <v>2</v>
      </c>
      <c r="F25" s="111"/>
      <c r="G25" s="27" t="s">
        <v>26</v>
      </c>
      <c r="H25" s="19" t="str">
        <f>I5</f>
        <v>Cost Provision</v>
      </c>
      <c r="I25" s="5">
        <v>200</v>
      </c>
      <c r="J25" s="5"/>
      <c r="K25" s="5"/>
      <c r="L25" s="5"/>
      <c r="M25" s="5"/>
      <c r="N25" s="5"/>
      <c r="O25" s="5"/>
      <c r="P25" s="5"/>
      <c r="Q25" s="25">
        <f>SUM(I25:P25)</f>
        <v>200</v>
      </c>
    </row>
    <row r="26" spans="2:17" ht="15.75" outlineLevel="1" x14ac:dyDescent="0.25">
      <c r="B26" s="111"/>
      <c r="C26" s="6" t="s">
        <v>0</v>
      </c>
      <c r="D26" s="111"/>
      <c r="E26" s="6" t="s">
        <v>2</v>
      </c>
      <c r="F26" s="111"/>
      <c r="G26" s="27" t="s">
        <v>27</v>
      </c>
      <c r="H26" s="38" t="str">
        <f>L5</f>
        <v xml:space="preserve"> </v>
      </c>
      <c r="I26" s="5"/>
      <c r="J26" s="5"/>
      <c r="K26" s="5"/>
      <c r="L26" s="5">
        <v>30</v>
      </c>
      <c r="M26" s="5"/>
      <c r="N26" s="5"/>
      <c r="O26" s="5"/>
      <c r="P26" s="5"/>
      <c r="Q26" s="25">
        <f>SUM(I26:P26)</f>
        <v>30</v>
      </c>
    </row>
    <row r="27" spans="2:17" ht="15.75" outlineLevel="1" x14ac:dyDescent="0.25">
      <c r="B27" s="111"/>
      <c r="C27" s="6" t="s">
        <v>0</v>
      </c>
      <c r="D27" s="111"/>
      <c r="E27" s="6" t="s">
        <v>2</v>
      </c>
      <c r="F27" s="111"/>
      <c r="G27" s="27" t="s">
        <v>26</v>
      </c>
      <c r="H27" s="19"/>
      <c r="I27" s="5"/>
      <c r="J27" s="5"/>
      <c r="K27" s="5"/>
      <c r="L27" s="5"/>
      <c r="M27" s="5">
        <v>100</v>
      </c>
      <c r="N27" s="5"/>
      <c r="O27" s="5"/>
      <c r="P27" s="5"/>
      <c r="Q27" s="25">
        <f>SUM(I27:P27)</f>
        <v>100</v>
      </c>
    </row>
    <row r="28" spans="2:17" outlineLevel="1" x14ac:dyDescent="0.25">
      <c r="B28" s="111"/>
      <c r="C28" s="6" t="s">
        <v>0</v>
      </c>
      <c r="D28" s="111"/>
      <c r="E28" s="6" t="s">
        <v>2</v>
      </c>
      <c r="F28" s="111"/>
      <c r="G28" s="29"/>
      <c r="H28" s="21" t="s">
        <v>16</v>
      </c>
      <c r="I28" s="15">
        <f>SUM(I24:I27)</f>
        <v>200</v>
      </c>
      <c r="J28" s="16">
        <f>SUM(J24:J27)</f>
        <v>0</v>
      </c>
      <c r="K28" s="16">
        <f>SUM(K24:K27)</f>
        <v>0</v>
      </c>
      <c r="L28" s="16">
        <f t="shared" ref="L28:N28" si="7">SUM(L24:L27)</f>
        <v>30</v>
      </c>
      <c r="M28" s="16">
        <f t="shared" si="7"/>
        <v>100</v>
      </c>
      <c r="N28" s="16">
        <f t="shared" si="7"/>
        <v>0</v>
      </c>
      <c r="O28" s="16"/>
      <c r="P28" s="17">
        <f>SUM(P24:P27)</f>
        <v>0</v>
      </c>
      <c r="Q28" s="24">
        <f>SUM(Q24:Q27)</f>
        <v>330</v>
      </c>
    </row>
    <row r="29" spans="2:17" s="6" customFormat="1" ht="14.45" outlineLevel="1" x14ac:dyDescent="0.3">
      <c r="B29" s="32">
        <f>Q12+Q16+Q19+Q23+Q28</f>
        <v>0</v>
      </c>
      <c r="C29" s="33"/>
      <c r="D29" s="32">
        <f>(-(Q12+Q16+Q19)-(Q23+Q28))</f>
        <v>0</v>
      </c>
    </row>
    <row r="30" spans="2:17" s="6" customFormat="1" ht="14.45" x14ac:dyDescent="0.3"/>
    <row r="31" spans="2:17" s="6" customFormat="1" ht="14.45" collapsed="1" x14ac:dyDescent="0.3">
      <c r="B31" s="115" t="s">
        <v>33</v>
      </c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7"/>
    </row>
    <row r="32" spans="2:17" ht="14.45" hidden="1" outlineLevel="1" x14ac:dyDescent="0.3">
      <c r="B32" s="113" t="s">
        <v>33</v>
      </c>
      <c r="D32" s="39" t="s">
        <v>20</v>
      </c>
      <c r="F32" s="40"/>
      <c r="G32" s="41"/>
      <c r="H32" s="41"/>
      <c r="I32" s="41"/>
      <c r="J32" s="41"/>
      <c r="K32" s="41"/>
      <c r="L32" s="41"/>
      <c r="M32" s="41"/>
      <c r="N32" s="41"/>
      <c r="O32" s="41"/>
      <c r="P32" s="42"/>
      <c r="Q32" s="43">
        <f>-Q23-Q28</f>
        <v>9670</v>
      </c>
    </row>
    <row r="33" spans="2:17" ht="14.45" hidden="1" outlineLevel="1" x14ac:dyDescent="0.3">
      <c r="B33" s="114"/>
      <c r="D33" s="23"/>
      <c r="F33" s="23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31"/>
    </row>
    <row r="34" spans="2:17" ht="14.45" hidden="1" outlineLevel="1" x14ac:dyDescent="0.3">
      <c r="B34" s="114"/>
      <c r="D34" s="23"/>
      <c r="F34" s="2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31"/>
    </row>
    <row r="35" spans="2:17" ht="14.45" hidden="1" outlineLevel="1" x14ac:dyDescent="0.3">
      <c r="B35" s="114"/>
      <c r="D35" s="23"/>
      <c r="F35" s="23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31"/>
    </row>
    <row r="36" spans="2:17" ht="14.45" hidden="1" outlineLevel="1" x14ac:dyDescent="0.3">
      <c r="B36" s="114"/>
      <c r="D36" s="23"/>
      <c r="F36" s="23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31"/>
    </row>
    <row r="37" spans="2:17" ht="14.45" hidden="1" outlineLevel="1" x14ac:dyDescent="0.3">
      <c r="B37" s="114"/>
      <c r="D37" s="23"/>
      <c r="F37" s="23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31"/>
    </row>
    <row r="38" spans="2:17" ht="14.45" hidden="1" outlineLevel="1" x14ac:dyDescent="0.3">
      <c r="B38" s="114"/>
      <c r="D38" s="23"/>
      <c r="F38" s="23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31"/>
    </row>
    <row r="39" spans="2:17" ht="14.45" hidden="1" outlineLevel="1" x14ac:dyDescent="0.3">
      <c r="B39" s="114"/>
      <c r="D39" s="23"/>
      <c r="F39" s="23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31"/>
    </row>
    <row r="40" spans="2:17" ht="14.45" hidden="1" outlineLevel="1" x14ac:dyDescent="0.3">
      <c r="B40" s="114"/>
      <c r="D40" s="23"/>
      <c r="F40" s="23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31"/>
    </row>
    <row r="41" spans="2:17" ht="14.45" hidden="1" outlineLevel="1" x14ac:dyDescent="0.3">
      <c r="B41" s="114"/>
      <c r="D41" s="23"/>
      <c r="F41" s="23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31"/>
    </row>
    <row r="43" spans="2:17" x14ac:dyDescent="0.25">
      <c r="B43" s="118" t="s">
        <v>21</v>
      </c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20"/>
    </row>
    <row r="44" spans="2:17" outlineLevel="1" x14ac:dyDescent="0.25">
      <c r="B44" s="112" t="s">
        <v>21</v>
      </c>
      <c r="D44" s="112" t="s">
        <v>32</v>
      </c>
      <c r="G44" s="48">
        <v>4</v>
      </c>
      <c r="H44" s="49" t="s">
        <v>37</v>
      </c>
      <c r="I44" s="50"/>
      <c r="J44" s="50"/>
      <c r="K44" s="50"/>
      <c r="L44" s="50"/>
      <c r="M44" s="50"/>
      <c r="N44" s="50"/>
      <c r="O44" s="50"/>
      <c r="P44" s="50"/>
      <c r="Q44" s="5">
        <f>-SUMIF($H$20:$H$22,"Billings",$Q$20:$Q$22)</f>
        <v>10000</v>
      </c>
    </row>
    <row r="45" spans="2:17" outlineLevel="1" x14ac:dyDescent="0.25">
      <c r="B45" s="111"/>
      <c r="D45" s="111"/>
      <c r="G45" s="3"/>
      <c r="H45" s="35"/>
      <c r="I45" s="34"/>
      <c r="J45" s="34"/>
      <c r="K45" s="34"/>
      <c r="L45" s="34"/>
      <c r="M45" s="34"/>
      <c r="N45" s="34"/>
      <c r="O45" s="34"/>
      <c r="P45" s="34"/>
    </row>
    <row r="46" spans="2:17" outlineLevel="1" x14ac:dyDescent="0.25">
      <c r="B46" s="111"/>
      <c r="D46" s="111"/>
      <c r="G46" s="3"/>
      <c r="H46" s="35"/>
      <c r="I46" s="34"/>
      <c r="J46" s="34"/>
      <c r="K46" s="34"/>
      <c r="L46" s="34"/>
      <c r="M46" s="34"/>
      <c r="N46" s="34"/>
      <c r="O46" s="34"/>
      <c r="P46" s="34"/>
    </row>
    <row r="47" spans="2:17" outlineLevel="1" x14ac:dyDescent="0.25">
      <c r="B47" s="111"/>
      <c r="D47" s="111" t="s">
        <v>31</v>
      </c>
      <c r="G47" s="8">
        <v>1</v>
      </c>
      <c r="H47" s="35" t="s">
        <v>22</v>
      </c>
      <c r="I47" s="34"/>
      <c r="J47" s="34"/>
      <c r="K47" s="34"/>
      <c r="L47" s="34"/>
      <c r="M47" s="34"/>
      <c r="N47" s="34"/>
      <c r="O47" s="34"/>
      <c r="P47" s="34"/>
      <c r="Q47" s="5">
        <f>-SUMIF($G$20:$G$22,"I",$Q$20:$Q$22)</f>
        <v>10000</v>
      </c>
    </row>
    <row r="48" spans="2:17" outlineLevel="1" x14ac:dyDescent="0.25">
      <c r="B48" s="111"/>
      <c r="D48" s="111"/>
      <c r="G48" s="8">
        <v>2.1</v>
      </c>
      <c r="H48" s="35" t="s">
        <v>23</v>
      </c>
      <c r="I48" s="34">
        <f>SUMIF($G$24:$G$27,"S",$Q$24:$Q$27)</f>
        <v>300</v>
      </c>
      <c r="J48" s="34"/>
      <c r="K48" s="34"/>
      <c r="L48" s="34"/>
      <c r="M48" s="34"/>
      <c r="N48" s="34"/>
      <c r="O48" s="34"/>
      <c r="P48" s="34"/>
      <c r="Q48" s="34">
        <f>SUMIF($G$24:$G$27,"S",$Q$24:$Q$27)</f>
        <v>300</v>
      </c>
    </row>
    <row r="49" spans="2:17" outlineLevel="1" x14ac:dyDescent="0.25">
      <c r="B49" s="111"/>
      <c r="D49" s="111"/>
      <c r="G49" s="8">
        <v>2.2000000000000002</v>
      </c>
      <c r="H49" s="35" t="s">
        <v>24</v>
      </c>
      <c r="I49" s="34">
        <f>SUMIF(G24:G27,"O",$Q$24:$Q$27)</f>
        <v>30</v>
      </c>
      <c r="J49" s="34"/>
      <c r="K49" s="34"/>
      <c r="L49" s="34"/>
      <c r="M49" s="34"/>
      <c r="N49" s="34"/>
      <c r="O49" s="34"/>
      <c r="P49" s="34"/>
      <c r="Q49" s="34">
        <f>SUMIF(G24:G27,"O",$Q$24:$Q$27)</f>
        <v>30</v>
      </c>
    </row>
    <row r="50" spans="2:17" outlineLevel="1" x14ac:dyDescent="0.25"/>
    <row r="51" spans="2:17" outlineLevel="1" x14ac:dyDescent="0.25"/>
  </sheetData>
  <dataConsolidate/>
  <mergeCells count="21">
    <mergeCell ref="B7:Q7"/>
    <mergeCell ref="G1:H1"/>
    <mergeCell ref="G2:H2"/>
    <mergeCell ref="G3:H3"/>
    <mergeCell ref="G4:H4"/>
    <mergeCell ref="G5:H5"/>
    <mergeCell ref="I8:P8"/>
    <mergeCell ref="B9:B28"/>
    <mergeCell ref="D9:D19"/>
    <mergeCell ref="F9:F12"/>
    <mergeCell ref="F13:F16"/>
    <mergeCell ref="F17:F19"/>
    <mergeCell ref="D20:D28"/>
    <mergeCell ref="F20:F23"/>
    <mergeCell ref="F24:F28"/>
    <mergeCell ref="B31:Q31"/>
    <mergeCell ref="B32:B41"/>
    <mergeCell ref="B43:Q43"/>
    <mergeCell ref="B44:B49"/>
    <mergeCell ref="D44:D46"/>
    <mergeCell ref="D47:D4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Lists!$E$2:$E$5</xm:f>
          </x14:formula1>
          <xm:sqref>H9:H11</xm:sqref>
        </x14:dataValidation>
        <x14:dataValidation type="list" allowBlank="1" showInputMessage="1" showErrorMessage="1">
          <x14:formula1>
            <xm:f>Lists!$C$2:$C$5</xm:f>
          </x14:formula1>
          <xm:sqref>H13:H15</xm:sqref>
        </x14:dataValidation>
        <x14:dataValidation type="list" allowBlank="1" showInputMessage="1" showErrorMessage="1">
          <x14:formula1>
            <xm:f>Lists!$A$2:$A$4</xm:f>
          </x14:formula1>
          <xm:sqref>H20:H22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6"/>
  <sheetViews>
    <sheetView workbookViewId="0">
      <selection activeCell="F9" sqref="F9"/>
    </sheetView>
  </sheetViews>
  <sheetFormatPr defaultRowHeight="15" x14ac:dyDescent="0.25"/>
  <sheetData>
    <row r="1" spans="1:6" x14ac:dyDescent="0.3">
      <c r="A1" t="e">
        <f>d</f>
        <v>#NAME?</v>
      </c>
    </row>
    <row r="6" spans="1:6" x14ac:dyDescent="0.3">
      <c r="F6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27"/>
  <sheetViews>
    <sheetView workbookViewId="0">
      <selection activeCell="C23" sqref="C23"/>
    </sheetView>
  </sheetViews>
  <sheetFormatPr defaultRowHeight="15" x14ac:dyDescent="0.25"/>
  <cols>
    <col min="4" max="4" width="14.28515625" bestFit="1" customWidth="1"/>
    <col min="5" max="5" width="15.85546875" customWidth="1"/>
  </cols>
  <sheetData>
    <row r="1" spans="2:5" ht="14.45" x14ac:dyDescent="0.3">
      <c r="C1" t="s">
        <v>69</v>
      </c>
      <c r="D1" s="11">
        <v>18000000</v>
      </c>
    </row>
    <row r="2" spans="2:5" ht="14.45" x14ac:dyDescent="0.3">
      <c r="B2" t="s">
        <v>68</v>
      </c>
    </row>
    <row r="3" spans="2:5" ht="15.6" x14ac:dyDescent="0.3">
      <c r="B3">
        <v>1</v>
      </c>
      <c r="C3" s="78">
        <f>_xlfn.NORM.DIST(B3,$B$25,$B$26,FALSE)</f>
        <v>5.140929987637018E-4</v>
      </c>
      <c r="D3" s="9">
        <f>C3*$D$1</f>
        <v>9253.6739777466319</v>
      </c>
      <c r="E3" s="80">
        <f>(_xlfn.NORM.DIST(B3,$B$25,$B$26,FALSE))*$D$1</f>
        <v>9253.6739777466319</v>
      </c>
    </row>
    <row r="4" spans="2:5" ht="15.6" x14ac:dyDescent="0.3">
      <c r="B4">
        <v>2</v>
      </c>
      <c r="C4" s="78">
        <f t="shared" ref="C4:C26" si="0">_xlfn.NORM.DIST(B4,$B$25,$B$26,FALSE)</f>
        <v>1.4772828039793357E-3</v>
      </c>
      <c r="D4" s="9">
        <f t="shared" ref="D4:D26" si="1">C4*$D$1</f>
        <v>26591.090471628042</v>
      </c>
      <c r="E4" s="80">
        <f t="shared" ref="E4:E23" si="2">(_xlfn.NORM.DIST(B4,$B$25,$B$26,FALSE))*$D$1</f>
        <v>26591.090471628042</v>
      </c>
    </row>
    <row r="5" spans="2:5" ht="15.6" x14ac:dyDescent="0.3">
      <c r="B5">
        <v>3</v>
      </c>
      <c r="C5" s="78">
        <f t="shared" si="0"/>
        <v>3.798662007932481E-3</v>
      </c>
      <c r="D5" s="9">
        <f t="shared" si="1"/>
        <v>68375.916142784656</v>
      </c>
      <c r="E5" s="80">
        <f t="shared" si="2"/>
        <v>68375.916142784656</v>
      </c>
    </row>
    <row r="6" spans="2:5" ht="15.6" x14ac:dyDescent="0.3">
      <c r="B6">
        <v>4</v>
      </c>
      <c r="C6" s="78">
        <f t="shared" si="0"/>
        <v>8.7406296979031604E-3</v>
      </c>
      <c r="D6" s="9">
        <f t="shared" si="1"/>
        <v>157331.33456225687</v>
      </c>
      <c r="E6" s="80">
        <f t="shared" si="2"/>
        <v>157331.33456225687</v>
      </c>
    </row>
    <row r="7" spans="2:5" ht="15.6" x14ac:dyDescent="0.3">
      <c r="B7">
        <v>5</v>
      </c>
      <c r="C7" s="78">
        <f t="shared" si="0"/>
        <v>1.7996988837729353E-2</v>
      </c>
      <c r="D7" s="9">
        <f t="shared" si="1"/>
        <v>323945.79907912837</v>
      </c>
      <c r="E7" s="80">
        <f t="shared" si="2"/>
        <v>323945.79907912837</v>
      </c>
    </row>
    <row r="8" spans="2:5" ht="15.6" x14ac:dyDescent="0.3">
      <c r="B8">
        <v>6</v>
      </c>
      <c r="C8" s="78">
        <f t="shared" si="0"/>
        <v>3.3159046264249557E-2</v>
      </c>
      <c r="D8" s="9">
        <f t="shared" si="1"/>
        <v>596862.83275649208</v>
      </c>
      <c r="E8" s="80">
        <f t="shared" si="2"/>
        <v>596862.83275649208</v>
      </c>
    </row>
    <row r="9" spans="2:5" ht="15.6" x14ac:dyDescent="0.3">
      <c r="B9">
        <v>7</v>
      </c>
      <c r="C9" s="78">
        <f t="shared" si="0"/>
        <v>5.4670024891997876E-2</v>
      </c>
      <c r="D9" s="9">
        <f t="shared" si="1"/>
        <v>984060.44805596175</v>
      </c>
      <c r="E9" s="80">
        <f t="shared" si="2"/>
        <v>984060.44805596175</v>
      </c>
    </row>
    <row r="10" spans="2:5" ht="15.6" x14ac:dyDescent="0.3">
      <c r="B10">
        <v>8</v>
      </c>
      <c r="C10" s="78">
        <f t="shared" si="0"/>
        <v>8.0656908173047798E-2</v>
      </c>
      <c r="D10" s="9">
        <f t="shared" si="1"/>
        <v>1451824.3471148603</v>
      </c>
      <c r="E10" s="80">
        <f t="shared" si="2"/>
        <v>1451824.3471148603</v>
      </c>
    </row>
    <row r="11" spans="2:5" ht="15.6" x14ac:dyDescent="0.3">
      <c r="B11">
        <v>9</v>
      </c>
      <c r="C11" s="78">
        <f t="shared" si="0"/>
        <v>0.10648266850745074</v>
      </c>
      <c r="D11" s="9">
        <f t="shared" si="1"/>
        <v>1916688.0331341133</v>
      </c>
      <c r="E11" s="80">
        <f t="shared" si="2"/>
        <v>1916688.0331341133</v>
      </c>
    </row>
    <row r="12" spans="2:5" ht="15.6" x14ac:dyDescent="0.3">
      <c r="B12">
        <v>10</v>
      </c>
      <c r="C12" s="78">
        <f t="shared" si="0"/>
        <v>0.12579440923099772</v>
      </c>
      <c r="D12" s="9">
        <f t="shared" si="1"/>
        <v>2264299.3661579587</v>
      </c>
      <c r="E12" s="80">
        <f t="shared" si="2"/>
        <v>2264299.3661579587</v>
      </c>
    </row>
    <row r="13" spans="2:5" ht="15.6" x14ac:dyDescent="0.3">
      <c r="B13">
        <v>11</v>
      </c>
      <c r="C13" s="78">
        <f t="shared" si="0"/>
        <v>0.13298076013381088</v>
      </c>
      <c r="D13" s="9">
        <f t="shared" si="1"/>
        <v>2393653.6824085959</v>
      </c>
      <c r="E13" s="80">
        <f t="shared" si="2"/>
        <v>2393653.6824085959</v>
      </c>
    </row>
    <row r="14" spans="2:5" ht="15.6" x14ac:dyDescent="0.3">
      <c r="B14">
        <v>12</v>
      </c>
      <c r="C14" s="78">
        <f t="shared" si="0"/>
        <v>0.12579440923099772</v>
      </c>
      <c r="D14" s="9">
        <f t="shared" si="1"/>
        <v>2264299.3661579587</v>
      </c>
      <c r="E14" s="80">
        <f t="shared" si="2"/>
        <v>2264299.3661579587</v>
      </c>
    </row>
    <row r="15" spans="2:5" ht="15.6" x14ac:dyDescent="0.3">
      <c r="B15">
        <v>13</v>
      </c>
      <c r="C15" s="78">
        <f t="shared" si="0"/>
        <v>0.10648266850745074</v>
      </c>
      <c r="D15" s="9">
        <f t="shared" si="1"/>
        <v>1916688.0331341133</v>
      </c>
      <c r="E15" s="80">
        <f t="shared" si="2"/>
        <v>1916688.0331341133</v>
      </c>
    </row>
    <row r="16" spans="2:5" ht="15.6" x14ac:dyDescent="0.3">
      <c r="B16">
        <v>14</v>
      </c>
      <c r="C16" s="78">
        <f t="shared" si="0"/>
        <v>8.0656908173047798E-2</v>
      </c>
      <c r="D16" s="9">
        <f t="shared" si="1"/>
        <v>1451824.3471148603</v>
      </c>
      <c r="E16" s="80">
        <f t="shared" si="2"/>
        <v>1451824.3471148603</v>
      </c>
    </row>
    <row r="17" spans="2:5" ht="15.6" x14ac:dyDescent="0.3">
      <c r="B17">
        <v>15</v>
      </c>
      <c r="C17" s="78">
        <f t="shared" si="0"/>
        <v>5.4670024891997876E-2</v>
      </c>
      <c r="D17" s="9">
        <f t="shared" si="1"/>
        <v>984060.44805596175</v>
      </c>
      <c r="E17" s="80">
        <f t="shared" si="2"/>
        <v>984060.44805596175</v>
      </c>
    </row>
    <row r="18" spans="2:5" ht="15.6" x14ac:dyDescent="0.3">
      <c r="B18">
        <v>16</v>
      </c>
      <c r="C18" s="78">
        <f t="shared" si="0"/>
        <v>3.3159046264249557E-2</v>
      </c>
      <c r="D18" s="9">
        <f t="shared" si="1"/>
        <v>596862.83275649208</v>
      </c>
      <c r="E18" s="80">
        <f t="shared" si="2"/>
        <v>596862.83275649208</v>
      </c>
    </row>
    <row r="19" spans="2:5" ht="15.6" x14ac:dyDescent="0.3">
      <c r="B19">
        <v>17</v>
      </c>
      <c r="C19" s="78">
        <f t="shared" si="0"/>
        <v>1.7996988837729353E-2</v>
      </c>
      <c r="D19" s="9">
        <f t="shared" si="1"/>
        <v>323945.79907912837</v>
      </c>
      <c r="E19" s="80">
        <f t="shared" si="2"/>
        <v>323945.79907912837</v>
      </c>
    </row>
    <row r="20" spans="2:5" ht="15.6" x14ac:dyDescent="0.3">
      <c r="B20">
        <v>18</v>
      </c>
      <c r="C20" s="78">
        <f t="shared" si="0"/>
        <v>8.7406296979031604E-3</v>
      </c>
      <c r="D20" s="9">
        <f t="shared" si="1"/>
        <v>157331.33456225687</v>
      </c>
      <c r="E20" s="80">
        <f t="shared" si="2"/>
        <v>157331.33456225687</v>
      </c>
    </row>
    <row r="21" spans="2:5" ht="15.6" x14ac:dyDescent="0.3">
      <c r="B21">
        <v>19</v>
      </c>
      <c r="C21" s="78">
        <f t="shared" si="0"/>
        <v>3.798662007932481E-3</v>
      </c>
      <c r="D21" s="9">
        <f t="shared" si="1"/>
        <v>68375.916142784656</v>
      </c>
      <c r="E21" s="80">
        <f t="shared" si="2"/>
        <v>68375.916142784656</v>
      </c>
    </row>
    <row r="22" spans="2:5" ht="15.6" x14ac:dyDescent="0.3">
      <c r="B22">
        <v>20</v>
      </c>
      <c r="C22" s="78">
        <f t="shared" si="0"/>
        <v>1.4772828039793357E-3</v>
      </c>
      <c r="D22" s="9">
        <f t="shared" si="1"/>
        <v>26591.090471628042</v>
      </c>
      <c r="E22" s="80">
        <f t="shared" si="2"/>
        <v>26591.090471628042</v>
      </c>
    </row>
    <row r="23" spans="2:5" ht="15.6" x14ac:dyDescent="0.3">
      <c r="B23">
        <v>21</v>
      </c>
      <c r="C23" s="78">
        <f t="shared" si="0"/>
        <v>5.140929987637018E-4</v>
      </c>
      <c r="D23" s="9">
        <f t="shared" si="1"/>
        <v>9253.6739777466319</v>
      </c>
      <c r="E23" s="80">
        <f t="shared" si="2"/>
        <v>9253.6739777466319</v>
      </c>
    </row>
    <row r="24" spans="2:5" ht="15.6" x14ac:dyDescent="0.3">
      <c r="C24" s="78"/>
      <c r="D24" s="9"/>
      <c r="E24" s="79"/>
    </row>
    <row r="25" spans="2:5" ht="15.6" x14ac:dyDescent="0.3">
      <c r="B25">
        <f>AVERAGE(B3:B24)</f>
        <v>11</v>
      </c>
      <c r="C25" s="78">
        <f t="shared" si="0"/>
        <v>0.13298076013381088</v>
      </c>
      <c r="D25" s="9">
        <f>C25*$D$1</f>
        <v>2393653.6824085959</v>
      </c>
      <c r="E25" s="79">
        <f t="shared" ref="E25:E26" si="3">_xlfn.NORM.DIST(B25,$B$25,$B$26,FALSE)</f>
        <v>0.13298076013381088</v>
      </c>
    </row>
    <row r="26" spans="2:5" ht="15.6" x14ac:dyDescent="0.3">
      <c r="B26">
        <v>3</v>
      </c>
      <c r="C26" s="78">
        <f t="shared" si="0"/>
        <v>3.798662007932481E-3</v>
      </c>
      <c r="D26" s="9">
        <f t="shared" si="1"/>
        <v>68375.916142784656</v>
      </c>
      <c r="E26" s="79">
        <f t="shared" si="3"/>
        <v>3.798662007932481E-3</v>
      </c>
    </row>
    <row r="27" spans="2:5" ht="14.45" x14ac:dyDescent="0.3">
      <c r="C27" s="11">
        <f>SUM(C3:C23)</f>
        <v>0.99956218696191435</v>
      </c>
      <c r="D27" s="11">
        <f>SUM(D3:D23)</f>
        <v>17992119.365314458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SpinButton1">
          <controlPr autoLine="0" linkedCell="B26" r:id="rId4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1</xdr:col>
                <xdr:colOff>0</xdr:colOff>
                <xdr:row>26</xdr:row>
                <xdr:rowOff>9525</xdr:rowOff>
              </to>
            </anchor>
          </controlPr>
        </control>
      </mc:Choice>
      <mc:Fallback>
        <control shapeId="7169" r:id="rId3" name="Spin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AB10"/>
  <sheetViews>
    <sheetView workbookViewId="0">
      <selection activeCell="D13" sqref="D13"/>
    </sheetView>
  </sheetViews>
  <sheetFormatPr defaultRowHeight="15" x14ac:dyDescent="0.25"/>
  <cols>
    <col min="3" max="3" width="14.28515625" bestFit="1" customWidth="1"/>
    <col min="4" max="4" width="10.7109375" bestFit="1" customWidth="1"/>
    <col min="5" max="5" width="12.85546875" bestFit="1" customWidth="1"/>
    <col min="6" max="28" width="10.42578125" bestFit="1" customWidth="1"/>
  </cols>
  <sheetData>
    <row r="2" spans="2:28" ht="14.45" x14ac:dyDescent="0.3">
      <c r="B2" s="1" t="s">
        <v>70</v>
      </c>
      <c r="C2" s="2" t="s">
        <v>75</v>
      </c>
    </row>
    <row r="3" spans="2:28" ht="14.45" x14ac:dyDescent="0.3">
      <c r="B3" s="1" t="s">
        <v>71</v>
      </c>
      <c r="C3" s="11">
        <v>15000000</v>
      </c>
    </row>
    <row r="4" spans="2:28" s="6" customFormat="1" ht="25.5" customHeight="1" x14ac:dyDescent="0.3">
      <c r="B4" s="6" t="s">
        <v>72</v>
      </c>
      <c r="C4" s="6">
        <v>23</v>
      </c>
      <c r="D4" s="83" t="s">
        <v>77</v>
      </c>
    </row>
    <row r="5" spans="2:28" ht="14.45" x14ac:dyDescent="0.3">
      <c r="B5" s="1" t="s">
        <v>73</v>
      </c>
      <c r="C5" s="81">
        <v>43465</v>
      </c>
    </row>
    <row r="6" spans="2:28" ht="14.45" x14ac:dyDescent="0.3">
      <c r="B6" s="1" t="s">
        <v>74</v>
      </c>
      <c r="C6" s="82">
        <f>+C5+(23*31)</f>
        <v>44178</v>
      </c>
    </row>
    <row r="8" spans="2:28" ht="14.45" x14ac:dyDescent="0.3">
      <c r="C8" t="s">
        <v>76</v>
      </c>
    </row>
    <row r="9" spans="2:28" s="2" customFormat="1" ht="14.45" x14ac:dyDescent="0.3"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</row>
    <row r="10" spans="2:28" s="82" customFormat="1" ht="14.45" x14ac:dyDescent="0.3">
      <c r="E10" s="82">
        <v>43465</v>
      </c>
      <c r="F10" s="82">
        <v>43466</v>
      </c>
      <c r="G10" s="82">
        <v>43467</v>
      </c>
      <c r="H10" s="82">
        <v>43468</v>
      </c>
      <c r="I10" s="82">
        <v>43469</v>
      </c>
      <c r="J10" s="82">
        <v>43470</v>
      </c>
      <c r="K10" s="82">
        <v>43471</v>
      </c>
      <c r="L10" s="82">
        <v>43472</v>
      </c>
      <c r="M10" s="82">
        <v>43473</v>
      </c>
      <c r="N10" s="82">
        <v>43474</v>
      </c>
      <c r="O10" s="82">
        <v>43475</v>
      </c>
      <c r="P10" s="82">
        <v>43476</v>
      </c>
      <c r="Q10" s="82">
        <v>43477</v>
      </c>
      <c r="R10" s="82">
        <v>43478</v>
      </c>
      <c r="S10" s="82">
        <v>43479</v>
      </c>
      <c r="T10" s="82">
        <v>43480</v>
      </c>
      <c r="U10" s="82">
        <v>43481</v>
      </c>
      <c r="V10" s="82">
        <v>43482</v>
      </c>
      <c r="W10" s="82">
        <v>43483</v>
      </c>
      <c r="X10" s="82">
        <v>43484</v>
      </c>
      <c r="Y10" s="82">
        <v>43485</v>
      </c>
      <c r="Z10" s="82">
        <v>43486</v>
      </c>
      <c r="AA10" s="82">
        <v>43487</v>
      </c>
      <c r="AB10" s="82">
        <v>43488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autoFill="0" autoLine="0" r:id="rId5">
            <anchor moveWithCells="1">
              <from>
                <xdr:col>4</xdr:col>
                <xdr:colOff>133350</xdr:colOff>
                <xdr:row>2</xdr:row>
                <xdr:rowOff>133350</xdr:rowOff>
              </from>
              <to>
                <xdr:col>4</xdr:col>
                <xdr:colOff>828675</xdr:colOff>
                <xdr:row>3</xdr:row>
                <xdr:rowOff>123825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Y41"/>
  <sheetViews>
    <sheetView showGridLines="0" zoomScale="90" zoomScaleNormal="90" workbookViewId="0"/>
  </sheetViews>
  <sheetFormatPr defaultRowHeight="15" outlineLevelCol="1" x14ac:dyDescent="0.25"/>
  <cols>
    <col min="2" max="2" width="12.5703125" customWidth="1" outlineLevel="1"/>
    <col min="3" max="3" width="20" customWidth="1" outlineLevel="1"/>
    <col min="4" max="4" width="19" customWidth="1"/>
    <col min="5" max="5" width="12.140625" bestFit="1" customWidth="1"/>
    <col min="6" max="10" width="13.85546875" bestFit="1" customWidth="1"/>
    <col min="11" max="11" width="12.140625" bestFit="1" customWidth="1"/>
    <col min="12" max="17" width="12.5703125" customWidth="1"/>
    <col min="18" max="18" width="11.5703125" customWidth="1"/>
    <col min="19" max="19" width="9.7109375" customWidth="1"/>
    <col min="20" max="22" width="9.140625" customWidth="1"/>
    <col min="23" max="23" width="10.7109375" customWidth="1"/>
    <col min="24" max="24" width="9.85546875" customWidth="1"/>
    <col min="25" max="27" width="9.140625" customWidth="1"/>
    <col min="28" max="29" width="11.5703125" customWidth="1"/>
    <col min="30" max="119" width="9.140625" customWidth="1"/>
  </cols>
  <sheetData>
    <row r="1" spans="2:25" ht="13.5" customHeight="1" x14ac:dyDescent="0.3">
      <c r="D1" s="92" t="s">
        <v>85</v>
      </c>
      <c r="E1">
        <v>1</v>
      </c>
      <c r="F1" s="85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</row>
    <row r="2" spans="2:25" s="85" customFormat="1" ht="13.5" customHeight="1" x14ac:dyDescent="0.3">
      <c r="B2" s="86" t="s">
        <v>78</v>
      </c>
      <c r="C2" s="90"/>
      <c r="D2" s="93" t="s">
        <v>8</v>
      </c>
      <c r="E2" s="85">
        <v>4</v>
      </c>
      <c r="F2" s="85">
        <v>5</v>
      </c>
      <c r="G2" s="85">
        <v>6</v>
      </c>
      <c r="H2" s="85">
        <v>7</v>
      </c>
      <c r="I2" s="85">
        <v>8</v>
      </c>
      <c r="J2" s="85">
        <v>9</v>
      </c>
      <c r="K2" s="85">
        <v>10</v>
      </c>
      <c r="L2" s="85">
        <v>11</v>
      </c>
      <c r="M2" s="85">
        <v>12</v>
      </c>
      <c r="N2" s="85">
        <v>1</v>
      </c>
      <c r="O2" s="85">
        <v>2</v>
      </c>
      <c r="P2" s="85">
        <v>3</v>
      </c>
      <c r="Q2" s="85">
        <v>4</v>
      </c>
      <c r="R2" s="85">
        <v>5</v>
      </c>
      <c r="S2" s="85">
        <v>6</v>
      </c>
      <c r="T2" s="85">
        <v>7</v>
      </c>
      <c r="U2" s="85">
        <v>8</v>
      </c>
      <c r="V2" s="85">
        <v>9</v>
      </c>
      <c r="W2" s="85">
        <v>10</v>
      </c>
      <c r="X2" s="85">
        <v>11</v>
      </c>
      <c r="Y2" s="85">
        <v>12</v>
      </c>
    </row>
    <row r="3" spans="2:25" s="85" customFormat="1" ht="13.5" customHeight="1" x14ac:dyDescent="0.3">
      <c r="B3" s="86" t="s">
        <v>29</v>
      </c>
      <c r="C3" s="91">
        <v>22350575.199999999</v>
      </c>
      <c r="D3" s="93" t="s">
        <v>9</v>
      </c>
      <c r="E3" s="85">
        <v>2018</v>
      </c>
      <c r="F3" s="85">
        <v>2018</v>
      </c>
      <c r="G3" s="85">
        <v>2018</v>
      </c>
      <c r="H3" s="85">
        <v>2018</v>
      </c>
      <c r="I3" s="85">
        <v>2018</v>
      </c>
      <c r="J3" s="85">
        <v>2018</v>
      </c>
      <c r="K3" s="85">
        <v>2018</v>
      </c>
      <c r="L3" s="85">
        <v>2018</v>
      </c>
      <c r="M3" s="85">
        <v>2018</v>
      </c>
      <c r="N3" s="85">
        <v>2019</v>
      </c>
      <c r="O3" s="85">
        <v>2019</v>
      </c>
      <c r="P3" s="85">
        <v>2019</v>
      </c>
      <c r="Q3" s="85">
        <v>2019</v>
      </c>
      <c r="R3" s="85">
        <v>2019</v>
      </c>
      <c r="S3" s="85">
        <v>2019</v>
      </c>
      <c r="T3" s="85">
        <v>2019</v>
      </c>
      <c r="U3" s="85">
        <v>2019</v>
      </c>
      <c r="V3" s="85">
        <v>2019</v>
      </c>
      <c r="W3" s="85">
        <v>2019</v>
      </c>
      <c r="X3" s="85">
        <v>2019</v>
      </c>
      <c r="Y3" s="85">
        <v>2019</v>
      </c>
    </row>
    <row r="4" spans="2:25" s="102" customFormat="1" ht="26.25" customHeight="1" x14ac:dyDescent="0.3">
      <c r="B4" s="102" t="s">
        <v>79</v>
      </c>
      <c r="C4" s="100">
        <v>21</v>
      </c>
      <c r="D4" s="101" t="s">
        <v>86</v>
      </c>
      <c r="E4" s="102">
        <v>43220</v>
      </c>
      <c r="F4" s="102">
        <v>43251</v>
      </c>
      <c r="G4" s="102">
        <v>43281</v>
      </c>
      <c r="H4" s="102">
        <v>43312</v>
      </c>
      <c r="I4" s="102">
        <v>43343</v>
      </c>
      <c r="J4" s="102">
        <v>43373</v>
      </c>
      <c r="K4" s="102">
        <v>43404</v>
      </c>
      <c r="L4" s="102">
        <v>43434</v>
      </c>
      <c r="M4" s="102">
        <v>43465</v>
      </c>
      <c r="N4" s="102">
        <v>43496</v>
      </c>
      <c r="O4" s="102">
        <v>43524</v>
      </c>
      <c r="P4" s="102">
        <v>43555</v>
      </c>
      <c r="Q4" s="102">
        <v>43585</v>
      </c>
      <c r="R4" s="102">
        <v>43616</v>
      </c>
      <c r="S4" s="102">
        <v>43646</v>
      </c>
      <c r="T4" s="102">
        <v>43677</v>
      </c>
      <c r="U4" s="102">
        <v>43708</v>
      </c>
      <c r="V4" s="102">
        <v>43738</v>
      </c>
      <c r="W4" s="102">
        <v>43769</v>
      </c>
      <c r="X4" s="102">
        <v>43799</v>
      </c>
      <c r="Y4" s="102">
        <v>43825</v>
      </c>
    </row>
    <row r="5" spans="2:25" s="87" customFormat="1" ht="13.5" customHeight="1" x14ac:dyDescent="0.3">
      <c r="B5" s="88" t="s">
        <v>80</v>
      </c>
      <c r="C5" s="98">
        <v>43205</v>
      </c>
      <c r="D5" s="94" t="s">
        <v>87</v>
      </c>
      <c r="E5" s="104">
        <f>_xlfn.NORM.DIST(1,$C$7,$C$8,FALSE)</f>
        <v>4.3820751233921351E-3</v>
      </c>
      <c r="F5" s="87">
        <f>_xlfn.NORM.DIST(2,$C$7,$C$8,FALSE)</f>
        <v>7.9349129589168545E-3</v>
      </c>
      <c r="G5" s="87">
        <f>_xlfn.NORM.DIST(3,$C$7,$C$8,FALSE)</f>
        <v>1.3497741628297016E-2</v>
      </c>
      <c r="H5" s="87">
        <f>_xlfn.NORM.DIST(4,$C$7,$C$8,FALSE)</f>
        <v>2.1569329706627883E-2</v>
      </c>
      <c r="I5" s="87">
        <f>_xlfn.NORM.DIST(5,$C$7,$C$8,FALSE)</f>
        <v>3.2379398916472936E-2</v>
      </c>
      <c r="J5" s="87">
        <f>_xlfn.NORM.DIST(6,$C$7,$C$8,FALSE)</f>
        <v>4.5662271347255479E-2</v>
      </c>
      <c r="K5" s="87">
        <f>_xlfn.NORM.DIST(7,$C$7,$C$8,FALSE)</f>
        <v>6.0492681129785841E-2</v>
      </c>
      <c r="L5" s="87">
        <f>_xlfn.NORM.DIST(8,$C$7,$C$8,FALSE)</f>
        <v>7.5284358038701107E-2</v>
      </c>
      <c r="M5" s="87">
        <f>_xlfn.NORM.DIST(9,$C$7,$C$8,FALSE)</f>
        <v>8.8016331691074881E-2</v>
      </c>
      <c r="N5" s="87">
        <f>_xlfn.NORM.DIST(10,$C$7,$C$8,FALSE)</f>
        <v>9.6667029200712309E-2</v>
      </c>
      <c r="O5" s="87">
        <f>_xlfn.NORM.DIST(11,$C$7,$C$8,FALSE)</f>
        <v>9.9735570100358176E-2</v>
      </c>
      <c r="P5" s="87">
        <f>_xlfn.NORM.DIST(12,$C$7,$C$8,FALSE)</f>
        <v>9.6667029200712309E-2</v>
      </c>
      <c r="Q5" s="87">
        <f>_xlfn.NORM.DIST(13,$C$7,$C$8,FALSE)</f>
        <v>8.8016331691074881E-2</v>
      </c>
      <c r="R5" s="87">
        <f>_xlfn.NORM.DIST(14,$C$7,$C$8,FALSE)</f>
        <v>7.5284358038701107E-2</v>
      </c>
      <c r="S5" s="87">
        <f>_xlfn.NORM.DIST(15,$C$7,$C$8,FALSE)</f>
        <v>6.0492681129785841E-2</v>
      </c>
      <c r="T5" s="87">
        <f>_xlfn.NORM.DIST(16,$C$7,$C$8,FALSE)</f>
        <v>4.5662271347255479E-2</v>
      </c>
      <c r="U5" s="87">
        <f>_xlfn.NORM.DIST(17,$C$7,$C$8,FALSE)</f>
        <v>3.2379398916472936E-2</v>
      </c>
      <c r="V5" s="87">
        <f>_xlfn.NORM.DIST(18,$C$7,$C$8,FALSE)</f>
        <v>2.1569329706627883E-2</v>
      </c>
      <c r="W5" s="87">
        <f>_xlfn.NORM.DIST(19,$C$7,$C$8,FALSE)</f>
        <v>1.3497741628297016E-2</v>
      </c>
      <c r="X5" s="87">
        <f>_xlfn.NORM.DIST(20,$C$7,$C$8,FALSE)</f>
        <v>7.9349129589168545E-3</v>
      </c>
      <c r="Y5" s="87">
        <f>_xlfn.NORM.DIST(21,$C$7,$C$8,FALSE)</f>
        <v>4.3820751233921351E-3</v>
      </c>
    </row>
    <row r="6" spans="2:25" s="11" customFormat="1" ht="13.5" customHeight="1" x14ac:dyDescent="0.3">
      <c r="B6" s="89" t="s">
        <v>81</v>
      </c>
      <c r="C6" s="99">
        <v>43825</v>
      </c>
      <c r="D6" s="95" t="s">
        <v>29</v>
      </c>
      <c r="E6" s="11">
        <f>E5*C3</f>
        <v>97941.899577425196</v>
      </c>
      <c r="F6" s="11">
        <f>F5*C3</f>
        <v>177349.86879372565</v>
      </c>
      <c r="G6" s="11">
        <f>G5*C3</f>
        <v>301682.28929342289</v>
      </c>
      <c r="H6" s="11">
        <f>H5*C3</f>
        <v>482086.92562158039</v>
      </c>
      <c r="I6" s="11">
        <f>I5*C3</f>
        <v>723698.19041342684</v>
      </c>
      <c r="J6" s="11">
        <f>J5*C3</f>
        <v>1020578.0295496389</v>
      </c>
      <c r="K6" s="11">
        <f>K5*C3</f>
        <v>1352046.2186408993</v>
      </c>
      <c r="L6" s="11">
        <f>L5*C3</f>
        <v>1682648.7057277136</v>
      </c>
      <c r="M6" s="11">
        <f>M5*C3</f>
        <v>1967215.6402895122</v>
      </c>
      <c r="N6" s="11">
        <f>N5*C3</f>
        <v>2160563.7055111164</v>
      </c>
      <c r="O6" s="11">
        <f>O5*C3</f>
        <v>2229147.3596429271</v>
      </c>
      <c r="P6" s="11">
        <f>P5*C3</f>
        <v>2160563.7055111164</v>
      </c>
      <c r="Q6" s="11">
        <f>Q5*C3</f>
        <v>1967215.6402895122</v>
      </c>
      <c r="R6" s="11">
        <f>R5*C3</f>
        <v>1682648.7057277136</v>
      </c>
      <c r="S6" s="11">
        <f>S5*C3</f>
        <v>1352046.2186408993</v>
      </c>
      <c r="T6" s="11">
        <f>T5*C3</f>
        <v>1020578.0295496389</v>
      </c>
      <c r="U6" s="11">
        <f>U5*C3</f>
        <v>723698.19041342684</v>
      </c>
      <c r="V6" s="11">
        <f>V5*C3</f>
        <v>482086.92562158039</v>
      </c>
      <c r="W6" s="11">
        <f>W5*C3</f>
        <v>301682.28929342289</v>
      </c>
      <c r="X6" s="11">
        <f>X5*C3</f>
        <v>177349.86879372565</v>
      </c>
      <c r="Y6" s="11">
        <f>Y5*C3</f>
        <v>97941.899577425196</v>
      </c>
    </row>
    <row r="7" spans="2:25" ht="24" customHeight="1" x14ac:dyDescent="0.3">
      <c r="B7" s="97" t="s">
        <v>83</v>
      </c>
      <c r="C7" s="32">
        <f>AVERAGE(E1:AZ1)</f>
        <v>11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2:25" ht="31.5" customHeight="1" x14ac:dyDescent="0.3">
      <c r="B8" s="96" t="s">
        <v>84</v>
      </c>
      <c r="C8" s="103">
        <v>4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11" spans="2:25" ht="14.45" x14ac:dyDescent="0.3">
      <c r="B11" s="84" t="s">
        <v>82</v>
      </c>
    </row>
    <row r="20" ht="20.25" customHeight="1" x14ac:dyDescent="0.3"/>
    <row r="21" ht="20.25" customHeight="1" x14ac:dyDescent="0.3"/>
    <row r="22" ht="20.25" customHeight="1" x14ac:dyDescent="0.3"/>
    <row r="23" ht="20.25" customHeight="1" x14ac:dyDescent="0.3"/>
    <row r="24" ht="20.25" customHeight="1" x14ac:dyDescent="0.3"/>
    <row r="25" ht="20.25" customHeight="1" x14ac:dyDescent="0.3"/>
    <row r="26" ht="20.25" customHeight="1" x14ac:dyDescent="0.3"/>
    <row r="27" ht="20.25" customHeight="1" x14ac:dyDescent="0.3"/>
    <row r="28" ht="20.25" customHeight="1" x14ac:dyDescent="0.25"/>
    <row r="29" ht="20.25" customHeight="1" x14ac:dyDescent="0.25"/>
    <row r="30" ht="20.25" customHeight="1" x14ac:dyDescent="0.25"/>
    <row r="31" ht="20.25" customHeight="1" x14ac:dyDescent="0.25"/>
    <row r="32" ht="20.25" customHeight="1" x14ac:dyDescent="0.25"/>
    <row r="33" ht="20.25" customHeight="1" x14ac:dyDescent="0.25"/>
    <row r="34" ht="20.25" customHeight="1" x14ac:dyDescent="0.25"/>
    <row r="35" ht="20.25" customHeight="1" x14ac:dyDescent="0.25"/>
    <row r="36" ht="20.25" customHeight="1" x14ac:dyDescent="0.25"/>
    <row r="37" ht="20.25" customHeight="1" x14ac:dyDescent="0.25"/>
    <row r="38" ht="20.25" customHeight="1" x14ac:dyDescent="0.25"/>
    <row r="39" ht="20.25" customHeight="1" x14ac:dyDescent="0.25"/>
    <row r="40" ht="20.25" customHeight="1" x14ac:dyDescent="0.25"/>
    <row r="41" ht="20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9" r:id="rId4" name="TextBox1">
          <controlPr locked="0" autoLine="0" r:id="rId5">
            <anchor moveWithCells="1" sizeWithCells="1">
              <from>
                <xdr:col>2</xdr:col>
                <xdr:colOff>142875</xdr:colOff>
                <xdr:row>33</xdr:row>
                <xdr:rowOff>47625</xdr:rowOff>
              </from>
              <to>
                <xdr:col>2</xdr:col>
                <xdr:colOff>1085850</xdr:colOff>
                <xdr:row>34</xdr:row>
                <xdr:rowOff>95250</xdr:rowOff>
              </to>
            </anchor>
          </controlPr>
        </control>
      </mc:Choice>
      <mc:Fallback>
        <control shapeId="10249" r:id="rId4" name="TextBox1"/>
      </mc:Fallback>
    </mc:AlternateContent>
    <mc:AlternateContent xmlns:mc="http://schemas.openxmlformats.org/markup-compatibility/2006">
      <mc:Choice Requires="x14">
        <control shapeId="10255" r:id="rId6" name="TextBox2">
          <controlPr locked="0" autoLine="0" r:id="rId7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55" r:id="rId6" name="TextBox2"/>
      </mc:Fallback>
    </mc:AlternateContent>
    <mc:AlternateContent xmlns:mc="http://schemas.openxmlformats.org/markup-compatibility/2006">
      <mc:Choice Requires="x14">
        <control shapeId="10257" r:id="rId8" name="TextBox3">
          <controlPr locked="0" autoLine="0" r:id="rId9">
            <anchor moveWithCells="1" sizeWithCells="1">
              <from>
                <xdr:col>2</xdr:col>
                <xdr:colOff>190500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0257" r:id="rId8" name="TextBox3"/>
      </mc:Fallback>
    </mc:AlternateContent>
    <mc:AlternateContent xmlns:mc="http://schemas.openxmlformats.org/markup-compatibility/2006">
      <mc:Choice Requires="x14">
        <control shapeId="10258" r:id="rId10" name="TextBox4">
          <controlPr locked="0" autoLine="0" r:id="rId11">
            <anchor moveWithCells="1" sizeWithCells="1">
              <from>
                <xdr:col>2</xdr:col>
                <xdr:colOff>142875</xdr:colOff>
                <xdr:row>35</xdr:row>
                <xdr:rowOff>123825</xdr:rowOff>
              </from>
              <to>
                <xdr:col>2</xdr:col>
                <xdr:colOff>1085850</xdr:colOff>
                <xdr:row>36</xdr:row>
                <xdr:rowOff>171450</xdr:rowOff>
              </to>
            </anchor>
          </controlPr>
        </control>
      </mc:Choice>
      <mc:Fallback>
        <control shapeId="10258" r:id="rId10" name="TextBox4"/>
      </mc:Fallback>
    </mc:AlternateContent>
    <mc:AlternateContent xmlns:mc="http://schemas.openxmlformats.org/markup-compatibility/2006">
      <mc:Choice Requires="x14">
        <control shapeId="10259" r:id="rId12" name="TextBox5">
          <controlPr locked="0" autoLine="0" r:id="rId13">
            <anchor moveWithCells="1" sizeWithCells="1">
              <from>
                <xdr:col>2</xdr:col>
                <xdr:colOff>142875</xdr:colOff>
                <xdr:row>37</xdr:row>
                <xdr:rowOff>209550</xdr:rowOff>
              </from>
              <to>
                <xdr:col>2</xdr:col>
                <xdr:colOff>1085850</xdr:colOff>
                <xdr:row>38</xdr:row>
                <xdr:rowOff>247650</xdr:rowOff>
              </to>
            </anchor>
          </controlPr>
        </control>
      </mc:Choice>
      <mc:Fallback>
        <control shapeId="10259" r:id="rId12" name="TextBox5"/>
      </mc:Fallback>
    </mc:AlternateContent>
    <mc:AlternateContent xmlns:mc="http://schemas.openxmlformats.org/markup-compatibility/2006">
      <mc:Choice Requires="x14">
        <control shapeId="10260" r:id="rId14" name="TextBox6">
          <controlPr locked="0" autoLine="0" r:id="rId15">
            <anchor moveWithCells="1" sizeWithCells="1">
              <from>
                <xdr:col>2</xdr:col>
                <xdr:colOff>142875</xdr:colOff>
                <xdr:row>42</xdr:row>
                <xdr:rowOff>152400</xdr:rowOff>
              </from>
              <to>
                <xdr:col>2</xdr:col>
                <xdr:colOff>1085850</xdr:colOff>
                <xdr:row>44</xdr:row>
                <xdr:rowOff>66675</xdr:rowOff>
              </to>
            </anchor>
          </controlPr>
        </control>
      </mc:Choice>
      <mc:Fallback>
        <control shapeId="10260" r:id="rId14" name="TextBox6"/>
      </mc:Fallback>
    </mc:AlternateContent>
    <mc:AlternateContent xmlns:mc="http://schemas.openxmlformats.org/markup-compatibility/2006">
      <mc:Choice Requires="x14">
        <control shapeId="10261" r:id="rId16" name="TextBox7">
          <controlPr locked="0" autoLine="0" r:id="rId15">
            <anchor moveWithCells="1" sizeWithCells="1">
              <from>
                <xdr:col>2</xdr:col>
                <xdr:colOff>142875</xdr:colOff>
                <xdr:row>40</xdr:row>
                <xdr:rowOff>38100</xdr:rowOff>
              </from>
              <to>
                <xdr:col>2</xdr:col>
                <xdr:colOff>1085850</xdr:colOff>
                <xdr:row>41</xdr:row>
                <xdr:rowOff>85725</xdr:rowOff>
              </to>
            </anchor>
          </controlPr>
        </control>
      </mc:Choice>
      <mc:Fallback>
        <control shapeId="10261" r:id="rId16" name="TextBox7"/>
      </mc:Fallback>
    </mc:AlternateContent>
    <mc:AlternateContent xmlns:mc="http://schemas.openxmlformats.org/markup-compatibility/2006">
      <mc:Choice Requires="x14">
        <control shapeId="10262" r:id="rId17" name="TextBox8">
          <controlPr locked="0" autoLine="0" r:id="rId9">
            <anchor moveWithCells="1" sizeWithCells="1">
              <from>
                <xdr:col>2</xdr:col>
                <xdr:colOff>190500</xdr:colOff>
                <xdr:row>28</xdr:row>
                <xdr:rowOff>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0262" r:id="rId17" name="TextBox8"/>
      </mc:Fallback>
    </mc:AlternateContent>
    <mc:AlternateContent xmlns:mc="http://schemas.openxmlformats.org/markup-compatibility/2006">
      <mc:Choice Requires="x14">
        <control shapeId="10263" r:id="rId18" name="TextBox9">
          <controlPr locked="0" autoLine="0" r:id="rId9">
            <anchor moveWithCells="1" sizeWithCells="1">
              <from>
                <xdr:col>2</xdr:col>
                <xdr:colOff>190500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0263" r:id="rId18" name="TextBox9"/>
      </mc:Fallback>
    </mc:AlternateContent>
    <mc:AlternateContent xmlns:mc="http://schemas.openxmlformats.org/markup-compatibility/2006">
      <mc:Choice Requires="x14">
        <control shapeId="10264" r:id="rId19" name="TextBox10">
          <controlPr locked="0" autoLine="0" r:id="rId9">
            <anchor moveWithCells="1" sizeWithCells="1">
              <from>
                <xdr:col>2</xdr:col>
                <xdr:colOff>190500</xdr:colOff>
                <xdr:row>30</xdr:row>
                <xdr:rowOff>0</xdr:rowOff>
              </from>
              <to>
                <xdr:col>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264" r:id="rId19" name="TextBox10"/>
      </mc:Fallback>
    </mc:AlternateContent>
    <mc:AlternateContent xmlns:mc="http://schemas.openxmlformats.org/markup-compatibility/2006">
      <mc:Choice Requires="x14">
        <control shapeId="10265" r:id="rId20" name="SpinButton1">
          <controlPr autoLine="0" linkedCell="C4" r:id="rId21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0</xdr:rowOff>
              </to>
            </anchor>
          </controlPr>
        </control>
      </mc:Choice>
      <mc:Fallback>
        <control shapeId="10265" r:id="rId20" name="SpinButton1"/>
      </mc:Fallback>
    </mc:AlternateContent>
    <mc:AlternateContent xmlns:mc="http://schemas.openxmlformats.org/markup-compatibility/2006">
      <mc:Choice Requires="x14">
        <control shapeId="10266" r:id="rId22" name="ListBox1">
          <controlPr defaultSize="0" autoLine="0" autoPict="0" listFillRange="select0" r:id="rId23">
            <anchor moveWithCells="1" sizeWithCells="1">
              <from>
                <xdr:col>4</xdr:col>
                <xdr:colOff>0</xdr:colOff>
                <xdr:row>6</xdr:row>
                <xdr:rowOff>114300</xdr:rowOff>
              </from>
              <to>
                <xdr:col>16</xdr:col>
                <xdr:colOff>104775</xdr:colOff>
                <xdr:row>14</xdr:row>
                <xdr:rowOff>0</xdr:rowOff>
              </to>
            </anchor>
          </controlPr>
        </control>
      </mc:Choice>
      <mc:Fallback>
        <control shapeId="10266" r:id="rId22" name="ListBox1"/>
      </mc:Fallback>
    </mc:AlternateContent>
    <mc:AlternateContent xmlns:mc="http://schemas.openxmlformats.org/markup-compatibility/2006">
      <mc:Choice Requires="x14">
        <control shapeId="10268" r:id="rId24" name="SpinButton2">
          <controlPr autoLine="0" autoPict="0" linkedCell="C8" r:id="rId25">
            <anchor moveWithCells="1" sizeWithCells="1">
              <from>
                <xdr:col>2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68" r:id="rId24" name="SpinButton2"/>
      </mc:Fallback>
    </mc:AlternateContent>
    <mc:AlternateContent xmlns:mc="http://schemas.openxmlformats.org/markup-compatibility/2006">
      <mc:Choice Requires="x14">
        <control shapeId="10270" r:id="rId26" name="SpinButton3">
          <controlPr autoLine="0" linkedCell="C8" r:id="rId27">
            <anchor moveWithCells="1" sizeWithCells="1">
              <from>
                <xdr:col>2</xdr:col>
                <xdr:colOff>28575</xdr:colOff>
                <xdr:row>7</xdr:row>
                <xdr:rowOff>0</xdr:rowOff>
              </from>
              <to>
                <xdr:col>2</xdr:col>
                <xdr:colOff>466725</xdr:colOff>
                <xdr:row>8</xdr:row>
                <xdr:rowOff>0</xdr:rowOff>
              </to>
            </anchor>
          </controlPr>
        </control>
      </mc:Choice>
      <mc:Fallback>
        <control shapeId="10270" r:id="rId26" name="Spin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7"/>
  <sheetViews>
    <sheetView workbookViewId="0">
      <selection activeCell="D14" sqref="D14"/>
    </sheetView>
  </sheetViews>
  <sheetFormatPr defaultRowHeight="15" x14ac:dyDescent="0.25"/>
  <cols>
    <col min="1" max="1" width="14.42578125" customWidth="1"/>
    <col min="2" max="3" width="14.28515625" bestFit="1" customWidth="1"/>
    <col min="4" max="9" width="13.28515625" bestFit="1" customWidth="1"/>
    <col min="11" max="15" width="12" bestFit="1" customWidth="1"/>
    <col min="16" max="16" width="11" bestFit="1" customWidth="1"/>
  </cols>
  <sheetData>
    <row r="1" spans="1:2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 x14ac:dyDescent="0.3">
      <c r="A2">
        <v>4</v>
      </c>
      <c r="B2">
        <v>5</v>
      </c>
      <c r="C2">
        <v>6</v>
      </c>
      <c r="D2">
        <v>7</v>
      </c>
      <c r="E2">
        <v>8</v>
      </c>
      <c r="F2">
        <v>9</v>
      </c>
      <c r="G2">
        <v>10</v>
      </c>
      <c r="H2">
        <v>11</v>
      </c>
      <c r="I2">
        <v>12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  <c r="S2">
        <v>10</v>
      </c>
      <c r="T2">
        <v>11</v>
      </c>
      <c r="U2">
        <v>12</v>
      </c>
    </row>
    <row r="3" spans="1:21" x14ac:dyDescent="0.3">
      <c r="A3">
        <v>2018</v>
      </c>
      <c r="B3">
        <v>2018</v>
      </c>
      <c r="C3">
        <v>2018</v>
      </c>
      <c r="D3">
        <v>2018</v>
      </c>
      <c r="E3">
        <v>2018</v>
      </c>
      <c r="F3">
        <v>2018</v>
      </c>
      <c r="G3">
        <v>2018</v>
      </c>
      <c r="H3">
        <v>2018</v>
      </c>
      <c r="I3">
        <v>2018</v>
      </c>
      <c r="J3">
        <v>2019</v>
      </c>
      <c r="K3">
        <v>2019</v>
      </c>
      <c r="L3">
        <v>2019</v>
      </c>
      <c r="M3">
        <v>2019</v>
      </c>
      <c r="N3">
        <v>2019</v>
      </c>
      <c r="O3">
        <v>2019</v>
      </c>
      <c r="P3">
        <v>2019</v>
      </c>
      <c r="Q3">
        <v>2019</v>
      </c>
      <c r="R3">
        <v>2019</v>
      </c>
      <c r="S3">
        <v>2019</v>
      </c>
      <c r="T3">
        <v>2019</v>
      </c>
      <c r="U3">
        <v>2019</v>
      </c>
    </row>
    <row r="4" spans="1:21" s="82" customFormat="1" x14ac:dyDescent="0.3">
      <c r="A4" s="82">
        <v>43220</v>
      </c>
      <c r="B4" s="82">
        <v>43251</v>
      </c>
      <c r="C4" s="82">
        <v>43281</v>
      </c>
      <c r="D4" s="82">
        <v>43312</v>
      </c>
      <c r="E4" s="82">
        <v>43343</v>
      </c>
      <c r="F4" s="82">
        <v>43373</v>
      </c>
      <c r="G4" s="82">
        <v>43404</v>
      </c>
      <c r="H4" s="82">
        <v>43434</v>
      </c>
      <c r="I4" s="82">
        <v>43465</v>
      </c>
      <c r="J4" s="82">
        <v>43496</v>
      </c>
      <c r="K4" s="82">
        <v>43524</v>
      </c>
      <c r="L4" s="82">
        <v>43555</v>
      </c>
      <c r="M4" s="82">
        <v>43585</v>
      </c>
      <c r="N4" s="82">
        <v>43616</v>
      </c>
      <c r="O4" s="82">
        <v>43646</v>
      </c>
      <c r="P4" s="82">
        <v>43677</v>
      </c>
      <c r="Q4" s="82">
        <v>43708</v>
      </c>
      <c r="R4" s="82">
        <v>43738</v>
      </c>
      <c r="S4" s="82">
        <v>43769</v>
      </c>
      <c r="T4" s="82">
        <v>43799</v>
      </c>
    </row>
    <row r="5" spans="1:21" x14ac:dyDescent="0.3">
      <c r="A5">
        <f>_xlfn.NORM.DIST(1,Sheet10!$C$7,Sheet10!$C$8,FALSE)</f>
        <v>4.3820751233921351E-3</v>
      </c>
      <c r="B5">
        <f>_xlfn.NORM.DIST(2,Sheet10!$C$7,Sheet10!$C$8,FALSE)</f>
        <v>7.9349129589168545E-3</v>
      </c>
      <c r="C5">
        <f>_xlfn.NORM.DIST(3,Sheet10!$C$7,Sheet10!$C$8,FALSE)</f>
        <v>1.3497741628297016E-2</v>
      </c>
      <c r="D5">
        <f>_xlfn.NORM.DIST(4,Sheet10!$C$7,Sheet10!$C$8,FALSE)</f>
        <v>2.1569329706627883E-2</v>
      </c>
      <c r="E5">
        <f>_xlfn.NORM.DIST(5,Sheet10!$C$7,Sheet10!$C$8,FALSE)</f>
        <v>3.2379398916472936E-2</v>
      </c>
      <c r="F5">
        <f>_xlfn.NORM.DIST(6,Sheet10!$C$7,Sheet10!$C$8,FALSE)</f>
        <v>4.5662271347255479E-2</v>
      </c>
      <c r="G5">
        <f>_xlfn.NORM.DIST(7,Sheet10!$C$7,Sheet10!$C$8,FALSE)</f>
        <v>6.0492681129785841E-2</v>
      </c>
      <c r="H5">
        <f>_xlfn.NORM.DIST(8,Sheet10!$C$7,Sheet10!$C$8,FALSE)</f>
        <v>7.5284358038701107E-2</v>
      </c>
      <c r="I5">
        <f>_xlfn.NORM.DIST(9,Sheet10!$C$7,Sheet10!$C$8,FALSE)</f>
        <v>8.8016331691074881E-2</v>
      </c>
      <c r="J5">
        <f>_xlfn.NORM.DIST(10,Sheet10!$C$7,Sheet10!$C$8,FALSE)</f>
        <v>9.6667029200712309E-2</v>
      </c>
      <c r="K5">
        <f>_xlfn.NORM.DIST(11,Sheet10!$C$7,Sheet10!$C$8,FALSE)</f>
        <v>9.9735570100358176E-2</v>
      </c>
      <c r="L5">
        <f>_xlfn.NORM.DIST(12,Sheet10!$C$7,Sheet10!$C$8,FALSE)</f>
        <v>9.6667029200712309E-2</v>
      </c>
      <c r="M5">
        <f>_xlfn.NORM.DIST(13,Sheet10!$C$7,Sheet10!$C$8,FALSE)</f>
        <v>8.8016331691074881E-2</v>
      </c>
      <c r="N5">
        <f>_xlfn.NORM.DIST(14,Sheet10!$C$7,Sheet10!$C$8,FALSE)</f>
        <v>7.5284358038701107E-2</v>
      </c>
      <c r="O5">
        <f>_xlfn.NORM.DIST(15,Sheet10!$C$7,Sheet10!$C$8,FALSE)</f>
        <v>6.0492681129785841E-2</v>
      </c>
      <c r="P5">
        <f>_xlfn.NORM.DIST(16,Sheet10!$C$7,Sheet10!$C$8,FALSE)</f>
        <v>4.5662271347255479E-2</v>
      </c>
      <c r="Q5">
        <f>_xlfn.NORM.DIST(17,Sheet10!$C$7,Sheet10!$C$8,FALSE)</f>
        <v>3.2379398916472936E-2</v>
      </c>
      <c r="R5">
        <f>_xlfn.NORM.DIST(18,Sheet10!$C$7,Sheet10!$C$8,FALSE)</f>
        <v>2.1569329706627883E-2</v>
      </c>
      <c r="S5">
        <f>_xlfn.NORM.DIST(19,Sheet10!$C$7,Sheet10!$C$8,FALSE)</f>
        <v>1.3497741628297016E-2</v>
      </c>
      <c r="T5">
        <f>_xlfn.NORM.DIST(20,Sheet10!$C$7,Sheet10!$C$8,FALSE)</f>
        <v>7.9349129589168545E-3</v>
      </c>
    </row>
    <row r="6" spans="1:21" s="11" customFormat="1" x14ac:dyDescent="0.3">
      <c r="A6" s="11">
        <f>_xlfn.NORM.DIST(1,Sheet10!$C$7,Sheet10!$C$8,FALSE)*Sheet10!C3</f>
        <v>97941.899577425196</v>
      </c>
      <c r="B6" s="11">
        <f>_xlfn.NORM.DIST(2,Sheet10!$C$7,Sheet10!$C$8,FALSE)*Sheet10!C3</f>
        <v>177349.86879372565</v>
      </c>
      <c r="C6" s="11">
        <f>_xlfn.NORM.DIST(3,Sheet10!$C$7,Sheet10!$C$8,FALSE)*Sheet10!C3</f>
        <v>301682.28929342289</v>
      </c>
      <c r="D6" s="11">
        <f>_xlfn.NORM.DIST(4,Sheet10!$C$7,Sheet10!$C$8,FALSE)*Sheet10!C3</f>
        <v>482086.92562158039</v>
      </c>
      <c r="E6" s="11">
        <f>_xlfn.NORM.DIST(5,Sheet10!$C$7,Sheet10!$C$8,FALSE)*Sheet10!C3</f>
        <v>723698.19041342684</v>
      </c>
      <c r="F6" s="11">
        <f>_xlfn.NORM.DIST(6,Sheet10!$C$7,Sheet10!$C$8,FALSE)*Sheet10!C3</f>
        <v>1020578.0295496389</v>
      </c>
      <c r="G6" s="11">
        <f>_xlfn.NORM.DIST(7,Sheet10!$C$7,Sheet10!$C$8,FALSE)*Sheet10!C3</f>
        <v>1352046.2186408993</v>
      </c>
      <c r="H6" s="11">
        <f>_xlfn.NORM.DIST(8,Sheet10!$C$7,Sheet10!$C$8,FALSE)*Sheet10!C3</f>
        <v>1682648.7057277136</v>
      </c>
      <c r="I6" s="11">
        <f>_xlfn.NORM.DIST(9,Sheet10!$C$7,Sheet10!$C$8,FALSE)*Sheet10!C3</f>
        <v>1967215.6402895122</v>
      </c>
      <c r="J6" s="11">
        <f>_xlfn.NORM.DIST(10,Sheet10!$C$7,Sheet10!$C$8,FALSE)*Sheet10!C3</f>
        <v>2160563.7055111164</v>
      </c>
      <c r="K6" s="11">
        <f>_xlfn.NORM.DIST(11,Sheet10!$C$7,Sheet10!$C$8,FALSE)*Sheet10!C3</f>
        <v>2229147.3596429271</v>
      </c>
      <c r="L6" s="11">
        <f>_xlfn.NORM.DIST(12,Sheet10!$C$7,Sheet10!$C$8,FALSE)*Sheet10!C3</f>
        <v>2160563.7055111164</v>
      </c>
      <c r="M6" s="11">
        <f>_xlfn.NORM.DIST(13,Sheet10!$C$7,Sheet10!$C$8,FALSE)*Sheet10!C3</f>
        <v>1967215.6402895122</v>
      </c>
      <c r="N6" s="11">
        <f>_xlfn.NORM.DIST(14,Sheet10!$C$7,Sheet10!$C$8,FALSE)*Sheet10!C3</f>
        <v>1682648.7057277136</v>
      </c>
      <c r="O6" s="11">
        <f>_xlfn.NORM.DIST(15,Sheet10!$C$7,Sheet10!$C$8,FALSE)*Sheet10!C3</f>
        <v>1352046.2186408993</v>
      </c>
      <c r="P6" s="11">
        <f>_xlfn.NORM.DIST(16,Sheet10!$C$7,Sheet10!$C$8,FALSE)*Sheet10!C3</f>
        <v>1020578.0295496389</v>
      </c>
      <c r="Q6" s="11">
        <f>_xlfn.NORM.DIST(17,Sheet10!$C$7,Sheet10!$C$8,FALSE)*Sheet10!C3</f>
        <v>723698.19041342684</v>
      </c>
      <c r="R6" s="11">
        <f>_xlfn.NORM.DIST(18,Sheet10!$C$7,Sheet10!$C$8,FALSE)*Sheet10!C3</f>
        <v>482086.92562158039</v>
      </c>
      <c r="S6" s="11">
        <f>_xlfn.NORM.DIST(19,Sheet10!$C$7,Sheet10!$C$8,FALSE)*Sheet10!C3</f>
        <v>301682.28929342289</v>
      </c>
      <c r="T6" s="11">
        <f>_xlfn.NORM.DIST(20,Sheet10!$C$7,Sheet10!$C$8,FALSE)*Sheet10!C3</f>
        <v>177349.86879372565</v>
      </c>
    </row>
    <row r="7" spans="1:21" x14ac:dyDescent="0.3">
      <c r="A7" s="10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2" sqref="L32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3:D10"/>
  <sheetViews>
    <sheetView workbookViewId="0">
      <selection activeCell="B3" sqref="B3"/>
    </sheetView>
  </sheetViews>
  <sheetFormatPr defaultRowHeight="15" x14ac:dyDescent="0.25"/>
  <cols>
    <col min="2" max="2" width="10.7109375" bestFit="1" customWidth="1"/>
    <col min="3" max="3" width="13.7109375" bestFit="1" customWidth="1"/>
    <col min="4" max="4" width="14.7109375" bestFit="1" customWidth="1"/>
    <col min="5" max="5" width="13.7109375" bestFit="1" customWidth="1"/>
    <col min="6" max="6" width="14.7109375" bestFit="1" customWidth="1"/>
  </cols>
  <sheetData>
    <row r="3" spans="2:4" x14ac:dyDescent="0.3">
      <c r="D3" s="92" t="s">
        <v>85</v>
      </c>
    </row>
    <row r="4" spans="2:4" x14ac:dyDescent="0.3">
      <c r="B4" s="86" t="s">
        <v>78</v>
      </c>
      <c r="C4" s="90" t="s">
        <v>88</v>
      </c>
      <c r="D4" s="93" t="s">
        <v>8</v>
      </c>
    </row>
    <row r="5" spans="2:4" x14ac:dyDescent="0.3">
      <c r="B5" s="86" t="s">
        <v>29</v>
      </c>
      <c r="C5" s="91">
        <v>22350575.199999999</v>
      </c>
      <c r="D5" s="93" t="s">
        <v>9</v>
      </c>
    </row>
    <row r="6" spans="2:4" x14ac:dyDescent="0.3">
      <c r="B6" s="102" t="s">
        <v>79</v>
      </c>
      <c r="C6" s="100" t="s">
        <v>28</v>
      </c>
      <c r="D6" s="101" t="s">
        <v>86</v>
      </c>
    </row>
    <row r="7" spans="2:4" x14ac:dyDescent="0.3">
      <c r="B7" s="88" t="s">
        <v>80</v>
      </c>
      <c r="C7" s="98">
        <v>43205</v>
      </c>
      <c r="D7" s="94" t="s">
        <v>87</v>
      </c>
    </row>
    <row r="8" spans="2:4" x14ac:dyDescent="0.3">
      <c r="B8" s="89" t="s">
        <v>81</v>
      </c>
      <c r="C8" s="99">
        <v>43825</v>
      </c>
      <c r="D8" s="95" t="s">
        <v>29</v>
      </c>
    </row>
    <row r="9" spans="2:4" x14ac:dyDescent="0.3">
      <c r="B9" s="97" t="s">
        <v>83</v>
      </c>
      <c r="C9" s="32" t="e">
        <f>AVERAGE(G3:BB3)</f>
        <v>#DIV/0!</v>
      </c>
    </row>
    <row r="10" spans="2:4" x14ac:dyDescent="0.3">
      <c r="B10" s="96" t="s">
        <v>84</v>
      </c>
      <c r="C10" s="100" t="s">
        <v>28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autoLine="0" r:id="rId4">
            <anchor moveWithCells="1">
              <from>
                <xdr:col>2</xdr:col>
                <xdr:colOff>590550</xdr:colOff>
                <xdr:row>12</xdr:row>
                <xdr:rowOff>95250</xdr:rowOff>
              </from>
              <to>
                <xdr:col>3</xdr:col>
                <xdr:colOff>590550</xdr:colOff>
                <xdr:row>14</xdr:row>
                <xdr:rowOff>19050</xdr:rowOff>
              </to>
            </anchor>
          </controlPr>
        </control>
      </mc:Choice>
      <mc:Fallback>
        <control shapeId="11265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Lists!$A$1:$A$4</xm:f>
          </x14:formula1>
          <xm:sqref>C6 C10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D12" sqref="D12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24"/>
  <sheetViews>
    <sheetView workbookViewId="0"/>
  </sheetViews>
  <sheetFormatPr defaultColWidth="0" defaultRowHeight="15" zeroHeight="1" x14ac:dyDescent="0.25"/>
  <cols>
    <col min="1" max="1" width="16.42578125" style="109" customWidth="1"/>
    <col min="2" max="2" width="16.42578125" style="6" customWidth="1"/>
    <col min="3" max="6" width="0" hidden="1" customWidth="1"/>
    <col min="7" max="16384" width="8.85546875" hidden="1"/>
  </cols>
  <sheetData>
    <row r="1" spans="1:2" ht="21.6" thickBot="1" x14ac:dyDescent="0.35">
      <c r="A1" s="108" t="s">
        <v>11</v>
      </c>
      <c r="B1" s="106" t="s">
        <v>18</v>
      </c>
    </row>
    <row r="2" spans="1:2" ht="14.45" x14ac:dyDescent="0.3">
      <c r="A2" s="109">
        <v>1</v>
      </c>
      <c r="B2" s="6" t="s">
        <v>89</v>
      </c>
    </row>
    <row r="3" spans="1:2" ht="14.45" x14ac:dyDescent="0.3">
      <c r="A3" s="109">
        <v>2</v>
      </c>
      <c r="B3" s="6" t="s">
        <v>90</v>
      </c>
    </row>
    <row r="4" spans="1:2" ht="14.45" x14ac:dyDescent="0.3">
      <c r="A4" s="109">
        <v>3</v>
      </c>
      <c r="B4" s="6" t="s">
        <v>92</v>
      </c>
    </row>
    <row r="5" spans="1:2" ht="14.45" x14ac:dyDescent="0.3">
      <c r="A5" s="109">
        <v>4</v>
      </c>
      <c r="B5" s="6" t="s">
        <v>93</v>
      </c>
    </row>
    <row r="6" spans="1:2" ht="14.45" x14ac:dyDescent="0.3">
      <c r="A6" s="109">
        <v>5</v>
      </c>
      <c r="B6" s="6" t="s">
        <v>94</v>
      </c>
    </row>
    <row r="7" spans="1:2" ht="14.45" x14ac:dyDescent="0.3">
      <c r="A7" s="109">
        <v>6</v>
      </c>
      <c r="B7" s="6" t="s">
        <v>95</v>
      </c>
    </row>
    <row r="8" spans="1:2" ht="14.45" x14ac:dyDescent="0.3">
      <c r="A8" s="109">
        <v>7</v>
      </c>
      <c r="B8" s="6" t="s">
        <v>96</v>
      </c>
    </row>
    <row r="9" spans="1:2" ht="14.45" x14ac:dyDescent="0.3">
      <c r="A9" s="109">
        <v>8</v>
      </c>
      <c r="B9" s="6" t="s">
        <v>97</v>
      </c>
    </row>
    <row r="10" spans="1:2" ht="14.45" x14ac:dyDescent="0.3">
      <c r="A10" s="109">
        <v>9</v>
      </c>
      <c r="B10" s="6" t="s">
        <v>98</v>
      </c>
    </row>
    <row r="11" spans="1:2" ht="14.45" x14ac:dyDescent="0.3">
      <c r="A11" s="109">
        <v>10</v>
      </c>
      <c r="B11" s="6" t="s">
        <v>99</v>
      </c>
    </row>
    <row r="12" spans="1:2" ht="14.45" x14ac:dyDescent="0.3">
      <c r="A12" s="109">
        <v>11</v>
      </c>
      <c r="B12" s="6" t="s">
        <v>100</v>
      </c>
    </row>
    <row r="13" spans="1:2" ht="14.45" x14ac:dyDescent="0.3">
      <c r="A13" s="109">
        <v>12</v>
      </c>
      <c r="B13" s="6" t="s">
        <v>101</v>
      </c>
    </row>
    <row r="14" spans="1:2" ht="14.45" x14ac:dyDescent="0.3">
      <c r="A14" s="109">
        <v>13</v>
      </c>
      <c r="B14" s="6" t="s">
        <v>102</v>
      </c>
    </row>
    <row r="15" spans="1:2" ht="14.45" x14ac:dyDescent="0.3">
      <c r="A15" s="109">
        <v>14</v>
      </c>
    </row>
    <row r="16" spans="1:2" ht="14.45" x14ac:dyDescent="0.3">
      <c r="A16" s="109">
        <v>15</v>
      </c>
    </row>
    <row r="17" spans="1:1" ht="14.45" x14ac:dyDescent="0.3">
      <c r="A17" s="109">
        <v>16</v>
      </c>
    </row>
    <row r="18" spans="1:1" ht="14.45" x14ac:dyDescent="0.3">
      <c r="A18" s="109">
        <v>17</v>
      </c>
    </row>
    <row r="19" spans="1:1" ht="14.45" x14ac:dyDescent="0.3">
      <c r="A19" s="109">
        <v>18</v>
      </c>
    </row>
    <row r="20" spans="1:1" ht="14.45" x14ac:dyDescent="0.3">
      <c r="A20" s="109">
        <v>19</v>
      </c>
    </row>
    <row r="21" spans="1:1" ht="14.45" x14ac:dyDescent="0.3">
      <c r="A21" s="109">
        <v>20</v>
      </c>
    </row>
    <row r="22" spans="1:1" ht="14.45" hidden="1" x14ac:dyDescent="0.3"/>
    <row r="23" spans="1:1" ht="14.45" hidden="1" x14ac:dyDescent="0.3"/>
    <row r="24" spans="1:1" ht="14.45" x14ac:dyDescent="0.3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18"/>
  <sheetViews>
    <sheetView tabSelected="1" workbookViewId="0">
      <selection activeCell="H3" sqref="H3"/>
    </sheetView>
  </sheetViews>
  <sheetFormatPr defaultRowHeight="15" x14ac:dyDescent="0.25"/>
  <cols>
    <col min="1" max="1" width="29.5703125" customWidth="1"/>
    <col min="2" max="2" width="17.42578125" customWidth="1"/>
    <col min="3" max="3" width="17.42578125" style="11" customWidth="1"/>
    <col min="4" max="5" width="17.42578125" customWidth="1"/>
    <col min="6" max="6" width="12.5703125" customWidth="1"/>
  </cols>
  <sheetData>
    <row r="1" spans="1:8" ht="14.45" x14ac:dyDescent="0.3">
      <c r="A1">
        <v>3</v>
      </c>
    </row>
    <row r="3" spans="1:8" ht="14.45" x14ac:dyDescent="0.3">
      <c r="D3" t="s">
        <v>90</v>
      </c>
      <c r="H3">
        <v>33</v>
      </c>
    </row>
    <row r="4" spans="1:8" thickBot="1" x14ac:dyDescent="0.35"/>
    <row r="5" spans="1:8" ht="21.6" thickBot="1" x14ac:dyDescent="0.35">
      <c r="B5" s="108" t="s">
        <v>11</v>
      </c>
      <c r="C5" s="107" t="s">
        <v>29</v>
      </c>
      <c r="D5" s="106" t="s">
        <v>79</v>
      </c>
      <c r="E5" s="106" t="s">
        <v>80</v>
      </c>
      <c r="F5" s="106" t="s">
        <v>81</v>
      </c>
    </row>
    <row r="6" spans="1:8" ht="14.45" x14ac:dyDescent="0.3">
      <c r="B6">
        <v>1</v>
      </c>
      <c r="C6" s="11">
        <v>1000000</v>
      </c>
      <c r="D6">
        <v>15</v>
      </c>
      <c r="E6" s="110">
        <v>43208</v>
      </c>
      <c r="F6" t="s">
        <v>91</v>
      </c>
    </row>
    <row r="7" spans="1:8" ht="14.45" x14ac:dyDescent="0.3">
      <c r="B7">
        <v>2</v>
      </c>
      <c r="C7" s="11">
        <v>2000000</v>
      </c>
      <c r="D7">
        <v>20</v>
      </c>
      <c r="E7" s="110">
        <v>43241</v>
      </c>
      <c r="F7" t="s">
        <v>91</v>
      </c>
    </row>
    <row r="8" spans="1:8" ht="14.45" x14ac:dyDescent="0.3">
      <c r="B8">
        <v>3</v>
      </c>
      <c r="C8" s="11">
        <v>2000000</v>
      </c>
      <c r="D8">
        <v>20</v>
      </c>
      <c r="E8" s="110">
        <v>43242</v>
      </c>
      <c r="F8" t="s">
        <v>91</v>
      </c>
    </row>
    <row r="9" spans="1:8" ht="14.45" x14ac:dyDescent="0.3">
      <c r="B9">
        <v>4</v>
      </c>
      <c r="C9" s="11">
        <v>2666666.6666666698</v>
      </c>
      <c r="D9">
        <v>23.3333333333333</v>
      </c>
      <c r="E9" s="110">
        <v>43208</v>
      </c>
      <c r="F9" t="s">
        <v>91</v>
      </c>
    </row>
    <row r="10" spans="1:8" ht="14.45" x14ac:dyDescent="0.3">
      <c r="B10">
        <v>5</v>
      </c>
      <c r="C10" s="11">
        <v>3166666.6666666698</v>
      </c>
      <c r="D10">
        <v>25.8333333333333</v>
      </c>
      <c r="E10" s="110">
        <v>43241</v>
      </c>
      <c r="F10" t="s">
        <v>91</v>
      </c>
    </row>
    <row r="11" spans="1:8" ht="14.45" x14ac:dyDescent="0.3">
      <c r="B11">
        <v>6</v>
      </c>
      <c r="C11" s="11">
        <v>3666666.66666668</v>
      </c>
      <c r="D11">
        <v>28.3333333333333</v>
      </c>
      <c r="E11" s="110">
        <v>43208</v>
      </c>
      <c r="F11" t="s">
        <v>91</v>
      </c>
    </row>
    <row r="12" spans="1:8" ht="14.45" x14ac:dyDescent="0.3">
      <c r="B12">
        <v>7</v>
      </c>
      <c r="C12" s="11">
        <v>4166666.66666668</v>
      </c>
      <c r="D12">
        <v>30.833333333333201</v>
      </c>
      <c r="E12" s="110">
        <v>43241</v>
      </c>
      <c r="F12" t="s">
        <v>91</v>
      </c>
    </row>
    <row r="13" spans="1:8" ht="14.45" x14ac:dyDescent="0.3">
      <c r="B13">
        <v>8</v>
      </c>
      <c r="C13" s="11" t="s">
        <v>99</v>
      </c>
      <c r="E13" s="110"/>
      <c r="F13" t="s">
        <v>91</v>
      </c>
    </row>
    <row r="14" spans="1:8" ht="14.45" x14ac:dyDescent="0.3">
      <c r="B14">
        <v>9</v>
      </c>
      <c r="F14" t="s">
        <v>91</v>
      </c>
    </row>
    <row r="15" spans="1:8" ht="14.45" x14ac:dyDescent="0.3">
      <c r="B15">
        <v>10</v>
      </c>
      <c r="F15" t="s">
        <v>91</v>
      </c>
    </row>
    <row r="16" spans="1:8" ht="14.45" x14ac:dyDescent="0.3">
      <c r="B16">
        <v>11</v>
      </c>
      <c r="C16" s="11" t="s">
        <v>100</v>
      </c>
      <c r="F16" t="s">
        <v>91</v>
      </c>
    </row>
    <row r="17" spans="2:6" ht="14.45" x14ac:dyDescent="0.3">
      <c r="B17">
        <v>12</v>
      </c>
      <c r="C17" s="11">
        <v>230000</v>
      </c>
      <c r="D17">
        <v>22</v>
      </c>
      <c r="F17" t="s">
        <v>91</v>
      </c>
    </row>
    <row r="18" spans="2:6" ht="14.45" x14ac:dyDescent="0.3">
      <c r="B18">
        <v>13</v>
      </c>
      <c r="C18" s="11">
        <v>2000000</v>
      </c>
      <c r="D18">
        <v>20</v>
      </c>
      <c r="E18" s="110">
        <v>43241</v>
      </c>
      <c r="F18" t="s">
        <v>91</v>
      </c>
    </row>
  </sheetData>
  <sortState ref="B6:F7">
    <sortCondition ref="B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1" r:id="rId3" name="CommandButton1">
          <controlPr autoLine="0" r:id="rId4">
            <anchor moveWithCells="1">
              <from>
                <xdr:col>5</xdr:col>
                <xdr:colOff>209550</xdr:colOff>
                <xdr:row>0</xdr:row>
                <xdr:rowOff>57150</xdr:rowOff>
              </from>
              <to>
                <xdr:col>6</xdr:col>
                <xdr:colOff>285750</xdr:colOff>
                <xdr:row>1</xdr:row>
                <xdr:rowOff>180975</xdr:rowOff>
              </to>
            </anchor>
          </controlPr>
        </control>
      </mc:Choice>
      <mc:Fallback>
        <control shapeId="22531" r:id="rId3" name="CommandButton1"/>
      </mc:Fallback>
    </mc:AlternateContent>
    <mc:AlternateContent xmlns:mc="http://schemas.openxmlformats.org/markup-compatibility/2006">
      <mc:Choice Requires="x14">
        <control shapeId="22532" r:id="rId5" name="ComboBox1">
          <controlPr autoLine="0" linkedCell="D3" listFillRange="active01" r:id="rId6">
            <anchor moveWithCells="1">
              <from>
                <xdr:col>1</xdr:col>
                <xdr:colOff>95250</xdr:colOff>
                <xdr:row>1</xdr:row>
                <xdr:rowOff>123825</xdr:rowOff>
              </from>
              <to>
                <xdr:col>3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22532" r:id="rId5" name="ComboBox1"/>
      </mc:Fallback>
    </mc:AlternateContent>
    <mc:AlternateContent xmlns:mc="http://schemas.openxmlformats.org/markup-compatibility/2006">
      <mc:Choice Requires="x14">
        <control shapeId="22533" r:id="rId7" name="ListBox1">
          <controlPr autoLine="0" linkedCell="A1" listFillRange="active01" r:id="rId8">
            <anchor moveWithCells="1">
              <from>
                <xdr:col>0</xdr:col>
                <xdr:colOff>200025</xdr:colOff>
                <xdr:row>2</xdr:row>
                <xdr:rowOff>123825</xdr:rowOff>
              </from>
              <to>
                <xdr:col>0</xdr:col>
                <xdr:colOff>1876425</xdr:colOff>
                <xdr:row>9</xdr:row>
                <xdr:rowOff>95250</xdr:rowOff>
              </to>
            </anchor>
          </controlPr>
        </control>
      </mc:Choice>
      <mc:Fallback>
        <control shapeId="22533" r:id="rId7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Detail</vt:lpstr>
      <vt:lpstr>SIE</vt:lpstr>
      <vt:lpstr>Lists</vt:lpstr>
      <vt:lpstr>Template01</vt:lpstr>
      <vt:lpstr>Template01 (2)</vt:lpstr>
      <vt:lpstr>Detail (2)</vt:lpstr>
      <vt:lpstr>Sheet7</vt:lpstr>
      <vt:lpstr>Sheet8</vt:lpstr>
      <vt:lpstr>Sheet9</vt:lpstr>
      <vt:lpstr>Sheet10</vt:lpstr>
      <vt:lpstr>db01</vt:lpstr>
      <vt:lpstr>Sheet12</vt:lpstr>
      <vt:lpstr>command</vt:lpstr>
      <vt:lpstr>DataBase</vt:lpstr>
      <vt:lpstr>ProjectList</vt:lpstr>
      <vt:lpstr>ProjectDetail</vt:lpstr>
      <vt:lpstr>active01</vt:lpstr>
      <vt:lpstr>Amount</vt:lpstr>
      <vt:lpstr>Desv.</vt:lpstr>
      <vt:lpstr>detail01</vt:lpstr>
      <vt:lpstr>Months</vt:lpstr>
      <vt:lpstr>Project</vt:lpstr>
      <vt:lpstr>select0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2019-02-23T20:18:11Z</dcterms:created>
  <dcterms:modified xsi:type="dcterms:W3CDTF">2019-02-27T02:03:49Z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765f6285-6c87-4e77-82fd-17a1486742e5</vt:lpwstr>
  </property>
</Properties>
</file>