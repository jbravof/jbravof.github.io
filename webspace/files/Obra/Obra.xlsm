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1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1.bin" ContentType="application/vnd.ms-office.activeX"/>
  <Override PartName="/xl/activeX/activeX14.xml" ContentType="application/vnd.ms-office.activeX+xml"/>
  <Override PartName="/xl/activeX/activeX15.xml" ContentType="application/vnd.ms-office.activeX+xml"/>
  <Override PartName="/xl/activeX/activeX12.bin" ContentType="application/vnd.ms-office.activeX"/>
  <Override PartName="/xl/activeX/activeX16.xml" ContentType="application/vnd.ms-office.activeX+xml"/>
  <Override PartName="/xl/activeX/activeX13.bin" ContentType="application/vnd.ms-office.activeX"/>
  <Override PartName="/xl/activeX/activeX17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8" yWindow="300" windowWidth="17436" windowHeight="6192" firstSheet="4" activeTab="7"/>
  </bookViews>
  <sheets>
    <sheet name="control" sheetId="1" r:id="rId1"/>
    <sheet name="Listas" sheetId="4" r:id="rId2"/>
    <sheet name="MF-Vendor" sheetId="2" r:id="rId3"/>
    <sheet name="MF-CostCodes" sheetId="3" r:id="rId4"/>
    <sheet name="Contracts" sheetId="5" r:id="rId5"/>
    <sheet name="Receipts" sheetId="6" r:id="rId6"/>
    <sheet name="TreeView" sheetId="7" r:id="rId7"/>
    <sheet name="TreeView (2)" sheetId="8" r:id="rId8"/>
    <sheet name="Sheet1" sheetId="9" r:id="rId9"/>
    <sheet name="Sheet2" sheetId="10" r:id="rId10"/>
    <sheet name="TreeView (3)" sheetId="11" r:id="rId11"/>
    <sheet name="Sheet4" sheetId="12" r:id="rId12"/>
  </sheets>
  <functionGroups builtInGroupCount="17"/>
  <definedNames>
    <definedName name="_xlnm._FilterDatabase" localSheetId="7" hidden="1">'TreeView (2)'!$A$1:$D$682</definedName>
    <definedName name="activiades">Listas!$J$2:$J$9</definedName>
    <definedName name="actividades">Listas!$J$2:$K$9</definedName>
    <definedName name="capitulos">Listas!$F$2:$F$8</definedName>
    <definedName name="costtypes">Listas!$A$2:$C$17</definedName>
    <definedName name="Ctypes">Listas!$A$2:$A$17</definedName>
    <definedName name="Query_from_CMSFIL" localSheetId="9" hidden="1">Sheet2!$D$1:$E$683</definedName>
    <definedName name="subcapitulos">Listas!$H$2:$H$9</definedName>
    <definedName name="vendor">'MF-Vendor'!$A$2:$A$6</definedName>
  </definedNames>
  <calcPr calcId="145621"/>
</workbook>
</file>

<file path=xl/calcChain.xml><?xml version="1.0" encoding="utf-8"?>
<calcChain xmlns="http://schemas.openxmlformats.org/spreadsheetml/2006/main">
  <c r="B223" i="8" l="1"/>
  <c r="B222" i="8"/>
  <c r="B221" i="8"/>
  <c r="B220" i="8"/>
  <c r="B219" i="8"/>
  <c r="B218" i="8"/>
  <c r="B217" i="8"/>
  <c r="B248" i="8"/>
  <c r="B249" i="8"/>
  <c r="B250" i="8"/>
  <c r="B247" i="8"/>
  <c r="D596" i="12" l="1"/>
  <c r="D2" i="12"/>
  <c r="D3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292" i="12"/>
  <c r="D293" i="12"/>
  <c r="D294" i="12"/>
  <c r="D295" i="12"/>
  <c r="D296" i="12"/>
  <c r="D597" i="12"/>
  <c r="D483" i="12"/>
  <c r="D484" i="12"/>
  <c r="D485" i="12"/>
  <c r="D486" i="12"/>
  <c r="D487" i="12"/>
  <c r="D488" i="12"/>
  <c r="D367" i="12"/>
  <c r="D368" i="12"/>
  <c r="D369" i="12"/>
  <c r="D370" i="12"/>
  <c r="D371" i="12"/>
  <c r="D372" i="12"/>
  <c r="D297" i="12"/>
  <c r="D298" i="12"/>
  <c r="D630" i="12"/>
  <c r="D489" i="12"/>
  <c r="D373" i="12"/>
  <c r="D598" i="12"/>
  <c r="D4" i="12"/>
  <c r="D5" i="12"/>
  <c r="D599" i="12"/>
  <c r="D6" i="12"/>
  <c r="D631" i="12"/>
  <c r="D632" i="12"/>
  <c r="D600" i="12"/>
  <c r="D7" i="12"/>
  <c r="D8" i="12"/>
  <c r="D586" i="12"/>
  <c r="D490" i="12"/>
  <c r="D491" i="12"/>
  <c r="D492" i="12"/>
  <c r="D493" i="12"/>
  <c r="D494" i="12"/>
  <c r="D495" i="12"/>
  <c r="D374" i="12"/>
  <c r="D375" i="12"/>
  <c r="D376" i="12"/>
  <c r="D377" i="12"/>
  <c r="D378" i="12"/>
  <c r="D379" i="12"/>
  <c r="D601" i="12"/>
  <c r="D9" i="12"/>
  <c r="D10" i="12"/>
  <c r="D11" i="12"/>
  <c r="D12" i="12"/>
  <c r="D13" i="12"/>
  <c r="D14" i="12"/>
  <c r="D496" i="12"/>
  <c r="D497" i="12"/>
  <c r="D380" i="12"/>
  <c r="D381" i="12"/>
  <c r="D299" i="12"/>
  <c r="D602" i="12"/>
  <c r="D15" i="12"/>
  <c r="D16" i="12"/>
  <c r="D17" i="12"/>
  <c r="D603" i="12"/>
  <c r="D18" i="12"/>
  <c r="D19" i="12"/>
  <c r="D20" i="12"/>
  <c r="D498" i="12"/>
  <c r="D382" i="12"/>
  <c r="D663" i="12"/>
  <c r="D604" i="12"/>
  <c r="D21" i="12"/>
  <c r="D499" i="12"/>
  <c r="D383" i="12"/>
  <c r="D300" i="12"/>
  <c r="D605" i="12"/>
  <c r="D500" i="12"/>
  <c r="D384" i="12"/>
  <c r="D301" i="12"/>
  <c r="D606" i="12"/>
  <c r="D22" i="12"/>
  <c r="D607" i="12"/>
  <c r="D23" i="12"/>
  <c r="D24" i="12"/>
  <c r="D25" i="12"/>
  <c r="D501" i="12"/>
  <c r="D502" i="12"/>
  <c r="D385" i="12"/>
  <c r="D386" i="12"/>
  <c r="D302" i="12"/>
  <c r="D303" i="12"/>
  <c r="D608" i="12"/>
  <c r="D503" i="12"/>
  <c r="D504" i="12"/>
  <c r="D387" i="12"/>
  <c r="D388" i="12"/>
  <c r="D304" i="12"/>
  <c r="D305" i="12"/>
  <c r="D609" i="12"/>
  <c r="D26" i="12"/>
  <c r="D505" i="12"/>
  <c r="D506" i="12"/>
  <c r="D507" i="12"/>
  <c r="D389" i="12"/>
  <c r="D390" i="12"/>
  <c r="D391" i="12"/>
  <c r="D306" i="12"/>
  <c r="D610" i="12"/>
  <c r="D633" i="12"/>
  <c r="D634" i="12"/>
  <c r="D611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664" i="12"/>
  <c r="D665" i="12"/>
  <c r="D666" i="12"/>
  <c r="D667" i="12"/>
  <c r="D668" i="12"/>
  <c r="D669" i="12"/>
  <c r="D670" i="12"/>
  <c r="D58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288" i="12"/>
  <c r="D289" i="12"/>
  <c r="D635" i="12"/>
  <c r="D636" i="12"/>
  <c r="D671" i="12"/>
  <c r="D612" i="12"/>
  <c r="D123" i="12"/>
  <c r="D124" i="12"/>
  <c r="D125" i="12"/>
  <c r="D126" i="12"/>
  <c r="D590" i="12"/>
  <c r="D613" i="12"/>
  <c r="D127" i="12"/>
  <c r="D128" i="12"/>
  <c r="D614" i="12"/>
  <c r="D615" i="12"/>
  <c r="D616" i="12"/>
  <c r="D129" i="12"/>
  <c r="D617" i="12"/>
  <c r="D130" i="12"/>
  <c r="D618" i="12"/>
  <c r="D619" i="12"/>
  <c r="D637" i="12"/>
  <c r="D638" i="12"/>
  <c r="D639" i="12"/>
  <c r="D640" i="12"/>
  <c r="D641" i="12"/>
  <c r="D642" i="12"/>
  <c r="D620" i="12"/>
  <c r="D672" i="12"/>
  <c r="D643" i="12"/>
  <c r="D644" i="12"/>
  <c r="D645" i="12"/>
  <c r="D646" i="12"/>
  <c r="D647" i="12"/>
  <c r="D648" i="12"/>
  <c r="D649" i="12"/>
  <c r="D650" i="12"/>
  <c r="D651" i="12"/>
  <c r="D673" i="12"/>
  <c r="D621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674" i="12"/>
  <c r="D675" i="12"/>
  <c r="D676" i="12"/>
  <c r="D677" i="12"/>
  <c r="D678" i="12"/>
  <c r="D679" i="12"/>
  <c r="D680" i="12"/>
  <c r="D681" i="12"/>
  <c r="D682" i="12"/>
  <c r="D683" i="12"/>
  <c r="D591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319" i="12"/>
  <c r="D320" i="12"/>
  <c r="D321" i="12"/>
  <c r="D322" i="12"/>
  <c r="D323" i="12"/>
  <c r="D324" i="12"/>
  <c r="D325" i="12"/>
  <c r="D326" i="12"/>
  <c r="D327" i="12"/>
  <c r="D328" i="12"/>
  <c r="D290" i="12"/>
  <c r="D291" i="12"/>
  <c r="D652" i="12"/>
  <c r="D653" i="12"/>
  <c r="D654" i="12"/>
  <c r="D622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592" i="12"/>
  <c r="D547" i="12"/>
  <c r="D431" i="12"/>
  <c r="D655" i="12"/>
  <c r="D623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593" i="12"/>
  <c r="D548" i="12"/>
  <c r="D549" i="12"/>
  <c r="D550" i="12"/>
  <c r="D432" i="12"/>
  <c r="D433" i="12"/>
  <c r="D434" i="12"/>
  <c r="D329" i="12"/>
  <c r="D330" i="12"/>
  <c r="D331" i="12"/>
  <c r="D656" i="12"/>
  <c r="D624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551" i="12"/>
  <c r="D435" i="12"/>
  <c r="D332" i="12"/>
  <c r="D625" i="12"/>
  <c r="D257" i="12"/>
  <c r="D258" i="12"/>
  <c r="D259" i="12"/>
  <c r="D260" i="12"/>
  <c r="D261" i="12"/>
  <c r="D262" i="12"/>
  <c r="D263" i="12"/>
  <c r="D264" i="12"/>
  <c r="D265" i="12"/>
  <c r="D552" i="12"/>
  <c r="D436" i="12"/>
  <c r="D657" i="12"/>
  <c r="D626" i="12"/>
  <c r="D266" i="12"/>
  <c r="D267" i="12"/>
  <c r="D268" i="12"/>
  <c r="D269" i="12"/>
  <c r="D270" i="12"/>
  <c r="D271" i="12"/>
  <c r="D272" i="12"/>
  <c r="D594" i="12"/>
  <c r="D627" i="12"/>
  <c r="D273" i="12"/>
  <c r="D274" i="12"/>
  <c r="D595" i="12"/>
  <c r="D628" i="12"/>
  <c r="D658" i="12"/>
  <c r="D659" i="12"/>
  <c r="D660" i="12"/>
  <c r="D629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588" i="12"/>
  <c r="D589" i="12"/>
  <c r="D661" i="12"/>
  <c r="D662" i="12"/>
  <c r="B671" i="12"/>
  <c r="B600" i="12"/>
  <c r="B7" i="12"/>
  <c r="B8" i="12"/>
  <c r="B586" i="12"/>
  <c r="B490" i="12"/>
  <c r="B491" i="12"/>
  <c r="B492" i="12"/>
  <c r="B493" i="12"/>
  <c r="B494" i="12"/>
  <c r="B495" i="12"/>
  <c r="B374" i="12"/>
  <c r="B375" i="12"/>
  <c r="B376" i="12"/>
  <c r="B377" i="12"/>
  <c r="B378" i="12"/>
  <c r="B379" i="12"/>
  <c r="B601" i="12"/>
  <c r="B9" i="12"/>
  <c r="B10" i="12"/>
  <c r="B11" i="12"/>
  <c r="B12" i="12"/>
  <c r="B13" i="12"/>
  <c r="B14" i="12"/>
  <c r="B496" i="12"/>
  <c r="B497" i="12"/>
  <c r="B380" i="12"/>
  <c r="B381" i="12"/>
  <c r="B299" i="12"/>
  <c r="B602" i="12"/>
  <c r="B15" i="12"/>
  <c r="B16" i="12"/>
  <c r="B17" i="12"/>
  <c r="B603" i="12"/>
  <c r="B18" i="12"/>
  <c r="B19" i="12"/>
  <c r="B20" i="12"/>
  <c r="B498" i="12"/>
  <c r="B382" i="12"/>
  <c r="B663" i="12"/>
  <c r="B604" i="12"/>
  <c r="B21" i="12"/>
  <c r="B499" i="12"/>
  <c r="B383" i="12"/>
  <c r="B300" i="12"/>
  <c r="B605" i="12"/>
  <c r="B500" i="12"/>
  <c r="B384" i="12"/>
  <c r="B301" i="12"/>
  <c r="B606" i="12"/>
  <c r="B22" i="12"/>
  <c r="B607" i="12"/>
  <c r="B23" i="12"/>
  <c r="B24" i="12"/>
  <c r="B25" i="12"/>
  <c r="B501" i="12"/>
  <c r="B502" i="12"/>
  <c r="B385" i="12"/>
  <c r="B386" i="12"/>
  <c r="B302" i="12"/>
  <c r="B303" i="12"/>
  <c r="B596" i="12"/>
  <c r="B2" i="12"/>
  <c r="B3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292" i="12"/>
  <c r="B293" i="12"/>
  <c r="B294" i="12"/>
  <c r="B295" i="12"/>
  <c r="B296" i="12"/>
  <c r="B597" i="12"/>
  <c r="B483" i="12"/>
  <c r="B484" i="12"/>
  <c r="B485" i="12"/>
  <c r="B486" i="12"/>
  <c r="B487" i="12"/>
  <c r="B488" i="12"/>
  <c r="B367" i="12"/>
  <c r="B368" i="12"/>
  <c r="B369" i="12"/>
  <c r="B370" i="12"/>
  <c r="B371" i="12"/>
  <c r="B372" i="12"/>
  <c r="B297" i="12"/>
  <c r="B298" i="12"/>
  <c r="B630" i="12"/>
  <c r="B489" i="12"/>
  <c r="B373" i="12"/>
  <c r="B612" i="12"/>
  <c r="B123" i="12"/>
  <c r="B124" i="12"/>
  <c r="B125" i="12"/>
  <c r="B126" i="12"/>
  <c r="B590" i="12"/>
  <c r="B598" i="12"/>
  <c r="B4" i="12"/>
  <c r="B5" i="12"/>
  <c r="B608" i="12"/>
  <c r="B503" i="12"/>
  <c r="B504" i="12"/>
  <c r="B387" i="12"/>
  <c r="B388" i="12"/>
  <c r="B304" i="12"/>
  <c r="B305" i="12"/>
  <c r="B609" i="12"/>
  <c r="B26" i="12"/>
  <c r="B505" i="12"/>
  <c r="B506" i="12"/>
  <c r="B507" i="12"/>
  <c r="B389" i="12"/>
  <c r="B390" i="12"/>
  <c r="B391" i="12"/>
  <c r="B306" i="12"/>
  <c r="B611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664" i="12"/>
  <c r="B665" i="12"/>
  <c r="B666" i="12"/>
  <c r="B667" i="12"/>
  <c r="B668" i="12"/>
  <c r="B669" i="12"/>
  <c r="B670" i="12"/>
  <c r="B58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288" i="12"/>
  <c r="B289" i="12"/>
  <c r="B635" i="12"/>
  <c r="B636" i="12"/>
  <c r="B622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592" i="12"/>
  <c r="B547" i="12"/>
  <c r="B431" i="12"/>
  <c r="B655" i="12"/>
  <c r="B623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593" i="12"/>
  <c r="B548" i="12"/>
  <c r="B549" i="12"/>
  <c r="B550" i="12"/>
  <c r="B432" i="12"/>
  <c r="B433" i="12"/>
  <c r="B434" i="12"/>
  <c r="B329" i="12"/>
  <c r="B330" i="12"/>
  <c r="B331" i="12"/>
  <c r="B656" i="12"/>
  <c r="B624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551" i="12"/>
  <c r="B435" i="12"/>
  <c r="B332" i="12"/>
  <c r="B625" i="12"/>
  <c r="B257" i="12"/>
  <c r="B258" i="12"/>
  <c r="B259" i="12"/>
  <c r="B260" i="12"/>
  <c r="B261" i="12"/>
  <c r="B262" i="12"/>
  <c r="B263" i="12"/>
  <c r="B264" i="12"/>
  <c r="B265" i="12"/>
  <c r="B552" i="12"/>
  <c r="B436" i="12"/>
  <c r="B657" i="12"/>
  <c r="B626" i="12"/>
  <c r="B266" i="12"/>
  <c r="B267" i="12"/>
  <c r="B268" i="12"/>
  <c r="B269" i="12"/>
  <c r="B270" i="12"/>
  <c r="B271" i="12"/>
  <c r="B272" i="12"/>
  <c r="B594" i="12"/>
  <c r="B627" i="12"/>
  <c r="B273" i="12"/>
  <c r="B274" i="12"/>
  <c r="B595" i="12"/>
  <c r="B613" i="12"/>
  <c r="B127" i="12"/>
  <c r="B128" i="12"/>
  <c r="B614" i="12"/>
  <c r="B673" i="12"/>
  <c r="B621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674" i="12"/>
  <c r="B675" i="12"/>
  <c r="B676" i="12"/>
  <c r="B677" i="12"/>
  <c r="B678" i="12"/>
  <c r="B679" i="12"/>
  <c r="B680" i="12"/>
  <c r="B681" i="12"/>
  <c r="B682" i="12"/>
  <c r="B683" i="12"/>
  <c r="B591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319" i="12"/>
  <c r="B320" i="12"/>
  <c r="B321" i="12"/>
  <c r="B322" i="12"/>
  <c r="B323" i="12"/>
  <c r="B324" i="12"/>
  <c r="B325" i="12"/>
  <c r="B326" i="12"/>
  <c r="B327" i="12"/>
  <c r="B328" i="12"/>
  <c r="B290" i="12"/>
  <c r="B291" i="12"/>
  <c r="B652" i="12"/>
  <c r="B653" i="12"/>
  <c r="B654" i="12"/>
  <c r="B629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588" i="12"/>
  <c r="B589" i="12"/>
  <c r="B661" i="12"/>
  <c r="B662" i="12"/>
  <c r="B615" i="12"/>
  <c r="B610" i="12"/>
  <c r="B633" i="12"/>
  <c r="B634" i="12"/>
  <c r="B599" i="12"/>
  <c r="B6" i="12"/>
  <c r="B631" i="12"/>
  <c r="B632" i="12"/>
  <c r="B616" i="12"/>
  <c r="B129" i="12"/>
  <c r="B617" i="12"/>
  <c r="B130" i="12"/>
  <c r="B618" i="12"/>
  <c r="B619" i="12"/>
  <c r="B637" i="12"/>
  <c r="B638" i="12"/>
  <c r="B639" i="12"/>
  <c r="B640" i="12"/>
  <c r="B641" i="12"/>
  <c r="B642" i="12"/>
  <c r="B628" i="12"/>
  <c r="B658" i="12"/>
  <c r="B659" i="12"/>
  <c r="B660" i="12"/>
  <c r="B620" i="12"/>
  <c r="B672" i="12"/>
  <c r="B643" i="12"/>
  <c r="B644" i="12"/>
  <c r="B645" i="12"/>
  <c r="B646" i="12"/>
  <c r="B647" i="12"/>
  <c r="B648" i="12"/>
  <c r="B649" i="12"/>
  <c r="B650" i="12"/>
  <c r="B651" i="12"/>
  <c r="A671" i="12"/>
  <c r="A600" i="12"/>
  <c r="A7" i="12"/>
  <c r="A8" i="12"/>
  <c r="A586" i="12"/>
  <c r="A490" i="12"/>
  <c r="A491" i="12"/>
  <c r="A492" i="12"/>
  <c r="A493" i="12"/>
  <c r="A494" i="12"/>
  <c r="A495" i="12"/>
  <c r="A374" i="12"/>
  <c r="A375" i="12"/>
  <c r="A376" i="12"/>
  <c r="A377" i="12"/>
  <c r="A378" i="12"/>
  <c r="A379" i="12"/>
  <c r="A601" i="12"/>
  <c r="A9" i="12"/>
  <c r="A10" i="12"/>
  <c r="A11" i="12"/>
  <c r="A12" i="12"/>
  <c r="A13" i="12"/>
  <c r="A14" i="12"/>
  <c r="A496" i="12"/>
  <c r="A497" i="12"/>
  <c r="A380" i="12"/>
  <c r="A381" i="12"/>
  <c r="A299" i="12"/>
  <c r="A602" i="12"/>
  <c r="A15" i="12"/>
  <c r="A16" i="12"/>
  <c r="A17" i="12"/>
  <c r="A603" i="12"/>
  <c r="A18" i="12"/>
  <c r="A19" i="12"/>
  <c r="A20" i="12"/>
  <c r="A498" i="12"/>
  <c r="A382" i="12"/>
  <c r="A663" i="12"/>
  <c r="A604" i="12"/>
  <c r="A21" i="12"/>
  <c r="A499" i="12"/>
  <c r="A383" i="12"/>
  <c r="A300" i="12"/>
  <c r="A605" i="12"/>
  <c r="A500" i="12"/>
  <c r="A384" i="12"/>
  <c r="A301" i="12"/>
  <c r="A606" i="12"/>
  <c r="A22" i="12"/>
  <c r="A607" i="12"/>
  <c r="A23" i="12"/>
  <c r="A24" i="12"/>
  <c r="A25" i="12"/>
  <c r="A501" i="12"/>
  <c r="A502" i="12"/>
  <c r="A385" i="12"/>
  <c r="A386" i="12"/>
  <c r="A302" i="12"/>
  <c r="A303" i="12"/>
  <c r="A596" i="12"/>
  <c r="A2" i="12"/>
  <c r="A3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292" i="12"/>
  <c r="A293" i="12"/>
  <c r="A294" i="12"/>
  <c r="A295" i="12"/>
  <c r="A296" i="12"/>
  <c r="A597" i="12"/>
  <c r="A483" i="12"/>
  <c r="A484" i="12"/>
  <c r="A485" i="12"/>
  <c r="A486" i="12"/>
  <c r="A487" i="12"/>
  <c r="A488" i="12"/>
  <c r="A367" i="12"/>
  <c r="A368" i="12"/>
  <c r="A369" i="12"/>
  <c r="A370" i="12"/>
  <c r="A371" i="12"/>
  <c r="A372" i="12"/>
  <c r="A297" i="12"/>
  <c r="A298" i="12"/>
  <c r="A630" i="12"/>
  <c r="A489" i="12"/>
  <c r="A373" i="12"/>
  <c r="A612" i="12"/>
  <c r="A123" i="12"/>
  <c r="A124" i="12"/>
  <c r="A125" i="12"/>
  <c r="A126" i="12"/>
  <c r="A590" i="12"/>
  <c r="A598" i="12"/>
  <c r="A4" i="12"/>
  <c r="A5" i="12"/>
  <c r="A608" i="12"/>
  <c r="A503" i="12"/>
  <c r="A504" i="12"/>
  <c r="A387" i="12"/>
  <c r="A388" i="12"/>
  <c r="A304" i="12"/>
  <c r="A305" i="12"/>
  <c r="A609" i="12"/>
  <c r="A26" i="12"/>
  <c r="A505" i="12"/>
  <c r="A506" i="12"/>
  <c r="A507" i="12"/>
  <c r="A389" i="12"/>
  <c r="A390" i="12"/>
  <c r="A391" i="12"/>
  <c r="A306" i="12"/>
  <c r="A611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664" i="12"/>
  <c r="A665" i="12"/>
  <c r="A666" i="12"/>
  <c r="A667" i="12"/>
  <c r="A668" i="12"/>
  <c r="A669" i="12"/>
  <c r="A670" i="12"/>
  <c r="A58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288" i="12"/>
  <c r="A289" i="12"/>
  <c r="A635" i="12"/>
  <c r="A636" i="12"/>
  <c r="A622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592" i="12"/>
  <c r="A547" i="12"/>
  <c r="A431" i="12"/>
  <c r="A655" i="12"/>
  <c r="A623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593" i="12"/>
  <c r="A548" i="12"/>
  <c r="A549" i="12"/>
  <c r="A550" i="12"/>
  <c r="A432" i="12"/>
  <c r="A433" i="12"/>
  <c r="A434" i="12"/>
  <c r="A329" i="12"/>
  <c r="A330" i="12"/>
  <c r="A331" i="12"/>
  <c r="A656" i="12"/>
  <c r="A624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551" i="12"/>
  <c r="A435" i="12"/>
  <c r="A332" i="12"/>
  <c r="A625" i="12"/>
  <c r="A257" i="12"/>
  <c r="A258" i="12"/>
  <c r="A259" i="12"/>
  <c r="A260" i="12"/>
  <c r="A261" i="12"/>
  <c r="A262" i="12"/>
  <c r="A263" i="12"/>
  <c r="A264" i="12"/>
  <c r="A265" i="12"/>
  <c r="A552" i="12"/>
  <c r="A436" i="12"/>
  <c r="A657" i="12"/>
  <c r="A626" i="12"/>
  <c r="A266" i="12"/>
  <c r="A267" i="12"/>
  <c r="A268" i="12"/>
  <c r="A269" i="12"/>
  <c r="A270" i="12"/>
  <c r="A271" i="12"/>
  <c r="A272" i="12"/>
  <c r="A594" i="12"/>
  <c r="A627" i="12"/>
  <c r="A273" i="12"/>
  <c r="A274" i="12"/>
  <c r="A595" i="12"/>
  <c r="A613" i="12"/>
  <c r="A127" i="12"/>
  <c r="A128" i="12"/>
  <c r="A614" i="12"/>
  <c r="A673" i="12"/>
  <c r="A621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674" i="12"/>
  <c r="A675" i="12"/>
  <c r="A676" i="12"/>
  <c r="A677" i="12"/>
  <c r="A678" i="12"/>
  <c r="A679" i="12"/>
  <c r="A680" i="12"/>
  <c r="A681" i="12"/>
  <c r="A682" i="12"/>
  <c r="A683" i="12"/>
  <c r="A591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319" i="12"/>
  <c r="A320" i="12"/>
  <c r="A321" i="12"/>
  <c r="A322" i="12"/>
  <c r="A323" i="12"/>
  <c r="A324" i="12"/>
  <c r="A325" i="12"/>
  <c r="A326" i="12"/>
  <c r="A327" i="12"/>
  <c r="A328" i="12"/>
  <c r="A290" i="12"/>
  <c r="A291" i="12"/>
  <c r="A652" i="12"/>
  <c r="A653" i="12"/>
  <c r="A654" i="12"/>
  <c r="A629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588" i="12"/>
  <c r="A589" i="12"/>
  <c r="A661" i="12"/>
  <c r="A662" i="12"/>
  <c r="A615" i="12"/>
  <c r="A610" i="12"/>
  <c r="A633" i="12"/>
  <c r="A634" i="12"/>
  <c r="A599" i="12"/>
  <c r="A6" i="12"/>
  <c r="A631" i="12"/>
  <c r="A632" i="12"/>
  <c r="A616" i="12"/>
  <c r="A129" i="12"/>
  <c r="A617" i="12"/>
  <c r="A130" i="12"/>
  <c r="A618" i="12"/>
  <c r="A619" i="12"/>
  <c r="A637" i="12"/>
  <c r="A638" i="12"/>
  <c r="A639" i="12"/>
  <c r="A640" i="12"/>
  <c r="A641" i="12"/>
  <c r="A642" i="12"/>
  <c r="A628" i="12"/>
  <c r="A658" i="12"/>
  <c r="A659" i="12"/>
  <c r="A660" i="12"/>
  <c r="A620" i="12"/>
  <c r="A672" i="12"/>
  <c r="A643" i="12"/>
  <c r="A644" i="12"/>
  <c r="A645" i="12"/>
  <c r="A646" i="12"/>
  <c r="A647" i="12"/>
  <c r="A648" i="12"/>
  <c r="A649" i="12"/>
  <c r="A650" i="12"/>
  <c r="A651" i="12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288" i="10"/>
  <c r="B289" i="10"/>
  <c r="B290" i="10"/>
  <c r="B291" i="10"/>
  <c r="B292" i="10"/>
  <c r="B293" i="10"/>
  <c r="B55" i="10"/>
  <c r="B56" i="10"/>
  <c r="B57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294" i="10"/>
  <c r="B295" i="10"/>
  <c r="B296" i="10"/>
  <c r="B297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298" i="10"/>
  <c r="B138" i="10"/>
  <c r="B139" i="10"/>
  <c r="B140" i="10"/>
  <c r="B58" i="10"/>
  <c r="B59" i="10"/>
  <c r="B60" i="10"/>
  <c r="B61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575" i="10"/>
  <c r="B576" i="10"/>
  <c r="B577" i="10"/>
  <c r="B578" i="10"/>
  <c r="B311" i="10"/>
  <c r="B312" i="10"/>
  <c r="B313" i="10"/>
  <c r="B314" i="10"/>
  <c r="B315" i="10"/>
  <c r="B316" i="10"/>
  <c r="B317" i="10"/>
  <c r="B318" i="10"/>
  <c r="B319" i="10"/>
  <c r="B320" i="10"/>
  <c r="B321" i="10"/>
  <c r="B2" i="10"/>
  <c r="A2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288" i="10"/>
  <c r="A289" i="10"/>
  <c r="A290" i="10"/>
  <c r="A291" i="10"/>
  <c r="A292" i="10"/>
  <c r="A293" i="10"/>
  <c r="A55" i="10"/>
  <c r="A56" i="10"/>
  <c r="A57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294" i="10"/>
  <c r="A295" i="10"/>
  <c r="A296" i="10"/>
  <c r="A297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298" i="10"/>
  <c r="A138" i="10"/>
  <c r="A139" i="10"/>
  <c r="A140" i="10"/>
  <c r="A58" i="10"/>
  <c r="A59" i="10"/>
  <c r="A60" i="10"/>
  <c r="A61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575" i="10"/>
  <c r="A576" i="10"/>
  <c r="A577" i="10"/>
  <c r="A578" i="10"/>
  <c r="A311" i="10"/>
  <c r="A312" i="10"/>
  <c r="A313" i="10"/>
  <c r="A314" i="10"/>
  <c r="A315" i="10"/>
  <c r="A316" i="10"/>
  <c r="A317" i="10"/>
  <c r="A318" i="10"/>
  <c r="A319" i="10"/>
  <c r="A320" i="10"/>
  <c r="A321" i="10"/>
  <c r="G10" i="5" l="1"/>
  <c r="G9" i="5"/>
  <c r="G8" i="5"/>
  <c r="G7" i="5"/>
  <c r="G3" i="5"/>
  <c r="G4" i="5"/>
  <c r="G5" i="5"/>
  <c r="G6" i="5"/>
  <c r="G2" i="5"/>
  <c r="G3" i="3"/>
  <c r="G2" i="3"/>
</calcChain>
</file>

<file path=xl/connections.xml><?xml version="1.0" encoding="utf-8"?>
<connections xmlns="http://schemas.openxmlformats.org/spreadsheetml/2006/main">
  <connection id="1" name="Query from CMSFIL" type="1" refreshedVersion="4" background="1" saveData="1">
    <dbPr connection="DSN=CMSFIL;" command="SELECT SYTCNC.COMPANYNO, SYTCNC.DIVISIONNO, SYTCNC.COMPANYNAME_x000d__x000a_FROM S104E7FP.CMSFIL.SYTCNC SYTCNC"/>
  </connection>
</connections>
</file>

<file path=xl/sharedStrings.xml><?xml version="1.0" encoding="utf-8"?>
<sst xmlns="http://schemas.openxmlformats.org/spreadsheetml/2006/main" count="8507" uniqueCount="1515">
  <si>
    <t>Number</t>
  </si>
  <si>
    <t>Name</t>
  </si>
  <si>
    <t>Company1</t>
  </si>
  <si>
    <t>CT</t>
  </si>
  <si>
    <t>SIE1</t>
  </si>
  <si>
    <t>SIE2</t>
  </si>
  <si>
    <t>A</t>
  </si>
  <si>
    <t>14-Aux Equi</t>
  </si>
  <si>
    <t>Direct Cost</t>
  </si>
  <si>
    <t>B</t>
  </si>
  <si>
    <t>16-Burden</t>
  </si>
  <si>
    <t>C</t>
  </si>
  <si>
    <t>10-Materials</t>
  </si>
  <si>
    <t>E</t>
  </si>
  <si>
    <t>11-Equipment</t>
  </si>
  <si>
    <t>I</t>
  </si>
  <si>
    <t>0-Revenue</t>
  </si>
  <si>
    <t>Revenue</t>
  </si>
  <si>
    <t>L</t>
  </si>
  <si>
    <t>12-Labor</t>
  </si>
  <si>
    <t>M</t>
  </si>
  <si>
    <t>21-AuxEqipm</t>
  </si>
  <si>
    <t>Indirect Cost</t>
  </si>
  <si>
    <t>N</t>
  </si>
  <si>
    <t>30-CloseOut</t>
  </si>
  <si>
    <t>O</t>
  </si>
  <si>
    <t>25-Other Ind</t>
  </si>
  <si>
    <t>P</t>
  </si>
  <si>
    <t>S</t>
  </si>
  <si>
    <t>13-Subcontracts</t>
  </si>
  <si>
    <t>V</t>
  </si>
  <si>
    <t>22-Burden</t>
  </si>
  <si>
    <t>W</t>
  </si>
  <si>
    <t>15-OwnEqipment</t>
  </si>
  <si>
    <t>X</t>
  </si>
  <si>
    <t>19-Other Direct</t>
  </si>
  <si>
    <t>Y</t>
  </si>
  <si>
    <t>20-Indirect Labor</t>
  </si>
  <si>
    <t>Z</t>
  </si>
  <si>
    <t>10-G&amp;A</t>
  </si>
  <si>
    <t>G&amp;A Cost</t>
  </si>
  <si>
    <t>Cost Type</t>
  </si>
  <si>
    <t>1st</t>
  </si>
  <si>
    <t>2nd</t>
  </si>
  <si>
    <t>3td</t>
  </si>
  <si>
    <t>4th</t>
  </si>
  <si>
    <t>Capitulo1</t>
  </si>
  <si>
    <t>Capitulos</t>
  </si>
  <si>
    <t>Subcapitulos</t>
  </si>
  <si>
    <t>Actividades</t>
  </si>
  <si>
    <t>Capitulo2</t>
  </si>
  <si>
    <t>Capitulo3</t>
  </si>
  <si>
    <t>Capitulo4</t>
  </si>
  <si>
    <t>Capitulo5</t>
  </si>
  <si>
    <t>Capitulo6</t>
  </si>
  <si>
    <t>Capitulo7</t>
  </si>
  <si>
    <t>Subcapitulo1</t>
  </si>
  <si>
    <t>Subcapitulo2</t>
  </si>
  <si>
    <t>Subcapitulo3</t>
  </si>
  <si>
    <t>Subcapitulo4</t>
  </si>
  <si>
    <t>Subcapitulo5</t>
  </si>
  <si>
    <t>Subcapitulo6</t>
  </si>
  <si>
    <t>Subcapitulo7</t>
  </si>
  <si>
    <t>Subcapitulo8</t>
  </si>
  <si>
    <t>Actividad1</t>
  </si>
  <si>
    <t>Actividad2</t>
  </si>
  <si>
    <t>Actividad3</t>
  </si>
  <si>
    <t>Actividad4</t>
  </si>
  <si>
    <t>Actividad5</t>
  </si>
  <si>
    <t>Actividad6</t>
  </si>
  <si>
    <t>Actividad7</t>
  </si>
  <si>
    <t>Actividad8</t>
  </si>
  <si>
    <t>Description</t>
  </si>
  <si>
    <t>desc01</t>
  </si>
  <si>
    <t>text01</t>
  </si>
  <si>
    <t>text02</t>
  </si>
  <si>
    <t>text03</t>
  </si>
  <si>
    <t>text04</t>
  </si>
  <si>
    <t>text05</t>
  </si>
  <si>
    <t>text06</t>
  </si>
  <si>
    <t>text07</t>
  </si>
  <si>
    <t>text08</t>
  </si>
  <si>
    <t>Numero</t>
  </si>
  <si>
    <t>Vendor</t>
  </si>
  <si>
    <t>Company2</t>
  </si>
  <si>
    <t>Company3</t>
  </si>
  <si>
    <t>Company4</t>
  </si>
  <si>
    <t>Company5</t>
  </si>
  <si>
    <t>LineItem</t>
  </si>
  <si>
    <t>LineDesc</t>
  </si>
  <si>
    <t>Line1</t>
  </si>
  <si>
    <t>Units</t>
  </si>
  <si>
    <t>Price</t>
  </si>
  <si>
    <t>Total</t>
  </si>
  <si>
    <t>Line2</t>
  </si>
  <si>
    <t>Line3</t>
  </si>
  <si>
    <t>Line4</t>
  </si>
  <si>
    <t>Line5</t>
  </si>
  <si>
    <t>Contracts</t>
  </si>
  <si>
    <t>node01</t>
  </si>
  <si>
    <t>subnode01</t>
  </si>
  <si>
    <t>subnode02</t>
  </si>
  <si>
    <t>node02</t>
  </si>
  <si>
    <t>subnode03</t>
  </si>
  <si>
    <t>subnode04</t>
  </si>
  <si>
    <t>node03</t>
  </si>
  <si>
    <t>subnode05</t>
  </si>
  <si>
    <t>subnode06</t>
  </si>
  <si>
    <t>node04</t>
  </si>
  <si>
    <t>subnode07</t>
  </si>
  <si>
    <t>node05</t>
  </si>
  <si>
    <t>node06</t>
  </si>
  <si>
    <t>node07</t>
  </si>
  <si>
    <t>node08</t>
  </si>
  <si>
    <t>subnode011</t>
  </si>
  <si>
    <t>subnode0113</t>
  </si>
  <si>
    <t>COMPANYNO</t>
  </si>
  <si>
    <t>DIVISIONNO</t>
  </si>
  <si>
    <t>COMPANYNAME</t>
  </si>
  <si>
    <t>TEST/TRAINING COMPANY</t>
  </si>
  <si>
    <t>Dragados Canada, Inc.</t>
  </si>
  <si>
    <t>Chart Of Accounts</t>
  </si>
  <si>
    <t>Universal Vendors</t>
  </si>
  <si>
    <t>Template Corporate</t>
  </si>
  <si>
    <t>Template Own Project - JV</t>
  </si>
  <si>
    <t>Template Branch</t>
  </si>
  <si>
    <t>North Pacific Branch</t>
  </si>
  <si>
    <t>Florida Branch</t>
  </si>
  <si>
    <t>Template Internal Department</t>
  </si>
  <si>
    <t>* Miami Airport Int. Dpt.</t>
  </si>
  <si>
    <t>Dragados USA, Inc. I-595</t>
  </si>
  <si>
    <t>Portugues Dam</t>
  </si>
  <si>
    <t>Rio Puerto Nuevo</t>
  </si>
  <si>
    <t>Dragados USA, Inc.</t>
  </si>
  <si>
    <t>New York Branch</t>
  </si>
  <si>
    <t>California Branch</t>
  </si>
  <si>
    <t>I-595 Branch</t>
  </si>
  <si>
    <t>* ESA CM009 - Int. Dpt.</t>
  </si>
  <si>
    <t>* I287 - Int. Dpt.</t>
  </si>
  <si>
    <t>* Croton Falls - Int. Dpt.</t>
  </si>
  <si>
    <t>* ESA CM019 - Int. Dpt.</t>
  </si>
  <si>
    <t>C-538D - Int. Dpt.</t>
  </si>
  <si>
    <t>Calaveras DAM - %JV</t>
  </si>
  <si>
    <t>SR-99 - Int. Dpt.</t>
  </si>
  <si>
    <t>I/C Chart Of Accounts</t>
  </si>
  <si>
    <t>Template % JV</t>
  </si>
  <si>
    <t>* ESA CM009 - % JV</t>
  </si>
  <si>
    <t>* I287 - % JV</t>
  </si>
  <si>
    <t>* Croton Falls - % JV</t>
  </si>
  <si>
    <t>* ESA CM019 - % JV</t>
  </si>
  <si>
    <t>C538D - % JV</t>
  </si>
  <si>
    <t>SEATTLE TUNNEL PARTNERS A JV</t>
  </si>
  <si>
    <t>A-30 - Int. Dpt.</t>
  </si>
  <si>
    <t>South Fraser - Int. Dpt.</t>
  </si>
  <si>
    <t>Windsor Essex Pkw - Int. Dpt.</t>
  </si>
  <si>
    <t>A-30 - % JV</t>
  </si>
  <si>
    <t>South Fraser - % JV</t>
  </si>
  <si>
    <t>Windsor Essex Pkw - % JV</t>
  </si>
  <si>
    <t>* Miami Airport - % JV</t>
  </si>
  <si>
    <t>* DUSA/Baker - % JV</t>
  </si>
  <si>
    <t>SR-99 - JV</t>
  </si>
  <si>
    <t>* DUSA/Baker - Int. Dpt.</t>
  </si>
  <si>
    <t>Consolidate Dragdados Corp</t>
  </si>
  <si>
    <t>Puerto Rico Branch</t>
  </si>
  <si>
    <t>Vancouver Branch</t>
  </si>
  <si>
    <t>East Canada Branch</t>
  </si>
  <si>
    <t>Dragados USA/Flatiron/Sukut JV</t>
  </si>
  <si>
    <t>Calaveras DAM - Int Dpt</t>
  </si>
  <si>
    <t>VIAS USA, Inc.</t>
  </si>
  <si>
    <t>VIAS Florida Branch</t>
  </si>
  <si>
    <t>* Massachusets Branch</t>
  </si>
  <si>
    <t>Seattle Partners Consolidated</t>
  </si>
  <si>
    <t>Channel Beechara</t>
  </si>
  <si>
    <t>SW 121 Avenue Project</t>
  </si>
  <si>
    <t>VIAS USA California Branch</t>
  </si>
  <si>
    <t>Drace USA , Inc.</t>
  </si>
  <si>
    <t>Newark Real Estate Holding,Inc</t>
  </si>
  <si>
    <t>ELECTREN USA, Inc.</t>
  </si>
  <si>
    <t>* FLDOT - SMALL PROJECTS</t>
  </si>
  <si>
    <t>Vias Canada, Inc.</t>
  </si>
  <si>
    <t>John P Picone, Inc.</t>
  </si>
  <si>
    <t>* C-538C Water Tunnel 10 Shaft</t>
  </si>
  <si>
    <t>Equipment Department Shop</t>
  </si>
  <si>
    <t>Pipe Shop</t>
  </si>
  <si>
    <t>* C545J Shaft Maintenance</t>
  </si>
  <si>
    <t>* Tunnel &amp; Shaft/Rondt Del185</t>
  </si>
  <si>
    <t>OAKWOOD BCH SBSTN OB-125G</t>
  </si>
  <si>
    <t>* A-35784 Substns-Brooklyn W E</t>
  </si>
  <si>
    <t>* A-36011 Five Stns-Pelham Bro</t>
  </si>
  <si>
    <t>* AVE V-FORCE MAIN PS-79F</t>
  </si>
  <si>
    <t>* Wards Island WI-270</t>
  </si>
  <si>
    <t>* JFK-916 Building #161 Fire P</t>
  </si>
  <si>
    <t>* Cross Bay Bridge CB-09</t>
  </si>
  <si>
    <t>* NYCT A-36111 Flood Mitigatio</t>
  </si>
  <si>
    <t>City Tunnel #3 C-549A</t>
  </si>
  <si>
    <t>* Work Orders@Var Loc GFM-495F</t>
  </si>
  <si>
    <t>* UN Building BP-038</t>
  </si>
  <si>
    <t>Tallman Island TI-WW1</t>
  </si>
  <si>
    <t>Watermain Repairs GE-350</t>
  </si>
  <si>
    <t>Sewer Repairs SEC20004P</t>
  </si>
  <si>
    <t>* NR-ER-001 North River WWTP</t>
  </si>
  <si>
    <t>* Croton CRO-334G CO #55</t>
  </si>
  <si>
    <t>* N. RIVER EMERG MECH NRER004</t>
  </si>
  <si>
    <t>JPP - Small&amp;Prev.Closed Jobs</t>
  </si>
  <si>
    <t>* SC-1G Spring Creek WPCP</t>
  </si>
  <si>
    <t>* HP-1G Hunts Point WPCP</t>
  </si>
  <si>
    <t>Tallman Island TI-3G</t>
  </si>
  <si>
    <t>Avenue V Pump Station PS-79G</t>
  </si>
  <si>
    <t>* WI-74G Wards Island WPCP</t>
  </si>
  <si>
    <t>Wards Island-78G</t>
  </si>
  <si>
    <t>JPPMC - Small&amp;Prev Closed Jobs</t>
  </si>
  <si>
    <t>CROTON WT 312OSG JV</t>
  </si>
  <si>
    <t>CROTON WT CRO312P JV</t>
  </si>
  <si>
    <t>CITY TUN SHFT3 C538D JV</t>
  </si>
  <si>
    <t>PICONE / SCARIANO JV</t>
  </si>
  <si>
    <t>Hamlet Electric JV</t>
  </si>
  <si>
    <t>Croton WT 312OSG IntDpt</t>
  </si>
  <si>
    <t>Croton Tmt PltCRO312P IntDpt</t>
  </si>
  <si>
    <t>City Tnl Shafts#3 C538D IntDpt</t>
  </si>
  <si>
    <t>NC-50G IntDpt</t>
  </si>
  <si>
    <t>Rondout Tunnel Rehab  IntDpt</t>
  </si>
  <si>
    <t>Croton Tunnel CRO313 IntDpt</t>
  </si>
  <si>
    <t>* 30 St W Vent Plt Rehab IntDp</t>
  </si>
  <si>
    <t>Croton Tunnel Rehab334G IntDpt</t>
  </si>
  <si>
    <t>IntDpt NC-41F Skanska/Picone</t>
  </si>
  <si>
    <t>Newtown Creek NC35G IntDpt</t>
  </si>
  <si>
    <t>Newtown Creek NC47G IntDpt</t>
  </si>
  <si>
    <t>Newtown Creek 41G IntDpt</t>
  </si>
  <si>
    <t>* IntDpt Picone/Scariano JV</t>
  </si>
  <si>
    <t>* Hamlet Electric IntDpt</t>
  </si>
  <si>
    <t>CROTON WT 312OSG</t>
  </si>
  <si>
    <t>CROTON WT CRO312P</t>
  </si>
  <si>
    <t>CITY TUN SHFT3 C538D</t>
  </si>
  <si>
    <t>NEWTOWN CRK NC-50G</t>
  </si>
  <si>
    <t>RONDOUT TUNNEL REHAB JV</t>
  </si>
  <si>
    <t>CROTON TUNNEL CRO313</t>
  </si>
  <si>
    <t>* 30TH ST W VNT REHAB</t>
  </si>
  <si>
    <t>CROTON TUN REHB 334G</t>
  </si>
  <si>
    <t>NC-41F SKANSKA/JPP</t>
  </si>
  <si>
    <t>NEWTOWN CREEK NC35G</t>
  </si>
  <si>
    <t>NEWTOWN CREEK NC47G</t>
  </si>
  <si>
    <t>NEWTOWN CREEK 41G</t>
  </si>
  <si>
    <t>* PICONE/SCARIANO JV</t>
  </si>
  <si>
    <t>* Hamlet Electric</t>
  </si>
  <si>
    <t>Sussex Realty, LLC</t>
  </si>
  <si>
    <t>JPP Plumbing LLC</t>
  </si>
  <si>
    <t>JPPP WIP CRO312OSP/26WARD</t>
  </si>
  <si>
    <t>JPPMC NY Branch</t>
  </si>
  <si>
    <t>Picone, All divisions</t>
  </si>
  <si>
    <t>Neahd - Int. Dept.</t>
  </si>
  <si>
    <t>Neahd % JV</t>
  </si>
  <si>
    <t>Picone Adjust-Eliminations</t>
  </si>
  <si>
    <t>Own Job free space</t>
  </si>
  <si>
    <t>Camp Lejeune Project</t>
  </si>
  <si>
    <t>Mid-Atlantic Branch</t>
  </si>
  <si>
    <t>ENTRANCE @ SITE P C-26512</t>
  </si>
  <si>
    <t>EchoWater - BNR</t>
  </si>
  <si>
    <t>Ruskin Dam - Int. Dpt.</t>
  </si>
  <si>
    <t>Ruskin Dam %JV</t>
  </si>
  <si>
    <t>Schiavone Equ. Branch</t>
  </si>
  <si>
    <t>Canada Adj + Elim</t>
  </si>
  <si>
    <t>55 St Vent Plant CMO13A IntDpt</t>
  </si>
  <si>
    <t>55TH ST VENT CMO13A</t>
  </si>
  <si>
    <t>C48702 Viaduct-Brdg Myrtle Ave</t>
  </si>
  <si>
    <t>Sandy Emerg Wk</t>
  </si>
  <si>
    <t>DTRRIP JV - Int. Dept.</t>
  </si>
  <si>
    <t>DTRRIP - % JV</t>
  </si>
  <si>
    <t>DTRRIP Joint Venture</t>
  </si>
  <si>
    <t>Schiavone Construction Co. LLC</t>
  </si>
  <si>
    <t>High Bridge</t>
  </si>
  <si>
    <t>* Macombs Dam Bridge -JV</t>
  </si>
  <si>
    <t>BT1 - Rondout Shafts</t>
  </si>
  <si>
    <t>* Emergency at QMT</t>
  </si>
  <si>
    <t>SCC/FRONTKEMPER/SHEA</t>
  </si>
  <si>
    <t>South Ferry Terminal  -JV</t>
  </si>
  <si>
    <t>City Water Tunnel 538C - JV</t>
  </si>
  <si>
    <t>Croton Tunnel CRO313 -JV</t>
  </si>
  <si>
    <t>30th St Vent Rehab - JV</t>
  </si>
  <si>
    <t>Jay St Station Rehab - JV</t>
  </si>
  <si>
    <t>Rondout Tunnel Rehab  -JV</t>
  </si>
  <si>
    <t>BLUE CLEAN WATER, LLC</t>
  </si>
  <si>
    <t>Newtown Creek 41G -JV</t>
  </si>
  <si>
    <t>Northern Blvd CQ039 - JV</t>
  </si>
  <si>
    <t>* Palisades Tunnel IFB09038X -</t>
  </si>
  <si>
    <t>72nd St. Station - JV</t>
  </si>
  <si>
    <t>55th St Vent Plant CMO13A-JV</t>
  </si>
  <si>
    <t>SCHIAVONE EQUIPMENT DIVISION</t>
  </si>
  <si>
    <t>SCHIAVONE FABRICATION DIVISION</t>
  </si>
  <si>
    <t>* OCEAN PARKWAY D-262250 JV</t>
  </si>
  <si>
    <t>* Ocean Parkway D-262250  Int</t>
  </si>
  <si>
    <t>* OCEAN PARKWAY D-262250</t>
  </si>
  <si>
    <t>* Macombs Dam Bridge</t>
  </si>
  <si>
    <t>* SCC/FRONTKEMPER/SHEA</t>
  </si>
  <si>
    <t>South Ferry Terminal</t>
  </si>
  <si>
    <t>* City Water Tunnel 538C</t>
  </si>
  <si>
    <t>Croton Tunnel CRO313</t>
  </si>
  <si>
    <t>* 30th St Vent Rehab</t>
  </si>
  <si>
    <t>Jay St Station Rehab</t>
  </si>
  <si>
    <t>Rondout Tunnel Rehab</t>
  </si>
  <si>
    <t>Blue Clean Water LLC</t>
  </si>
  <si>
    <t>Newtown Creek 41G</t>
  </si>
  <si>
    <t>* Northern Blvd CQ039</t>
  </si>
  <si>
    <t>* PALSDES TUN 09038X</t>
  </si>
  <si>
    <t>72nd St. Station</t>
  </si>
  <si>
    <t>55th St Vent CMO13A</t>
  </si>
  <si>
    <t>* Granite Halmar/SCC</t>
  </si>
  <si>
    <t>2ND AVE SUBWAY S3II</t>
  </si>
  <si>
    <t>7th Line Tunnel</t>
  </si>
  <si>
    <t>Croton WT 312OSG</t>
  </si>
  <si>
    <t>Croton Tunnel 334G</t>
  </si>
  <si>
    <t>City Tunnel SH#3 C538D</t>
  </si>
  <si>
    <t>Fulton St Station</t>
  </si>
  <si>
    <t>Busway Contract 2 CT</t>
  </si>
  <si>
    <t>* Various Jobs - JPP</t>
  </si>
  <si>
    <t>Macomb's Dam Bridge Int Dept</t>
  </si>
  <si>
    <t>SCC/FRONTIER-KEMPER/SHEA</t>
  </si>
  <si>
    <t>GRANITE HALMAR/SCC A JV</t>
  </si>
  <si>
    <t>WtrTnlExcv#3Stg2 C538C IntDept</t>
  </si>
  <si>
    <t>South Ferry Terminal  Int Dept</t>
  </si>
  <si>
    <t>Croton Tunnel CRO313 Int Dept</t>
  </si>
  <si>
    <t>30St W VentPlantRehab Int Dept</t>
  </si>
  <si>
    <t>Jay Str Station Rehab Int Dept</t>
  </si>
  <si>
    <t>2nd Ave Subway S3II Int Dept</t>
  </si>
  <si>
    <t>Rondout Tunnel Rehab  Int Dept</t>
  </si>
  <si>
    <t>7th Line Tunnel Int Dept</t>
  </si>
  <si>
    <t>Croton WT 312OSG Int Dept</t>
  </si>
  <si>
    <t>Croton TunnelRehab334G Int Dpt</t>
  </si>
  <si>
    <t>CityTnl Shafts#3 C538D Int Dpt</t>
  </si>
  <si>
    <t>Newtown Creek 41G Int Dept</t>
  </si>
  <si>
    <t>Northn Blv Cross CQ039 IntDpt</t>
  </si>
  <si>
    <t>Palisades Tnl IFB09038X IntDpt</t>
  </si>
  <si>
    <t>Fulton St Station Int Dept</t>
  </si>
  <si>
    <t>72nd St Stn Excavation IntDpt</t>
  </si>
  <si>
    <t>NewBritain-Htf Busway IntDpt</t>
  </si>
  <si>
    <t>Adjusments JVs</t>
  </si>
  <si>
    <t>Adjustments SCC</t>
  </si>
  <si>
    <t>SCC - Pension Fund</t>
  </si>
  <si>
    <t>SCC - Lozano</t>
  </si>
  <si>
    <t>LRT-OTTAWA Int Dept</t>
  </si>
  <si>
    <t>LRT-OTTAWA %JV</t>
  </si>
  <si>
    <t>Dragados Construction</t>
  </si>
  <si>
    <t>Manahawkin #2</t>
  </si>
  <si>
    <t>86th St Station C26012 IntDpt</t>
  </si>
  <si>
    <t>86TH ST STAT C26012</t>
  </si>
  <si>
    <t>SR-23 PROJECT SEGMENT 1</t>
  </si>
  <si>
    <t>86 St Station C26012 Int Dept</t>
  </si>
  <si>
    <t>86th St Sta C26012</t>
  </si>
  <si>
    <t>86th St Sta C26012-JV</t>
  </si>
  <si>
    <t>Pulaski #2</t>
  </si>
  <si>
    <t>Lining Precast LLC</t>
  </si>
  <si>
    <t>11 HYDR ELEVATORS E-34021</t>
  </si>
  <si>
    <t>* 2 Escalators E-34019</t>
  </si>
  <si>
    <t>DRAGADOS USA - SR 838</t>
  </si>
  <si>
    <t>Watermain Repairs GE-351</t>
  </si>
  <si>
    <t>NEW ARTHUR KILL STN A80265</t>
  </si>
  <si>
    <t>* White River Hydroelectric Pr</t>
  </si>
  <si>
    <t>Eglington Tunnel - Int. Dpt.</t>
  </si>
  <si>
    <t>Eglington Tunnel - %JV</t>
  </si>
  <si>
    <t>Harold StructESA CH057A IntDpt</t>
  </si>
  <si>
    <t>Harold Str CH057A</t>
  </si>
  <si>
    <t>Harold Str CH057A-JV</t>
  </si>
  <si>
    <t>* ESA CM009</t>
  </si>
  <si>
    <t>* ESA CM019</t>
  </si>
  <si>
    <t>Harold Structure CH057A IntDpt</t>
  </si>
  <si>
    <t>HAROLD STRUCT CH057A</t>
  </si>
  <si>
    <t>SR-23 PROJECT SEGMENT 2</t>
  </si>
  <si>
    <t>I-75 Segment E Express Lanes</t>
  </si>
  <si>
    <t>REPORTING DIVISION</t>
  </si>
  <si>
    <t>Bay Park STP Imprv S3B12001G</t>
  </si>
  <si>
    <t>Wilson Interchange</t>
  </si>
  <si>
    <t>JOHNSON AVE YARD 6121 JV</t>
  </si>
  <si>
    <t>JOHNSON AVE YARD 6121</t>
  </si>
  <si>
    <t>Johnson Ave Track 6121 IntDpt</t>
  </si>
  <si>
    <t>BWRY BY PMP STN BB64 JV</t>
  </si>
  <si>
    <t>BWRY BY PMP STN BB64</t>
  </si>
  <si>
    <t>Bowery Bay Pump Station IntDpt</t>
  </si>
  <si>
    <t>Dragados USA Equipment Div</t>
  </si>
  <si>
    <t>* South Ferry Term Rem A-37595</t>
  </si>
  <si>
    <t>Sewer Repairs SEC20004R</t>
  </si>
  <si>
    <t>Pulice Arizona Branch</t>
  </si>
  <si>
    <t>Casa GRANDE - Tucson HWHY</t>
  </si>
  <si>
    <t>SR 303 L HWY</t>
  </si>
  <si>
    <t>I-10 to SR 303 L TI</t>
  </si>
  <si>
    <t>SR-303 (Glendal to CamelBack)</t>
  </si>
  <si>
    <t>PHNX (SM Streets) - Broadway</t>
  </si>
  <si>
    <t>PHNX (SM SREETS -2D)</t>
  </si>
  <si>
    <t>Twin Peaks T.I.</t>
  </si>
  <si>
    <t>SR 303</t>
  </si>
  <si>
    <t>Pima Fwy (SR 101)</t>
  </si>
  <si>
    <t>Equipment Department</t>
  </si>
  <si>
    <t>Pulice Wadsworth - Int. Dpmt.</t>
  </si>
  <si>
    <t>Pulice Wadsworth</t>
  </si>
  <si>
    <t>Pulice Wadsworth JV</t>
  </si>
  <si>
    <t>Pulice - Granite Int. Dpmt.</t>
  </si>
  <si>
    <t>Pulice - Granite</t>
  </si>
  <si>
    <t>* Pulice - Granite JV</t>
  </si>
  <si>
    <t>Watermain Repairs GE354</t>
  </si>
  <si>
    <t>Texas Branch</t>
  </si>
  <si>
    <t>McNeil Brothers</t>
  </si>
  <si>
    <t>Roadway Electric, LLC</t>
  </si>
  <si>
    <t>McNeil Equipment</t>
  </si>
  <si>
    <t>Roadway Equipment</t>
  </si>
  <si>
    <t>Pulice California Branch</t>
  </si>
  <si>
    <t>San Vicente Marina</t>
  </si>
  <si>
    <t>Regional Connector Utilities</t>
  </si>
  <si>
    <t>McNeil Pulice jobs</t>
  </si>
  <si>
    <t>McNeil Other Jobs</t>
  </si>
  <si>
    <t>Roadway Pulice Jobs</t>
  </si>
  <si>
    <t>Roadway Other Jobs</t>
  </si>
  <si>
    <t>Johnson Ave Yard 6121</t>
  </si>
  <si>
    <t>Johnson Ave Yard 6121 IntDpt</t>
  </si>
  <si>
    <t>Perris Dam</t>
  </si>
  <si>
    <t>San Jose Creek - Int Dept</t>
  </si>
  <si>
    <t>San Jose Creek Pump Stn</t>
  </si>
  <si>
    <t>San Jose Creek Pump Station JV</t>
  </si>
  <si>
    <t>ROCKWY BRDWLK 563900002</t>
  </si>
  <si>
    <t>WARDS ISL CNTRFG UPG WI290A</t>
  </si>
  <si>
    <t>I-295 Express Lanes</t>
  </si>
  <si>
    <t>Pulice-Granite Red Mtn IntDep</t>
  </si>
  <si>
    <t>Pulice-Granite Red Mtn</t>
  </si>
  <si>
    <t>Pulice-Granite - Red Mtn JV</t>
  </si>
  <si>
    <t>Wachusett Extension</t>
  </si>
  <si>
    <t>Bypass Pipeline San Vicente</t>
  </si>
  <si>
    <t>Winston Beltway</t>
  </si>
  <si>
    <t>Durham Connector</t>
  </si>
  <si>
    <t>New Brdg St Lawrence - Int Dpt</t>
  </si>
  <si>
    <t>New Bridge St Lawrence - %JV</t>
  </si>
  <si>
    <t>Bay Park E2 USubst 14E S35121.</t>
  </si>
  <si>
    <t>6 STATNS SEABEACH A36090</t>
  </si>
  <si>
    <t>Mathis Bridge</t>
  </si>
  <si>
    <t>Manahawkin #3</t>
  </si>
  <si>
    <t>Southern California Branch</t>
  </si>
  <si>
    <t>Marine Parkway Rehab MP-21</t>
  </si>
  <si>
    <t>Dyre Av StationA-36916  IntDpt</t>
  </si>
  <si>
    <t>Dyre Ave Sta A-36916</t>
  </si>
  <si>
    <t>Dyre Ave Sta A-36919-JV</t>
  </si>
  <si>
    <t>GCT Concourse CM014B-JV</t>
  </si>
  <si>
    <t>GCT Concourse CM014B</t>
  </si>
  <si>
    <t>GCT Concourse CM014B  Int Dept</t>
  </si>
  <si>
    <t>Prince Contracting, LLC</t>
  </si>
  <si>
    <t>Prince Old Jobs</t>
  </si>
  <si>
    <t>I 75 Segment E</t>
  </si>
  <si>
    <t>* US27 Barry Road E1L58</t>
  </si>
  <si>
    <t>* SR17 T1514</t>
  </si>
  <si>
    <t>SR50 Dean To Avalon T5469</t>
  </si>
  <si>
    <t>* Poinciana Blvd</t>
  </si>
  <si>
    <t>I295 Express E2S01</t>
  </si>
  <si>
    <t>* Boyette Road</t>
  </si>
  <si>
    <t>I 75 SR56 T7220</t>
  </si>
  <si>
    <t>* I275 T7298</t>
  </si>
  <si>
    <t>* DB I 75 SWFIA E1J72</t>
  </si>
  <si>
    <t>* US 301 T7311</t>
  </si>
  <si>
    <t>I 75 DB CR54 E7124</t>
  </si>
  <si>
    <t>Bruce B Downs 14-0879</t>
  </si>
  <si>
    <t>Veterans Exp DB E8N52</t>
  </si>
  <si>
    <t>* I 75 Macon</t>
  </si>
  <si>
    <t>Equipment Division</t>
  </si>
  <si>
    <t>GCT Concourse CM014B IntDpt</t>
  </si>
  <si>
    <t>GCT CONCOURSE CM014B</t>
  </si>
  <si>
    <t>Portsmouth JV - Int Dept</t>
  </si>
  <si>
    <t>Portsmouth %JV</t>
  </si>
  <si>
    <t>Portsmouth JV</t>
  </si>
  <si>
    <t>Vias Canada Projects</t>
  </si>
  <si>
    <t>OLRT</t>
  </si>
  <si>
    <t>Pulice Texas Branch</t>
  </si>
  <si>
    <t>* Moinian Grp-3Hudson Blvd</t>
  </si>
  <si>
    <t>SR8 I10 SR281 Avalon Blvd</t>
  </si>
  <si>
    <t>SR15 Hoffner Road</t>
  </si>
  <si>
    <t>SR429 Wekiva Pkwy</t>
  </si>
  <si>
    <t>I-91 Viaduct</t>
  </si>
  <si>
    <t>I-91 Viaduct Mass Int Dept</t>
  </si>
  <si>
    <t>HSR 2-3 - Int Dept</t>
  </si>
  <si>
    <t>HSR 2-3 - %JV</t>
  </si>
  <si>
    <t>HSR JV 2-3</t>
  </si>
  <si>
    <t>SH 288 - Int Dept</t>
  </si>
  <si>
    <t>SH 288 - %JV</t>
  </si>
  <si>
    <t>SH 288 JV</t>
  </si>
  <si>
    <t>Harbor Bridge - Int Dept</t>
  </si>
  <si>
    <t>Harbor Bridge - %JV</t>
  </si>
  <si>
    <t>FLATIRON DRAGADOS LLC.</t>
  </si>
  <si>
    <t>Aqua Hedionda</t>
  </si>
  <si>
    <t>Dyre Av Station A36916 IntDpt</t>
  </si>
  <si>
    <t>DYRE AV STAT A-36916</t>
  </si>
  <si>
    <t>Rt110 Sunrise Hwy DB IntDpt</t>
  </si>
  <si>
    <t>RT110 @ RT27 D900027</t>
  </si>
  <si>
    <t>RT110 @ RT27 D900027 JV</t>
  </si>
  <si>
    <t>University Prky I75/SR93</t>
  </si>
  <si>
    <t>Bowery Bay BB64</t>
  </si>
  <si>
    <t>BoweryBay Pump Stn BB64 IntDpt</t>
  </si>
  <si>
    <t>Eglinton LRT - Int Dept</t>
  </si>
  <si>
    <t>Eglinton Crosstown LRT - %JV</t>
  </si>
  <si>
    <t>Dulles Rail Yard</t>
  </si>
  <si>
    <t>SH-288 Toll Lanes Int Dept</t>
  </si>
  <si>
    <t>SH-288 Toll Lanes</t>
  </si>
  <si>
    <t>I-95 Express 3A-2</t>
  </si>
  <si>
    <t>South Bay Bus Rapid Transit 1B</t>
  </si>
  <si>
    <t>I-10/303 TI</t>
  </si>
  <si>
    <t>Pulice Adj &amp; Elim</t>
  </si>
  <si>
    <t>Watermain Repairs 2016 GE355</t>
  </si>
  <si>
    <t>MRNPK&amp;CRSBYBR MP03S/CB99S</t>
  </si>
  <si>
    <t>Sewer Repairs 2016 SEC20004S</t>
  </si>
  <si>
    <t>Throgs Neck Bridge</t>
  </si>
  <si>
    <t>Prelim Treatm Rel Impr IntDpt</t>
  </si>
  <si>
    <t>HCTRA 332 BELTWAY 8</t>
  </si>
  <si>
    <t>WARD TRTMT PL 26W-20</t>
  </si>
  <si>
    <t>HCTRA 333 BELTWAY 8</t>
  </si>
  <si>
    <t>Ulmerton Rd Conalvias</t>
  </si>
  <si>
    <t>I75 Conalvias</t>
  </si>
  <si>
    <t>US17 Conalvias</t>
  </si>
  <si>
    <t>Pulice Corporate</t>
  </si>
  <si>
    <t>Vias Equipment Div</t>
  </si>
  <si>
    <t>NYCT A-37608 Flood Doors</t>
  </si>
  <si>
    <t>DEP-CNYEMERWASEM</t>
  </si>
  <si>
    <t>Pulice Concrete Plant</t>
  </si>
  <si>
    <t>Pima Stormwater Interceptor</t>
  </si>
  <si>
    <t>Ottawa Cmb Sewage Tnl - IntDpt</t>
  </si>
  <si>
    <t>Ottawa Comb Sewage Tnl - %JV</t>
  </si>
  <si>
    <t>Ottawa Comb Sewage Tnl - JV</t>
  </si>
  <si>
    <t>Sand Lake Rd T5552</t>
  </si>
  <si>
    <t>Lincolnville</t>
  </si>
  <si>
    <t>Parallel Thimble Shoal Int Dpt</t>
  </si>
  <si>
    <t>Parallel Thimble Shoal Tnl</t>
  </si>
  <si>
    <t>BBD Segment D</t>
  </si>
  <si>
    <t>Chesapeake Joint Venture</t>
  </si>
  <si>
    <t>Parallel Thimble Shoal Tnl %JV</t>
  </si>
  <si>
    <t>Roadway ADJ &amp; ELIM</t>
  </si>
  <si>
    <t>McNeil bros ADJ &amp; Elim</t>
  </si>
  <si>
    <t>Peoria I17</t>
  </si>
  <si>
    <t>COP Water Main Replacement</t>
  </si>
  <si>
    <t>SR30 (US98) T3579</t>
  </si>
  <si>
    <t>Sarival Avenue</t>
  </si>
  <si>
    <t>Sacramento Wash Bridge</t>
  </si>
  <si>
    <t>Houston Hobby Airport</t>
  </si>
  <si>
    <t>COP - Fite Road</t>
  </si>
  <si>
    <t>CTB Cement Paving 288</t>
  </si>
  <si>
    <t>Audley Bridge Yavapai</t>
  </si>
  <si>
    <t>Batiquitos Dr</t>
  </si>
  <si>
    <t>Friars Road ITG</t>
  </si>
  <si>
    <t>BRT Seg 3 Sandag</t>
  </si>
  <si>
    <t>Houghton Rd</t>
  </si>
  <si>
    <t>542C Activation City TNL #3</t>
  </si>
  <si>
    <t>Link 427 Internal Dept</t>
  </si>
  <si>
    <t>Link 427 % JV</t>
  </si>
  <si>
    <t>Link 427 CJV</t>
  </si>
  <si>
    <t>Kelvin Bridge</t>
  </si>
  <si>
    <t>COP Water Main Mcdowel</t>
  </si>
  <si>
    <t>Flatop Dike</t>
  </si>
  <si>
    <t>Concrete Tie Replacement</t>
  </si>
  <si>
    <t>Emergent Track Services</t>
  </si>
  <si>
    <t>SR64/I-75 Interchange (T1664)</t>
  </si>
  <si>
    <t>Jacks Canyon Bridge</t>
  </si>
  <si>
    <t>Inland Rail Trial</t>
  </si>
  <si>
    <t>Cote-Vertu - Int Dpt.</t>
  </si>
  <si>
    <t>Cote-Vertu - %JV</t>
  </si>
  <si>
    <t>DT CSST Inc Branch</t>
  </si>
  <si>
    <t>Texas Eliminations</t>
  </si>
  <si>
    <t>Brazoria Expwy 17-25</t>
  </si>
  <si>
    <t>I-95 Exp Lanes 3B-1 DB (E4R96)</t>
  </si>
  <si>
    <t>J.F. White Contracting Co</t>
  </si>
  <si>
    <t>Deerfield I91 Over Lower Rd</t>
  </si>
  <si>
    <t>Fitchburg Comm Rail Improve</t>
  </si>
  <si>
    <t>* Logan Airport Term E</t>
  </si>
  <si>
    <t>* Cargo Ventures Foundations</t>
  </si>
  <si>
    <t>* WRTA Bus Maint Facility</t>
  </si>
  <si>
    <t>Rehabilitate Runway 4R-Phase I</t>
  </si>
  <si>
    <t>* Worcester Comm Rail Phase II</t>
  </si>
  <si>
    <t>* Rehab of Term A &amp; Taxi E and</t>
  </si>
  <si>
    <t>Tufts Univ Science &amp; Eng Ctr</t>
  </si>
  <si>
    <t>* Harborside Dr&amp;Arrivals Tunne</t>
  </si>
  <si>
    <t>LaGrange St Bridge Rehab</t>
  </si>
  <si>
    <t>* 345 Harrison Avenue</t>
  </si>
  <si>
    <t>* Tufts Storm Water Improve I</t>
  </si>
  <si>
    <t>Beverly Draw Swingspan Replace</t>
  </si>
  <si>
    <t>N Attleboro Bridge Replace I95</t>
  </si>
  <si>
    <t>Taxiway Worcester Reg Airport</t>
  </si>
  <si>
    <t>Rehabilitation RW4L-22R</t>
  </si>
  <si>
    <t>RIDOT Pawtucket Ave Over I195</t>
  </si>
  <si>
    <t>MIT Kendall Sq S Main Enabling</t>
  </si>
  <si>
    <t>MBTA Red Line Signal Impr</t>
  </si>
  <si>
    <t>Suffolk Wynn Boston Harbor</t>
  </si>
  <si>
    <t>Civil 2016</t>
  </si>
  <si>
    <t>Civil 2017</t>
  </si>
  <si>
    <t>* Chelsea St Drawbridge Replac</t>
  </si>
  <si>
    <t>Wellington Yard Expansion</t>
  </si>
  <si>
    <t>Scott Street MSE Wall</t>
  </si>
  <si>
    <t>* Logan Runway 33L Safe Improv</t>
  </si>
  <si>
    <t>UMassStudentHousing PCPS Piles</t>
  </si>
  <si>
    <t>BCH Clinical Bdg SOE/MA Excav</t>
  </si>
  <si>
    <t>* I-93 Tunnel Remediation</t>
  </si>
  <si>
    <t>* Lovejoy Wharf Construction</t>
  </si>
  <si>
    <t>UMass Bos Garage H Piles</t>
  </si>
  <si>
    <t>Worcester Improve CP6 Interl</t>
  </si>
  <si>
    <t>Happy Valley CMAR Precon</t>
  </si>
  <si>
    <t>MBTA Red Line Substations</t>
  </si>
  <si>
    <t>N Main Pump Stn Motor Replace</t>
  </si>
  <si>
    <t>Phase2 Sys Transformer Replace</t>
  </si>
  <si>
    <t>* Harvard Blackst Comb Heat&amp;Pw</t>
  </si>
  <si>
    <t>NGrid Salem Hbr Substns Upgrd</t>
  </si>
  <si>
    <t>* Term B Baggage Handling Syst</t>
  </si>
  <si>
    <t>* MPA Conley Term Cranes 5 &amp; 6</t>
  </si>
  <si>
    <t>Kendall Cogener Stn Reconfig</t>
  </si>
  <si>
    <t>Deer Isl Winthrop Term Replace</t>
  </si>
  <si>
    <t>Boston Landing Station</t>
  </si>
  <si>
    <t>* Term B Bag Rm Cnvrs B6&amp;B7</t>
  </si>
  <si>
    <t>Electrical 2016</t>
  </si>
  <si>
    <t>Electrical 2017</t>
  </si>
  <si>
    <t>Charlestown HS Energy Improve</t>
  </si>
  <si>
    <t>Suffolk Cty HOC Roof&amp;HVAC Repl</t>
  </si>
  <si>
    <t>* CBIS Optimization-HVAC FSB</t>
  </si>
  <si>
    <t>HVAC Repl&amp;Upgr-Essex Cty Corr</t>
  </si>
  <si>
    <t>UMass Util Corr Pkg#4 HVAC FSB</t>
  </si>
  <si>
    <t>Jamaicaway Towers R&amp;R HVAC</t>
  </si>
  <si>
    <t>* Hynes Conv Ctr Chiller Repla</t>
  </si>
  <si>
    <t>* Logan Term B&amp;C HVAC/Mech, GC</t>
  </si>
  <si>
    <t>State House Energy Upgrades</t>
  </si>
  <si>
    <t>Kendall Reconfig Project-Mech</t>
  </si>
  <si>
    <t>Jamaicaway Townhouse FCU Repl</t>
  </si>
  <si>
    <t>Thermal Pwr PlantSystem Upgr</t>
  </si>
  <si>
    <t>Term B&amp;C HVAC</t>
  </si>
  <si>
    <t>Northeastern University CASA</t>
  </si>
  <si>
    <t>Mechanical 2016</t>
  </si>
  <si>
    <t>ROV Inspection at Shaft 5A</t>
  </si>
  <si>
    <t>Diving 2016</t>
  </si>
  <si>
    <t>Formwork 2016</t>
  </si>
  <si>
    <t>Formwork 2017</t>
  </si>
  <si>
    <t>JFW SOLAR LLC</t>
  </si>
  <si>
    <t>WELCO - Equipment Division</t>
  </si>
  <si>
    <t>* MassPort West Garage</t>
  </si>
  <si>
    <t>All ST&amp;S Supp of Excavation</t>
  </si>
  <si>
    <t>* Nut Island Headworks</t>
  </si>
  <si>
    <t>Mechanical 2017</t>
  </si>
  <si>
    <t>Diving 2017</t>
  </si>
  <si>
    <t>JFW CCCORP</t>
  </si>
  <si>
    <t>JFW Adj and Eliminations</t>
  </si>
  <si>
    <t>Fore River Bridge Rplcmnt JV</t>
  </si>
  <si>
    <t>Longfellow Bridge Rplcment JV</t>
  </si>
  <si>
    <t>Fitchburg Commuter Rail JV</t>
  </si>
  <si>
    <t>Springfield I91 Viaduct JV</t>
  </si>
  <si>
    <t>Green Line Extension JV</t>
  </si>
  <si>
    <t>GLX IGMP #1 JV</t>
  </si>
  <si>
    <t>GLX IGMP #2 JV</t>
  </si>
  <si>
    <t>GLX IGMP #3 JV</t>
  </si>
  <si>
    <t>GLX GMP #4A JV</t>
  </si>
  <si>
    <t>Fore River Bridge Int Dpt</t>
  </si>
  <si>
    <t>Fore River Bridge Rplcmnt %JV</t>
  </si>
  <si>
    <t>Longfellow Bridge Int Dpt</t>
  </si>
  <si>
    <t>Longfellow Bridge Rplcmnt %JV</t>
  </si>
  <si>
    <t>Fitchburg Comm Rail Int Dpt</t>
  </si>
  <si>
    <t>Fitchburg Comm Rail %JV</t>
  </si>
  <si>
    <t>I91 Springfield Viaduct IntDpt</t>
  </si>
  <si>
    <t>Springfield I-91 Viaduct %JV</t>
  </si>
  <si>
    <t>* Green Line Extension Int Dpt</t>
  </si>
  <si>
    <t>* Green Line Extension %JV</t>
  </si>
  <si>
    <t>GLX IGMP #1  Int. Dpmt</t>
  </si>
  <si>
    <t>GLX IGMP #1  % JV</t>
  </si>
  <si>
    <t>GLX IGMP #2 Int. Dpmt</t>
  </si>
  <si>
    <t>GLX IGMP #2 % JV</t>
  </si>
  <si>
    <t>GLX IGMP #3  Int. Dpmt</t>
  </si>
  <si>
    <t>GLX GMP #4A Int. Dpmt</t>
  </si>
  <si>
    <t>GLX GMP #4A % JV</t>
  </si>
  <si>
    <t>JF WHITE/EMPIRE   - Int. Dpmt</t>
  </si>
  <si>
    <t>I93 Medford Superstructures JV</t>
  </si>
  <si>
    <t>SEW JV - Int. Dpmt</t>
  </si>
  <si>
    <t>SEW</t>
  </si>
  <si>
    <t>TBD</t>
  </si>
  <si>
    <t>Ottawa Phase II - Int Dept</t>
  </si>
  <si>
    <t>Ottawa Phase II - %JV</t>
  </si>
  <si>
    <t>508B Tnl Conn BrklynShaft Chmb</t>
  </si>
  <si>
    <t>Salem Harbor Breaker Repl</t>
  </si>
  <si>
    <t>Massport Terminal B Optimiz</t>
  </si>
  <si>
    <t>GLX G&amp;A</t>
  </si>
  <si>
    <t>GLX G&amp;A Int Dept</t>
  </si>
  <si>
    <t>Rplcmnt Bruckner Expwy Int Dpt</t>
  </si>
  <si>
    <t>Rplcmnt Bruckner Expwy JV</t>
  </si>
  <si>
    <t>Rplcmnt Bruckner Expwy</t>
  </si>
  <si>
    <t>Monte Vista Grade Sep</t>
  </si>
  <si>
    <t>GLX JV</t>
  </si>
  <si>
    <t>State House-Senate Renovations</t>
  </si>
  <si>
    <t>Dragados Canada Closed Jobs</t>
  </si>
  <si>
    <t>White Rose Int Dept</t>
  </si>
  <si>
    <t>White Rose %JV</t>
  </si>
  <si>
    <t>White Rose JV</t>
  </si>
  <si>
    <t>Faneuil Hall HVAC and Upgrades</t>
  </si>
  <si>
    <t>Port Laredo</t>
  </si>
  <si>
    <t>SR 108 Granite</t>
  </si>
  <si>
    <t>SH288 Toll Lanes</t>
  </si>
  <si>
    <t>* Emergency Cut &amp; Toss</t>
  </si>
  <si>
    <t>Tobin Bridge Steel Repairs</t>
  </si>
  <si>
    <t>Yuma Cnty Bridge Repair</t>
  </si>
  <si>
    <t>Gloucester Drawbridge</t>
  </si>
  <si>
    <t>* DO NOT USE</t>
  </si>
  <si>
    <t>Fort Bend FM 521</t>
  </si>
  <si>
    <t>Waterside Place Phase II</t>
  </si>
  <si>
    <t>Wilmot TI OP</t>
  </si>
  <si>
    <t>Islands Expressway (CR787)</t>
  </si>
  <si>
    <t>3RD TRACK 6240 MAINLINE EXP</t>
  </si>
  <si>
    <t>3rd Track Int Dept</t>
  </si>
  <si>
    <t>LIRR Expansion - Int Dept</t>
  </si>
  <si>
    <t>Terminal B Optimiz HVAC</t>
  </si>
  <si>
    <t>Site C - INT DEP</t>
  </si>
  <si>
    <t>Site C - % JV</t>
  </si>
  <si>
    <t>Buena Creek Pump Station</t>
  </si>
  <si>
    <t>GEOCISA USA, Inc</t>
  </si>
  <si>
    <t>Providence I95 over Oxford St</t>
  </si>
  <si>
    <t>Electrical 2018</t>
  </si>
  <si>
    <t>Central Heating Plant Upgrades</t>
  </si>
  <si>
    <t>Rummel</t>
  </si>
  <si>
    <t>Isabella Lake Dam %JV</t>
  </si>
  <si>
    <t>Isabella Lake Dam Int Dept.</t>
  </si>
  <si>
    <t>Texas Hill Bridges</t>
  </si>
  <si>
    <t>12th Street Ave D Bridge</t>
  </si>
  <si>
    <t>Cape Main Track improvement</t>
  </si>
  <si>
    <t>Replacement of I95 over East</t>
  </si>
  <si>
    <t>DBB 427 Labor Co</t>
  </si>
  <si>
    <t>Dragados Constr Eliminations</t>
  </si>
  <si>
    <t>DCON Pulice Eliminations</t>
  </si>
  <si>
    <t>DCON Picone Eliminations</t>
  </si>
  <si>
    <t>DCON Prince Eliminations</t>
  </si>
  <si>
    <t>DCON JF White Eliminations</t>
  </si>
  <si>
    <t>Tufts Chilled Water Extension</t>
  </si>
  <si>
    <t>N Washington St Bridge Rplcmnt</t>
  </si>
  <si>
    <t>REM - Int Dept.</t>
  </si>
  <si>
    <t>REM - %JV</t>
  </si>
  <si>
    <t>DCON GAAP ADJ</t>
  </si>
  <si>
    <t>Copley Tunnel Tpke Repairs</t>
  </si>
  <si>
    <t>Brazoria Cty Expwy</t>
  </si>
  <si>
    <t>FINCH LRT JV</t>
  </si>
  <si>
    <t>Finch LRT Int. Dept</t>
  </si>
  <si>
    <t>Finch LRT %JV</t>
  </si>
  <si>
    <t>HYATT GIRDER R-50739</t>
  </si>
  <si>
    <t>West Seligman Bridges</t>
  </si>
  <si>
    <t>Germann Water Main</t>
  </si>
  <si>
    <t>Hyatt Girder Int Dept</t>
  </si>
  <si>
    <t>HYATT GIRDER R-50739 - %JV</t>
  </si>
  <si>
    <t>Automated People Mover %JV</t>
  </si>
  <si>
    <t>Automated People Mover Int Dpt</t>
  </si>
  <si>
    <t>JF White Reporting Division</t>
  </si>
  <si>
    <t>OIA - Airside Site Utilities</t>
  </si>
  <si>
    <t>UPS System Upgr &amp; Related Work</t>
  </si>
  <si>
    <t>HYATT GIRDER - Int Dept</t>
  </si>
  <si>
    <t>Springfield Union Station</t>
  </si>
  <si>
    <t>Talbot Street Outfall</t>
  </si>
  <si>
    <t>Dragados USA Eliminations</t>
  </si>
  <si>
    <t>Dragados USA IFRS to USGAAP</t>
  </si>
  <si>
    <t>JPP USF v IFRS</t>
  </si>
  <si>
    <t>Langham Hotel New Service</t>
  </si>
  <si>
    <t>Central Heating Plant Cooling</t>
  </si>
  <si>
    <t>MPA HVAC Sys South Cargo 58</t>
  </si>
  <si>
    <t>MWRA Fore River RR Main Line</t>
  </si>
  <si>
    <t>Cohasset Narrows Bridge Rplmnt</t>
  </si>
  <si>
    <t>North Jetty Parcel 5</t>
  </si>
  <si>
    <t>PS-281 Prospect Ave Pump</t>
  </si>
  <si>
    <t>Catskill Aqueduct Repair</t>
  </si>
  <si>
    <t>I-4/I-75 Ramp (T7406)</t>
  </si>
  <si>
    <t>Soto Bridge</t>
  </si>
  <si>
    <t>SR 60/I-75 Ramps (T7408)</t>
  </si>
  <si>
    <t>SR821 HEFT (E8Q78)</t>
  </si>
  <si>
    <t>Pulice IFRS Entries</t>
  </si>
  <si>
    <t>IFRS 15</t>
  </si>
  <si>
    <t>Gordie Howe Bridge Int Dept.</t>
  </si>
  <si>
    <t>Gordie Howe Bridge</t>
  </si>
  <si>
    <t>Gordie Howe Bridge - %JV</t>
  </si>
  <si>
    <t>I16 at I95 Interchange-Int Dpt</t>
  </si>
  <si>
    <t>Savannah Mobility Contractors</t>
  </si>
  <si>
    <t>I-16 at I-95 Interchange %JV</t>
  </si>
  <si>
    <t>Phx-Mesa Gateway Taxi C</t>
  </si>
  <si>
    <t>PHX Sky Train</t>
  </si>
  <si>
    <t>Marine Wharf Parcel A</t>
  </si>
  <si>
    <t>NBC 78 Interceptor Replacement</t>
  </si>
  <si>
    <t>Potomac Yard Railstn Int Dpt</t>
  </si>
  <si>
    <t>Potomac Yard Railstation %JV</t>
  </si>
  <si>
    <t>LATC Intermodal Mod</t>
  </si>
  <si>
    <t>Northern Pkwy - Dys 111</t>
  </si>
  <si>
    <t>Dragados Canada IFRS 15 Adj</t>
  </si>
  <si>
    <t>Boston City Hall HVAC</t>
  </si>
  <si>
    <t>Pier A HVAC Term B Optimizatio</t>
  </si>
  <si>
    <t>OIA - MSE Walls</t>
  </si>
  <si>
    <t>Centerm Expansion Proj Int Dpt</t>
  </si>
  <si>
    <t>Centerm Expansion Proj - %JV</t>
  </si>
  <si>
    <t>Centerm Expansion Project JV</t>
  </si>
  <si>
    <t>Millers River Apartments, HVAC</t>
  </si>
  <si>
    <t>Northern Parkway</t>
  </si>
  <si>
    <t>NJTA BRIDGE DECK RECONSTRUCTIO</t>
  </si>
  <si>
    <t>South Coastal Rail</t>
  </si>
  <si>
    <t>Prince Adj and Eliminations</t>
  </si>
  <si>
    <t>MPA Design Packages DP 2,3,4</t>
  </si>
  <si>
    <t>Robert W Healy Pub Safety Bdg</t>
  </si>
  <si>
    <t>BNA CA DFA Inc.</t>
  </si>
  <si>
    <t>Outfall Tunnel</t>
  </si>
  <si>
    <t>Corporation</t>
  </si>
  <si>
    <t>Dragados USA</t>
  </si>
  <si>
    <t>Dragados Canada</t>
  </si>
  <si>
    <t>JF White</t>
  </si>
  <si>
    <t>Prince</t>
  </si>
  <si>
    <t>Pulice</t>
  </si>
  <si>
    <t>Picone</t>
  </si>
  <si>
    <t>Schiavone</t>
  </si>
  <si>
    <t>Other</t>
  </si>
  <si>
    <t>Column1</t>
  </si>
  <si>
    <t>AllCoAllDiv</t>
  </si>
  <si>
    <t>New York</t>
  </si>
  <si>
    <t>Florida</t>
  </si>
  <si>
    <t>Puerto Rico</t>
  </si>
  <si>
    <t>I-595</t>
  </si>
  <si>
    <t>North Pacific</t>
  </si>
  <si>
    <t>California</t>
  </si>
  <si>
    <t>Boston</t>
  </si>
  <si>
    <t>Mid Atlantic</t>
  </si>
  <si>
    <t>East Canada</t>
  </si>
  <si>
    <t>West canada</t>
  </si>
  <si>
    <t>Central Canada</t>
  </si>
  <si>
    <t>Vias</t>
  </si>
  <si>
    <t>Payroll</t>
  </si>
  <si>
    <t>South California</t>
  </si>
  <si>
    <t>Texas</t>
  </si>
  <si>
    <t>Massachusets</t>
  </si>
  <si>
    <t>Tampa</t>
  </si>
  <si>
    <t>Arizona</t>
  </si>
  <si>
    <t>McNeil</t>
  </si>
  <si>
    <t>Roadway</t>
  </si>
  <si>
    <t>Long Island City</t>
  </si>
  <si>
    <t>New Jersey</t>
  </si>
  <si>
    <t>Corporate</t>
  </si>
  <si>
    <t>Branch</t>
  </si>
  <si>
    <t>Division</t>
  </si>
  <si>
    <t>9/1-East Canada Branch</t>
  </si>
  <si>
    <t>9/2-* White River Hydroelectric Pr</t>
  </si>
  <si>
    <t>9/3-Dragados Canada Closed Jobs</t>
  </si>
  <si>
    <t>9/301-A-30 - Int. Dpt.</t>
  </si>
  <si>
    <t>9/302-LRT-OTTAWA Int Dept</t>
  </si>
  <si>
    <t>9/303-Eglington Tunnel - Int. Dpt.</t>
  </si>
  <si>
    <t>9/304-New Brdg St Lawrence - Int Dpt</t>
  </si>
  <si>
    <t>9/305-Eglinton LRT - Int Dept</t>
  </si>
  <si>
    <t>9/306-Ottawa Cmb Sewage Tnl - IntDpt</t>
  </si>
  <si>
    <t>9/307-Link 427 Internal Dept</t>
  </si>
  <si>
    <t>9/308-Cote-Vertu - Int Dpt.</t>
  </si>
  <si>
    <t>9/309-Ottawa Phase II - Int Dept</t>
  </si>
  <si>
    <t>9/310-White Rose Int Dept</t>
  </si>
  <si>
    <t>9/311-REM - Int Dept.</t>
  </si>
  <si>
    <t>9/312-Finch LRT Int. Dept</t>
  </si>
  <si>
    <t>9/313-Gordie Howe Bridge Int Dept.</t>
  </si>
  <si>
    <t>9/501-A-30 - % JV</t>
  </si>
  <si>
    <t>9/502-LRT-OTTAWA %JV</t>
  </si>
  <si>
    <t>9/503-Eglington Tunnel - %JV</t>
  </si>
  <si>
    <t>9/504-New Bridge St Lawrence - %JV</t>
  </si>
  <si>
    <t>9/505-Eglinton Crosstown LRT - %JV</t>
  </si>
  <si>
    <t>9/506-Ottawa Comb Sewage Tnl - %JV</t>
  </si>
  <si>
    <t>9/507-Link 427 % JV</t>
  </si>
  <si>
    <t>9/508-Cote-Vertu - %JV</t>
  </si>
  <si>
    <t>9/509-Ottawa Phase II - %JV</t>
  </si>
  <si>
    <t>9/510-White Rose %JV</t>
  </si>
  <si>
    <t>9/511-REM - %JV</t>
  </si>
  <si>
    <t>9/512-Finch LRT %JV</t>
  </si>
  <si>
    <t>9/513-Gordie Howe Bridge - %JV</t>
  </si>
  <si>
    <t>9/706-Ottawa Comb Sewage Tnl - JV</t>
  </si>
  <si>
    <t>9/707-Link 427 CJV</t>
  </si>
  <si>
    <t>9/710-White Rose JV</t>
  </si>
  <si>
    <t>9/712-FINCH LRT JV</t>
  </si>
  <si>
    <t>9/713-Gordie Howe Bridge</t>
  </si>
  <si>
    <t>10/1-Vancouver Branch</t>
  </si>
  <si>
    <t>10/301-South Fraser - Int. Dpt.</t>
  </si>
  <si>
    <t>10/302-Neahd - Int. Dept.</t>
  </si>
  <si>
    <t>10/303-Ruskin Dam - Int. Dpt.</t>
  </si>
  <si>
    <t>10/304-DTRRIP JV - Int. Dept.</t>
  </si>
  <si>
    <t>10/305-Site C - INT DEP</t>
  </si>
  <si>
    <t>10/306-Centerm Expansion Proj Int Dpt</t>
  </si>
  <si>
    <t>10/501-South Fraser - % JV</t>
  </si>
  <si>
    <t>10/502-Neahd % JV</t>
  </si>
  <si>
    <t>10/503-Ruskin Dam %JV</t>
  </si>
  <si>
    <t>10/504-DTRRIP - % JV</t>
  </si>
  <si>
    <t>10/505-Site C - % JV</t>
  </si>
  <si>
    <t>10/506-Centerm Expansion Proj - %JV</t>
  </si>
  <si>
    <t>10/704-DTRRIP Joint Venture</t>
  </si>
  <si>
    <t>10/706-Centerm Expansion Project JV</t>
  </si>
  <si>
    <t>10/999-IFRS 15</t>
  </si>
  <si>
    <t>11/301-Windsor Essex Pkw - Int. Dpt.</t>
  </si>
  <si>
    <t>11/501-Windsor Essex Pkw - % JV</t>
  </si>
  <si>
    <t>13/1-DT CSST Inc Branch</t>
  </si>
  <si>
    <t>13/2-DBB 427 Labor Co</t>
  </si>
  <si>
    <t>13/3-BNA CA DFA Inc.</t>
  </si>
  <si>
    <t>91/1-Dragados Canada, Inc.</t>
  </si>
  <si>
    <t>91/2-Vias Canada, Inc.</t>
  </si>
  <si>
    <t>91/998-Dragados Canada IFRS 15 Adj</t>
  </si>
  <si>
    <t>91/999-Canada Adj + Elim</t>
  </si>
  <si>
    <t>1/1-New York Branch</t>
  </si>
  <si>
    <t>1/2-* ESA CM009</t>
  </si>
  <si>
    <t>1/3-* ESA CM019</t>
  </si>
  <si>
    <t>1/299-Dragados USA Equipment Div</t>
  </si>
  <si>
    <t>1/301-* ESA CM009 - Int. Dpt.</t>
  </si>
  <si>
    <t>1/302-* I287 - Int. Dpt.</t>
  </si>
  <si>
    <t>1/303-* Croton Falls - Int. Dpt.</t>
  </si>
  <si>
    <t>1/304-* ESA CM019 - Int. Dpt.</t>
  </si>
  <si>
    <t>1/305-C-538D - Int. Dpt.</t>
  </si>
  <si>
    <t>1/306-LIRR Expansion - Int Dept</t>
  </si>
  <si>
    <t>1/501-* ESA CM009 - % JV</t>
  </si>
  <si>
    <t>1/502-* I287 - % JV</t>
  </si>
  <si>
    <t>1/503-* Croton Falls - % JV</t>
  </si>
  <si>
    <t>1/504-* ESA CM019 - % JV</t>
  </si>
  <si>
    <t>1/505-C538D - % JV</t>
  </si>
  <si>
    <t>1/506-3RD TRACK 6240 MAINLINE EXP</t>
  </si>
  <si>
    <t>2/1-Florida Branch</t>
  </si>
  <si>
    <t>2/2-* FLDOT - SMALL PROJECTS</t>
  </si>
  <si>
    <t>2/3-SR-23 PROJECT SEGMENT 1</t>
  </si>
  <si>
    <t>2/4-SR-23 PROJECT SEGMENT 2</t>
  </si>
  <si>
    <t>2/5-I-75 Segment E Express Lanes</t>
  </si>
  <si>
    <t>2/6-Wilson Interchange</t>
  </si>
  <si>
    <t>2/7-I-295 Express Lanes</t>
  </si>
  <si>
    <t>2/301-* Miami Airport Int. Dpt.</t>
  </si>
  <si>
    <t>2/302-I16 at I95 Interchange-Int Dpt</t>
  </si>
  <si>
    <t>2/501-* Miami Airport - % JV</t>
  </si>
  <si>
    <t>2/502-I-16 at I-95 Interchange %JV</t>
  </si>
  <si>
    <t>2/702-Savannah Mobility Contractors</t>
  </si>
  <si>
    <t>3/1-Puerto Rico Branch</t>
  </si>
  <si>
    <t>3/2-Portugues Dam</t>
  </si>
  <si>
    <t>3/3-Rio Puerto Nuevo</t>
  </si>
  <si>
    <t>3/4-Channel Beechara</t>
  </si>
  <si>
    <t>4/1-I-595 Branch</t>
  </si>
  <si>
    <t>4/2-Dragados USA, Inc. I-595</t>
  </si>
  <si>
    <t>4/3-SW 121 Avenue Project</t>
  </si>
  <si>
    <t>4/4-DRAGADOS USA - SR 838</t>
  </si>
  <si>
    <t>4/301-* DUSA/Baker - Int. Dpt.</t>
  </si>
  <si>
    <t>4/501-* DUSA/Baker - % JV</t>
  </si>
  <si>
    <t>5/0-Seattle Partners Consolidated</t>
  </si>
  <si>
    <t>5/1-North Pacific Branch</t>
  </si>
  <si>
    <t>5/2-EchoWater - BNR</t>
  </si>
  <si>
    <t>5/301-SR-99 - Int. Dpt.</t>
  </si>
  <si>
    <t>5/501-SR-99 - JV</t>
  </si>
  <si>
    <t>5/701-SEATTLE TUNNEL PARTNERS A JV</t>
  </si>
  <si>
    <t>6/1-California Branch</t>
  </si>
  <si>
    <t>6/301-Calaveras DAM - Int Dpt</t>
  </si>
  <si>
    <t>6/501-Calaveras DAM - %JV</t>
  </si>
  <si>
    <t>6/701-Dragados USA/Flatiron/Sukut JV</t>
  </si>
  <si>
    <t>7/1-* Massachusets Branch</t>
  </si>
  <si>
    <t>7/2-Own Job free space</t>
  </si>
  <si>
    <t>8/1-Mid-Atlantic Branch</t>
  </si>
  <si>
    <t>8/2-Camp Lejeune Project</t>
  </si>
  <si>
    <t>8/3-Winston Beltway</t>
  </si>
  <si>
    <t>8/4-Durham Connector</t>
  </si>
  <si>
    <t>8/301-Portsmouth JV - Int Dept</t>
  </si>
  <si>
    <t>8/302-Parallel Thimble Shoal Int Dpt</t>
  </si>
  <si>
    <t>8/501-Portsmouth %JV</t>
  </si>
  <si>
    <t>8/502-Parallel Thimble Shoal Tnl %JV</t>
  </si>
  <si>
    <t>8/701-Portsmouth JV</t>
  </si>
  <si>
    <t>8/702-Chesapeake Joint Venture</t>
  </si>
  <si>
    <t>20/1-Texas Branch</t>
  </si>
  <si>
    <t>20/301-SH 288 - Int Dept</t>
  </si>
  <si>
    <t>20/302-Harbor Bridge - Int Dept</t>
  </si>
  <si>
    <t>20/501-SH 288 - %JV</t>
  </si>
  <si>
    <t>20/502-Harbor Bridge - %JV</t>
  </si>
  <si>
    <t>20/701-SH 288 JV</t>
  </si>
  <si>
    <t>20/702-FLATIRON DRAGADOS LLC.</t>
  </si>
  <si>
    <t>22/1-Southern California Branch</t>
  </si>
  <si>
    <t>22/2-Outfall Tunnel</t>
  </si>
  <si>
    <t>22/301-HSR 2-3 - Int Dept</t>
  </si>
  <si>
    <t>22/302-Isabella Lake Dam Int Dept.</t>
  </si>
  <si>
    <t>22/303-Automated People Mover Int Dpt</t>
  </si>
  <si>
    <t>22/501-HSR 2-3 - %JV</t>
  </si>
  <si>
    <t>22/502-Isabella Lake Dam %JV</t>
  </si>
  <si>
    <t>22/503-Automated People Mover %JV</t>
  </si>
  <si>
    <t>22/701-HSR JV 2-3</t>
  </si>
  <si>
    <t>90/1-Dragados USA, Inc.</t>
  </si>
  <si>
    <t>90/998-Dragados USA IFRS to USGAAP</t>
  </si>
  <si>
    <t>90/999-Dragados USA Eliminations</t>
  </si>
  <si>
    <t>45/1-J.F. White Contracting Co</t>
  </si>
  <si>
    <t>45/2-Deerfield I91 Over Lower Rd</t>
  </si>
  <si>
    <t>45/3-Fitchburg Comm Rail Improve</t>
  </si>
  <si>
    <t>45/4-* Logan Airport Term E</t>
  </si>
  <si>
    <t>45/5-* Cargo Ventures Foundations</t>
  </si>
  <si>
    <t>45/6-* WRTA Bus Maint Facility</t>
  </si>
  <si>
    <t>45/7-Rehabilitate Runway 4R-Phase I</t>
  </si>
  <si>
    <t>45/8-* Worcester Comm Rail Phase II</t>
  </si>
  <si>
    <t>45/9-* Rehab of Term A &amp; Taxi E and</t>
  </si>
  <si>
    <t>45/10-Tufts Univ Science &amp; Eng Ctr</t>
  </si>
  <si>
    <t>45/11-* Harborside Dr&amp;Arrivals Tunne</t>
  </si>
  <si>
    <t>45/12-LaGrange St Bridge Rehab</t>
  </si>
  <si>
    <t>45/13-* 345 Harrison Avenue</t>
  </si>
  <si>
    <t>45/14-* Tufts Storm Water Improve I</t>
  </si>
  <si>
    <t>45/15-Beverly Draw Swingspan Replace</t>
  </si>
  <si>
    <t>45/16-N Attleboro Bridge Replace I95</t>
  </si>
  <si>
    <t>45/17-Taxiway Worcester Reg Airport</t>
  </si>
  <si>
    <t>45/18-Rehabilitation RW4L-22R</t>
  </si>
  <si>
    <t>45/19-RIDOT Pawtucket Ave Over I195</t>
  </si>
  <si>
    <t>45/20-MIT Kendall Sq S Main Enabling</t>
  </si>
  <si>
    <t>45/21-MBTA Red Line Signal Impr</t>
  </si>
  <si>
    <t>45/22-Suffolk Wynn Boston Harbor</t>
  </si>
  <si>
    <t>45/23-* Chelsea St Drawbridge Replac</t>
  </si>
  <si>
    <t>45/24-Wellington Yard Expansion</t>
  </si>
  <si>
    <t>45/26-* Logan Runway 33L Safe Improv</t>
  </si>
  <si>
    <t>45/27-UMassStudentHousing PCPS Piles</t>
  </si>
  <si>
    <t>45/28-BCH Clinical Bdg SOE/MA Excav</t>
  </si>
  <si>
    <t>45/29-* I-93 Tunnel Remediation</t>
  </si>
  <si>
    <t>45/30-* Lovejoy Wharf Construction</t>
  </si>
  <si>
    <t>45/31-UMass Bos Garage H Piles</t>
  </si>
  <si>
    <t>45/32-Worcester Improve CP6 Interl</t>
  </si>
  <si>
    <t>45/33-Northeastern University CASA</t>
  </si>
  <si>
    <t>45/34-* MassPort West Garage</t>
  </si>
  <si>
    <t>45/35-All ST&amp;S Supp of Excavation</t>
  </si>
  <si>
    <t>45/36-Massport Terminal B Optimiz</t>
  </si>
  <si>
    <t>45/37-Tobin Bridge Steel Repairs</t>
  </si>
  <si>
    <t>45/38-Gloucester Drawbridge</t>
  </si>
  <si>
    <t>45/39-* DO NOT USE</t>
  </si>
  <si>
    <t>45/40-Waterside Place Phase II</t>
  </si>
  <si>
    <t>45/41-Providence I95 over Oxford St</t>
  </si>
  <si>
    <t>45/42-Cape Main Track improvement</t>
  </si>
  <si>
    <t>45/43-Replacement of I95 over East</t>
  </si>
  <si>
    <t>45/44-Tufts Chilled Water Extension</t>
  </si>
  <si>
    <t>45/45-N Washington St Bridge Rplcmnt</t>
  </si>
  <si>
    <t>45/46-Copley Tunnel Tpke Repairs</t>
  </si>
  <si>
    <t>45/47-Springfield Union Station</t>
  </si>
  <si>
    <t>45/48-Talbot Street Outfall</t>
  </si>
  <si>
    <t>45/49-MWRA Fore River RR Main Line</t>
  </si>
  <si>
    <t>45/50-Cohasset Narrows Bridge Rplmnt</t>
  </si>
  <si>
    <t>45/51-North Jetty Parcel 5</t>
  </si>
  <si>
    <t>45/52-Marine Wharf Parcel A</t>
  </si>
  <si>
    <t>45/53-NBC 78 Interceptor Replacement</t>
  </si>
  <si>
    <t>45/54-South Coastal Rail</t>
  </si>
  <si>
    <t>45/80-Civil 2016</t>
  </si>
  <si>
    <t>45/81-Civil 2017</t>
  </si>
  <si>
    <t>45/101-MBTA Red Line Substations</t>
  </si>
  <si>
    <t>45/102-N Main Pump Stn Motor Replace</t>
  </si>
  <si>
    <t>45/103-Phase2 Sys Transformer Replace</t>
  </si>
  <si>
    <t>45/104-* Harvard Blackst Comb Heat&amp;Pw</t>
  </si>
  <si>
    <t>45/105-NGrid Salem Hbr Substns Upgrd</t>
  </si>
  <si>
    <t>45/106-* Term B Baggage Handling Syst</t>
  </si>
  <si>
    <t>45/107-* MPA Conley Term Cranes 5 &amp; 6</t>
  </si>
  <si>
    <t>45/108-Kendall Cogener Stn Reconfig</t>
  </si>
  <si>
    <t>45/109-Deer Isl Winthrop Term Replace</t>
  </si>
  <si>
    <t>45/110-Boston Landing Station</t>
  </si>
  <si>
    <t>45/111-* Term B Bag Rm Cnvrs B6&amp;B7</t>
  </si>
  <si>
    <t>45/112-* Nut Island Headworks</t>
  </si>
  <si>
    <t>45/113-Salem Harbor Breaker Repl</t>
  </si>
  <si>
    <t>45/114-Langham Hotel New Service</t>
  </si>
  <si>
    <t>45/180-Electrical 2016</t>
  </si>
  <si>
    <t>45/181-Electrical 2017</t>
  </si>
  <si>
    <t>45/182-Electrical 2018</t>
  </si>
  <si>
    <t>45/201-Charlestown HS Energy Improve</t>
  </si>
  <si>
    <t>45/202-Suffolk Cty HOC Roof&amp;HVAC Repl</t>
  </si>
  <si>
    <t>45/203-* CBIS Optimization-HVAC FSB</t>
  </si>
  <si>
    <t>45/204-HVAC Repl&amp;Upgr-Essex Cty Corr</t>
  </si>
  <si>
    <t>45/205-UMass Util Corr Pkg#4 HVAC FSB</t>
  </si>
  <si>
    <t>45/206-Jamaicaway Towers R&amp;R HVAC</t>
  </si>
  <si>
    <t>45/207-* Hynes Conv Ctr Chiller Repla</t>
  </si>
  <si>
    <t>45/208-* Logan Term B&amp;C HVAC/Mech, GC</t>
  </si>
  <si>
    <t>45/209-State House Energy Upgrades</t>
  </si>
  <si>
    <t>45/210-Kendall Reconfig Project-Mech</t>
  </si>
  <si>
    <t>45/211-Jamaicaway Townhouse FCU Repl</t>
  </si>
  <si>
    <t>45/212-Thermal Pwr PlantSystem Upgr</t>
  </si>
  <si>
    <t>45/213-Term B&amp;C HVAC</t>
  </si>
  <si>
    <t>45/214-State House-Senate Renovations</t>
  </si>
  <si>
    <t>45/215-Faneuil Hall HVAC and Upgrades</t>
  </si>
  <si>
    <t>45/216-Terminal B Optimiz HVAC</t>
  </si>
  <si>
    <t>45/217-Central Heating Plant Upgrades</t>
  </si>
  <si>
    <t>45/218-UPS System Upgr &amp; Related Work</t>
  </si>
  <si>
    <t>45/219-Central Heating Plant Cooling</t>
  </si>
  <si>
    <t>45/220-MPA HVAC Sys South Cargo 58</t>
  </si>
  <si>
    <t>45/221-Boston City Hall HVAC</t>
  </si>
  <si>
    <t>45/222-Pier A HVAC Term B Optimizatio</t>
  </si>
  <si>
    <t>45/223-Millers River Apartments, HVAC</t>
  </si>
  <si>
    <t>45/224-Robert W Healy Pub Safety Bdg</t>
  </si>
  <si>
    <t>45/225-MPA Design Packages DP 2,3,4</t>
  </si>
  <si>
    <t>45/260-Mechanical 2016</t>
  </si>
  <si>
    <t>45/261-Mechanical 2017</t>
  </si>
  <si>
    <t>45/270-ROV Inspection at Shaft 5A</t>
  </si>
  <si>
    <t>45/271-Diving 2016</t>
  </si>
  <si>
    <t>45/272-Diving 2017</t>
  </si>
  <si>
    <t>45/280-Formwork 2016</t>
  </si>
  <si>
    <t>45/281-Formwork 2017</t>
  </si>
  <si>
    <t>45/299-WELCO - Equipment Division</t>
  </si>
  <si>
    <t>45/301-Fore River Bridge Int Dpt</t>
  </si>
  <si>
    <t>45/302-Longfellow Bridge Int Dpt</t>
  </si>
  <si>
    <t>45/303-Fitchburg Comm Rail Int Dpt</t>
  </si>
  <si>
    <t>45/304-I91 Springfield Viaduct IntDpt</t>
  </si>
  <si>
    <t>45/305-* Green Line Extension Int Dpt</t>
  </si>
  <si>
    <t>45/306-GLX IGMP #1  Int. Dpmt</t>
  </si>
  <si>
    <t>45/307-GLX IGMP #2 Int. Dpmt</t>
  </si>
  <si>
    <t>45/308-GLX IGMP #3  Int. Dpmt</t>
  </si>
  <si>
    <t>45/309-GLX GMP #4A Int. Dpmt</t>
  </si>
  <si>
    <t>45/310-JF WHITE/EMPIRE   - Int. Dpmt</t>
  </si>
  <si>
    <t>45/311-SEW JV - Int. Dpmt</t>
  </si>
  <si>
    <t>45/312-TBD</t>
  </si>
  <si>
    <t>45/350-GLX G&amp;A Int Dept</t>
  </si>
  <si>
    <t>45/501-Fore River Bridge Rplcmnt %JV</t>
  </si>
  <si>
    <t>45/502-Longfellow Bridge Rplcmnt %JV</t>
  </si>
  <si>
    <t>45/503-Fitchburg Comm Rail %JV</t>
  </si>
  <si>
    <t>45/504-Springfield I-91 Viaduct %JV</t>
  </si>
  <si>
    <t>45/505-* Green Line Extension %JV</t>
  </si>
  <si>
    <t>45/506-GLX IGMP #1  % JV</t>
  </si>
  <si>
    <t>45/507-GLX IGMP #2 % JV</t>
  </si>
  <si>
    <t>45/508-GLX IGMP #3  Int. Dpmt</t>
  </si>
  <si>
    <t>45/509-GLX GMP #4A % JV</t>
  </si>
  <si>
    <t>45/510-I93 Medford Superstructures JV</t>
  </si>
  <si>
    <t>45/511-SEW</t>
  </si>
  <si>
    <t>45/512-TBD</t>
  </si>
  <si>
    <t>45/550-GLX JV</t>
  </si>
  <si>
    <t>45/701-Fore River Bridge Rplcmnt JV</t>
  </si>
  <si>
    <t>45/702-Longfellow Bridge Rplcment JV</t>
  </si>
  <si>
    <t>45/703-Fitchburg Commuter Rail JV</t>
  </si>
  <si>
    <t>45/704-Springfield I91 Viaduct JV</t>
  </si>
  <si>
    <t>45/705-Green Line Extension JV</t>
  </si>
  <si>
    <t>45/706-GLX IGMP #1 JV</t>
  </si>
  <si>
    <t>45/707-GLX IGMP #2 JV</t>
  </si>
  <si>
    <t>45/708-GLX IGMP #3 JV</t>
  </si>
  <si>
    <t>45/709-GLX GMP #4A JV</t>
  </si>
  <si>
    <t>45/710-I93 Medford Superstructures JV</t>
  </si>
  <si>
    <t>45/712-TBD</t>
  </si>
  <si>
    <t>45/750-GLX G&amp;A</t>
  </si>
  <si>
    <t>45/901-JFW SOLAR LLC</t>
  </si>
  <si>
    <t>45/902-JFW CCCORP</t>
  </si>
  <si>
    <t>45/990-JF White Reporting Division</t>
  </si>
  <si>
    <t>45/999-JFW Adj and Eliminations</t>
  </si>
  <si>
    <t>0/0-Consolidate Dragdados Corp</t>
  </si>
  <si>
    <t>12/1-Vias Canada Projects</t>
  </si>
  <si>
    <t>12/2-OLRT</t>
  </si>
  <si>
    <t>12/3-Lincolnville</t>
  </si>
  <si>
    <t>12/4-Concrete Tie Replacement</t>
  </si>
  <si>
    <t>12/5-Emergent Track Services</t>
  </si>
  <si>
    <t>12/299-Vias Equipment Div</t>
  </si>
  <si>
    <t>70/1-VIAS Florida Branch</t>
  </si>
  <si>
    <t>70/2-Wachusett Extension</t>
  </si>
  <si>
    <t>70/3-Dulles Rail Yard</t>
  </si>
  <si>
    <t>71/1-VIAS USA California Branch</t>
  </si>
  <si>
    <t>81/1-Schiavone Equ. Branch</t>
  </si>
  <si>
    <t>92/1-VIAS USA, Inc.</t>
  </si>
  <si>
    <t>92/2-ELECTREN USA, Inc.</t>
  </si>
  <si>
    <t>93/1-Drace USA , Inc.</t>
  </si>
  <si>
    <t>93/2-Lining Precast LLC</t>
  </si>
  <si>
    <t>94/1-Newark Real Estate Holding,Inc</t>
  </si>
  <si>
    <t>95/1-Dragados Construction</t>
  </si>
  <si>
    <t>95/994-DCON GAAP ADJ</t>
  </si>
  <si>
    <t>95/995-DCON JF White Eliminations</t>
  </si>
  <si>
    <t>95/996-DCON Prince Eliminations</t>
  </si>
  <si>
    <t>95/997-DCON Picone Eliminations</t>
  </si>
  <si>
    <t>95/998-DCON Pulice Eliminations</t>
  </si>
  <si>
    <t>95/999-Dragados Constr Eliminations</t>
  </si>
  <si>
    <t>97/1-GEOCISA USA, Inc</t>
  </si>
  <si>
    <t>98/0-TEST/TRAINING COMPANY</t>
  </si>
  <si>
    <t>99/990-REPORTING DIVISION</t>
  </si>
  <si>
    <t>99/992-I/C Chart Of Accounts</t>
  </si>
  <si>
    <t>99/993-Template % JV</t>
  </si>
  <si>
    <t>99/994-Template Internal Department</t>
  </si>
  <si>
    <t>99/995-Template Branch</t>
  </si>
  <si>
    <t>99/996-Template Own Project - JV</t>
  </si>
  <si>
    <t>99/997-Template Corporate</t>
  </si>
  <si>
    <t>99/998-Chart Of Accounts</t>
  </si>
  <si>
    <t>99/999-Universal Vendors</t>
  </si>
  <si>
    <t>75/0-Picone, All divisions</t>
  </si>
  <si>
    <t>75/1-John P Picone, Inc.</t>
  </si>
  <si>
    <t>75/2-* C545J Shaft Maintenance</t>
  </si>
  <si>
    <t>75/3-* C-538C Water Tunnel 10 Shaft</t>
  </si>
  <si>
    <t>75/4-* Tunnel &amp; Shaft/Rondt Del185</t>
  </si>
  <si>
    <t>75/5-OAKWOOD BCH SBSTN OB-125G</t>
  </si>
  <si>
    <t>75/6-* A-35784 Substns-Brooklyn W E</t>
  </si>
  <si>
    <t>75/7-* A-36011 Five Stns-Pelham Bro</t>
  </si>
  <si>
    <t>75/8-* AVE V-FORCE MAIN PS-79F</t>
  </si>
  <si>
    <t>75/9-* Wards Island WI-270</t>
  </si>
  <si>
    <t>75/10-* JFK-916 Building #161 Fire P</t>
  </si>
  <si>
    <t>75/11-* Cross Bay Bridge CB-09</t>
  </si>
  <si>
    <t>75/12-* NYCT A-36111 Flood Mitigatio</t>
  </si>
  <si>
    <t>75/13-City Tunnel #3 C-549A</t>
  </si>
  <si>
    <t>75/14-* Work Orders@Var Loc GFM-495F</t>
  </si>
  <si>
    <t>75/15-* UN Building BP-038</t>
  </si>
  <si>
    <t>75/16-Tallman Island TI-WW1</t>
  </si>
  <si>
    <t>75/17-Watermain Repairs GE-350</t>
  </si>
  <si>
    <t>75/18-Sewer Repairs SEC20004P</t>
  </si>
  <si>
    <t>75/19-* NR-ER-001 North River WWTP</t>
  </si>
  <si>
    <t>75/26-* Croton CRO-334G CO #55</t>
  </si>
  <si>
    <t>75/27-* N. RIVER EMERG MECH NRER004</t>
  </si>
  <si>
    <t>75/28-ENTRANCE @ SITE P C-26512</t>
  </si>
  <si>
    <t>75/29-Sandy Emerg Wk</t>
  </si>
  <si>
    <t>75/30-Watermain Repairs GE-351</t>
  </si>
  <si>
    <t>75/32-11 HYDR ELEVATORS E-34021</t>
  </si>
  <si>
    <t>75/33-* 2 Escalators E-34019</t>
  </si>
  <si>
    <t>75/34-NEW ARTHUR KILL STN A80265</t>
  </si>
  <si>
    <t>75/35-Bay Park STP Imprv S3B12001G</t>
  </si>
  <si>
    <t>75/36-Sewer Repairs SEC20004R</t>
  </si>
  <si>
    <t>75/37-Watermain Repairs GE354</t>
  </si>
  <si>
    <t>75/38-* South Ferry Term Rem A-37595</t>
  </si>
  <si>
    <t>75/39-ROCKWY BRDWLK 563900002</t>
  </si>
  <si>
    <t>75/40-WARDS ISL CNTRFG UPG WI290A</t>
  </si>
  <si>
    <t>75/41-Bay Park E2 USubst 14E S35121.</t>
  </si>
  <si>
    <t>75/42-6 STATNS SEABEACH A36090</t>
  </si>
  <si>
    <t>75/43-Marine Parkway Rehab MP-21</t>
  </si>
  <si>
    <t>75/44-* Moinian Grp-3Hudson Blvd</t>
  </si>
  <si>
    <t>75/45-Watermain Repairs 2016 GE355</t>
  </si>
  <si>
    <t>75/46-MRNPK&amp;CRSBYBR MP03S/CB99S</t>
  </si>
  <si>
    <t>75/47-Sewer Repairs 2016 SEC20004S</t>
  </si>
  <si>
    <t>75/48-NYCT A-37608 Flood Doors</t>
  </si>
  <si>
    <t>75/49-DEP-CNYEMERWASEM</t>
  </si>
  <si>
    <t>75/50-542C Activation City TNL #3</t>
  </si>
  <si>
    <t>75/51-508B Tnl Conn BrklynShaft Chmb</t>
  </si>
  <si>
    <t>75/52-PS-281 Prospect Ave Pump</t>
  </si>
  <si>
    <t>75/250-JPPMC NY Branch</t>
  </si>
  <si>
    <t>75/251-* SC-1G Spring Creek WPCP</t>
  </si>
  <si>
    <t>75/252-* HP-1G Hunts Point WPCP</t>
  </si>
  <si>
    <t>75/253-Tallman Island TI-3G</t>
  </si>
  <si>
    <t>75/254-Avenue V Pump Station PS-79G</t>
  </si>
  <si>
    <t>75/255-* WI-74G Wards Island WPCP</t>
  </si>
  <si>
    <t>75/256-Wards Island-78G</t>
  </si>
  <si>
    <t>75/296-Equipment Department Shop</t>
  </si>
  <si>
    <t>75/297-Pipe Shop</t>
  </si>
  <si>
    <t>75/298-JPP - Small&amp;Prev.Closed Jobs</t>
  </si>
  <si>
    <t>75/299-JPPMC - Small&amp;Prev Closed Jobs</t>
  </si>
  <si>
    <t>75/301-Croton WT 312OSG IntDpt</t>
  </si>
  <si>
    <t>75/302-Croton Tmt PltCRO312P IntDpt</t>
  </si>
  <si>
    <t>75/303-City Tnl Shafts#3 C538D IntDpt</t>
  </si>
  <si>
    <t>75/304-NC-50G IntDpt</t>
  </si>
  <si>
    <t>75/305-Rondout Tunnel Rehab  IntDpt</t>
  </si>
  <si>
    <t>75/306-Croton Tunnel CRO313 IntDpt</t>
  </si>
  <si>
    <t>75/307-* 30 St W Vent Plt Rehab IntDp</t>
  </si>
  <si>
    <t>75/308-Croton Tunnel Rehab334G IntDpt</t>
  </si>
  <si>
    <t>75/309-IntDpt NC-41F Skanska/Picone</t>
  </si>
  <si>
    <t>75/310-Newtown Creek NC35G IntDpt</t>
  </si>
  <si>
    <t>75/311-Newtown Creek NC47G IntDpt</t>
  </si>
  <si>
    <t>75/312-Newtown Creek 41G IntDpt</t>
  </si>
  <si>
    <t>75/313-* IntDpt Picone/Scariano JV</t>
  </si>
  <si>
    <t>75/314-* Hamlet Electric IntDpt</t>
  </si>
  <si>
    <t>75/315-55 St Vent Plant CMO13A IntDpt</t>
  </si>
  <si>
    <t>75/316-* Ocean Parkway D-262250  Int</t>
  </si>
  <si>
    <t>75/317-86th St Station C26012 IntDpt</t>
  </si>
  <si>
    <t>75/318-Harold Structure CH057A IntDpt</t>
  </si>
  <si>
    <t>75/319-Bowery Bay Pump Station IntDpt</t>
  </si>
  <si>
    <t>75/320-Johnson Ave Track 6121 IntDpt</t>
  </si>
  <si>
    <t>75/321-GCT Concourse CM014B IntDpt</t>
  </si>
  <si>
    <t>75/322-Dyre Av Station A36916 IntDpt</t>
  </si>
  <si>
    <t>75/323-Rt110 Sunrise Hwy DB IntDpt</t>
  </si>
  <si>
    <t>75/324-Prelim Treatm Rel Impr IntDpt</t>
  </si>
  <si>
    <t>75/325-3rd Track Int Dept</t>
  </si>
  <si>
    <t>75/326-HYATT GIRDER - Int Dept</t>
  </si>
  <si>
    <t>75/501-CROTON WT 312OSG</t>
  </si>
  <si>
    <t>75/502-CROTON WT CRO312P</t>
  </si>
  <si>
    <t>75/503-CITY TUN SHFT3 C538D</t>
  </si>
  <si>
    <t>75/504-NEWTOWN CRK NC-50G</t>
  </si>
  <si>
    <t>75/505-RONDOUT TUNNEL REHAB JV</t>
  </si>
  <si>
    <t>75/506-CROTON TUNNEL CRO313</t>
  </si>
  <si>
    <t>75/507-* 30TH ST W VNT REHAB</t>
  </si>
  <si>
    <t>75/508-CROTON TUN REHB 334G</t>
  </si>
  <si>
    <t>75/509-NC-41F SKANSKA/JPP</t>
  </si>
  <si>
    <t>75/510-NEWTOWN CREEK NC35G</t>
  </si>
  <si>
    <t>75/511-NEWTOWN CREEK NC47G</t>
  </si>
  <si>
    <t>75/512-NEWTOWN CREEK 41G</t>
  </si>
  <si>
    <t>75/513-* PICONE/SCARIANO JV</t>
  </si>
  <si>
    <t>75/514-* Hamlet Electric</t>
  </si>
  <si>
    <t>75/515-55TH ST VENT CMO13A</t>
  </si>
  <si>
    <t>75/516-* OCEAN PARKWAY D-262250</t>
  </si>
  <si>
    <t>75/517-86TH ST STAT C26012</t>
  </si>
  <si>
    <t>75/518-HAROLD STRUCT CH057A</t>
  </si>
  <si>
    <t>75/519-BWRY BY PMP STN BB64</t>
  </si>
  <si>
    <t>75/520-JOHNSON AVE YARD 6121</t>
  </si>
  <si>
    <t>75/521-GCT CONCOURSE CM014B</t>
  </si>
  <si>
    <t>75/522-DYRE AV STAT A-36916</t>
  </si>
  <si>
    <t>75/523-RT110 @ RT27 D900027</t>
  </si>
  <si>
    <t>75/524-WARD TRTMT PL 26W-20</t>
  </si>
  <si>
    <t>75/525-3RD TRACK 6240 MAINLINE EXP</t>
  </si>
  <si>
    <t>75/526-HYATT GIRDER R-50739 - %JV</t>
  </si>
  <si>
    <t>75/701-CROTON WT 312OSG JV</t>
  </si>
  <si>
    <t>75/702-CROTON WT CRO312P JV</t>
  </si>
  <si>
    <t>75/703-CITY TUN SHFT3 C538D JV</t>
  </si>
  <si>
    <t>75/713-PICONE / SCARIANO JV</t>
  </si>
  <si>
    <t>75/714-Hamlet Electric JV</t>
  </si>
  <si>
    <t>75/716-* OCEAN PARKWAY D-262250 JV</t>
  </si>
  <si>
    <t>75/719-BWRY BY PMP STN BB64 JV</t>
  </si>
  <si>
    <t>75/720-JOHNSON AVE YARD 6121 JV</t>
  </si>
  <si>
    <t>75/723-RT110 @ RT27 D900027 JV</t>
  </si>
  <si>
    <t>75/725-3RD TRACK 6240 MAINLINE EXP</t>
  </si>
  <si>
    <t>75/901-Sussex Realty, LLC</t>
  </si>
  <si>
    <t>75/902-JPP Plumbing LLC</t>
  </si>
  <si>
    <t>75/903-JPPP WIP CRO312OSP/26WARD</t>
  </si>
  <si>
    <t>75/995-JPP USF v IFRS</t>
  </si>
  <si>
    <t>75/999-Picone Adjust-Eliminations</t>
  </si>
  <si>
    <t>50/1-Prince Contracting, LLC</t>
  </si>
  <si>
    <t>50/2-Prince Old Jobs</t>
  </si>
  <si>
    <t>50/3-SR8 I10 SR281 Avalon Blvd</t>
  </si>
  <si>
    <t>50/4-SR15 Hoffner Road</t>
  </si>
  <si>
    <t>50/5-SR429 Wekiva Pkwy</t>
  </si>
  <si>
    <t>50/6-University Prky I75/SR93</t>
  </si>
  <si>
    <t>50/7-I-95 Express 3A-2</t>
  </si>
  <si>
    <t>50/8-Ulmerton Rd Conalvias</t>
  </si>
  <si>
    <t>50/9-I75 Conalvias</t>
  </si>
  <si>
    <t>50/10-US17 Conalvias</t>
  </si>
  <si>
    <t>50/11-Sand Lake Rd T5552</t>
  </si>
  <si>
    <t>50/12-BBD Segment D</t>
  </si>
  <si>
    <t>50/13-SR30 (US98) T3579</t>
  </si>
  <si>
    <t>50/14-SR64/I-75 Interchange (T1664)</t>
  </si>
  <si>
    <t>50/15-I-95 Exp Lanes 3B-1 DB (E4R96)</t>
  </si>
  <si>
    <t>50/16-* Emergency Cut &amp; Toss</t>
  </si>
  <si>
    <t>50/17-Islands Expressway (CR787)</t>
  </si>
  <si>
    <t>50/18-OIA - Airside Site Utilities</t>
  </si>
  <si>
    <t>50/19-I-4/I-75 Ramp (T7406)</t>
  </si>
  <si>
    <t>50/20-SR 60/I-75 Ramps (T7408)</t>
  </si>
  <si>
    <t>50/21-SR821 HEFT (E8Q78)</t>
  </si>
  <si>
    <t>50/22-OIA - MSE Walls</t>
  </si>
  <si>
    <t>50/104-* I 75 Macon</t>
  </si>
  <si>
    <t>50/105-* Boyette Road</t>
  </si>
  <si>
    <t>50/114-I 75 SR56 T7220</t>
  </si>
  <si>
    <t>50/121-* I275 T7298</t>
  </si>
  <si>
    <t>50/122-* DB I 75 SWFIA E1J72</t>
  </si>
  <si>
    <t>50/132-* US27 Barry Road E1L58</t>
  </si>
  <si>
    <t>50/133-* US 301 T7311</t>
  </si>
  <si>
    <t>50/134-* SR17 T1514</t>
  </si>
  <si>
    <t>50/135-I 75 DB CR54 E7124</t>
  </si>
  <si>
    <t>50/136-SR50 Dean To Avalon T5469</t>
  </si>
  <si>
    <t>50/141-* Poinciana Blvd</t>
  </si>
  <si>
    <t>50/142-I295 Express E2S01</t>
  </si>
  <si>
    <t>50/143-Bruce B Downs 14-0879</t>
  </si>
  <si>
    <t>50/144-Veterans Exp DB E8N52</t>
  </si>
  <si>
    <t>50/145-I 75 Segment E</t>
  </si>
  <si>
    <t>50/299-Equipment Division</t>
  </si>
  <si>
    <t>50/301-I16 at I95 Interchange-Int Dpt</t>
  </si>
  <si>
    <t>50/501-I-16 at I-95 Interchange %JV</t>
  </si>
  <si>
    <t>50/999-Prince Adj and Eliminations</t>
  </si>
  <si>
    <t>60/1-Pulice Arizona Branch</t>
  </si>
  <si>
    <t>60/2-Casa GRANDE - Tucson HWHY</t>
  </si>
  <si>
    <t>60/3-SR 303 L HWY</t>
  </si>
  <si>
    <t>60/4-I-10 to SR 303 L TI</t>
  </si>
  <si>
    <t>60/5-SR-303 (Glendal to CamelBack)</t>
  </si>
  <si>
    <t>60/6-PHNX (SM Streets) - Broadway</t>
  </si>
  <si>
    <t>60/7-PHNX (SM SREETS -2D)</t>
  </si>
  <si>
    <t>60/8-Twin Peaks T.I.</t>
  </si>
  <si>
    <t>60/9-SR 303</t>
  </si>
  <si>
    <t>60/10-Pima Fwy (SR 101)</t>
  </si>
  <si>
    <t>60/11-I-10/303 TI</t>
  </si>
  <si>
    <t>60/12-Pima Stormwater Interceptor</t>
  </si>
  <si>
    <t>60/13-Peoria I17</t>
  </si>
  <si>
    <t>60/14-COP Water Main Replacement</t>
  </si>
  <si>
    <t>60/15-Sarival Avenue</t>
  </si>
  <si>
    <t>60/16-Sacramento Wash Bridge</t>
  </si>
  <si>
    <t>60/17-Audley Bridge Yavapai</t>
  </si>
  <si>
    <t>60/18-Houghton Rd</t>
  </si>
  <si>
    <t>60/19-Kelvin Bridge</t>
  </si>
  <si>
    <t>60/20-COP Water Main Mcdowel</t>
  </si>
  <si>
    <t>60/21-Flatop Dike</t>
  </si>
  <si>
    <t>60/22-Jacks Canyon Bridge</t>
  </si>
  <si>
    <t>60/23-Happy Valley CMAR Precon</t>
  </si>
  <si>
    <t>60/24-Yuma Cnty Bridge Repair</t>
  </si>
  <si>
    <t>60/25-Wilmot TI OP</t>
  </si>
  <si>
    <t>60/26-Rummel</t>
  </si>
  <si>
    <t>60/27-Texas Hill Bridges</t>
  </si>
  <si>
    <t>60/28-12th Street Ave D Bridge</t>
  </si>
  <si>
    <t>60/29-West Seligman Bridges</t>
  </si>
  <si>
    <t>60/30-Germann Water Main</t>
  </si>
  <si>
    <t>60/31-Phx-Mesa Gateway Taxi C</t>
  </si>
  <si>
    <t>60/32-PHX Sky Train</t>
  </si>
  <si>
    <t>60/33-Northern Pkwy - Dys 111</t>
  </si>
  <si>
    <t>60/299-Equipment Department</t>
  </si>
  <si>
    <t>60/301-Pulice Wadsworth - Int. Dpmt.</t>
  </si>
  <si>
    <t>60/302-Pulice - Granite Int. Dpmt.</t>
  </si>
  <si>
    <t>60/303-Pulice-Granite Red Mtn IntDep</t>
  </si>
  <si>
    <t>60/501-Pulice Wadsworth</t>
  </si>
  <si>
    <t>60/502-Pulice - Granite</t>
  </si>
  <si>
    <t>60/503-Pulice-Granite Red Mtn</t>
  </si>
  <si>
    <t>60/701-Pulice Wadsworth JV</t>
  </si>
  <si>
    <t>60/702-* Pulice - Granite JV</t>
  </si>
  <si>
    <t>60/703-Pulice-Granite - Red Mtn JV</t>
  </si>
  <si>
    <t>60/999-Pulice Adj &amp; Elim</t>
  </si>
  <si>
    <t>61/1-Pulice California Branch</t>
  </si>
  <si>
    <t>61/2-San Vicente Marina</t>
  </si>
  <si>
    <t>61/3-Regional Connector Utilities</t>
  </si>
  <si>
    <t>61/4-Perris Dam</t>
  </si>
  <si>
    <t>61/5-Bypass Pipeline San Vicente</t>
  </si>
  <si>
    <t>61/6-Aqua Hedionda</t>
  </si>
  <si>
    <t>61/7-South Bay Bus Rapid Transit 1B</t>
  </si>
  <si>
    <t>61/8-Friars Road ITG</t>
  </si>
  <si>
    <t>61/9-BRT Seg 3 Sandag</t>
  </si>
  <si>
    <t>61/10-Batiquitos Dr</t>
  </si>
  <si>
    <t>61/11-Inland Rail Trial</t>
  </si>
  <si>
    <t>61/12-Monte Vista Grade Sep</t>
  </si>
  <si>
    <t>61/13-Buena Creek Pump Station</t>
  </si>
  <si>
    <t>61/14-Soto Bridge</t>
  </si>
  <si>
    <t>61/15-LATC Intermodal Mod</t>
  </si>
  <si>
    <t>61/301-San Jose Creek - Int Dept</t>
  </si>
  <si>
    <t>61/501-San Jose Creek Pump Stn</t>
  </si>
  <si>
    <t>61/701-San Jose Creek Pump Station JV</t>
  </si>
  <si>
    <t>62/1-Pulice Texas Branch</t>
  </si>
  <si>
    <t>62/2-HCTRA 332 BELTWAY 8</t>
  </si>
  <si>
    <t>62/3-HCTRA 333 BELTWAY 8</t>
  </si>
  <si>
    <t>62/4-Pulice Concrete Plant</t>
  </si>
  <si>
    <t>62/5-COP - Fite Road</t>
  </si>
  <si>
    <t>62/6-Houston Hobby Airport</t>
  </si>
  <si>
    <t>62/7-CTB Cement Paving 288</t>
  </si>
  <si>
    <t>62/8-Brazoria Expwy 17-25</t>
  </si>
  <si>
    <t>62/9-Scott Street MSE Wall</t>
  </si>
  <si>
    <t>62/10-Fort Bend FM 521</t>
  </si>
  <si>
    <t>62/301-SH-288 Toll Lanes Int Dept</t>
  </si>
  <si>
    <t>62/501-SH-288 Toll Lanes</t>
  </si>
  <si>
    <t>62/999-Texas Eliminations</t>
  </si>
  <si>
    <t>65/1-McNeil Brothers</t>
  </si>
  <si>
    <t>65/2-McNeil Pulice jobs</t>
  </si>
  <si>
    <t>65/3-McNeil Other Jobs</t>
  </si>
  <si>
    <t>65/4-Port Laredo</t>
  </si>
  <si>
    <t>65/5-SR 108 Granite</t>
  </si>
  <si>
    <t>65/6-SH288 Toll Lanes</t>
  </si>
  <si>
    <t>65/7-Brazoria Cty Expwy</t>
  </si>
  <si>
    <t>65/8-Northern Parkway</t>
  </si>
  <si>
    <t>65/299-McNeil Equipment</t>
  </si>
  <si>
    <t>68/1-Roadway Electric, LLC</t>
  </si>
  <si>
    <t>68/2-Roadway Pulice Jobs</t>
  </si>
  <si>
    <t>68/3-Roadway Other Jobs</t>
  </si>
  <si>
    <t>68/299-Roadway Equipment</t>
  </si>
  <si>
    <t>96/1-Pulice Corporate</t>
  </si>
  <si>
    <t>96/996-Pulice IFRS Entries</t>
  </si>
  <si>
    <t>96/997-McNeil bros ADJ &amp; Elim</t>
  </si>
  <si>
    <t>96/998-Roadway ADJ &amp; ELIM</t>
  </si>
  <si>
    <t>80/1-Schiavone Construction Co. LLC</t>
  </si>
  <si>
    <t>80/2-High Bridge</t>
  </si>
  <si>
    <t>80/3-BT1 - Rondout Shafts</t>
  </si>
  <si>
    <t>80/4-* Emergency at QMT</t>
  </si>
  <si>
    <t>80/6-SCC - Lozano</t>
  </si>
  <si>
    <t>80/7-* Various Jobs - JPP</t>
  </si>
  <si>
    <t>80/8-Manahawkin #2</t>
  </si>
  <si>
    <t>80/9-Pulaski #2</t>
  </si>
  <si>
    <t>80/10-Mathis Bridge</t>
  </si>
  <si>
    <t>80/11-Manahawkin #3</t>
  </si>
  <si>
    <t>80/12-Throgs Neck Bridge</t>
  </si>
  <si>
    <t>80/13-C48702 Viaduct-Brdg Myrtle Ave</t>
  </si>
  <si>
    <t>80/14-Catskill Aqueduct Repair</t>
  </si>
  <si>
    <t>80/15-NJTA BRIDGE DECK RECONSTRUCTIO</t>
  </si>
  <si>
    <t>80/301-Macomb's Dam Bridge Int Dept</t>
  </si>
  <si>
    <t>80/302-SCC/FRONTIER-KEMPER/SHEA</t>
  </si>
  <si>
    <t>80/303-BLUE CLEAN WATER, LLC</t>
  </si>
  <si>
    <t>80/304-GRANITE HALMAR/SCC A JV</t>
  </si>
  <si>
    <t>80/309-WtrTnlExcv#3Stg2 C538C IntDept</t>
  </si>
  <si>
    <t>80/310-South Ferry Terminal  Int Dept</t>
  </si>
  <si>
    <t>80/311-Croton Tunnel CRO313 Int Dept</t>
  </si>
  <si>
    <t>80/312-30St W VentPlantRehab Int Dept</t>
  </si>
  <si>
    <t>80/313-Jay Str Station Rehab Int Dept</t>
  </si>
  <si>
    <t>80/314-2nd Ave Subway S3II Int Dept</t>
  </si>
  <si>
    <t>80/315-Rondout Tunnel Rehab  Int Dept</t>
  </si>
  <si>
    <t>80/316-7th Line Tunnel Int Dept</t>
  </si>
  <si>
    <t>80/317-Croton WT 312OSG Int Dept</t>
  </si>
  <si>
    <t>80/318-Croton TunnelRehab334G Int Dpt</t>
  </si>
  <si>
    <t>80/319-CityTnl Shafts#3 C538D Int Dpt</t>
  </si>
  <si>
    <t>80/320-Newtown Creek 41G Int Dept</t>
  </si>
  <si>
    <t>80/321-Northn Blv Cross CQ039 IntDpt</t>
  </si>
  <si>
    <t>80/322-Palisades Tnl IFB09038X IntDpt</t>
  </si>
  <si>
    <t>80/323-Fulton St Station Int Dept</t>
  </si>
  <si>
    <t>80/324-72nd St Stn Excavation IntDpt</t>
  </si>
  <si>
    <t>80/325-NewBritain-Htf Busway IntDpt</t>
  </si>
  <si>
    <t>80/327-55 St Vent Plant CMO13A IntDpt</t>
  </si>
  <si>
    <t>80/333-86 St Station C26012 Int Dept</t>
  </si>
  <si>
    <t>80/334-Harold StructESA CH057A IntDpt</t>
  </si>
  <si>
    <t>80/335-Johnson Ave Yard 6121 IntDpt</t>
  </si>
  <si>
    <t>80/336-Dyre Av StationA-36916  IntDpt</t>
  </si>
  <si>
    <t>80/337-GCT Concourse CM014B  Int Dept</t>
  </si>
  <si>
    <t>80/338-I-91 Viaduct Mass Int Dept</t>
  </si>
  <si>
    <t>80/339-BoweryBay Pump Stn BB64 IntDpt</t>
  </si>
  <si>
    <t>80/340-Parallel Thimble Shoal Int Dpt</t>
  </si>
  <si>
    <t>80/341-Rplcmnt Bruckner Expwy Int Dpt</t>
  </si>
  <si>
    <t>80/342-Hyatt Girder Int Dept</t>
  </si>
  <si>
    <t>80/343-Potomac Yard Railstn Int Dpt</t>
  </si>
  <si>
    <t>80/501-* Macombs Dam Bridge</t>
  </si>
  <si>
    <t>80/502-* SCC/FRONTKEMPER/SHEA</t>
  </si>
  <si>
    <t>80/503-Blue Clean Water LLC</t>
  </si>
  <si>
    <t>80/504-* Granite Halmar/SCC</t>
  </si>
  <si>
    <t>80/509-* City Water Tunnel 538C</t>
  </si>
  <si>
    <t>80/510-South Ferry Terminal</t>
  </si>
  <si>
    <t>80/511-Croton Tunnel CRO313</t>
  </si>
  <si>
    <t>80/512-* 30th St Vent Rehab</t>
  </si>
  <si>
    <t>80/513-Jay St Station Rehab</t>
  </si>
  <si>
    <t>80/514-2ND AVE SUBWAY S3II</t>
  </si>
  <si>
    <t>80/515-Rondout Tunnel Rehab</t>
  </si>
  <si>
    <t>80/516-7th Line Tunnel</t>
  </si>
  <si>
    <t>80/517-Croton WT 312OSG</t>
  </si>
  <si>
    <t>80/518-Croton Tunnel 334G</t>
  </si>
  <si>
    <t>80/519-City Tunnel SH#3 C538D</t>
  </si>
  <si>
    <t>80/520-Newtown Creek 41G</t>
  </si>
  <si>
    <t>80/521-* Northern Blvd CQ039</t>
  </si>
  <si>
    <t>80/522-* PALSDES TUN 09038X</t>
  </si>
  <si>
    <t>80/523-Fulton St Station</t>
  </si>
  <si>
    <t>80/524-72nd St. Station</t>
  </si>
  <si>
    <t>80/525-Busway Contract 2 CT</t>
  </si>
  <si>
    <t>80/527-55th St Vent CMO13A</t>
  </si>
  <si>
    <t>80/533-86th St Sta C26012</t>
  </si>
  <si>
    <t>80/534-Harold Str CH057A</t>
  </si>
  <si>
    <t>80/535-Johnson Ave Yard 6121</t>
  </si>
  <si>
    <t>80/536-Dyre Ave Sta A-36916</t>
  </si>
  <si>
    <t>80/537-GCT Concourse CM014B</t>
  </si>
  <si>
    <t>80/538-I-91 Viaduct</t>
  </si>
  <si>
    <t>80/539-Bowery Bay BB64</t>
  </si>
  <si>
    <t>80/540-Parallel Thimble Shoal Tnl</t>
  </si>
  <si>
    <t>80/541-Rplcmnt Bruckner Expwy</t>
  </si>
  <si>
    <t>80/542-HYATT GIRDER R-50739 - %JV</t>
  </si>
  <si>
    <t>80/543-Potomac Yard Railstation %JV</t>
  </si>
  <si>
    <t>80/701-* Macombs Dam Bridge -JV</t>
  </si>
  <si>
    <t>80/702-SCC/FRONTKEMPER/SHEA</t>
  </si>
  <si>
    <t>80/703-BLUE CLEAN WATER, LLC</t>
  </si>
  <si>
    <t>80/709-City Water Tunnel 538C - JV</t>
  </si>
  <si>
    <t>80/710-South Ferry Terminal  -JV</t>
  </si>
  <si>
    <t>80/711-Croton Tunnel CRO313 -JV</t>
  </si>
  <si>
    <t>80/712-30th St Vent Rehab - JV</t>
  </si>
  <si>
    <t>80/713-Jay St Station Rehab - JV</t>
  </si>
  <si>
    <t>80/715-Rondout Tunnel Rehab  -JV</t>
  </si>
  <si>
    <t>80/720-Newtown Creek 41G -JV</t>
  </si>
  <si>
    <t>80/721-Northern Blvd CQ039 - JV</t>
  </si>
  <si>
    <t>80/722-* Palisades Tunnel IFB09038X -</t>
  </si>
  <si>
    <t>80/724-72nd St. Station - JV</t>
  </si>
  <si>
    <t>80/727-55th St Vent Plant CMO13A-JV</t>
  </si>
  <si>
    <t>80/733-86th St Sta C26012-JV</t>
  </si>
  <si>
    <t>80/734-Harold Str CH057A-JV</t>
  </si>
  <si>
    <t>80/736-Dyre Ave Sta A-36919-JV</t>
  </si>
  <si>
    <t>80/737-GCT Concourse CM014B-JV</t>
  </si>
  <si>
    <t>80/741-Rplcmnt Bruckner Expwy JV</t>
  </si>
  <si>
    <t>80/742-HYATT GIRDER R-50739</t>
  </si>
  <si>
    <t>80/799-SCC - Pension Fund</t>
  </si>
  <si>
    <t>80/901-SCHIAVONE EQUIPMENT DIVISION</t>
  </si>
  <si>
    <t>80/902-SCHIAVONE FABRICATION DIVISION</t>
  </si>
  <si>
    <t>80/998-Adjusments JVs</t>
  </si>
  <si>
    <t>80/999-Adjustments SCC</t>
  </si>
  <si>
    <t>Joint Venture %</t>
  </si>
  <si>
    <t>Joint Venture 100%</t>
  </si>
  <si>
    <t>Own Job</t>
  </si>
  <si>
    <t>Equipment</t>
  </si>
  <si>
    <t>Internal Department</t>
  </si>
  <si>
    <t>Adjustment &amp; Eliminations</t>
  </si>
  <si>
    <t>CaliforniaP</t>
  </si>
  <si>
    <t>TexasP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</si>
</sst>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indexed="8"/>
      <name val="Calibri"/>
      <family val="2"/>
      <scheme val="minor"/>
    </font>
    <font>
      <b/>
      <u/>
      <sz val="11"/>
      <color theme="1"/>
      <name val="Calibri"/>
      <family val="2"/>
    </font>
    <font>
      <b/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3" fillId="0" borderId="0"/>
  </cellStyleXfs>
  <cellXfs count="25">
    <xf numFmtId="0" fontId="0" fillId="0" borderId="0" xfId="0"/>
    <xf numFmtId="0" fontId="2" fillId="0" borderId="1" xfId="2" applyFont="1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3" fillId="0" borderId="0" xfId="3"/>
    <xf numFmtId="0" fontId="3" fillId="0" borderId="0" xfId="3" applyFill="1" applyAlignment="1">
      <alignment horizontal="center" vertical="center"/>
    </xf>
    <xf numFmtId="0" fontId="3" fillId="0" borderId="0" xfId="3" applyFill="1"/>
    <xf numFmtId="0" fontId="3" fillId="0" borderId="0" xfId="3" applyAlignment="1">
      <alignment horizontal="center" vertical="center"/>
    </xf>
    <xf numFmtId="0" fontId="2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43" fontId="0" fillId="0" borderId="0" xfId="1" applyFont="1"/>
    <xf numFmtId="0" fontId="5" fillId="2" borderId="4" xfId="0" applyFont="1" applyFill="1" applyBorder="1"/>
    <xf numFmtId="0" fontId="0" fillId="3" borderId="4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5" fillId="2" borderId="0" xfId="0" applyFont="1" applyFill="1" applyBorder="1"/>
    <xf numFmtId="0" fontId="0" fillId="3" borderId="0" xfId="0" applyFont="1" applyFill="1" applyBorder="1"/>
    <xf numFmtId="0" fontId="5" fillId="2" borderId="5" xfId="0" applyFont="1" applyFill="1" applyBorder="1"/>
    <xf numFmtId="0" fontId="5" fillId="2" borderId="6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5" xfId="0" applyFont="1" applyBorder="1"/>
    <xf numFmtId="0" fontId="0" fillId="0" borderId="6" xfId="0" applyFont="1" applyBorder="1"/>
  </cellXfs>
  <cellStyles count="4">
    <cellStyle name="Comma" xfId="1" builtinId="3"/>
    <cellStyle name="Normal" xfId="0" builtinId="0"/>
    <cellStyle name="Normal 2" xfId="2"/>
    <cellStyle name="Normal 2 2" xfId="3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2C247F23-8591-11D1-B16A-00C0F0283628}" ax:license="9368265E-85FE-11d1-8BE3-0000F8754DA1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C74190B6-8589-11D1-B16A-00C0F0283628}" ax:license="9368265E-85FE-11d1-8BE3-0000F8754DA1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C74190B6-8589-11D1-B16A-00C0F0283628}" ax:license="9368265E-85FE-11d1-8BE3-0000F8754DA1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InitDir" ax:value="C:\Users\jbravof\Google Drive\WebSites\webspace\files\Obra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2C247F23-8591-11D1-B16A-00C0F0283628}" ax:license="9368265E-85FE-11d1-8BE3-0000F8754DA1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21"/>
  <ax:ocxPr ax:name="ExtentY" ax:value="21"/>
  <ax:ocxPr ax:name="ViewMode" ax:value="0"/>
  <ax:ocxPr ax:name="Offline" ax:value="0"/>
  <ax:ocxPr ax:name="Silent" ax:value="1"/>
  <ax:ocxPr ax:name="RegisterAsBrowser" ax:value="1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www.bing.com/search?q=..%2FC%3A%5CUsers%5Cjbravof%5CGoogle+Drive%5CWebSites%5Cwebspace%5Cfiles%5CObra&amp;src=IE-TopResult&amp;FORM=IETR02&amp;conversationid=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InitDir" ax:value="C:\Users\jbravof\Google Drive\WebSites\webspace\files\Obra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C74190B6-8589-11D1-B16A-00C0F0283628}" ax:license="9368265E-85FE-11d1-8BE3-0000F8754DA1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1</xdr:row>
          <xdr:rowOff>99060</xdr:rowOff>
        </xdr:from>
        <xdr:to>
          <xdr:col>5</xdr:col>
          <xdr:colOff>220980</xdr:colOff>
          <xdr:row>3</xdr:row>
          <xdr:rowOff>83820</xdr:rowOff>
        </xdr:to>
        <xdr:sp macro="" textlink="">
          <xdr:nvSpPr>
            <xdr:cNvPr id="3073" name="ImageList3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22860</xdr:rowOff>
        </xdr:from>
        <xdr:to>
          <xdr:col>9</xdr:col>
          <xdr:colOff>358140</xdr:colOff>
          <xdr:row>18</xdr:row>
          <xdr:rowOff>83820</xdr:rowOff>
        </xdr:to>
        <xdr:grpSp>
          <xdr:nvGrpSpPr>
            <xdr:cNvPr id="2" name="Group 1"/>
            <xdr:cNvGrpSpPr/>
          </xdr:nvGrpSpPr>
          <xdr:grpSpPr>
            <a:xfrm>
              <a:off x="3764280" y="754380"/>
              <a:ext cx="2080260" cy="2621280"/>
              <a:chOff x="3764280" y="754380"/>
              <a:chExt cx="2080260" cy="2621280"/>
            </a:xfrm>
          </xdr:grpSpPr>
          <xdr:sp macro="" textlink="">
            <xdr:nvSpPr>
              <xdr:cNvPr id="2049" name="TreeView4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3764280" y="1059180"/>
                <a:ext cx="2072640" cy="2316480"/>
              </a:xfrm>
              <a:prstGeom prst="rect">
                <a:avLst/>
              </a:prstGeom>
            </xdr:spPr>
          </xdr:sp>
          <xdr:sp macro="" textlink="">
            <xdr:nvSpPr>
              <xdr:cNvPr id="2050" name="CommandButton1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3779520" y="754380"/>
                <a:ext cx="2065020" cy="3048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110</xdr:row>
          <xdr:rowOff>76200</xdr:rowOff>
        </xdr:from>
        <xdr:to>
          <xdr:col>13</xdr:col>
          <xdr:colOff>304800</xdr:colOff>
          <xdr:row>112</xdr:row>
          <xdr:rowOff>15240</xdr:rowOff>
        </xdr:to>
        <xdr:sp macro="" textlink="">
          <xdr:nvSpPr>
            <xdr:cNvPr id="8199" name="CommonDialog1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167640</xdr:colOff>
          <xdr:row>1</xdr:row>
          <xdr:rowOff>45720</xdr:rowOff>
        </xdr:from>
        <xdr:to>
          <xdr:col>14</xdr:col>
          <xdr:colOff>175260</xdr:colOff>
          <xdr:row>3</xdr:row>
          <xdr:rowOff>30480</xdr:rowOff>
        </xdr:to>
        <xdr:sp macro="" textlink="">
          <xdr:nvSpPr>
            <xdr:cNvPr id="8202" name="ImageList311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</xdr:row>
          <xdr:rowOff>148590</xdr:rowOff>
        </xdr:from>
        <xdr:to>
          <xdr:col>23</xdr:col>
          <xdr:colOff>487680</xdr:colOff>
          <xdr:row>3</xdr:row>
          <xdr:rowOff>57150</xdr:rowOff>
        </xdr:to>
        <xdr:sp macro="" textlink="">
          <xdr:nvSpPr>
            <xdr:cNvPr id="8204" name="CommandButton4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251460</xdr:colOff>
          <xdr:row>1</xdr:row>
          <xdr:rowOff>83820</xdr:rowOff>
        </xdr:from>
        <xdr:to>
          <xdr:col>24</xdr:col>
          <xdr:colOff>68580</xdr:colOff>
          <xdr:row>26</xdr:row>
          <xdr:rowOff>60960</xdr:rowOff>
        </xdr:to>
        <xdr:grpSp>
          <xdr:nvGrpSpPr>
            <xdr:cNvPr id="4" name="Group 3"/>
            <xdr:cNvGrpSpPr/>
          </xdr:nvGrpSpPr>
          <xdr:grpSpPr>
            <a:xfrm>
              <a:off x="1203960" y="266700"/>
              <a:ext cx="5654040" cy="4549140"/>
              <a:chOff x="1409700" y="414719"/>
              <a:chExt cx="5654040" cy="4576381"/>
            </a:xfrm>
          </xdr:grpSpPr>
          <xdr:grpSp>
            <xdr:nvGrpSpPr>
              <xdr:cNvPr id="2" name="Group 1"/>
              <xdr:cNvGrpSpPr/>
            </xdr:nvGrpSpPr>
            <xdr:grpSpPr>
              <a:xfrm>
                <a:off x="1409700" y="754380"/>
                <a:ext cx="4724400" cy="4236720"/>
                <a:chOff x="3764280" y="754380"/>
                <a:chExt cx="2080260" cy="2621279"/>
              </a:xfrm>
            </xdr:grpSpPr>
            <xdr:sp macro="" textlink="">
              <xdr:nvSpPr>
                <xdr:cNvPr id="8193" name="TreeView41" hidden="1">
                  <a:extLst>
                    <a:ext uri="{63B3BB69-23CF-44E3-9099-C40C66FF867C}">
                      <a14:compatExt spid="_x0000_s8193"/>
                    </a:ext>
                  </a:extLst>
                </xdr:cNvPr>
                <xdr:cNvSpPr/>
              </xdr:nvSpPr>
              <xdr:spPr>
                <a:xfrm>
                  <a:off x="3764280" y="1059180"/>
                  <a:ext cx="2072640" cy="2316479"/>
                </a:xfrm>
                <a:prstGeom prst="rect">
                  <a:avLst/>
                </a:prstGeom>
              </xdr:spPr>
            </xdr:sp>
            <xdr:sp macro="" textlink="">
              <xdr:nvSpPr>
                <xdr:cNvPr id="8194" name="CommandButton1" hidden="1">
                  <a:extLst>
                    <a:ext uri="{63B3BB69-23CF-44E3-9099-C40C66FF867C}">
                      <a14:compatExt spid="_x0000_s8194"/>
                    </a:ext>
                  </a:extLst>
                </xdr:cNvPr>
                <xdr:cNvSpPr/>
              </xdr:nvSpPr>
              <xdr:spPr>
                <a:xfrm>
                  <a:off x="3779520" y="754380"/>
                  <a:ext cx="2065020" cy="304800"/>
                </a:xfrm>
                <a:prstGeom prst="rect">
                  <a:avLst/>
                </a:prstGeom>
              </xdr:spPr>
            </xdr:sp>
          </xdr:grpSp>
          <xdr:grpSp>
            <xdr:nvGrpSpPr>
              <xdr:cNvPr id="3" name="Group 2"/>
              <xdr:cNvGrpSpPr/>
            </xdr:nvGrpSpPr>
            <xdr:grpSpPr>
              <a:xfrm>
                <a:off x="1516380" y="414719"/>
                <a:ext cx="5547360" cy="858550"/>
                <a:chOff x="1516380" y="414719"/>
                <a:chExt cx="5547360" cy="858550"/>
              </a:xfrm>
            </xdr:grpSpPr>
            <xdr:sp macro="" textlink="">
              <xdr:nvSpPr>
                <xdr:cNvPr id="8198" name="CommandButton2" hidden="1">
                  <a:extLst>
                    <a:ext uri="{63B3BB69-23CF-44E3-9099-C40C66FF867C}">
                      <a14:compatExt spid="_x0000_s8198"/>
                    </a:ext>
                  </a:extLst>
                </xdr:cNvPr>
                <xdr:cNvSpPr/>
              </xdr:nvSpPr>
              <xdr:spPr>
                <a:xfrm>
                  <a:off x="2849880" y="429959"/>
                  <a:ext cx="457200" cy="274321"/>
                </a:xfrm>
                <a:prstGeom prst="rect">
                  <a:avLst/>
                </a:prstGeom>
              </xdr:spPr>
            </xdr:sp>
            <xdr:sp macro="" textlink="">
              <xdr:nvSpPr>
                <xdr:cNvPr id="8201" name="CommandButton3" hidden="1">
                  <a:extLst>
                    <a:ext uri="{63B3BB69-23CF-44E3-9099-C40C66FF867C}">
                      <a14:compatExt spid="_x0000_s8201"/>
                    </a:ext>
                  </a:extLst>
                </xdr:cNvPr>
                <xdr:cNvSpPr/>
              </xdr:nvSpPr>
              <xdr:spPr>
                <a:xfrm>
                  <a:off x="1516380" y="429959"/>
                  <a:ext cx="457200" cy="274321"/>
                </a:xfrm>
                <a:prstGeom prst="rect">
                  <a:avLst/>
                </a:prstGeom>
              </xdr:spPr>
            </xdr:sp>
            <xdr:sp macro="" textlink="">
              <xdr:nvSpPr>
                <xdr:cNvPr id="8203" name="Button 11" hidden="1">
                  <a:extLst>
                    <a:ext uri="{63B3BB69-23CF-44E3-9099-C40C66FF867C}">
                      <a14:compatExt spid="_x0000_s8203"/>
                    </a:ext>
                  </a:extLst>
                </xdr:cNvPr>
                <xdr:cNvSpPr/>
              </xdr:nvSpPr>
              <xdr:spPr>
                <a:xfrm>
                  <a:off x="4183380" y="429959"/>
                  <a:ext cx="457200" cy="274321"/>
                </a:xfrm>
                <a:prstGeom prst="rect">
                  <a:avLst/>
                </a:prstGeom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s-ES_tradnl" sz="1100" b="0" i="0" u="none" strike="noStrike" baseline="0">
                      <a:solidFill>
                        <a:srgbClr val="000000"/>
                      </a:solidFill>
                      <a:latin typeface="Calibri"/>
                    </a:rPr>
                    <a:t>Button 11</a:t>
                  </a:r>
                </a:p>
              </xdr:txBody>
            </xdr:sp>
            <xdr:sp macro="" textlink="">
              <xdr:nvSpPr>
                <xdr:cNvPr id="8205" name="CommandButton5" hidden="1">
                  <a:extLst>
                    <a:ext uri="{63B3BB69-23CF-44E3-9099-C40C66FF867C}">
                      <a14:compatExt spid="_x0000_s8205"/>
                    </a:ext>
                  </a:extLst>
                </xdr:cNvPr>
                <xdr:cNvSpPr/>
              </xdr:nvSpPr>
              <xdr:spPr>
                <a:xfrm>
                  <a:off x="5516880" y="414719"/>
                  <a:ext cx="1546860" cy="858550"/>
                </a:xfrm>
                <a:prstGeom prst="rect">
                  <a:avLst/>
                </a:prstGeom>
              </xdr:spPr>
            </xdr:sp>
          </xdr:grp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3</xdr:row>
          <xdr:rowOff>83820</xdr:rowOff>
        </xdr:from>
        <xdr:to>
          <xdr:col>9</xdr:col>
          <xdr:colOff>190500</xdr:colOff>
          <xdr:row>14</xdr:row>
          <xdr:rowOff>121920</xdr:rowOff>
        </xdr:to>
        <xdr:sp macro="" textlink="">
          <xdr:nvSpPr>
            <xdr:cNvPr id="14337" name="WebBrowser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22860</xdr:rowOff>
        </xdr:from>
        <xdr:to>
          <xdr:col>9</xdr:col>
          <xdr:colOff>358140</xdr:colOff>
          <xdr:row>18</xdr:row>
          <xdr:rowOff>83820</xdr:rowOff>
        </xdr:to>
        <xdr:grpSp>
          <xdr:nvGrpSpPr>
            <xdr:cNvPr id="2" name="Group 1"/>
            <xdr:cNvGrpSpPr/>
          </xdr:nvGrpSpPr>
          <xdr:grpSpPr>
            <a:xfrm>
              <a:off x="4038600" y="754380"/>
              <a:ext cx="2080260" cy="2621280"/>
              <a:chOff x="3764280" y="754380"/>
              <a:chExt cx="2080260" cy="2621280"/>
            </a:xfrm>
          </xdr:grpSpPr>
          <xdr:sp macro="" textlink="">
            <xdr:nvSpPr>
              <xdr:cNvPr id="21505" name="TreeView41" hidden="1">
                <a:extLst>
                  <a:ext uri="{63B3BB69-23CF-44E3-9099-C40C66FF867C}">
                    <a14:compatExt spid="_x0000_s21505"/>
                  </a:ext>
                </a:extLst>
              </xdr:cNvPr>
              <xdr:cNvSpPr/>
            </xdr:nvSpPr>
            <xdr:spPr>
              <a:xfrm>
                <a:off x="3764280" y="1059180"/>
                <a:ext cx="2072640" cy="2316480"/>
              </a:xfrm>
              <a:prstGeom prst="rect">
                <a:avLst/>
              </a:prstGeom>
            </xdr:spPr>
          </xdr:sp>
          <xdr:sp macro="" textlink="">
            <xdr:nvSpPr>
              <xdr:cNvPr id="21506" name="CommandButton1" hidden="1">
                <a:extLst>
                  <a:ext uri="{63B3BB69-23CF-44E3-9099-C40C66FF867C}">
                    <a14:compatExt spid="_x0000_s21506"/>
                  </a:ext>
                </a:extLst>
              </xdr:cNvPr>
              <xdr:cNvSpPr/>
            </xdr:nvSpPr>
            <xdr:spPr>
              <a:xfrm>
                <a:off x="3779520" y="754380"/>
                <a:ext cx="2065020" cy="3048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76200</xdr:rowOff>
        </xdr:from>
        <xdr:to>
          <xdr:col>6</xdr:col>
          <xdr:colOff>266700</xdr:colOff>
          <xdr:row>3</xdr:row>
          <xdr:rowOff>15240</xdr:rowOff>
        </xdr:to>
        <xdr:sp macro="" textlink="">
          <xdr:nvSpPr>
            <xdr:cNvPr id="21507" name="CommandButton2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11</xdr:row>
          <xdr:rowOff>76200</xdr:rowOff>
        </xdr:from>
        <xdr:to>
          <xdr:col>4</xdr:col>
          <xdr:colOff>190500</xdr:colOff>
          <xdr:row>13</xdr:row>
          <xdr:rowOff>15240</xdr:rowOff>
        </xdr:to>
        <xdr:sp macro="" textlink="">
          <xdr:nvSpPr>
            <xdr:cNvPr id="21508" name="CommonDialog1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6</xdr:row>
          <xdr:rowOff>45720</xdr:rowOff>
        </xdr:from>
        <xdr:to>
          <xdr:col>5</xdr:col>
          <xdr:colOff>426720</xdr:colOff>
          <xdr:row>7</xdr:row>
          <xdr:rowOff>167640</xdr:rowOff>
        </xdr:to>
        <xdr:sp macro="" textlink="">
          <xdr:nvSpPr>
            <xdr:cNvPr id="21509" name="CommandButton3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CMSFIL" connectionId="1" autoFormatId="16" applyNumberFormats="0" applyBorderFormats="0" applyFontFormats="0" applyPatternFormats="0" applyAlignmentFormats="0" applyWidthHeightFormats="0">
  <queryTableRefresh nextId="5" unboundColumnsRight="1">
    <queryTableFields count="3">
      <queryTableField id="1" name="COMPANYNO" tableColumnId="1"/>
      <queryTableField id="2" name="DIVISIONNO" tableColumnId="2"/>
      <queryTableField id="3" dataBound="0" tableColumnId="3"/>
    </queryTableFields>
    <queryTableDeletedFields count="1">
      <deletedField name="COMPANYNA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CMSFIL" displayName="Table_Query_from_CMSFIL" ref="D1:F683" tableType="queryTable" totalsRowShown="0">
  <autoFilter ref="D1:F683"/>
  <sortState ref="D2:F683">
    <sortCondition ref="D2"/>
  </sortState>
  <tableColumns count="3">
    <tableColumn id="1" uniqueName="1" name="COMPANYNO" queryTableFieldId="1"/>
    <tableColumn id="2" uniqueName="2" name="DIVISIONNO" queryTableFieldId="2"/>
    <tableColumn id="3" uniqueName="3" name="Column1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G683" totalsRowShown="0" tableBorderDxfId="6">
  <autoFilter ref="A1:G683"/>
  <sortState ref="A2:G683">
    <sortCondition descending="1" ref="C1"/>
  </sortState>
  <tableColumns count="7">
    <tableColumn id="1" name="Corporation" dataDxfId="5">
      <calculatedColumnFormula>VLOOKUP(Table3[[#This Row],[COMPANYNO]],L:M,2)</calculatedColumnFormula>
    </tableColumn>
    <tableColumn id="2" name="Branch" dataDxfId="4">
      <calculatedColumnFormula>VLOOKUP(Table3[[#This Row],[COMPANYNO]],L:N,3)</calculatedColumnFormula>
    </tableColumn>
    <tableColumn id="7" name="Column1"/>
    <tableColumn id="6" name="Division" dataDxfId="3">
      <calculatedColumnFormula>Table3[[#This Row],[COMPANYNO]]&amp;"/"&amp;Table3[[#This Row],[DIVISIONNO]]&amp;"-"&amp;Table3[[#This Row],[COMPANYNAME]]</calculatedColumnFormula>
    </tableColumn>
    <tableColumn id="3" name="COMPANYNAME" dataDxfId="2"/>
    <tableColumn id="4" name="COMPANYNO" dataDxfId="1"/>
    <tableColumn id="5" name="DIVISIONN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0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19" Type="http://schemas.openxmlformats.org/officeDocument/2006/relationships/image" Target="../media/image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12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showGridLines="0" showRowColHeaders="0" zoomScaleNormal="100" workbookViewId="0">
      <selection activeCell="E7" sqref="E7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ImageList31">
          <controlPr autoLine="0" autoPict="0" r:id="rId5">
            <anchor moveWithCells="1">
              <from>
                <xdr:col>4</xdr:col>
                <xdr:colOff>480060</xdr:colOff>
                <xdr:row>1</xdr:row>
                <xdr:rowOff>99060</xdr:rowOff>
              </from>
              <to>
                <xdr:col>5</xdr:col>
                <xdr:colOff>220980</xdr:colOff>
                <xdr:row>3</xdr:row>
                <xdr:rowOff>83820</xdr:rowOff>
              </to>
            </anchor>
          </controlPr>
        </control>
      </mc:Choice>
      <mc:Fallback>
        <control shapeId="3073" r:id="rId4" name="ImageList3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"/>
  <sheetViews>
    <sheetView workbookViewId="0">
      <selection activeCell="I10" sqref="I10"/>
    </sheetView>
  </sheetViews>
  <sheetFormatPr defaultRowHeight="14.4" x14ac:dyDescent="0.3"/>
  <cols>
    <col min="2" max="2" width="15.21875" bestFit="1" customWidth="1"/>
    <col min="3" max="3" width="11.33203125" bestFit="1" customWidth="1"/>
    <col min="8" max="8" width="11.77734375" bestFit="1" customWidth="1"/>
    <col min="9" max="9" width="11.77734375" customWidth="1"/>
    <col min="10" max="10" width="10.6640625" bestFit="1" customWidth="1"/>
  </cols>
  <sheetData>
    <row r="1" spans="1:11" x14ac:dyDescent="0.3">
      <c r="A1" s="1" t="s">
        <v>3</v>
      </c>
      <c r="B1" s="1" t="s">
        <v>4</v>
      </c>
      <c r="C1" s="1" t="s">
        <v>5</v>
      </c>
      <c r="F1" s="8" t="s">
        <v>47</v>
      </c>
      <c r="G1" s="8"/>
      <c r="H1" s="8" t="s">
        <v>48</v>
      </c>
      <c r="I1" s="8"/>
      <c r="J1" s="8" t="s">
        <v>49</v>
      </c>
      <c r="K1" s="8" t="s">
        <v>73</v>
      </c>
    </row>
    <row r="2" spans="1:11" x14ac:dyDescent="0.3">
      <c r="A2" s="2" t="s">
        <v>6</v>
      </c>
      <c r="B2" s="3" t="s">
        <v>7</v>
      </c>
      <c r="C2" s="4" t="s">
        <v>8</v>
      </c>
      <c r="F2" t="s">
        <v>46</v>
      </c>
      <c r="H2" t="s">
        <v>56</v>
      </c>
      <c r="J2" t="s">
        <v>64</v>
      </c>
      <c r="K2" t="s">
        <v>74</v>
      </c>
    </row>
    <row r="3" spans="1:11" x14ac:dyDescent="0.3">
      <c r="A3" s="5" t="s">
        <v>9</v>
      </c>
      <c r="B3" s="6" t="s">
        <v>10</v>
      </c>
      <c r="C3" s="6" t="s">
        <v>8</v>
      </c>
      <c r="F3" t="s">
        <v>50</v>
      </c>
      <c r="H3" t="s">
        <v>57</v>
      </c>
      <c r="J3" t="s">
        <v>65</v>
      </c>
      <c r="K3" t="s">
        <v>75</v>
      </c>
    </row>
    <row r="4" spans="1:11" x14ac:dyDescent="0.3">
      <c r="A4" s="7" t="s">
        <v>11</v>
      </c>
      <c r="B4" s="4" t="s">
        <v>12</v>
      </c>
      <c r="C4" s="4" t="s">
        <v>8</v>
      </c>
      <c r="F4" t="s">
        <v>51</v>
      </c>
      <c r="H4" t="s">
        <v>58</v>
      </c>
      <c r="J4" t="s">
        <v>66</v>
      </c>
      <c r="K4" t="s">
        <v>76</v>
      </c>
    </row>
    <row r="5" spans="1:11" x14ac:dyDescent="0.3">
      <c r="A5" s="7" t="s">
        <v>13</v>
      </c>
      <c r="B5" s="4" t="s">
        <v>14</v>
      </c>
      <c r="C5" s="4" t="s">
        <v>8</v>
      </c>
      <c r="F5" t="s">
        <v>52</v>
      </c>
      <c r="H5" t="s">
        <v>59</v>
      </c>
      <c r="J5" t="s">
        <v>67</v>
      </c>
      <c r="K5" t="s">
        <v>77</v>
      </c>
    </row>
    <row r="6" spans="1:11" x14ac:dyDescent="0.3">
      <c r="A6" s="7" t="s">
        <v>15</v>
      </c>
      <c r="B6" s="4" t="s">
        <v>16</v>
      </c>
      <c r="C6" s="4" t="s">
        <v>17</v>
      </c>
      <c r="F6" t="s">
        <v>53</v>
      </c>
      <c r="H6" t="s">
        <v>60</v>
      </c>
      <c r="J6" t="s">
        <v>68</v>
      </c>
      <c r="K6" t="s">
        <v>78</v>
      </c>
    </row>
    <row r="7" spans="1:11" x14ac:dyDescent="0.3">
      <c r="A7" s="7" t="s">
        <v>18</v>
      </c>
      <c r="B7" s="4" t="s">
        <v>19</v>
      </c>
      <c r="C7" s="4" t="s">
        <v>8</v>
      </c>
      <c r="F7" t="s">
        <v>54</v>
      </c>
      <c r="H7" t="s">
        <v>61</v>
      </c>
      <c r="J7" t="s">
        <v>69</v>
      </c>
      <c r="K7" t="s">
        <v>79</v>
      </c>
    </row>
    <row r="8" spans="1:11" x14ac:dyDescent="0.3">
      <c r="A8" s="7" t="s">
        <v>20</v>
      </c>
      <c r="B8" s="4" t="s">
        <v>21</v>
      </c>
      <c r="C8" s="4" t="s">
        <v>22</v>
      </c>
      <c r="F8" t="s">
        <v>55</v>
      </c>
      <c r="H8" t="s">
        <v>62</v>
      </c>
      <c r="J8" t="s">
        <v>70</v>
      </c>
      <c r="K8" t="s">
        <v>80</v>
      </c>
    </row>
    <row r="9" spans="1:11" x14ac:dyDescent="0.3">
      <c r="A9" s="7" t="s">
        <v>23</v>
      </c>
      <c r="B9" s="4" t="s">
        <v>24</v>
      </c>
      <c r="C9" s="4" t="s">
        <v>22</v>
      </c>
      <c r="H9" t="s">
        <v>63</v>
      </c>
      <c r="J9" t="s">
        <v>71</v>
      </c>
      <c r="K9" t="s">
        <v>81</v>
      </c>
    </row>
    <row r="10" spans="1:11" x14ac:dyDescent="0.3">
      <c r="A10" s="7" t="s">
        <v>25</v>
      </c>
      <c r="B10" s="4" t="s">
        <v>26</v>
      </c>
      <c r="C10" s="4" t="s">
        <v>22</v>
      </c>
    </row>
    <row r="11" spans="1:11" x14ac:dyDescent="0.3">
      <c r="A11" s="7" t="s">
        <v>27</v>
      </c>
      <c r="B11" s="4" t="s">
        <v>12</v>
      </c>
      <c r="C11" s="4" t="s">
        <v>8</v>
      </c>
    </row>
    <row r="12" spans="1:11" x14ac:dyDescent="0.3">
      <c r="A12" s="7" t="s">
        <v>28</v>
      </c>
      <c r="B12" s="4" t="s">
        <v>29</v>
      </c>
      <c r="C12" s="4" t="s">
        <v>8</v>
      </c>
    </row>
    <row r="13" spans="1:11" x14ac:dyDescent="0.3">
      <c r="A13" s="5" t="s">
        <v>30</v>
      </c>
      <c r="B13" s="6" t="s">
        <v>31</v>
      </c>
      <c r="C13" s="6" t="s">
        <v>22</v>
      </c>
    </row>
    <row r="14" spans="1:11" x14ac:dyDescent="0.3">
      <c r="A14" s="7" t="s">
        <v>32</v>
      </c>
      <c r="B14" s="4" t="s">
        <v>33</v>
      </c>
      <c r="C14" s="4" t="s">
        <v>8</v>
      </c>
    </row>
    <row r="15" spans="1:11" x14ac:dyDescent="0.3">
      <c r="A15" s="7" t="s">
        <v>34</v>
      </c>
      <c r="B15" s="4" t="s">
        <v>35</v>
      </c>
      <c r="C15" s="4" t="s">
        <v>8</v>
      </c>
    </row>
    <row r="16" spans="1:11" x14ac:dyDescent="0.3">
      <c r="A16" s="7" t="s">
        <v>36</v>
      </c>
      <c r="B16" s="4" t="s">
        <v>37</v>
      </c>
      <c r="C16" s="4" t="s">
        <v>22</v>
      </c>
    </row>
    <row r="17" spans="1:3" x14ac:dyDescent="0.3">
      <c r="A17" s="5" t="s">
        <v>38</v>
      </c>
      <c r="B17" s="6" t="s">
        <v>39</v>
      </c>
      <c r="C17" s="6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2" sqref="A2:A6"/>
    </sheetView>
  </sheetViews>
  <sheetFormatPr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84</v>
      </c>
    </row>
    <row r="4" spans="1:2" x14ac:dyDescent="0.3">
      <c r="A4">
        <v>3</v>
      </c>
      <c r="B4" t="s">
        <v>85</v>
      </c>
    </row>
    <row r="5" spans="1:2" x14ac:dyDescent="0.3">
      <c r="A5">
        <v>4</v>
      </c>
      <c r="B5" t="s">
        <v>86</v>
      </c>
    </row>
    <row r="6" spans="1:2" x14ac:dyDescent="0.3">
      <c r="A6">
        <v>5</v>
      </c>
      <c r="B6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"/>
  <sheetViews>
    <sheetView workbookViewId="0">
      <selection activeCell="D5" sqref="D5"/>
    </sheetView>
  </sheetViews>
  <sheetFormatPr defaultRowHeight="14.4" x14ac:dyDescent="0.3"/>
  <cols>
    <col min="3" max="3" width="8.77734375" bestFit="1" customWidth="1"/>
    <col min="4" max="4" width="11.44140625" bestFit="1" customWidth="1"/>
    <col min="5" max="5" width="9.44140625" bestFit="1" customWidth="1"/>
  </cols>
  <sheetData>
    <row r="1" spans="1:7" s="10" customFormat="1" ht="28.8" x14ac:dyDescent="0.3">
      <c r="A1" s="10" t="s">
        <v>0</v>
      </c>
      <c r="B1" s="10" t="s">
        <v>41</v>
      </c>
      <c r="C1" s="10" t="s">
        <v>42</v>
      </c>
      <c r="D1" s="10" t="s">
        <v>43</v>
      </c>
      <c r="E1" s="10" t="s">
        <v>44</v>
      </c>
      <c r="F1" s="10" t="s">
        <v>45</v>
      </c>
      <c r="G1" s="10" t="s">
        <v>72</v>
      </c>
    </row>
    <row r="2" spans="1:7" x14ac:dyDescent="0.3">
      <c r="A2">
        <v>1</v>
      </c>
      <c r="B2" s="9" t="s">
        <v>28</v>
      </c>
      <c r="C2" t="s">
        <v>52</v>
      </c>
      <c r="D2" t="s">
        <v>58</v>
      </c>
      <c r="E2" t="s">
        <v>67</v>
      </c>
      <c r="F2">
        <v>0</v>
      </c>
      <c r="G2" t="str">
        <f>VLOOKUP(E2,actividades,2)</f>
        <v>text04</v>
      </c>
    </row>
    <row r="3" spans="1:7" x14ac:dyDescent="0.3">
      <c r="A3">
        <v>2</v>
      </c>
      <c r="B3" s="9" t="s">
        <v>18</v>
      </c>
      <c r="C3" t="s">
        <v>51</v>
      </c>
      <c r="D3" t="s">
        <v>59</v>
      </c>
      <c r="E3" t="s">
        <v>68</v>
      </c>
      <c r="F3">
        <v>0</v>
      </c>
      <c r="G3" t="str">
        <f>VLOOKUP(E3,actividades,2)</f>
        <v>text05</v>
      </c>
    </row>
  </sheetData>
  <dataValidations count="4">
    <dataValidation type="list" allowBlank="1" showInputMessage="1" showErrorMessage="1" sqref="B2:B12">
      <formula1>Ctypes</formula1>
    </dataValidation>
    <dataValidation type="list" allowBlank="1" showInputMessage="1" showErrorMessage="1" sqref="C2:C3">
      <formula1>capitulos</formula1>
    </dataValidation>
    <dataValidation type="list" allowBlank="1" showInputMessage="1" showErrorMessage="1" sqref="D2:D3">
      <formula1>subcapitulos</formula1>
    </dataValidation>
    <dataValidation type="list" allowBlank="1" showInputMessage="1" showErrorMessage="1" sqref="E2:E3">
      <formula1>activiades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B2" sqref="B2"/>
    </sheetView>
  </sheetViews>
  <sheetFormatPr defaultRowHeight="14.4" x14ac:dyDescent="0.3"/>
  <cols>
    <col min="7" max="7" width="8.88671875" style="11"/>
  </cols>
  <sheetData>
    <row r="1" spans="1:7" x14ac:dyDescent="0.3">
      <c r="A1" t="s">
        <v>82</v>
      </c>
      <c r="B1" t="s">
        <v>83</v>
      </c>
      <c r="C1" t="s">
        <v>88</v>
      </c>
      <c r="D1" t="s">
        <v>89</v>
      </c>
      <c r="E1" t="s">
        <v>91</v>
      </c>
      <c r="F1" t="s">
        <v>92</v>
      </c>
      <c r="G1" s="11" t="s">
        <v>93</v>
      </c>
    </row>
    <row r="2" spans="1:7" x14ac:dyDescent="0.3">
      <c r="A2">
        <v>1</v>
      </c>
      <c r="B2">
        <v>3</v>
      </c>
      <c r="C2">
        <v>1</v>
      </c>
      <c r="D2" t="s">
        <v>90</v>
      </c>
      <c r="E2">
        <v>10</v>
      </c>
      <c r="F2">
        <v>5</v>
      </c>
      <c r="G2" s="11">
        <f>E2*F2</f>
        <v>50</v>
      </c>
    </row>
    <row r="3" spans="1:7" x14ac:dyDescent="0.3">
      <c r="A3">
        <v>1</v>
      </c>
      <c r="B3">
        <v>3</v>
      </c>
      <c r="C3">
        <v>2</v>
      </c>
      <c r="D3" t="s">
        <v>94</v>
      </c>
      <c r="E3">
        <v>11</v>
      </c>
      <c r="F3">
        <v>6</v>
      </c>
      <c r="G3" s="11">
        <f t="shared" ref="G3:G10" si="0">E3*F3</f>
        <v>66</v>
      </c>
    </row>
    <row r="4" spans="1:7" x14ac:dyDescent="0.3">
      <c r="A4">
        <v>1</v>
      </c>
      <c r="B4">
        <v>3</v>
      </c>
      <c r="C4">
        <v>3</v>
      </c>
      <c r="D4" t="s">
        <v>95</v>
      </c>
      <c r="E4">
        <v>12</v>
      </c>
      <c r="F4">
        <v>7</v>
      </c>
      <c r="G4" s="11">
        <f t="shared" si="0"/>
        <v>84</v>
      </c>
    </row>
    <row r="5" spans="1:7" x14ac:dyDescent="0.3">
      <c r="A5">
        <v>1</v>
      </c>
      <c r="B5">
        <v>3</v>
      </c>
      <c r="C5">
        <v>4</v>
      </c>
      <c r="D5" t="s">
        <v>96</v>
      </c>
      <c r="E5">
        <v>13</v>
      </c>
      <c r="F5">
        <v>8</v>
      </c>
      <c r="G5" s="11">
        <f t="shared" si="0"/>
        <v>104</v>
      </c>
    </row>
    <row r="6" spans="1:7" x14ac:dyDescent="0.3">
      <c r="A6">
        <v>1</v>
      </c>
      <c r="B6">
        <v>3</v>
      </c>
      <c r="C6">
        <v>5</v>
      </c>
      <c r="D6" t="s">
        <v>97</v>
      </c>
      <c r="E6">
        <v>14</v>
      </c>
      <c r="F6">
        <v>9</v>
      </c>
      <c r="G6" s="11">
        <f t="shared" si="0"/>
        <v>126</v>
      </c>
    </row>
    <row r="7" spans="1:7" x14ac:dyDescent="0.3">
      <c r="A7">
        <v>2</v>
      </c>
      <c r="B7">
        <v>1</v>
      </c>
      <c r="C7">
        <v>1</v>
      </c>
      <c r="D7" t="s">
        <v>90</v>
      </c>
      <c r="E7">
        <v>10</v>
      </c>
      <c r="F7">
        <v>10</v>
      </c>
      <c r="G7" s="11">
        <f t="shared" si="0"/>
        <v>100</v>
      </c>
    </row>
    <row r="8" spans="1:7" x14ac:dyDescent="0.3">
      <c r="A8">
        <v>2</v>
      </c>
      <c r="B8">
        <v>1</v>
      </c>
      <c r="C8">
        <v>2</v>
      </c>
      <c r="D8" t="s">
        <v>94</v>
      </c>
      <c r="E8">
        <v>10</v>
      </c>
      <c r="F8">
        <v>20</v>
      </c>
      <c r="G8" s="11">
        <f t="shared" si="0"/>
        <v>200</v>
      </c>
    </row>
    <row r="9" spans="1:7" x14ac:dyDescent="0.3">
      <c r="A9">
        <v>2</v>
      </c>
      <c r="B9">
        <v>1</v>
      </c>
      <c r="C9">
        <v>3</v>
      </c>
      <c r="D9" t="s">
        <v>95</v>
      </c>
      <c r="E9">
        <v>10</v>
      </c>
      <c r="F9">
        <v>30</v>
      </c>
      <c r="G9" s="11">
        <f t="shared" si="0"/>
        <v>300</v>
      </c>
    </row>
    <row r="10" spans="1:7" x14ac:dyDescent="0.3">
      <c r="A10">
        <v>2</v>
      </c>
      <c r="B10">
        <v>1</v>
      </c>
      <c r="C10">
        <v>4</v>
      </c>
      <c r="D10" t="s">
        <v>96</v>
      </c>
      <c r="E10">
        <v>10</v>
      </c>
      <c r="F10">
        <v>40</v>
      </c>
      <c r="G10" s="11">
        <f t="shared" si="0"/>
        <v>400</v>
      </c>
    </row>
  </sheetData>
  <dataValidations count="1">
    <dataValidation type="list" allowBlank="1" showInputMessage="1" showErrorMessage="1" sqref="B2:B13">
      <formula1>vendor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"/>
  <sheetViews>
    <sheetView workbookViewId="0">
      <selection activeCell="C2" sqref="C2"/>
    </sheetView>
  </sheetViews>
  <sheetFormatPr defaultRowHeight="14.4" x14ac:dyDescent="0.3"/>
  <sheetData>
    <row r="1" spans="1:3" x14ac:dyDescent="0.3">
      <c r="A1" t="s">
        <v>82</v>
      </c>
      <c r="B1" t="s">
        <v>83</v>
      </c>
      <c r="C1" t="s">
        <v>98</v>
      </c>
    </row>
    <row r="2" spans="1:3" x14ac:dyDescent="0.3">
      <c r="A2">
        <v>1</v>
      </c>
      <c r="B2">
        <v>3</v>
      </c>
    </row>
  </sheetData>
  <dataValidations count="1">
    <dataValidation type="list" allowBlank="1" showInputMessage="1" showErrorMessage="1" sqref="B2:B12">
      <formula1>vendor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7"/>
  <sheetViews>
    <sheetView showGridLines="0" showRowColHeaders="0" workbookViewId="0">
      <selection activeCell="B17" sqref="B17"/>
    </sheetView>
  </sheetViews>
  <sheetFormatPr defaultRowHeight="14.4" x14ac:dyDescent="0.3"/>
  <sheetData>
    <row r="1" spans="1:3" x14ac:dyDescent="0.3">
      <c r="A1" t="s">
        <v>99</v>
      </c>
    </row>
    <row r="2" spans="1:3" x14ac:dyDescent="0.3">
      <c r="B2" t="s">
        <v>100</v>
      </c>
    </row>
    <row r="3" spans="1:3" x14ac:dyDescent="0.3">
      <c r="C3" t="s">
        <v>114</v>
      </c>
    </row>
    <row r="4" spans="1:3" x14ac:dyDescent="0.3">
      <c r="B4" t="s">
        <v>101</v>
      </c>
    </row>
    <row r="5" spans="1:3" x14ac:dyDescent="0.3">
      <c r="A5" t="s">
        <v>102</v>
      </c>
    </row>
    <row r="6" spans="1:3" x14ac:dyDescent="0.3">
      <c r="B6" t="s">
        <v>103</v>
      </c>
    </row>
    <row r="7" spans="1:3" x14ac:dyDescent="0.3">
      <c r="C7" t="s">
        <v>115</v>
      </c>
    </row>
    <row r="8" spans="1:3" x14ac:dyDescent="0.3">
      <c r="B8" t="s">
        <v>104</v>
      </c>
    </row>
    <row r="9" spans="1:3" x14ac:dyDescent="0.3">
      <c r="A9" t="s">
        <v>105</v>
      </c>
    </row>
    <row r="10" spans="1:3" x14ac:dyDescent="0.3">
      <c r="B10" t="s">
        <v>106</v>
      </c>
    </row>
    <row r="11" spans="1:3" x14ac:dyDescent="0.3">
      <c r="B11" t="s">
        <v>107</v>
      </c>
    </row>
    <row r="12" spans="1:3" x14ac:dyDescent="0.3">
      <c r="A12" t="s">
        <v>108</v>
      </c>
    </row>
    <row r="13" spans="1:3" x14ac:dyDescent="0.3">
      <c r="B13" t="s">
        <v>109</v>
      </c>
    </row>
    <row r="14" spans="1:3" x14ac:dyDescent="0.3">
      <c r="A14" t="s">
        <v>110</v>
      </c>
    </row>
    <row r="15" spans="1:3" x14ac:dyDescent="0.3">
      <c r="A15" t="s">
        <v>111</v>
      </c>
    </row>
    <row r="16" spans="1:3" x14ac:dyDescent="0.3">
      <c r="A16" t="s">
        <v>112</v>
      </c>
    </row>
    <row r="17" spans="1:1" x14ac:dyDescent="0.3">
      <c r="A17" t="s">
        <v>113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r:id="rId5">
            <anchor moveWithCells="1">
              <from>
                <xdr:col>6</xdr:col>
                <xdr:colOff>121920</xdr:colOff>
                <xdr:row>4</xdr:row>
                <xdr:rowOff>22860</xdr:rowOff>
              </from>
              <to>
                <xdr:col>9</xdr:col>
                <xdr:colOff>358140</xdr:colOff>
                <xdr:row>5</xdr:row>
                <xdr:rowOff>144780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49" r:id="rId6" name="TreeView41">
          <controlPr autoLine="0" autoPict="0" r:id="rId7">
            <anchor moveWithCells="1">
              <from>
                <xdr:col>6</xdr:col>
                <xdr:colOff>106680</xdr:colOff>
                <xdr:row>5</xdr:row>
                <xdr:rowOff>144780</xdr:rowOff>
              </from>
              <to>
                <xdr:col>9</xdr:col>
                <xdr:colOff>350520</xdr:colOff>
                <xdr:row>18</xdr:row>
                <xdr:rowOff>83820</xdr:rowOff>
              </to>
            </anchor>
          </controlPr>
        </control>
      </mc:Choice>
      <mc:Fallback>
        <control shapeId="2049" r:id="rId6" name="TreeView4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682"/>
  <sheetViews>
    <sheetView showGridLines="0" showRowColHeaders="0" tabSelected="1" topLeftCell="E1" workbookViewId="0">
      <selection activeCell="A216" sqref="A216"/>
    </sheetView>
  </sheetViews>
  <sheetFormatPr defaultRowHeight="14.4" outlineLevelCol="1" x14ac:dyDescent="0.3"/>
  <cols>
    <col min="1" max="1" width="15.33203125" hidden="1" customWidth="1" outlineLevel="1"/>
    <col min="2" max="2" width="14.109375" hidden="1" customWidth="1" outlineLevel="1"/>
    <col min="3" max="3" width="22.6640625" hidden="1" customWidth="1" outlineLevel="1"/>
    <col min="4" max="4" width="37.44140625" hidden="1" customWidth="1" outlineLevel="1"/>
    <col min="5" max="5" width="8.88671875" collapsed="1"/>
    <col min="6" max="6" width="8.88671875" hidden="1" customWidth="1" outlineLevel="1"/>
    <col min="7" max="7" width="15.33203125" hidden="1" customWidth="1" outlineLevel="1"/>
    <col min="8" max="8" width="22.6640625" hidden="1" customWidth="1" outlineLevel="1"/>
    <col min="9" max="9" width="33.44140625" hidden="1" customWidth="1" outlineLevel="1"/>
    <col min="10" max="10" width="3.33203125" hidden="1" customWidth="1" outlineLevel="1"/>
    <col min="11" max="11" width="17.44140625" hidden="1" customWidth="1" outlineLevel="1"/>
    <col min="12" max="12" width="15.6640625" hidden="1" customWidth="1" outlineLevel="1"/>
    <col min="13" max="13" width="3.44140625" hidden="1" customWidth="1" outlineLevel="1"/>
    <col min="14" max="14" width="5" customWidth="1" collapsed="1"/>
    <col min="15" max="15" width="5.109375" customWidth="1"/>
  </cols>
  <sheetData>
    <row r="1" spans="1:12" x14ac:dyDescent="0.3">
      <c r="A1" t="s">
        <v>791</v>
      </c>
      <c r="B1" t="s">
        <v>810</v>
      </c>
      <c r="C1" t="s">
        <v>1511</v>
      </c>
      <c r="D1" t="s">
        <v>875</v>
      </c>
      <c r="G1" t="s">
        <v>791</v>
      </c>
      <c r="H1" t="s">
        <v>1512</v>
      </c>
      <c r="I1" t="s">
        <v>882</v>
      </c>
      <c r="K1" t="s">
        <v>1511</v>
      </c>
      <c r="L1" t="s">
        <v>810</v>
      </c>
    </row>
    <row r="2" spans="1:12" x14ac:dyDescent="0.3">
      <c r="A2" t="s">
        <v>797</v>
      </c>
      <c r="B2" t="s">
        <v>799</v>
      </c>
      <c r="C2" t="s">
        <v>797</v>
      </c>
      <c r="D2" t="s">
        <v>1110</v>
      </c>
      <c r="G2" t="s">
        <v>791</v>
      </c>
      <c r="H2" t="s">
        <v>1512</v>
      </c>
      <c r="I2" t="s">
        <v>883</v>
      </c>
      <c r="K2" t="s">
        <v>1507</v>
      </c>
      <c r="L2" t="s">
        <v>810</v>
      </c>
    </row>
    <row r="3" spans="1:12" x14ac:dyDescent="0.3">
      <c r="A3" t="s">
        <v>794</v>
      </c>
      <c r="B3" t="s">
        <v>817</v>
      </c>
      <c r="C3" t="s">
        <v>1512</v>
      </c>
      <c r="D3" t="s">
        <v>1353</v>
      </c>
      <c r="G3" t="s">
        <v>791</v>
      </c>
      <c r="H3" t="s">
        <v>1512</v>
      </c>
      <c r="I3" t="s">
        <v>874</v>
      </c>
      <c r="K3" t="s">
        <v>1512</v>
      </c>
      <c r="L3" t="s">
        <v>822</v>
      </c>
    </row>
    <row r="4" spans="1:12" x14ac:dyDescent="0.3">
      <c r="A4" t="s">
        <v>794</v>
      </c>
      <c r="B4" t="s">
        <v>817</v>
      </c>
      <c r="C4" t="s">
        <v>823</v>
      </c>
      <c r="D4" t="s">
        <v>1310</v>
      </c>
      <c r="G4" t="s">
        <v>791</v>
      </c>
      <c r="H4" t="s">
        <v>823</v>
      </c>
      <c r="I4" t="s">
        <v>880</v>
      </c>
      <c r="K4" t="s">
        <v>1512</v>
      </c>
      <c r="L4" t="s">
        <v>822</v>
      </c>
    </row>
    <row r="5" spans="1:12" x14ac:dyDescent="0.3">
      <c r="A5" t="s">
        <v>794</v>
      </c>
      <c r="B5" t="s">
        <v>817</v>
      </c>
      <c r="C5" t="s">
        <v>1510</v>
      </c>
      <c r="D5" t="s">
        <v>1343</v>
      </c>
      <c r="G5" t="s">
        <v>791</v>
      </c>
      <c r="H5" t="s">
        <v>823</v>
      </c>
      <c r="I5" t="s">
        <v>825</v>
      </c>
      <c r="K5" t="s">
        <v>823</v>
      </c>
      <c r="L5" t="s">
        <v>822</v>
      </c>
    </row>
    <row r="6" spans="1:12" x14ac:dyDescent="0.3">
      <c r="A6" t="s">
        <v>794</v>
      </c>
      <c r="B6" t="s">
        <v>817</v>
      </c>
      <c r="C6" t="s">
        <v>1511</v>
      </c>
      <c r="D6" t="s">
        <v>1344</v>
      </c>
      <c r="G6" t="s">
        <v>791</v>
      </c>
      <c r="H6" t="s">
        <v>823</v>
      </c>
      <c r="I6" t="s">
        <v>877</v>
      </c>
      <c r="K6" t="s">
        <v>1509</v>
      </c>
      <c r="L6" t="s">
        <v>822</v>
      </c>
    </row>
    <row r="7" spans="1:12" x14ac:dyDescent="0.3">
      <c r="A7" t="s">
        <v>794</v>
      </c>
      <c r="B7" t="s">
        <v>817</v>
      </c>
      <c r="C7" t="s">
        <v>1511</v>
      </c>
      <c r="D7" t="s">
        <v>1345</v>
      </c>
      <c r="G7" t="s">
        <v>791</v>
      </c>
      <c r="H7" t="s">
        <v>823</v>
      </c>
      <c r="I7" t="s">
        <v>859</v>
      </c>
      <c r="K7" t="s">
        <v>823</v>
      </c>
      <c r="L7" t="s">
        <v>808</v>
      </c>
    </row>
    <row r="8" spans="1:12" x14ac:dyDescent="0.3">
      <c r="A8" t="s">
        <v>794</v>
      </c>
      <c r="B8" t="s">
        <v>817</v>
      </c>
      <c r="C8" t="s">
        <v>1511</v>
      </c>
      <c r="D8" t="s">
        <v>1346</v>
      </c>
      <c r="G8" t="s">
        <v>791</v>
      </c>
      <c r="H8" t="s">
        <v>1511</v>
      </c>
      <c r="I8" t="s">
        <v>875</v>
      </c>
      <c r="K8" t="s">
        <v>1511</v>
      </c>
      <c r="L8" t="s">
        <v>808</v>
      </c>
    </row>
    <row r="9" spans="1:12" x14ac:dyDescent="0.3">
      <c r="A9" t="s">
        <v>794</v>
      </c>
      <c r="B9" t="s">
        <v>817</v>
      </c>
      <c r="C9" t="s">
        <v>1507</v>
      </c>
      <c r="D9" t="s">
        <v>1347</v>
      </c>
      <c r="G9" t="s">
        <v>791</v>
      </c>
      <c r="H9" t="s">
        <v>1511</v>
      </c>
      <c r="I9" t="s">
        <v>828</v>
      </c>
      <c r="K9" t="s">
        <v>1511</v>
      </c>
      <c r="L9" t="s">
        <v>808</v>
      </c>
    </row>
    <row r="10" spans="1:12" x14ac:dyDescent="0.3">
      <c r="A10" t="s">
        <v>794</v>
      </c>
      <c r="B10" t="s">
        <v>817</v>
      </c>
      <c r="C10" t="s">
        <v>1507</v>
      </c>
      <c r="D10" t="s">
        <v>1348</v>
      </c>
      <c r="G10" t="s">
        <v>791</v>
      </c>
      <c r="H10" t="s">
        <v>1511</v>
      </c>
      <c r="I10" t="s">
        <v>829</v>
      </c>
      <c r="K10" t="s">
        <v>1511</v>
      </c>
      <c r="L10" t="s">
        <v>808</v>
      </c>
    </row>
    <row r="11" spans="1:12" x14ac:dyDescent="0.3">
      <c r="A11" t="s">
        <v>794</v>
      </c>
      <c r="B11" t="s">
        <v>817</v>
      </c>
      <c r="C11" t="s">
        <v>1507</v>
      </c>
      <c r="D11" t="s">
        <v>1349</v>
      </c>
      <c r="G11" t="s">
        <v>791</v>
      </c>
      <c r="H11" t="s">
        <v>1511</v>
      </c>
      <c r="I11" t="s">
        <v>830</v>
      </c>
      <c r="K11" t="s">
        <v>1511</v>
      </c>
      <c r="L11" t="s">
        <v>808</v>
      </c>
    </row>
    <row r="12" spans="1:12" x14ac:dyDescent="0.3">
      <c r="A12" t="s">
        <v>794</v>
      </c>
      <c r="B12" t="s">
        <v>817</v>
      </c>
      <c r="C12" t="s">
        <v>1508</v>
      </c>
      <c r="D12" t="s">
        <v>1350</v>
      </c>
      <c r="G12" t="s">
        <v>791</v>
      </c>
      <c r="H12" t="s">
        <v>1511</v>
      </c>
      <c r="I12" t="s">
        <v>831</v>
      </c>
      <c r="K12" t="s">
        <v>1511</v>
      </c>
      <c r="L12" t="s">
        <v>808</v>
      </c>
    </row>
    <row r="13" spans="1:12" x14ac:dyDescent="0.3">
      <c r="A13" t="s">
        <v>794</v>
      </c>
      <c r="B13" t="s">
        <v>817</v>
      </c>
      <c r="C13" t="s">
        <v>1508</v>
      </c>
      <c r="D13" t="s">
        <v>1351</v>
      </c>
      <c r="G13" t="s">
        <v>791</v>
      </c>
      <c r="H13" t="s">
        <v>1511</v>
      </c>
      <c r="I13" t="s">
        <v>832</v>
      </c>
      <c r="K13" t="s">
        <v>1511</v>
      </c>
      <c r="L13" t="s">
        <v>808</v>
      </c>
    </row>
    <row r="14" spans="1:12" x14ac:dyDescent="0.3">
      <c r="A14" t="s">
        <v>794</v>
      </c>
      <c r="B14" t="s">
        <v>817</v>
      </c>
      <c r="C14" t="s">
        <v>1508</v>
      </c>
      <c r="D14" t="s">
        <v>1352</v>
      </c>
      <c r="G14" t="s">
        <v>791</v>
      </c>
      <c r="H14" t="s">
        <v>1511</v>
      </c>
      <c r="I14" t="s">
        <v>833</v>
      </c>
      <c r="K14" t="s">
        <v>1511</v>
      </c>
      <c r="L14" t="s">
        <v>808</v>
      </c>
    </row>
    <row r="15" spans="1:12" x14ac:dyDescent="0.3">
      <c r="A15" t="s">
        <v>794</v>
      </c>
      <c r="B15" t="s">
        <v>817</v>
      </c>
      <c r="C15" t="s">
        <v>1509</v>
      </c>
      <c r="D15" t="s">
        <v>1319</v>
      </c>
      <c r="G15" t="s">
        <v>791</v>
      </c>
      <c r="H15" t="s">
        <v>1511</v>
      </c>
      <c r="I15" t="s">
        <v>834</v>
      </c>
      <c r="K15" t="s">
        <v>1511</v>
      </c>
      <c r="L15" t="s">
        <v>808</v>
      </c>
    </row>
    <row r="16" spans="1:12" x14ac:dyDescent="0.3">
      <c r="A16" t="s">
        <v>794</v>
      </c>
      <c r="B16" t="s">
        <v>817</v>
      </c>
      <c r="C16" t="s">
        <v>1509</v>
      </c>
      <c r="D16" t="s">
        <v>1320</v>
      </c>
      <c r="G16" t="s">
        <v>791</v>
      </c>
      <c r="H16" t="s">
        <v>1511</v>
      </c>
      <c r="I16" t="s">
        <v>835</v>
      </c>
      <c r="K16" t="s">
        <v>1511</v>
      </c>
      <c r="L16" t="s">
        <v>808</v>
      </c>
    </row>
    <row r="17" spans="1:12" x14ac:dyDescent="0.3">
      <c r="A17" t="s">
        <v>794</v>
      </c>
      <c r="B17" t="s">
        <v>817</v>
      </c>
      <c r="C17" t="s">
        <v>1509</v>
      </c>
      <c r="D17" t="s">
        <v>1321</v>
      </c>
      <c r="G17" t="s">
        <v>791</v>
      </c>
      <c r="H17" t="s">
        <v>1511</v>
      </c>
      <c r="I17" t="s">
        <v>836</v>
      </c>
      <c r="K17" t="s">
        <v>1511</v>
      </c>
      <c r="L17" t="s">
        <v>808</v>
      </c>
    </row>
    <row r="18" spans="1:12" x14ac:dyDescent="0.3">
      <c r="A18" t="s">
        <v>794</v>
      </c>
      <c r="B18" t="s">
        <v>817</v>
      </c>
      <c r="C18" t="s">
        <v>1509</v>
      </c>
      <c r="D18" t="s">
        <v>1322</v>
      </c>
      <c r="G18" t="s">
        <v>791</v>
      </c>
      <c r="H18" t="s">
        <v>1511</v>
      </c>
      <c r="I18" t="s">
        <v>837</v>
      </c>
      <c r="K18" t="s">
        <v>1511</v>
      </c>
      <c r="L18" t="s">
        <v>808</v>
      </c>
    </row>
    <row r="19" spans="1:12" x14ac:dyDescent="0.3">
      <c r="A19" t="s">
        <v>794</v>
      </c>
      <c r="B19" t="s">
        <v>817</v>
      </c>
      <c r="C19" t="s">
        <v>1509</v>
      </c>
      <c r="D19" t="s">
        <v>1323</v>
      </c>
      <c r="G19" t="s">
        <v>791</v>
      </c>
      <c r="H19" t="s">
        <v>1511</v>
      </c>
      <c r="I19" t="s">
        <v>838</v>
      </c>
      <c r="K19" t="s">
        <v>1511</v>
      </c>
      <c r="L19" t="s">
        <v>808</v>
      </c>
    </row>
    <row r="20" spans="1:12" x14ac:dyDescent="0.3">
      <c r="A20" t="s">
        <v>794</v>
      </c>
      <c r="B20" t="s">
        <v>817</v>
      </c>
      <c r="C20" t="s">
        <v>1509</v>
      </c>
      <c r="D20" t="s">
        <v>1324</v>
      </c>
      <c r="G20" t="s">
        <v>791</v>
      </c>
      <c r="H20" t="s">
        <v>1511</v>
      </c>
      <c r="I20" t="s">
        <v>839</v>
      </c>
      <c r="K20" t="s">
        <v>1511</v>
      </c>
      <c r="L20" t="s">
        <v>808</v>
      </c>
    </row>
    <row r="21" spans="1:12" x14ac:dyDescent="0.3">
      <c r="A21" t="s">
        <v>794</v>
      </c>
      <c r="B21" t="s">
        <v>817</v>
      </c>
      <c r="C21" t="s">
        <v>1509</v>
      </c>
      <c r="D21" t="s">
        <v>1325</v>
      </c>
      <c r="G21" t="s">
        <v>791</v>
      </c>
      <c r="H21" t="s">
        <v>1511</v>
      </c>
      <c r="I21" t="s">
        <v>840</v>
      </c>
      <c r="K21" t="s">
        <v>1507</v>
      </c>
      <c r="L21" t="s">
        <v>808</v>
      </c>
    </row>
    <row r="22" spans="1:12" x14ac:dyDescent="0.3">
      <c r="A22" t="s">
        <v>794</v>
      </c>
      <c r="B22" t="s">
        <v>817</v>
      </c>
      <c r="C22" t="s">
        <v>1509</v>
      </c>
      <c r="D22" t="s">
        <v>1326</v>
      </c>
      <c r="G22" t="s">
        <v>791</v>
      </c>
      <c r="H22" t="s">
        <v>1511</v>
      </c>
      <c r="I22" t="s">
        <v>860</v>
      </c>
      <c r="K22" t="s">
        <v>1507</v>
      </c>
      <c r="L22" t="s">
        <v>808</v>
      </c>
    </row>
    <row r="23" spans="1:12" x14ac:dyDescent="0.3">
      <c r="A23" t="s">
        <v>794</v>
      </c>
      <c r="B23" t="s">
        <v>817</v>
      </c>
      <c r="C23" t="s">
        <v>1509</v>
      </c>
      <c r="D23" t="s">
        <v>1327</v>
      </c>
      <c r="G23" t="s">
        <v>791</v>
      </c>
      <c r="H23" t="s">
        <v>1511</v>
      </c>
      <c r="I23" t="s">
        <v>861</v>
      </c>
      <c r="K23" t="s">
        <v>1507</v>
      </c>
      <c r="L23" t="s">
        <v>808</v>
      </c>
    </row>
    <row r="24" spans="1:12" x14ac:dyDescent="0.3">
      <c r="A24" t="s">
        <v>794</v>
      </c>
      <c r="B24" t="s">
        <v>817</v>
      </c>
      <c r="C24" t="s">
        <v>1509</v>
      </c>
      <c r="D24" t="s">
        <v>1328</v>
      </c>
      <c r="G24" t="s">
        <v>791</v>
      </c>
      <c r="H24" t="s">
        <v>1511</v>
      </c>
      <c r="I24" t="s">
        <v>862</v>
      </c>
      <c r="K24" t="s">
        <v>1507</v>
      </c>
      <c r="L24" t="s">
        <v>808</v>
      </c>
    </row>
    <row r="25" spans="1:12" x14ac:dyDescent="0.3">
      <c r="A25" t="s">
        <v>794</v>
      </c>
      <c r="B25" t="s">
        <v>817</v>
      </c>
      <c r="C25" t="s">
        <v>1509</v>
      </c>
      <c r="D25" t="s">
        <v>1329</v>
      </c>
      <c r="G25" t="s">
        <v>791</v>
      </c>
      <c r="H25" t="s">
        <v>1511</v>
      </c>
      <c r="I25" t="s">
        <v>863</v>
      </c>
      <c r="K25" t="s">
        <v>1507</v>
      </c>
      <c r="L25" t="s">
        <v>808</v>
      </c>
    </row>
    <row r="26" spans="1:12" x14ac:dyDescent="0.3">
      <c r="A26" t="s">
        <v>794</v>
      </c>
      <c r="B26" t="s">
        <v>817</v>
      </c>
      <c r="C26" t="s">
        <v>1509</v>
      </c>
      <c r="D26" t="s">
        <v>1330</v>
      </c>
      <c r="G26" t="s">
        <v>791</v>
      </c>
      <c r="H26" t="s">
        <v>1511</v>
      </c>
      <c r="I26" t="s">
        <v>864</v>
      </c>
      <c r="K26" t="s">
        <v>1507</v>
      </c>
      <c r="L26" t="s">
        <v>808</v>
      </c>
    </row>
    <row r="27" spans="1:12" x14ac:dyDescent="0.3">
      <c r="A27" t="s">
        <v>794</v>
      </c>
      <c r="B27" t="s">
        <v>817</v>
      </c>
      <c r="C27" t="s">
        <v>1509</v>
      </c>
      <c r="D27" t="s">
        <v>1331</v>
      </c>
      <c r="G27" t="s">
        <v>791</v>
      </c>
      <c r="H27" t="s">
        <v>1511</v>
      </c>
      <c r="I27" t="s">
        <v>865</v>
      </c>
      <c r="K27" t="s">
        <v>1507</v>
      </c>
      <c r="L27" t="s">
        <v>808</v>
      </c>
    </row>
    <row r="28" spans="1:12" x14ac:dyDescent="0.3">
      <c r="A28" t="s">
        <v>794</v>
      </c>
      <c r="B28" t="s">
        <v>817</v>
      </c>
      <c r="C28" t="s">
        <v>1509</v>
      </c>
      <c r="D28" t="s">
        <v>1332</v>
      </c>
      <c r="G28" t="s">
        <v>791</v>
      </c>
      <c r="H28" t="s">
        <v>1507</v>
      </c>
      <c r="I28" t="s">
        <v>876</v>
      </c>
      <c r="K28" t="s">
        <v>1507</v>
      </c>
      <c r="L28" t="s">
        <v>808</v>
      </c>
    </row>
    <row r="29" spans="1:12" x14ac:dyDescent="0.3">
      <c r="A29" t="s">
        <v>794</v>
      </c>
      <c r="B29" t="s">
        <v>817</v>
      </c>
      <c r="C29" t="s">
        <v>1509</v>
      </c>
      <c r="D29" t="s">
        <v>1333</v>
      </c>
      <c r="G29" t="s">
        <v>791</v>
      </c>
      <c r="H29" t="s">
        <v>1507</v>
      </c>
      <c r="I29" t="s">
        <v>841</v>
      </c>
      <c r="K29" t="s">
        <v>1507</v>
      </c>
      <c r="L29" t="s">
        <v>808</v>
      </c>
    </row>
    <row r="30" spans="1:12" x14ac:dyDescent="0.3">
      <c r="A30" t="s">
        <v>794</v>
      </c>
      <c r="B30" t="s">
        <v>817</v>
      </c>
      <c r="C30" t="s">
        <v>1509</v>
      </c>
      <c r="D30" t="s">
        <v>1334</v>
      </c>
      <c r="G30" t="s">
        <v>791</v>
      </c>
      <c r="H30" t="s">
        <v>1507</v>
      </c>
      <c r="I30" t="s">
        <v>842</v>
      </c>
      <c r="K30" t="s">
        <v>1507</v>
      </c>
      <c r="L30" t="s">
        <v>808</v>
      </c>
    </row>
    <row r="31" spans="1:12" x14ac:dyDescent="0.3">
      <c r="A31" t="s">
        <v>794</v>
      </c>
      <c r="B31" t="s">
        <v>817</v>
      </c>
      <c r="C31" t="s">
        <v>1509</v>
      </c>
      <c r="D31" t="s">
        <v>1335</v>
      </c>
      <c r="G31" t="s">
        <v>791</v>
      </c>
      <c r="H31" t="s">
        <v>1507</v>
      </c>
      <c r="I31" t="s">
        <v>843</v>
      </c>
      <c r="K31" t="s">
        <v>1507</v>
      </c>
      <c r="L31" t="s">
        <v>808</v>
      </c>
    </row>
    <row r="32" spans="1:12" x14ac:dyDescent="0.3">
      <c r="A32" t="s">
        <v>794</v>
      </c>
      <c r="B32" t="s">
        <v>817</v>
      </c>
      <c r="C32" t="s">
        <v>1509</v>
      </c>
      <c r="D32" t="s">
        <v>1336</v>
      </c>
      <c r="G32" t="s">
        <v>791</v>
      </c>
      <c r="H32" t="s">
        <v>1507</v>
      </c>
      <c r="I32" t="s">
        <v>844</v>
      </c>
      <c r="K32" t="s">
        <v>1507</v>
      </c>
      <c r="L32" t="s">
        <v>808</v>
      </c>
    </row>
    <row r="33" spans="1:12" x14ac:dyDescent="0.3">
      <c r="A33" t="s">
        <v>794</v>
      </c>
      <c r="B33" t="s">
        <v>817</v>
      </c>
      <c r="C33" t="s">
        <v>1509</v>
      </c>
      <c r="D33" t="s">
        <v>1337</v>
      </c>
      <c r="G33" t="s">
        <v>791</v>
      </c>
      <c r="H33" t="s">
        <v>1507</v>
      </c>
      <c r="I33" t="s">
        <v>845</v>
      </c>
      <c r="K33" t="s">
        <v>1507</v>
      </c>
      <c r="L33" t="s">
        <v>808</v>
      </c>
    </row>
    <row r="34" spans="1:12" x14ac:dyDescent="0.3">
      <c r="A34" t="s">
        <v>794</v>
      </c>
      <c r="B34" t="s">
        <v>817</v>
      </c>
      <c r="C34" t="s">
        <v>1509</v>
      </c>
      <c r="D34" t="s">
        <v>1338</v>
      </c>
      <c r="G34" t="s">
        <v>791</v>
      </c>
      <c r="H34" t="s">
        <v>1507</v>
      </c>
      <c r="I34" t="s">
        <v>846</v>
      </c>
      <c r="K34" t="s">
        <v>1508</v>
      </c>
      <c r="L34" t="s">
        <v>808</v>
      </c>
    </row>
    <row r="35" spans="1:12" x14ac:dyDescent="0.3">
      <c r="A35" t="s">
        <v>794</v>
      </c>
      <c r="B35" t="s">
        <v>817</v>
      </c>
      <c r="C35" t="s">
        <v>1509</v>
      </c>
      <c r="D35" t="s">
        <v>1311</v>
      </c>
      <c r="G35" t="s">
        <v>791</v>
      </c>
      <c r="H35" t="s">
        <v>1507</v>
      </c>
      <c r="I35" t="s">
        <v>847</v>
      </c>
      <c r="K35" t="s">
        <v>1508</v>
      </c>
      <c r="L35" t="s">
        <v>808</v>
      </c>
    </row>
    <row r="36" spans="1:12" x14ac:dyDescent="0.3">
      <c r="A36" t="s">
        <v>794</v>
      </c>
      <c r="B36" t="s">
        <v>817</v>
      </c>
      <c r="C36" t="s">
        <v>1509</v>
      </c>
      <c r="D36" t="s">
        <v>1339</v>
      </c>
      <c r="G36" t="s">
        <v>791</v>
      </c>
      <c r="H36" t="s">
        <v>1507</v>
      </c>
      <c r="I36" t="s">
        <v>848</v>
      </c>
      <c r="K36" t="s">
        <v>1508</v>
      </c>
      <c r="L36" t="s">
        <v>808</v>
      </c>
    </row>
    <row r="37" spans="1:12" x14ac:dyDescent="0.3">
      <c r="A37" t="s">
        <v>794</v>
      </c>
      <c r="B37" t="s">
        <v>817</v>
      </c>
      <c r="C37" t="s">
        <v>1509</v>
      </c>
      <c r="D37" t="s">
        <v>1340</v>
      </c>
      <c r="G37" t="s">
        <v>791</v>
      </c>
      <c r="H37" t="s">
        <v>1507</v>
      </c>
      <c r="I37" t="s">
        <v>849</v>
      </c>
      <c r="K37" t="s">
        <v>1508</v>
      </c>
      <c r="L37" t="s">
        <v>808</v>
      </c>
    </row>
    <row r="38" spans="1:12" x14ac:dyDescent="0.3">
      <c r="A38" t="s">
        <v>794</v>
      </c>
      <c r="B38" t="s">
        <v>817</v>
      </c>
      <c r="C38" t="s">
        <v>1509</v>
      </c>
      <c r="D38" t="s">
        <v>1341</v>
      </c>
      <c r="G38" t="s">
        <v>791</v>
      </c>
      <c r="H38" t="s">
        <v>1507</v>
      </c>
      <c r="I38" t="s">
        <v>850</v>
      </c>
      <c r="K38" t="s">
        <v>1508</v>
      </c>
      <c r="L38" t="s">
        <v>808</v>
      </c>
    </row>
    <row r="39" spans="1:12" x14ac:dyDescent="0.3">
      <c r="A39" t="s">
        <v>794</v>
      </c>
      <c r="B39" t="s">
        <v>817</v>
      </c>
      <c r="C39" t="s">
        <v>1509</v>
      </c>
      <c r="D39" t="s">
        <v>1342</v>
      </c>
      <c r="G39" t="s">
        <v>791</v>
      </c>
      <c r="H39" t="s">
        <v>1507</v>
      </c>
      <c r="I39" t="s">
        <v>851</v>
      </c>
      <c r="K39" t="s">
        <v>1509</v>
      </c>
      <c r="L39" t="s">
        <v>808</v>
      </c>
    </row>
    <row r="40" spans="1:12" x14ac:dyDescent="0.3">
      <c r="A40" t="s">
        <v>794</v>
      </c>
      <c r="B40" t="s">
        <v>817</v>
      </c>
      <c r="C40" t="s">
        <v>1509</v>
      </c>
      <c r="D40" t="s">
        <v>1312</v>
      </c>
      <c r="G40" t="s">
        <v>791</v>
      </c>
      <c r="H40" t="s">
        <v>1507</v>
      </c>
      <c r="I40" t="s">
        <v>852</v>
      </c>
      <c r="K40" t="s">
        <v>1509</v>
      </c>
      <c r="L40" t="s">
        <v>808</v>
      </c>
    </row>
    <row r="41" spans="1:12" x14ac:dyDescent="0.3">
      <c r="A41" t="s">
        <v>794</v>
      </c>
      <c r="B41" t="s">
        <v>817</v>
      </c>
      <c r="C41" t="s">
        <v>1509</v>
      </c>
      <c r="D41" t="s">
        <v>1313</v>
      </c>
      <c r="G41" t="s">
        <v>791</v>
      </c>
      <c r="H41" t="s">
        <v>1507</v>
      </c>
      <c r="I41" t="s">
        <v>853</v>
      </c>
      <c r="K41" t="s">
        <v>823</v>
      </c>
      <c r="L41" t="s">
        <v>812</v>
      </c>
    </row>
    <row r="42" spans="1:12" x14ac:dyDescent="0.3">
      <c r="A42" t="s">
        <v>794</v>
      </c>
      <c r="B42" t="s">
        <v>817</v>
      </c>
      <c r="C42" t="s">
        <v>1509</v>
      </c>
      <c r="D42" t="s">
        <v>1314</v>
      </c>
      <c r="G42" t="s">
        <v>791</v>
      </c>
      <c r="H42" t="s">
        <v>1507</v>
      </c>
      <c r="I42" t="s">
        <v>866</v>
      </c>
      <c r="K42" t="s">
        <v>1509</v>
      </c>
      <c r="L42" t="s">
        <v>812</v>
      </c>
    </row>
    <row r="43" spans="1:12" x14ac:dyDescent="0.3">
      <c r="A43" t="s">
        <v>794</v>
      </c>
      <c r="B43" t="s">
        <v>817</v>
      </c>
      <c r="C43" t="s">
        <v>1509</v>
      </c>
      <c r="D43" t="s">
        <v>1315</v>
      </c>
      <c r="G43" t="s">
        <v>791</v>
      </c>
      <c r="H43" t="s">
        <v>1507</v>
      </c>
      <c r="I43" t="s">
        <v>867</v>
      </c>
      <c r="K43" t="s">
        <v>1509</v>
      </c>
      <c r="L43" t="s">
        <v>812</v>
      </c>
    </row>
    <row r="44" spans="1:12" x14ac:dyDescent="0.3">
      <c r="A44" t="s">
        <v>794</v>
      </c>
      <c r="B44" t="s">
        <v>817</v>
      </c>
      <c r="C44" t="s">
        <v>1509</v>
      </c>
      <c r="D44" t="s">
        <v>1316</v>
      </c>
      <c r="G44" t="s">
        <v>791</v>
      </c>
      <c r="H44" t="s">
        <v>1507</v>
      </c>
      <c r="I44" t="s">
        <v>868</v>
      </c>
      <c r="K44" t="s">
        <v>1512</v>
      </c>
      <c r="L44" t="s">
        <v>809</v>
      </c>
    </row>
    <row r="45" spans="1:12" x14ac:dyDescent="0.3">
      <c r="A45" t="s">
        <v>794</v>
      </c>
      <c r="B45" t="s">
        <v>817</v>
      </c>
      <c r="C45" t="s">
        <v>1509</v>
      </c>
      <c r="D45" t="s">
        <v>1317</v>
      </c>
      <c r="G45" t="s">
        <v>791</v>
      </c>
      <c r="H45" t="s">
        <v>1507</v>
      </c>
      <c r="I45" t="s">
        <v>869</v>
      </c>
      <c r="K45" t="s">
        <v>823</v>
      </c>
      <c r="L45" t="s">
        <v>809</v>
      </c>
    </row>
    <row r="46" spans="1:12" x14ac:dyDescent="0.3">
      <c r="A46" t="s">
        <v>794</v>
      </c>
      <c r="B46" t="s">
        <v>817</v>
      </c>
      <c r="C46" t="s">
        <v>1509</v>
      </c>
      <c r="D46" t="s">
        <v>1318</v>
      </c>
      <c r="G46" t="s">
        <v>791</v>
      </c>
      <c r="H46" t="s">
        <v>1507</v>
      </c>
      <c r="I46" t="s">
        <v>870</v>
      </c>
      <c r="K46" t="s">
        <v>1511</v>
      </c>
      <c r="L46" t="s">
        <v>809</v>
      </c>
    </row>
    <row r="47" spans="1:12" x14ac:dyDescent="0.3">
      <c r="A47" t="s">
        <v>792</v>
      </c>
      <c r="B47" t="s">
        <v>806</v>
      </c>
      <c r="C47" t="s">
        <v>1512</v>
      </c>
      <c r="D47" t="s">
        <v>1108</v>
      </c>
      <c r="G47" t="s">
        <v>791</v>
      </c>
      <c r="H47" t="s">
        <v>1507</v>
      </c>
      <c r="I47" t="s">
        <v>871</v>
      </c>
      <c r="K47" t="s">
        <v>1511</v>
      </c>
      <c r="L47" t="s">
        <v>809</v>
      </c>
    </row>
    <row r="48" spans="1:12" x14ac:dyDescent="0.3">
      <c r="A48" t="s">
        <v>792</v>
      </c>
      <c r="B48" t="s">
        <v>806</v>
      </c>
      <c r="C48" t="s">
        <v>1512</v>
      </c>
      <c r="D48" t="s">
        <v>1109</v>
      </c>
      <c r="G48" t="s">
        <v>791</v>
      </c>
      <c r="H48" t="s">
        <v>1508</v>
      </c>
      <c r="I48" t="s">
        <v>854</v>
      </c>
      <c r="K48" t="s">
        <v>1511</v>
      </c>
      <c r="L48" t="s">
        <v>809</v>
      </c>
    </row>
    <row r="49" spans="1:12" x14ac:dyDescent="0.3">
      <c r="A49" t="s">
        <v>792</v>
      </c>
      <c r="B49" t="s">
        <v>806</v>
      </c>
      <c r="C49" t="s">
        <v>823</v>
      </c>
      <c r="D49" t="s">
        <v>963</v>
      </c>
      <c r="G49" t="s">
        <v>791</v>
      </c>
      <c r="H49" t="s">
        <v>1508</v>
      </c>
      <c r="I49" t="s">
        <v>855</v>
      </c>
      <c r="K49" t="s">
        <v>1511</v>
      </c>
      <c r="L49" t="s">
        <v>809</v>
      </c>
    </row>
    <row r="50" spans="1:12" x14ac:dyDescent="0.3">
      <c r="A50" t="s">
        <v>792</v>
      </c>
      <c r="B50" t="s">
        <v>806</v>
      </c>
      <c r="C50" t="s">
        <v>1510</v>
      </c>
      <c r="D50" t="s">
        <v>1065</v>
      </c>
      <c r="G50" t="s">
        <v>791</v>
      </c>
      <c r="H50" t="s">
        <v>1508</v>
      </c>
      <c r="I50" t="s">
        <v>856</v>
      </c>
      <c r="K50" t="s">
        <v>1511</v>
      </c>
      <c r="L50" t="s">
        <v>809</v>
      </c>
    </row>
    <row r="51" spans="1:12" x14ac:dyDescent="0.3">
      <c r="A51" t="s">
        <v>792</v>
      </c>
      <c r="B51" t="s">
        <v>806</v>
      </c>
      <c r="C51" t="s">
        <v>1510</v>
      </c>
      <c r="D51" t="s">
        <v>1066</v>
      </c>
      <c r="G51" t="s">
        <v>791</v>
      </c>
      <c r="H51" t="s">
        <v>1508</v>
      </c>
      <c r="I51" t="s">
        <v>857</v>
      </c>
      <c r="K51" t="s">
        <v>1511</v>
      </c>
      <c r="L51" t="s">
        <v>809</v>
      </c>
    </row>
    <row r="52" spans="1:12" x14ac:dyDescent="0.3">
      <c r="A52" t="s">
        <v>792</v>
      </c>
      <c r="B52" t="s">
        <v>806</v>
      </c>
      <c r="C52" t="s">
        <v>1510</v>
      </c>
      <c r="D52" t="s">
        <v>1067</v>
      </c>
      <c r="G52" t="s">
        <v>791</v>
      </c>
      <c r="H52" t="s">
        <v>1508</v>
      </c>
      <c r="I52" t="s">
        <v>858</v>
      </c>
      <c r="K52" t="s">
        <v>1507</v>
      </c>
      <c r="L52" t="s">
        <v>809</v>
      </c>
    </row>
    <row r="53" spans="1:12" x14ac:dyDescent="0.3">
      <c r="A53" t="s">
        <v>792</v>
      </c>
      <c r="B53" t="s">
        <v>806</v>
      </c>
      <c r="C53" t="s">
        <v>1511</v>
      </c>
      <c r="D53" t="s">
        <v>1068</v>
      </c>
      <c r="G53" t="s">
        <v>791</v>
      </c>
      <c r="H53" t="s">
        <v>1508</v>
      </c>
      <c r="I53" t="s">
        <v>872</v>
      </c>
      <c r="K53" t="s">
        <v>1507</v>
      </c>
      <c r="L53" t="s">
        <v>809</v>
      </c>
    </row>
    <row r="54" spans="1:12" x14ac:dyDescent="0.3">
      <c r="A54" t="s">
        <v>792</v>
      </c>
      <c r="B54" t="s">
        <v>806</v>
      </c>
      <c r="C54" t="s">
        <v>1511</v>
      </c>
      <c r="D54" t="s">
        <v>1069</v>
      </c>
      <c r="G54" t="s">
        <v>791</v>
      </c>
      <c r="H54" t="s">
        <v>1508</v>
      </c>
      <c r="I54" t="s">
        <v>873</v>
      </c>
      <c r="K54" t="s">
        <v>1507</v>
      </c>
      <c r="L54" t="s">
        <v>809</v>
      </c>
    </row>
    <row r="55" spans="1:12" x14ac:dyDescent="0.3">
      <c r="A55" t="s">
        <v>792</v>
      </c>
      <c r="B55" t="s">
        <v>806</v>
      </c>
      <c r="C55" t="s">
        <v>1511</v>
      </c>
      <c r="D55" t="s">
        <v>1070</v>
      </c>
      <c r="G55" t="s">
        <v>791</v>
      </c>
      <c r="H55" t="s">
        <v>1509</v>
      </c>
      <c r="I55" t="s">
        <v>881</v>
      </c>
      <c r="K55" t="s">
        <v>1507</v>
      </c>
      <c r="L55" t="s">
        <v>809</v>
      </c>
    </row>
    <row r="56" spans="1:12" x14ac:dyDescent="0.3">
      <c r="A56" t="s">
        <v>792</v>
      </c>
      <c r="B56" t="s">
        <v>806</v>
      </c>
      <c r="C56" t="s">
        <v>1511</v>
      </c>
      <c r="D56" t="s">
        <v>1071</v>
      </c>
      <c r="G56" t="s">
        <v>791</v>
      </c>
      <c r="H56" t="s">
        <v>1509</v>
      </c>
      <c r="I56" t="s">
        <v>826</v>
      </c>
      <c r="K56" t="s">
        <v>1507</v>
      </c>
      <c r="L56" t="s">
        <v>809</v>
      </c>
    </row>
    <row r="57" spans="1:12" x14ac:dyDescent="0.3">
      <c r="A57" t="s">
        <v>792</v>
      </c>
      <c r="B57" t="s">
        <v>806</v>
      </c>
      <c r="C57" t="s">
        <v>1511</v>
      </c>
      <c r="D57" t="s">
        <v>1072</v>
      </c>
      <c r="G57" t="s">
        <v>791</v>
      </c>
      <c r="H57" t="s">
        <v>1509</v>
      </c>
      <c r="I57" t="s">
        <v>827</v>
      </c>
      <c r="K57" t="s">
        <v>1507</v>
      </c>
      <c r="L57" t="s">
        <v>809</v>
      </c>
    </row>
    <row r="58" spans="1:12" x14ac:dyDescent="0.3">
      <c r="A58" t="s">
        <v>792</v>
      </c>
      <c r="B58" t="s">
        <v>806</v>
      </c>
      <c r="C58" t="s">
        <v>1511</v>
      </c>
      <c r="D58" t="s">
        <v>1073</v>
      </c>
      <c r="G58" t="s">
        <v>791</v>
      </c>
      <c r="H58" t="s">
        <v>1509</v>
      </c>
      <c r="I58" t="s">
        <v>878</v>
      </c>
      <c r="K58" t="s">
        <v>1508</v>
      </c>
      <c r="L58" t="s">
        <v>809</v>
      </c>
    </row>
    <row r="59" spans="1:12" x14ac:dyDescent="0.3">
      <c r="A59" t="s">
        <v>792</v>
      </c>
      <c r="B59" t="s">
        <v>806</v>
      </c>
      <c r="C59" t="s">
        <v>1511</v>
      </c>
      <c r="D59" t="s">
        <v>1074</v>
      </c>
      <c r="G59" t="s">
        <v>791</v>
      </c>
      <c r="H59" t="s">
        <v>1509</v>
      </c>
      <c r="I59" t="s">
        <v>879</v>
      </c>
      <c r="K59" t="s">
        <v>1508</v>
      </c>
      <c r="L59" t="s">
        <v>809</v>
      </c>
    </row>
    <row r="60" spans="1:12" x14ac:dyDescent="0.3">
      <c r="A60" t="s">
        <v>792</v>
      </c>
      <c r="B60" t="s">
        <v>806</v>
      </c>
      <c r="C60" t="s">
        <v>1511</v>
      </c>
      <c r="D60" t="s">
        <v>1075</v>
      </c>
      <c r="G60" t="s">
        <v>790</v>
      </c>
      <c r="H60" t="s">
        <v>1512</v>
      </c>
      <c r="I60" t="s">
        <v>961</v>
      </c>
      <c r="K60" t="s">
        <v>823</v>
      </c>
      <c r="L60" t="s">
        <v>805</v>
      </c>
    </row>
    <row r="61" spans="1:12" x14ac:dyDescent="0.3">
      <c r="A61" t="s">
        <v>792</v>
      </c>
      <c r="B61" t="s">
        <v>806</v>
      </c>
      <c r="C61" t="s">
        <v>1511</v>
      </c>
      <c r="D61" t="s">
        <v>1076</v>
      </c>
      <c r="G61" t="s">
        <v>790</v>
      </c>
      <c r="H61" t="s">
        <v>1512</v>
      </c>
      <c r="I61" t="s">
        <v>962</v>
      </c>
      <c r="K61" t="s">
        <v>1511</v>
      </c>
      <c r="L61" t="s">
        <v>805</v>
      </c>
    </row>
    <row r="62" spans="1:12" x14ac:dyDescent="0.3">
      <c r="A62" t="s">
        <v>792</v>
      </c>
      <c r="B62" t="s">
        <v>806</v>
      </c>
      <c r="C62" t="s">
        <v>1511</v>
      </c>
      <c r="D62" t="s">
        <v>1077</v>
      </c>
      <c r="G62" t="s">
        <v>790</v>
      </c>
      <c r="H62" t="s">
        <v>823</v>
      </c>
      <c r="I62" t="s">
        <v>928</v>
      </c>
      <c r="K62" t="s">
        <v>1507</v>
      </c>
      <c r="L62" t="s">
        <v>805</v>
      </c>
    </row>
    <row r="63" spans="1:12" x14ac:dyDescent="0.3">
      <c r="A63" t="s">
        <v>792</v>
      </c>
      <c r="B63" t="s">
        <v>806</v>
      </c>
      <c r="C63" t="s">
        <v>1511</v>
      </c>
      <c r="D63" t="s">
        <v>1078</v>
      </c>
      <c r="G63" t="s">
        <v>790</v>
      </c>
      <c r="H63" t="s">
        <v>823</v>
      </c>
      <c r="I63" t="s">
        <v>960</v>
      </c>
      <c r="K63" t="s">
        <v>1508</v>
      </c>
      <c r="L63" t="s">
        <v>805</v>
      </c>
    </row>
    <row r="64" spans="1:12" x14ac:dyDescent="0.3">
      <c r="A64" t="s">
        <v>792</v>
      </c>
      <c r="B64" t="s">
        <v>806</v>
      </c>
      <c r="C64" t="s">
        <v>1511</v>
      </c>
      <c r="D64" t="s">
        <v>1079</v>
      </c>
      <c r="G64" t="s">
        <v>790</v>
      </c>
      <c r="H64" t="s">
        <v>823</v>
      </c>
      <c r="I64" t="s">
        <v>900</v>
      </c>
      <c r="K64" t="s">
        <v>1512</v>
      </c>
      <c r="L64" t="s">
        <v>822</v>
      </c>
    </row>
    <row r="65" spans="1:12" x14ac:dyDescent="0.3">
      <c r="A65" t="s">
        <v>792</v>
      </c>
      <c r="B65" t="s">
        <v>806</v>
      </c>
      <c r="C65" t="s">
        <v>1511</v>
      </c>
      <c r="D65" t="s">
        <v>1080</v>
      </c>
      <c r="G65" t="s">
        <v>790</v>
      </c>
      <c r="H65" t="s">
        <v>823</v>
      </c>
      <c r="I65" t="s">
        <v>916</v>
      </c>
      <c r="K65" t="s">
        <v>1512</v>
      </c>
      <c r="L65" t="s">
        <v>822</v>
      </c>
    </row>
    <row r="66" spans="1:12" x14ac:dyDescent="0.3">
      <c r="A66" t="s">
        <v>792</v>
      </c>
      <c r="B66" t="s">
        <v>806</v>
      </c>
      <c r="C66" t="s">
        <v>1507</v>
      </c>
      <c r="D66" t="s">
        <v>1081</v>
      </c>
      <c r="G66" t="s">
        <v>790</v>
      </c>
      <c r="H66" t="s">
        <v>823</v>
      </c>
      <c r="I66" t="s">
        <v>932</v>
      </c>
      <c r="K66" t="s">
        <v>823</v>
      </c>
      <c r="L66" t="s">
        <v>822</v>
      </c>
    </row>
    <row r="67" spans="1:12" x14ac:dyDescent="0.3">
      <c r="A67" t="s">
        <v>792</v>
      </c>
      <c r="B67" t="s">
        <v>806</v>
      </c>
      <c r="C67" t="s">
        <v>1507</v>
      </c>
      <c r="D67" t="s">
        <v>1082</v>
      </c>
      <c r="G67" t="s">
        <v>790</v>
      </c>
      <c r="H67" t="s">
        <v>823</v>
      </c>
      <c r="I67" t="s">
        <v>934</v>
      </c>
      <c r="K67" t="s">
        <v>823</v>
      </c>
      <c r="L67" t="s">
        <v>801</v>
      </c>
    </row>
    <row r="68" spans="1:12" x14ac:dyDescent="0.3">
      <c r="A68" t="s">
        <v>792</v>
      </c>
      <c r="B68" t="s">
        <v>806</v>
      </c>
      <c r="C68" t="s">
        <v>1507</v>
      </c>
      <c r="D68" t="s">
        <v>1083</v>
      </c>
      <c r="G68" t="s">
        <v>790</v>
      </c>
      <c r="H68" t="s">
        <v>823</v>
      </c>
      <c r="I68" t="s">
        <v>884</v>
      </c>
      <c r="K68" t="s">
        <v>1511</v>
      </c>
      <c r="L68" t="s">
        <v>801</v>
      </c>
    </row>
    <row r="69" spans="1:12" x14ac:dyDescent="0.3">
      <c r="A69" t="s">
        <v>792</v>
      </c>
      <c r="B69" t="s">
        <v>806</v>
      </c>
      <c r="C69" t="s">
        <v>1507</v>
      </c>
      <c r="D69" t="s">
        <v>1084</v>
      </c>
      <c r="G69" t="s">
        <v>790</v>
      </c>
      <c r="H69" t="s">
        <v>823</v>
      </c>
      <c r="I69" t="s">
        <v>923</v>
      </c>
      <c r="K69" t="s">
        <v>1511</v>
      </c>
      <c r="L69" t="s">
        <v>801</v>
      </c>
    </row>
    <row r="70" spans="1:12" x14ac:dyDescent="0.3">
      <c r="A70" t="s">
        <v>792</v>
      </c>
      <c r="B70" t="s">
        <v>806</v>
      </c>
      <c r="C70" t="s">
        <v>1507</v>
      </c>
      <c r="D70" t="s">
        <v>1085</v>
      </c>
      <c r="G70" t="s">
        <v>790</v>
      </c>
      <c r="H70" t="s">
        <v>823</v>
      </c>
      <c r="I70" t="s">
        <v>912</v>
      </c>
      <c r="K70" t="s">
        <v>1507</v>
      </c>
      <c r="L70" t="s">
        <v>801</v>
      </c>
    </row>
    <row r="71" spans="1:12" x14ac:dyDescent="0.3">
      <c r="A71" t="s">
        <v>792</v>
      </c>
      <c r="B71" t="s">
        <v>806</v>
      </c>
      <c r="C71" t="s">
        <v>1507</v>
      </c>
      <c r="D71" t="s">
        <v>1086</v>
      </c>
      <c r="G71" t="s">
        <v>790</v>
      </c>
      <c r="H71" t="s">
        <v>823</v>
      </c>
      <c r="I71" t="s">
        <v>944</v>
      </c>
      <c r="K71" t="s">
        <v>1507</v>
      </c>
      <c r="L71" t="s">
        <v>801</v>
      </c>
    </row>
    <row r="72" spans="1:12" x14ac:dyDescent="0.3">
      <c r="A72" t="s">
        <v>792</v>
      </c>
      <c r="B72" t="s">
        <v>806</v>
      </c>
      <c r="C72" t="s">
        <v>1507</v>
      </c>
      <c r="D72" t="s">
        <v>1087</v>
      </c>
      <c r="G72" t="s">
        <v>790</v>
      </c>
      <c r="H72" t="s">
        <v>823</v>
      </c>
      <c r="I72" t="s">
        <v>951</v>
      </c>
      <c r="K72" t="s">
        <v>1508</v>
      </c>
      <c r="L72" t="s">
        <v>801</v>
      </c>
    </row>
    <row r="73" spans="1:12" x14ac:dyDescent="0.3">
      <c r="A73" t="s">
        <v>792</v>
      </c>
      <c r="B73" t="s">
        <v>806</v>
      </c>
      <c r="C73" t="s">
        <v>1507</v>
      </c>
      <c r="D73" t="s">
        <v>1088</v>
      </c>
      <c r="G73" t="s">
        <v>790</v>
      </c>
      <c r="H73" t="s">
        <v>1510</v>
      </c>
      <c r="I73" t="s">
        <v>887</v>
      </c>
      <c r="K73" t="s">
        <v>1509</v>
      </c>
      <c r="L73" t="s">
        <v>801</v>
      </c>
    </row>
    <row r="74" spans="1:12" x14ac:dyDescent="0.3">
      <c r="A74" t="s">
        <v>792</v>
      </c>
      <c r="B74" t="s">
        <v>806</v>
      </c>
      <c r="C74" t="s">
        <v>1507</v>
      </c>
      <c r="D74" t="s">
        <v>1089</v>
      </c>
      <c r="G74" t="s">
        <v>790</v>
      </c>
      <c r="H74" t="s">
        <v>1511</v>
      </c>
      <c r="I74" t="s">
        <v>929</v>
      </c>
      <c r="K74" t="s">
        <v>1509</v>
      </c>
      <c r="L74" t="s">
        <v>801</v>
      </c>
    </row>
    <row r="75" spans="1:12" x14ac:dyDescent="0.3">
      <c r="A75" t="s">
        <v>792</v>
      </c>
      <c r="B75" t="s">
        <v>806</v>
      </c>
      <c r="C75" t="s">
        <v>1507</v>
      </c>
      <c r="D75" t="s">
        <v>1090</v>
      </c>
      <c r="G75" t="s">
        <v>790</v>
      </c>
      <c r="H75" t="s">
        <v>1511</v>
      </c>
      <c r="I75" t="s">
        <v>907</v>
      </c>
      <c r="K75" t="s">
        <v>1509</v>
      </c>
      <c r="L75" t="s">
        <v>801</v>
      </c>
    </row>
    <row r="76" spans="1:12" x14ac:dyDescent="0.3">
      <c r="A76" t="s">
        <v>792</v>
      </c>
      <c r="B76" t="s">
        <v>806</v>
      </c>
      <c r="C76" t="s">
        <v>1507</v>
      </c>
      <c r="D76" t="s">
        <v>1091</v>
      </c>
      <c r="G76" t="s">
        <v>790</v>
      </c>
      <c r="H76" t="s">
        <v>1511</v>
      </c>
      <c r="I76" t="s">
        <v>908</v>
      </c>
      <c r="K76" t="s">
        <v>1509</v>
      </c>
      <c r="L76" t="s">
        <v>801</v>
      </c>
    </row>
    <row r="77" spans="1:12" x14ac:dyDescent="0.3">
      <c r="A77" t="s">
        <v>792</v>
      </c>
      <c r="B77" t="s">
        <v>806</v>
      </c>
      <c r="C77" t="s">
        <v>1507</v>
      </c>
      <c r="D77" t="s">
        <v>1092</v>
      </c>
      <c r="G77" t="s">
        <v>790</v>
      </c>
      <c r="H77" t="s">
        <v>1511</v>
      </c>
      <c r="I77" t="s">
        <v>920</v>
      </c>
      <c r="K77" t="s">
        <v>1509</v>
      </c>
      <c r="L77" t="s">
        <v>801</v>
      </c>
    </row>
    <row r="78" spans="1:12" x14ac:dyDescent="0.3">
      <c r="A78" t="s">
        <v>792</v>
      </c>
      <c r="B78" t="s">
        <v>806</v>
      </c>
      <c r="C78" t="s">
        <v>1507</v>
      </c>
      <c r="D78" t="s">
        <v>1093</v>
      </c>
      <c r="G78" t="s">
        <v>790</v>
      </c>
      <c r="H78" t="s">
        <v>1511</v>
      </c>
      <c r="I78" t="s">
        <v>938</v>
      </c>
      <c r="K78" t="s">
        <v>1509</v>
      </c>
      <c r="L78" t="s">
        <v>801</v>
      </c>
    </row>
    <row r="79" spans="1:12" x14ac:dyDescent="0.3">
      <c r="A79" t="s">
        <v>792</v>
      </c>
      <c r="B79" t="s">
        <v>806</v>
      </c>
      <c r="C79" t="s">
        <v>1508</v>
      </c>
      <c r="D79" t="s">
        <v>1094</v>
      </c>
      <c r="G79" t="s">
        <v>790</v>
      </c>
      <c r="H79" t="s">
        <v>1511</v>
      </c>
      <c r="I79" t="s">
        <v>939</v>
      </c>
      <c r="K79" t="s">
        <v>823</v>
      </c>
      <c r="L79" t="s">
        <v>803</v>
      </c>
    </row>
    <row r="80" spans="1:12" x14ac:dyDescent="0.3">
      <c r="A80" t="s">
        <v>792</v>
      </c>
      <c r="B80" t="s">
        <v>806</v>
      </c>
      <c r="C80" t="s">
        <v>1508</v>
      </c>
      <c r="D80" t="s">
        <v>1095</v>
      </c>
      <c r="G80" t="s">
        <v>790</v>
      </c>
      <c r="H80" t="s">
        <v>1511</v>
      </c>
      <c r="I80" t="s">
        <v>888</v>
      </c>
      <c r="K80" t="s">
        <v>1511</v>
      </c>
      <c r="L80" t="s">
        <v>803</v>
      </c>
    </row>
    <row r="81" spans="1:12" x14ac:dyDescent="0.3">
      <c r="A81" t="s">
        <v>792</v>
      </c>
      <c r="B81" t="s">
        <v>806</v>
      </c>
      <c r="C81" t="s">
        <v>1508</v>
      </c>
      <c r="D81" t="s">
        <v>1096</v>
      </c>
      <c r="G81" t="s">
        <v>790</v>
      </c>
      <c r="H81" t="s">
        <v>1511</v>
      </c>
      <c r="I81" t="s">
        <v>889</v>
      </c>
      <c r="K81" t="s">
        <v>1507</v>
      </c>
      <c r="L81" t="s">
        <v>803</v>
      </c>
    </row>
    <row r="82" spans="1:12" x14ac:dyDescent="0.3">
      <c r="A82" t="s">
        <v>792</v>
      </c>
      <c r="B82" t="s">
        <v>806</v>
      </c>
      <c r="C82" t="s">
        <v>1508</v>
      </c>
      <c r="D82" t="s">
        <v>1097</v>
      </c>
      <c r="G82" t="s">
        <v>790</v>
      </c>
      <c r="H82" t="s">
        <v>1511</v>
      </c>
      <c r="I82" t="s">
        <v>890</v>
      </c>
      <c r="K82" t="s">
        <v>1509</v>
      </c>
      <c r="L82" t="s">
        <v>803</v>
      </c>
    </row>
    <row r="83" spans="1:12" x14ac:dyDescent="0.3">
      <c r="A83" t="s">
        <v>792</v>
      </c>
      <c r="B83" t="s">
        <v>806</v>
      </c>
      <c r="C83" t="s">
        <v>1508</v>
      </c>
      <c r="D83" t="s">
        <v>1098</v>
      </c>
      <c r="G83" t="s">
        <v>790</v>
      </c>
      <c r="H83" t="s">
        <v>1511</v>
      </c>
      <c r="I83" t="s">
        <v>891</v>
      </c>
      <c r="K83" t="s">
        <v>1509</v>
      </c>
      <c r="L83" t="s">
        <v>803</v>
      </c>
    </row>
    <row r="84" spans="1:12" x14ac:dyDescent="0.3">
      <c r="A84" t="s">
        <v>792</v>
      </c>
      <c r="B84" t="s">
        <v>806</v>
      </c>
      <c r="C84" t="s">
        <v>1508</v>
      </c>
      <c r="D84" t="s">
        <v>1099</v>
      </c>
      <c r="G84" t="s">
        <v>790</v>
      </c>
      <c r="H84" t="s">
        <v>1511</v>
      </c>
      <c r="I84" t="s">
        <v>892</v>
      </c>
      <c r="K84" t="s">
        <v>1509</v>
      </c>
      <c r="L84" t="s">
        <v>803</v>
      </c>
    </row>
    <row r="85" spans="1:12" x14ac:dyDescent="0.3">
      <c r="A85" t="s">
        <v>792</v>
      </c>
      <c r="B85" t="s">
        <v>806</v>
      </c>
      <c r="C85" t="s">
        <v>1508</v>
      </c>
      <c r="D85" t="s">
        <v>1100</v>
      </c>
      <c r="G85" t="s">
        <v>790</v>
      </c>
      <c r="H85" t="s">
        <v>1511</v>
      </c>
      <c r="I85" t="s">
        <v>893</v>
      </c>
      <c r="K85" t="s">
        <v>823</v>
      </c>
      <c r="L85" t="s">
        <v>815</v>
      </c>
    </row>
    <row r="86" spans="1:12" x14ac:dyDescent="0.3">
      <c r="A86" t="s">
        <v>792</v>
      </c>
      <c r="B86" t="s">
        <v>806</v>
      </c>
      <c r="C86" t="s">
        <v>1508</v>
      </c>
      <c r="D86" t="s">
        <v>1101</v>
      </c>
      <c r="G86" t="s">
        <v>790</v>
      </c>
      <c r="H86" t="s">
        <v>1511</v>
      </c>
      <c r="I86" t="s">
        <v>925</v>
      </c>
      <c r="K86" t="s">
        <v>1509</v>
      </c>
      <c r="L86" t="s">
        <v>815</v>
      </c>
    </row>
    <row r="87" spans="1:12" x14ac:dyDescent="0.3">
      <c r="A87" t="s">
        <v>792</v>
      </c>
      <c r="B87" t="s">
        <v>806</v>
      </c>
      <c r="C87" t="s">
        <v>1508</v>
      </c>
      <c r="D87" t="s">
        <v>1102</v>
      </c>
      <c r="G87" t="s">
        <v>790</v>
      </c>
      <c r="H87" t="s">
        <v>1511</v>
      </c>
      <c r="I87" t="s">
        <v>945</v>
      </c>
      <c r="K87" t="s">
        <v>823</v>
      </c>
      <c r="L87" t="s">
        <v>807</v>
      </c>
    </row>
    <row r="88" spans="1:12" x14ac:dyDescent="0.3">
      <c r="A88" t="s">
        <v>792</v>
      </c>
      <c r="B88" t="s">
        <v>806</v>
      </c>
      <c r="C88" t="s">
        <v>1508</v>
      </c>
      <c r="D88" t="s">
        <v>1103</v>
      </c>
      <c r="G88" t="s">
        <v>790</v>
      </c>
      <c r="H88" t="s">
        <v>1511</v>
      </c>
      <c r="I88" t="s">
        <v>946</v>
      </c>
      <c r="K88" t="s">
        <v>1511</v>
      </c>
      <c r="L88" t="s">
        <v>807</v>
      </c>
    </row>
    <row r="89" spans="1:12" x14ac:dyDescent="0.3">
      <c r="A89" t="s">
        <v>792</v>
      </c>
      <c r="B89" t="s">
        <v>806</v>
      </c>
      <c r="C89" t="s">
        <v>1508</v>
      </c>
      <c r="D89" t="s">
        <v>1104</v>
      </c>
      <c r="G89" t="s">
        <v>790</v>
      </c>
      <c r="H89" t="s">
        <v>1511</v>
      </c>
      <c r="I89" t="s">
        <v>953</v>
      </c>
      <c r="K89" t="s">
        <v>1511</v>
      </c>
      <c r="L89" t="s">
        <v>807</v>
      </c>
    </row>
    <row r="90" spans="1:12" x14ac:dyDescent="0.3">
      <c r="A90" t="s">
        <v>792</v>
      </c>
      <c r="B90" t="s">
        <v>806</v>
      </c>
      <c r="C90" t="s">
        <v>1508</v>
      </c>
      <c r="D90" t="s">
        <v>1105</v>
      </c>
      <c r="G90" t="s">
        <v>790</v>
      </c>
      <c r="H90" t="s">
        <v>1511</v>
      </c>
      <c r="I90" t="s">
        <v>954</v>
      </c>
      <c r="K90" t="s">
        <v>1507</v>
      </c>
      <c r="L90" t="s">
        <v>807</v>
      </c>
    </row>
    <row r="91" spans="1:12" x14ac:dyDescent="0.3">
      <c r="A91" t="s">
        <v>792</v>
      </c>
      <c r="B91" t="s">
        <v>806</v>
      </c>
      <c r="C91" t="s">
        <v>797</v>
      </c>
      <c r="D91" t="s">
        <v>1106</v>
      </c>
      <c r="G91" t="s">
        <v>790</v>
      </c>
      <c r="H91" t="s">
        <v>1511</v>
      </c>
      <c r="I91" t="s">
        <v>955</v>
      </c>
      <c r="K91" t="s">
        <v>1507</v>
      </c>
      <c r="L91" t="s">
        <v>807</v>
      </c>
    </row>
    <row r="92" spans="1:12" x14ac:dyDescent="0.3">
      <c r="A92" t="s">
        <v>792</v>
      </c>
      <c r="B92" t="s">
        <v>806</v>
      </c>
      <c r="C92" t="s">
        <v>797</v>
      </c>
      <c r="D92" t="s">
        <v>1107</v>
      </c>
      <c r="G92" t="s">
        <v>790</v>
      </c>
      <c r="H92" t="s">
        <v>1507</v>
      </c>
      <c r="I92" t="s">
        <v>930</v>
      </c>
      <c r="K92" t="s">
        <v>1508</v>
      </c>
      <c r="L92" t="s">
        <v>807</v>
      </c>
    </row>
    <row r="93" spans="1:12" x14ac:dyDescent="0.3">
      <c r="A93" t="s">
        <v>792</v>
      </c>
      <c r="B93" t="s">
        <v>806</v>
      </c>
      <c r="C93" t="s">
        <v>1509</v>
      </c>
      <c r="D93" t="s">
        <v>1018</v>
      </c>
      <c r="G93" t="s">
        <v>790</v>
      </c>
      <c r="H93" t="s">
        <v>1507</v>
      </c>
      <c r="I93" t="s">
        <v>909</v>
      </c>
      <c r="K93" t="s">
        <v>1508</v>
      </c>
      <c r="L93" t="s">
        <v>807</v>
      </c>
    </row>
    <row r="94" spans="1:12" x14ac:dyDescent="0.3">
      <c r="A94" t="s">
        <v>792</v>
      </c>
      <c r="B94" t="s">
        <v>806</v>
      </c>
      <c r="C94" t="s">
        <v>1509</v>
      </c>
      <c r="D94" t="s">
        <v>1019</v>
      </c>
      <c r="G94" t="s">
        <v>790</v>
      </c>
      <c r="H94" t="s">
        <v>1507</v>
      </c>
      <c r="I94" t="s">
        <v>910</v>
      </c>
      <c r="K94" t="s">
        <v>1509</v>
      </c>
      <c r="L94" t="s">
        <v>807</v>
      </c>
    </row>
    <row r="95" spans="1:12" x14ac:dyDescent="0.3">
      <c r="A95" t="s">
        <v>792</v>
      </c>
      <c r="B95" t="s">
        <v>806</v>
      </c>
      <c r="C95" t="s">
        <v>1509</v>
      </c>
      <c r="D95" t="s">
        <v>1020</v>
      </c>
      <c r="G95" t="s">
        <v>790</v>
      </c>
      <c r="H95" t="s">
        <v>1507</v>
      </c>
      <c r="I95" t="s">
        <v>921</v>
      </c>
      <c r="K95" t="s">
        <v>1509</v>
      </c>
      <c r="L95" t="s">
        <v>807</v>
      </c>
    </row>
    <row r="96" spans="1:12" x14ac:dyDescent="0.3">
      <c r="A96" t="s">
        <v>792</v>
      </c>
      <c r="B96" t="s">
        <v>806</v>
      </c>
      <c r="C96" t="s">
        <v>1509</v>
      </c>
      <c r="D96" t="s">
        <v>1021</v>
      </c>
      <c r="G96" t="s">
        <v>790</v>
      </c>
      <c r="H96" t="s">
        <v>1507</v>
      </c>
      <c r="I96" t="s">
        <v>940</v>
      </c>
      <c r="K96" t="s">
        <v>1509</v>
      </c>
      <c r="L96" t="s">
        <v>807</v>
      </c>
    </row>
    <row r="97" spans="1:12" x14ac:dyDescent="0.3">
      <c r="A97" t="s">
        <v>792</v>
      </c>
      <c r="B97" t="s">
        <v>806</v>
      </c>
      <c r="C97" t="s">
        <v>1509</v>
      </c>
      <c r="D97" t="s">
        <v>1022</v>
      </c>
      <c r="G97" t="s">
        <v>790</v>
      </c>
      <c r="H97" t="s">
        <v>1507</v>
      </c>
      <c r="I97" t="s">
        <v>941</v>
      </c>
      <c r="K97" t="s">
        <v>823</v>
      </c>
      <c r="L97" t="s">
        <v>800</v>
      </c>
    </row>
    <row r="98" spans="1:12" x14ac:dyDescent="0.3">
      <c r="A98" t="s">
        <v>792</v>
      </c>
      <c r="B98" t="s">
        <v>806</v>
      </c>
      <c r="C98" t="s">
        <v>1509</v>
      </c>
      <c r="D98" t="s">
        <v>1023</v>
      </c>
      <c r="G98" t="s">
        <v>790</v>
      </c>
      <c r="H98" t="s">
        <v>1507</v>
      </c>
      <c r="I98" t="s">
        <v>894</v>
      </c>
      <c r="K98" t="s">
        <v>1510</v>
      </c>
      <c r="L98" t="s">
        <v>800</v>
      </c>
    </row>
    <row r="99" spans="1:12" x14ac:dyDescent="0.3">
      <c r="A99" t="s">
        <v>792</v>
      </c>
      <c r="B99" t="s">
        <v>806</v>
      </c>
      <c r="C99" t="s">
        <v>1509</v>
      </c>
      <c r="D99" t="s">
        <v>1024</v>
      </c>
      <c r="G99" t="s">
        <v>790</v>
      </c>
      <c r="H99" t="s">
        <v>1507</v>
      </c>
      <c r="I99" t="s">
        <v>895</v>
      </c>
      <c r="K99" t="s">
        <v>1511</v>
      </c>
      <c r="L99" t="s">
        <v>800</v>
      </c>
    </row>
    <row r="100" spans="1:12" x14ac:dyDescent="0.3">
      <c r="A100" t="s">
        <v>792</v>
      </c>
      <c r="B100" t="s">
        <v>806</v>
      </c>
      <c r="C100" t="s">
        <v>1509</v>
      </c>
      <c r="D100" t="s">
        <v>1025</v>
      </c>
      <c r="G100" t="s">
        <v>790</v>
      </c>
      <c r="H100" t="s">
        <v>1507</v>
      </c>
      <c r="I100" t="s">
        <v>896</v>
      </c>
      <c r="K100" t="s">
        <v>1511</v>
      </c>
      <c r="L100" t="s">
        <v>800</v>
      </c>
    </row>
    <row r="101" spans="1:12" x14ac:dyDescent="0.3">
      <c r="A101" t="s">
        <v>792</v>
      </c>
      <c r="B101" t="s">
        <v>806</v>
      </c>
      <c r="C101" t="s">
        <v>1509</v>
      </c>
      <c r="D101" t="s">
        <v>1026</v>
      </c>
      <c r="G101" t="s">
        <v>790</v>
      </c>
      <c r="H101" t="s">
        <v>1507</v>
      </c>
      <c r="I101" t="s">
        <v>897</v>
      </c>
      <c r="K101" t="s">
        <v>1511</v>
      </c>
      <c r="L101" t="s">
        <v>800</v>
      </c>
    </row>
    <row r="102" spans="1:12" x14ac:dyDescent="0.3">
      <c r="A102" t="s">
        <v>792</v>
      </c>
      <c r="B102" t="s">
        <v>806</v>
      </c>
      <c r="C102" t="s">
        <v>1509</v>
      </c>
      <c r="D102" t="s">
        <v>972</v>
      </c>
      <c r="G102" t="s">
        <v>790</v>
      </c>
      <c r="H102" t="s">
        <v>1507</v>
      </c>
      <c r="I102" t="s">
        <v>898</v>
      </c>
      <c r="K102" t="s">
        <v>1511</v>
      </c>
      <c r="L102" t="s">
        <v>800</v>
      </c>
    </row>
    <row r="103" spans="1:12" x14ac:dyDescent="0.3">
      <c r="A103" t="s">
        <v>792</v>
      </c>
      <c r="B103" t="s">
        <v>806</v>
      </c>
      <c r="C103" t="s">
        <v>1509</v>
      </c>
      <c r="D103" t="s">
        <v>973</v>
      </c>
      <c r="G103" t="s">
        <v>790</v>
      </c>
      <c r="H103" t="s">
        <v>1507</v>
      </c>
      <c r="I103" t="s">
        <v>899</v>
      </c>
      <c r="K103" t="s">
        <v>1511</v>
      </c>
      <c r="L103" t="s">
        <v>800</v>
      </c>
    </row>
    <row r="104" spans="1:12" x14ac:dyDescent="0.3">
      <c r="A104" t="s">
        <v>792</v>
      </c>
      <c r="B104" t="s">
        <v>806</v>
      </c>
      <c r="C104" t="s">
        <v>1509</v>
      </c>
      <c r="D104" t="s">
        <v>1027</v>
      </c>
      <c r="G104" t="s">
        <v>790</v>
      </c>
      <c r="H104" t="s">
        <v>1507</v>
      </c>
      <c r="I104" t="s">
        <v>926</v>
      </c>
      <c r="K104" t="s">
        <v>1511</v>
      </c>
      <c r="L104" t="s">
        <v>800</v>
      </c>
    </row>
    <row r="105" spans="1:12" x14ac:dyDescent="0.3">
      <c r="A105" t="s">
        <v>792</v>
      </c>
      <c r="B105" t="s">
        <v>806</v>
      </c>
      <c r="C105" t="s">
        <v>1509</v>
      </c>
      <c r="D105" t="s">
        <v>1028</v>
      </c>
      <c r="G105" t="s">
        <v>790</v>
      </c>
      <c r="H105" t="s">
        <v>1507</v>
      </c>
      <c r="I105" t="s">
        <v>947</v>
      </c>
      <c r="K105" t="s">
        <v>1507</v>
      </c>
      <c r="L105" t="s">
        <v>800</v>
      </c>
    </row>
    <row r="106" spans="1:12" x14ac:dyDescent="0.3">
      <c r="A106" t="s">
        <v>792</v>
      </c>
      <c r="B106" t="s">
        <v>806</v>
      </c>
      <c r="C106" t="s">
        <v>1509</v>
      </c>
      <c r="D106" t="s">
        <v>1029</v>
      </c>
      <c r="G106" t="s">
        <v>790</v>
      </c>
      <c r="H106" t="s">
        <v>1507</v>
      </c>
      <c r="I106" t="s">
        <v>948</v>
      </c>
      <c r="K106" t="s">
        <v>1507</v>
      </c>
      <c r="L106" t="s">
        <v>800</v>
      </c>
    </row>
    <row r="107" spans="1:12" x14ac:dyDescent="0.3">
      <c r="A107" t="s">
        <v>792</v>
      </c>
      <c r="B107" t="s">
        <v>806</v>
      </c>
      <c r="C107" t="s">
        <v>1509</v>
      </c>
      <c r="D107" t="s">
        <v>1030</v>
      </c>
      <c r="G107" t="s">
        <v>790</v>
      </c>
      <c r="H107" t="s">
        <v>1507</v>
      </c>
      <c r="I107" t="s">
        <v>956</v>
      </c>
      <c r="K107" t="s">
        <v>1507</v>
      </c>
      <c r="L107" t="s">
        <v>800</v>
      </c>
    </row>
    <row r="108" spans="1:12" x14ac:dyDescent="0.3">
      <c r="A108" t="s">
        <v>792</v>
      </c>
      <c r="B108" t="s">
        <v>806</v>
      </c>
      <c r="C108" t="s">
        <v>1509</v>
      </c>
      <c r="D108" t="s">
        <v>1031</v>
      </c>
      <c r="G108" t="s">
        <v>790</v>
      </c>
      <c r="H108" t="s">
        <v>1507</v>
      </c>
      <c r="I108" t="s">
        <v>957</v>
      </c>
      <c r="K108" t="s">
        <v>1507</v>
      </c>
      <c r="L108" t="s">
        <v>800</v>
      </c>
    </row>
    <row r="109" spans="1:12" x14ac:dyDescent="0.3">
      <c r="A109" t="s">
        <v>792</v>
      </c>
      <c r="B109" t="s">
        <v>806</v>
      </c>
      <c r="C109" t="s">
        <v>1509</v>
      </c>
      <c r="D109" t="s">
        <v>974</v>
      </c>
      <c r="G109" t="s">
        <v>790</v>
      </c>
      <c r="H109" t="s">
        <v>1507</v>
      </c>
      <c r="I109" t="s">
        <v>958</v>
      </c>
      <c r="K109" t="s">
        <v>1507</v>
      </c>
      <c r="L109" t="s">
        <v>800</v>
      </c>
    </row>
    <row r="110" spans="1:12" x14ac:dyDescent="0.3">
      <c r="A110" t="s">
        <v>792</v>
      </c>
      <c r="B110" t="s">
        <v>806</v>
      </c>
      <c r="C110" t="s">
        <v>1509</v>
      </c>
      <c r="D110" t="s">
        <v>975</v>
      </c>
      <c r="G110" t="s">
        <v>790</v>
      </c>
      <c r="H110" t="s">
        <v>1508</v>
      </c>
      <c r="I110" t="s">
        <v>931</v>
      </c>
      <c r="K110" t="s">
        <v>1507</v>
      </c>
      <c r="L110" t="s">
        <v>800</v>
      </c>
    </row>
    <row r="111" spans="1:12" x14ac:dyDescent="0.3">
      <c r="A111" t="s">
        <v>792</v>
      </c>
      <c r="B111" t="s">
        <v>806</v>
      </c>
      <c r="C111" t="s">
        <v>1509</v>
      </c>
      <c r="D111" t="s">
        <v>976</v>
      </c>
      <c r="G111" t="s">
        <v>790</v>
      </c>
      <c r="H111" t="s">
        <v>1508</v>
      </c>
      <c r="I111" t="s">
        <v>911</v>
      </c>
      <c r="K111" t="s">
        <v>1509</v>
      </c>
      <c r="L111" t="s">
        <v>800</v>
      </c>
    </row>
    <row r="112" spans="1:12" x14ac:dyDescent="0.3">
      <c r="A112" t="s">
        <v>792</v>
      </c>
      <c r="B112" t="s">
        <v>806</v>
      </c>
      <c r="C112" t="s">
        <v>1509</v>
      </c>
      <c r="D112" t="s">
        <v>977</v>
      </c>
      <c r="G112" t="s">
        <v>790</v>
      </c>
      <c r="H112" t="s">
        <v>1508</v>
      </c>
      <c r="I112" t="s">
        <v>942</v>
      </c>
      <c r="K112" t="s">
        <v>1509</v>
      </c>
      <c r="L112" t="s">
        <v>800</v>
      </c>
    </row>
    <row r="113" spans="1:12" x14ac:dyDescent="0.3">
      <c r="A113" t="s">
        <v>792</v>
      </c>
      <c r="B113" t="s">
        <v>806</v>
      </c>
      <c r="C113" t="s">
        <v>1509</v>
      </c>
      <c r="D113" t="s">
        <v>978</v>
      </c>
      <c r="G113" t="s">
        <v>790</v>
      </c>
      <c r="H113" t="s">
        <v>1508</v>
      </c>
      <c r="I113" t="s">
        <v>943</v>
      </c>
      <c r="K113" t="s">
        <v>823</v>
      </c>
      <c r="L113" t="s">
        <v>804</v>
      </c>
    </row>
    <row r="114" spans="1:12" x14ac:dyDescent="0.3">
      <c r="A114" t="s">
        <v>792</v>
      </c>
      <c r="B114" t="s">
        <v>806</v>
      </c>
      <c r="C114" t="s">
        <v>1509</v>
      </c>
      <c r="D114" t="s">
        <v>979</v>
      </c>
      <c r="G114" t="s">
        <v>790</v>
      </c>
      <c r="H114" t="s">
        <v>1508</v>
      </c>
      <c r="I114" t="s">
        <v>927</v>
      </c>
      <c r="K114" t="s">
        <v>1511</v>
      </c>
      <c r="L114" t="s">
        <v>804</v>
      </c>
    </row>
    <row r="115" spans="1:12" x14ac:dyDescent="0.3">
      <c r="A115" t="s">
        <v>792</v>
      </c>
      <c r="B115" t="s">
        <v>806</v>
      </c>
      <c r="C115" t="s">
        <v>1509</v>
      </c>
      <c r="D115" t="s">
        <v>1032</v>
      </c>
      <c r="G115" t="s">
        <v>790</v>
      </c>
      <c r="H115" t="s">
        <v>1508</v>
      </c>
      <c r="I115" t="s">
        <v>949</v>
      </c>
      <c r="K115" t="s">
        <v>1507</v>
      </c>
      <c r="L115" t="s">
        <v>804</v>
      </c>
    </row>
    <row r="116" spans="1:12" x14ac:dyDescent="0.3">
      <c r="A116" t="s">
        <v>792</v>
      </c>
      <c r="B116" t="s">
        <v>806</v>
      </c>
      <c r="C116" t="s">
        <v>1509</v>
      </c>
      <c r="D116" t="s">
        <v>1033</v>
      </c>
      <c r="G116" t="s">
        <v>790</v>
      </c>
      <c r="H116" t="s">
        <v>1508</v>
      </c>
      <c r="I116" t="s">
        <v>950</v>
      </c>
      <c r="K116" t="s">
        <v>1508</v>
      </c>
      <c r="L116" t="s">
        <v>804</v>
      </c>
    </row>
    <row r="117" spans="1:12" x14ac:dyDescent="0.3">
      <c r="A117" t="s">
        <v>792</v>
      </c>
      <c r="B117" t="s">
        <v>806</v>
      </c>
      <c r="C117" t="s">
        <v>1509</v>
      </c>
      <c r="D117" t="s">
        <v>1034</v>
      </c>
      <c r="G117" t="s">
        <v>790</v>
      </c>
      <c r="H117" t="s">
        <v>1508</v>
      </c>
      <c r="I117" t="s">
        <v>959</v>
      </c>
      <c r="K117" t="s">
        <v>797</v>
      </c>
      <c r="L117" t="s">
        <v>804</v>
      </c>
    </row>
    <row r="118" spans="1:12" x14ac:dyDescent="0.3">
      <c r="A118" t="s">
        <v>792</v>
      </c>
      <c r="B118" t="s">
        <v>806</v>
      </c>
      <c r="C118" t="s">
        <v>1509</v>
      </c>
      <c r="D118" t="s">
        <v>980</v>
      </c>
      <c r="G118" t="s">
        <v>790</v>
      </c>
      <c r="H118" t="s">
        <v>797</v>
      </c>
      <c r="I118" t="s">
        <v>922</v>
      </c>
      <c r="K118" t="s">
        <v>1509</v>
      </c>
      <c r="L118" t="s">
        <v>804</v>
      </c>
    </row>
    <row r="119" spans="1:12" x14ac:dyDescent="0.3">
      <c r="A119" t="s">
        <v>792</v>
      </c>
      <c r="B119" t="s">
        <v>806</v>
      </c>
      <c r="C119" t="s">
        <v>1509</v>
      </c>
      <c r="D119" t="s">
        <v>981</v>
      </c>
      <c r="G119" t="s">
        <v>790</v>
      </c>
      <c r="H119" t="s">
        <v>1509</v>
      </c>
      <c r="I119" t="s">
        <v>901</v>
      </c>
      <c r="K119" t="s">
        <v>823</v>
      </c>
      <c r="L119" t="s">
        <v>802</v>
      </c>
    </row>
    <row r="120" spans="1:12" x14ac:dyDescent="0.3">
      <c r="A120" t="s">
        <v>792</v>
      </c>
      <c r="B120" t="s">
        <v>806</v>
      </c>
      <c r="C120" t="s">
        <v>1509</v>
      </c>
      <c r="D120" t="s">
        <v>1035</v>
      </c>
      <c r="G120" t="s">
        <v>790</v>
      </c>
      <c r="H120" t="s">
        <v>1509</v>
      </c>
      <c r="I120" t="s">
        <v>902</v>
      </c>
      <c r="K120" t="s">
        <v>1509</v>
      </c>
      <c r="L120" t="s">
        <v>802</v>
      </c>
    </row>
    <row r="121" spans="1:12" x14ac:dyDescent="0.3">
      <c r="A121" t="s">
        <v>792</v>
      </c>
      <c r="B121" t="s">
        <v>806</v>
      </c>
      <c r="C121" t="s">
        <v>1509</v>
      </c>
      <c r="D121" t="s">
        <v>1036</v>
      </c>
      <c r="G121" t="s">
        <v>790</v>
      </c>
      <c r="H121" t="s">
        <v>1509</v>
      </c>
      <c r="I121" t="s">
        <v>903</v>
      </c>
      <c r="K121" t="s">
        <v>1509</v>
      </c>
      <c r="L121" t="s">
        <v>802</v>
      </c>
    </row>
    <row r="122" spans="1:12" x14ac:dyDescent="0.3">
      <c r="A122" t="s">
        <v>792</v>
      </c>
      <c r="B122" t="s">
        <v>806</v>
      </c>
      <c r="C122" t="s">
        <v>1509</v>
      </c>
      <c r="D122" t="s">
        <v>1037</v>
      </c>
      <c r="G122" t="s">
        <v>790</v>
      </c>
      <c r="H122" t="s">
        <v>1509</v>
      </c>
      <c r="I122" t="s">
        <v>904</v>
      </c>
      <c r="K122" t="s">
        <v>1509</v>
      </c>
      <c r="L122" t="s">
        <v>802</v>
      </c>
    </row>
    <row r="123" spans="1:12" x14ac:dyDescent="0.3">
      <c r="A123" t="s">
        <v>792</v>
      </c>
      <c r="B123" t="s">
        <v>806</v>
      </c>
      <c r="C123" t="s">
        <v>1509</v>
      </c>
      <c r="D123" t="s">
        <v>1038</v>
      </c>
      <c r="G123" t="s">
        <v>790</v>
      </c>
      <c r="H123" t="s">
        <v>1509</v>
      </c>
      <c r="I123" t="s">
        <v>905</v>
      </c>
      <c r="K123" t="s">
        <v>823</v>
      </c>
      <c r="L123" t="s">
        <v>813</v>
      </c>
    </row>
    <row r="124" spans="1:12" x14ac:dyDescent="0.3">
      <c r="A124" t="s">
        <v>792</v>
      </c>
      <c r="B124" t="s">
        <v>806</v>
      </c>
      <c r="C124" t="s">
        <v>1509</v>
      </c>
      <c r="D124" t="s">
        <v>1039</v>
      </c>
      <c r="G124" t="s">
        <v>790</v>
      </c>
      <c r="H124" t="s">
        <v>1509</v>
      </c>
      <c r="I124" t="s">
        <v>906</v>
      </c>
      <c r="K124" t="s">
        <v>1511</v>
      </c>
      <c r="L124" t="s">
        <v>813</v>
      </c>
    </row>
    <row r="125" spans="1:12" x14ac:dyDescent="0.3">
      <c r="A125" t="s">
        <v>792</v>
      </c>
      <c r="B125" t="s">
        <v>806</v>
      </c>
      <c r="C125" t="s">
        <v>1509</v>
      </c>
      <c r="D125" t="s">
        <v>1040</v>
      </c>
      <c r="G125" t="s">
        <v>790</v>
      </c>
      <c r="H125" t="s">
        <v>1509</v>
      </c>
      <c r="I125" t="s">
        <v>917</v>
      </c>
      <c r="K125" t="s">
        <v>1511</v>
      </c>
      <c r="L125" t="s">
        <v>813</v>
      </c>
    </row>
    <row r="126" spans="1:12" x14ac:dyDescent="0.3">
      <c r="A126" t="s">
        <v>792</v>
      </c>
      <c r="B126" t="s">
        <v>806</v>
      </c>
      <c r="C126" t="s">
        <v>1509</v>
      </c>
      <c r="D126" t="s">
        <v>1041</v>
      </c>
      <c r="G126" t="s">
        <v>790</v>
      </c>
      <c r="H126" t="s">
        <v>1509</v>
      </c>
      <c r="I126" t="s">
        <v>918</v>
      </c>
      <c r="K126" t="s">
        <v>1507</v>
      </c>
      <c r="L126" t="s">
        <v>813</v>
      </c>
    </row>
    <row r="127" spans="1:12" x14ac:dyDescent="0.3">
      <c r="A127" t="s">
        <v>792</v>
      </c>
      <c r="B127" t="s">
        <v>806</v>
      </c>
      <c r="C127" t="s">
        <v>1509</v>
      </c>
      <c r="D127" t="s">
        <v>1042</v>
      </c>
      <c r="G127" t="s">
        <v>790</v>
      </c>
      <c r="H127" t="s">
        <v>1509</v>
      </c>
      <c r="I127" t="s">
        <v>919</v>
      </c>
      <c r="K127" t="s">
        <v>1507</v>
      </c>
      <c r="L127" t="s">
        <v>813</v>
      </c>
    </row>
    <row r="128" spans="1:12" x14ac:dyDescent="0.3">
      <c r="A128" t="s">
        <v>792</v>
      </c>
      <c r="B128" t="s">
        <v>806</v>
      </c>
      <c r="C128" t="s">
        <v>1509</v>
      </c>
      <c r="D128" t="s">
        <v>1043</v>
      </c>
      <c r="G128" t="s">
        <v>790</v>
      </c>
      <c r="H128" t="s">
        <v>1509</v>
      </c>
      <c r="I128" t="s">
        <v>933</v>
      </c>
      <c r="K128" t="s">
        <v>1508</v>
      </c>
      <c r="L128" t="s">
        <v>813</v>
      </c>
    </row>
    <row r="129" spans="1:12" x14ac:dyDescent="0.3">
      <c r="A129" t="s">
        <v>792</v>
      </c>
      <c r="B129" t="s">
        <v>806</v>
      </c>
      <c r="C129" t="s">
        <v>1509</v>
      </c>
      <c r="D129" t="s">
        <v>982</v>
      </c>
      <c r="G129" t="s">
        <v>790</v>
      </c>
      <c r="H129" t="s">
        <v>1509</v>
      </c>
      <c r="I129" t="s">
        <v>935</v>
      </c>
      <c r="K129" t="s">
        <v>1508</v>
      </c>
      <c r="L129" t="s">
        <v>813</v>
      </c>
    </row>
    <row r="130" spans="1:12" x14ac:dyDescent="0.3">
      <c r="A130" t="s">
        <v>792</v>
      </c>
      <c r="B130" t="s">
        <v>806</v>
      </c>
      <c r="C130" t="s">
        <v>1509</v>
      </c>
      <c r="D130" t="s">
        <v>1044</v>
      </c>
      <c r="G130" t="s">
        <v>790</v>
      </c>
      <c r="H130" t="s">
        <v>1509</v>
      </c>
      <c r="I130" t="s">
        <v>936</v>
      </c>
      <c r="K130" t="s">
        <v>823</v>
      </c>
      <c r="L130" t="s">
        <v>814</v>
      </c>
    </row>
    <row r="131" spans="1:12" x14ac:dyDescent="0.3">
      <c r="A131" t="s">
        <v>792</v>
      </c>
      <c r="B131" t="s">
        <v>806</v>
      </c>
      <c r="C131" t="s">
        <v>1509</v>
      </c>
      <c r="D131" t="s">
        <v>1045</v>
      </c>
      <c r="G131" t="s">
        <v>790</v>
      </c>
      <c r="H131" t="s">
        <v>1509</v>
      </c>
      <c r="I131" t="s">
        <v>937</v>
      </c>
      <c r="K131" t="s">
        <v>1511</v>
      </c>
      <c r="L131" t="s">
        <v>814</v>
      </c>
    </row>
    <row r="132" spans="1:12" x14ac:dyDescent="0.3">
      <c r="A132" t="s">
        <v>792</v>
      </c>
      <c r="B132" t="s">
        <v>806</v>
      </c>
      <c r="C132" t="s">
        <v>1509</v>
      </c>
      <c r="D132" t="s">
        <v>1046</v>
      </c>
      <c r="G132" t="s">
        <v>790</v>
      </c>
      <c r="H132" t="s">
        <v>1509</v>
      </c>
      <c r="I132" t="s">
        <v>885</v>
      </c>
      <c r="K132" t="s">
        <v>1511</v>
      </c>
      <c r="L132" t="s">
        <v>814</v>
      </c>
    </row>
    <row r="133" spans="1:12" x14ac:dyDescent="0.3">
      <c r="A133" t="s">
        <v>792</v>
      </c>
      <c r="B133" t="s">
        <v>806</v>
      </c>
      <c r="C133" t="s">
        <v>1509</v>
      </c>
      <c r="D133" t="s">
        <v>1047</v>
      </c>
      <c r="G133" t="s">
        <v>790</v>
      </c>
      <c r="H133" t="s">
        <v>1509</v>
      </c>
      <c r="I133" t="s">
        <v>886</v>
      </c>
      <c r="K133" t="s">
        <v>1511</v>
      </c>
      <c r="L133" t="s">
        <v>814</v>
      </c>
    </row>
    <row r="134" spans="1:12" x14ac:dyDescent="0.3">
      <c r="A134" t="s">
        <v>792</v>
      </c>
      <c r="B134" t="s">
        <v>806</v>
      </c>
      <c r="C134" t="s">
        <v>1509</v>
      </c>
      <c r="D134" t="s">
        <v>1048</v>
      </c>
      <c r="G134" t="s">
        <v>790</v>
      </c>
      <c r="H134" t="s">
        <v>1509</v>
      </c>
      <c r="I134" t="s">
        <v>924</v>
      </c>
      <c r="K134" t="s">
        <v>1507</v>
      </c>
      <c r="L134" t="s">
        <v>814</v>
      </c>
    </row>
    <row r="135" spans="1:12" x14ac:dyDescent="0.3">
      <c r="A135" t="s">
        <v>792</v>
      </c>
      <c r="B135" t="s">
        <v>806</v>
      </c>
      <c r="C135" t="s">
        <v>1509</v>
      </c>
      <c r="D135" t="s">
        <v>1049</v>
      </c>
      <c r="G135" t="s">
        <v>790</v>
      </c>
      <c r="H135" t="s">
        <v>1509</v>
      </c>
      <c r="I135" t="s">
        <v>913</v>
      </c>
      <c r="K135" t="s">
        <v>1507</v>
      </c>
      <c r="L135" t="s">
        <v>814</v>
      </c>
    </row>
    <row r="136" spans="1:12" x14ac:dyDescent="0.3">
      <c r="A136" t="s">
        <v>792</v>
      </c>
      <c r="B136" t="s">
        <v>806</v>
      </c>
      <c r="C136" t="s">
        <v>1509</v>
      </c>
      <c r="D136" t="s">
        <v>1050</v>
      </c>
      <c r="G136" t="s">
        <v>790</v>
      </c>
      <c r="H136" t="s">
        <v>1509</v>
      </c>
      <c r="I136" t="s">
        <v>914</v>
      </c>
      <c r="K136" t="s">
        <v>1507</v>
      </c>
      <c r="L136" t="s">
        <v>814</v>
      </c>
    </row>
    <row r="137" spans="1:12" x14ac:dyDescent="0.3">
      <c r="A137" t="s">
        <v>792</v>
      </c>
      <c r="B137" t="s">
        <v>806</v>
      </c>
      <c r="C137" t="s">
        <v>1509</v>
      </c>
      <c r="D137" t="s">
        <v>1051</v>
      </c>
      <c r="G137" t="s">
        <v>790</v>
      </c>
      <c r="H137" t="s">
        <v>1509</v>
      </c>
      <c r="I137" t="s">
        <v>915</v>
      </c>
      <c r="K137" t="s">
        <v>1508</v>
      </c>
      <c r="L137" t="s">
        <v>814</v>
      </c>
    </row>
    <row r="138" spans="1:12" x14ac:dyDescent="0.3">
      <c r="A138" t="s">
        <v>792</v>
      </c>
      <c r="B138" t="s">
        <v>806</v>
      </c>
      <c r="C138" t="s">
        <v>1509</v>
      </c>
      <c r="D138" t="s">
        <v>1052</v>
      </c>
      <c r="G138" t="s">
        <v>790</v>
      </c>
      <c r="H138" t="s">
        <v>1509</v>
      </c>
      <c r="I138" t="s">
        <v>952</v>
      </c>
      <c r="K138" t="s">
        <v>1509</v>
      </c>
      <c r="L138" t="s">
        <v>814</v>
      </c>
    </row>
    <row r="139" spans="1:12" x14ac:dyDescent="0.3">
      <c r="A139" t="s">
        <v>792</v>
      </c>
      <c r="B139" t="s">
        <v>806</v>
      </c>
      <c r="C139" t="s">
        <v>1509</v>
      </c>
      <c r="D139" t="s">
        <v>1053</v>
      </c>
      <c r="G139" t="s">
        <v>792</v>
      </c>
      <c r="H139" t="s">
        <v>1512</v>
      </c>
      <c r="I139" t="s">
        <v>1108</v>
      </c>
      <c r="K139" t="s">
        <v>1512</v>
      </c>
      <c r="L139" t="s">
        <v>806</v>
      </c>
    </row>
    <row r="140" spans="1:12" x14ac:dyDescent="0.3">
      <c r="A140" t="s">
        <v>792</v>
      </c>
      <c r="B140" t="s">
        <v>806</v>
      </c>
      <c r="C140" t="s">
        <v>1509</v>
      </c>
      <c r="D140" t="s">
        <v>983</v>
      </c>
      <c r="G140" t="s">
        <v>792</v>
      </c>
      <c r="H140" t="s">
        <v>1512</v>
      </c>
      <c r="I140" t="s">
        <v>1109</v>
      </c>
      <c r="K140" t="s">
        <v>1512</v>
      </c>
      <c r="L140" t="s">
        <v>806</v>
      </c>
    </row>
    <row r="141" spans="1:12" x14ac:dyDescent="0.3">
      <c r="A141" t="s">
        <v>792</v>
      </c>
      <c r="B141" t="s">
        <v>806</v>
      </c>
      <c r="C141" t="s">
        <v>1509</v>
      </c>
      <c r="D141" t="s">
        <v>1054</v>
      </c>
      <c r="G141" t="s">
        <v>792</v>
      </c>
      <c r="H141" t="s">
        <v>823</v>
      </c>
      <c r="I141" t="s">
        <v>963</v>
      </c>
      <c r="K141" t="s">
        <v>823</v>
      </c>
      <c r="L141" t="s">
        <v>806</v>
      </c>
    </row>
    <row r="142" spans="1:12" x14ac:dyDescent="0.3">
      <c r="A142" t="s">
        <v>792</v>
      </c>
      <c r="B142" t="s">
        <v>806</v>
      </c>
      <c r="C142" t="s">
        <v>1509</v>
      </c>
      <c r="D142" t="s">
        <v>1055</v>
      </c>
      <c r="G142" t="s">
        <v>792</v>
      </c>
      <c r="H142" t="s">
        <v>1510</v>
      </c>
      <c r="I142" t="s">
        <v>1065</v>
      </c>
      <c r="K142" t="s">
        <v>1510</v>
      </c>
      <c r="L142" t="s">
        <v>806</v>
      </c>
    </row>
    <row r="143" spans="1:12" x14ac:dyDescent="0.3">
      <c r="A143" t="s">
        <v>792</v>
      </c>
      <c r="B143" t="s">
        <v>806</v>
      </c>
      <c r="C143" t="s">
        <v>1509</v>
      </c>
      <c r="D143" t="s">
        <v>1056</v>
      </c>
      <c r="G143" t="s">
        <v>792</v>
      </c>
      <c r="H143" t="s">
        <v>1510</v>
      </c>
      <c r="I143" t="s">
        <v>1066</v>
      </c>
      <c r="K143" t="s">
        <v>1510</v>
      </c>
      <c r="L143" t="s">
        <v>806</v>
      </c>
    </row>
    <row r="144" spans="1:12" x14ac:dyDescent="0.3">
      <c r="A144" t="s">
        <v>792</v>
      </c>
      <c r="B144" t="s">
        <v>806</v>
      </c>
      <c r="C144" t="s">
        <v>1509</v>
      </c>
      <c r="D144" t="s">
        <v>1057</v>
      </c>
      <c r="G144" t="s">
        <v>792</v>
      </c>
      <c r="H144" t="s">
        <v>1510</v>
      </c>
      <c r="I144" t="s">
        <v>1067</v>
      </c>
      <c r="K144" t="s">
        <v>1510</v>
      </c>
      <c r="L144" t="s">
        <v>806</v>
      </c>
    </row>
    <row r="145" spans="1:12" x14ac:dyDescent="0.3">
      <c r="A145" t="s">
        <v>792</v>
      </c>
      <c r="B145" t="s">
        <v>806</v>
      </c>
      <c r="C145" t="s">
        <v>1509</v>
      </c>
      <c r="D145" t="s">
        <v>1058</v>
      </c>
      <c r="G145" t="s">
        <v>792</v>
      </c>
      <c r="H145" t="s">
        <v>1511</v>
      </c>
      <c r="I145" t="s">
        <v>1068</v>
      </c>
      <c r="K145" t="s">
        <v>1511</v>
      </c>
      <c r="L145" t="s">
        <v>806</v>
      </c>
    </row>
    <row r="146" spans="1:12" x14ac:dyDescent="0.3">
      <c r="A146" t="s">
        <v>792</v>
      </c>
      <c r="B146" t="s">
        <v>806</v>
      </c>
      <c r="C146" t="s">
        <v>1509</v>
      </c>
      <c r="D146" t="s">
        <v>1059</v>
      </c>
      <c r="G146" t="s">
        <v>792</v>
      </c>
      <c r="H146" t="s">
        <v>1511</v>
      </c>
      <c r="I146" t="s">
        <v>1069</v>
      </c>
      <c r="K146" t="s">
        <v>1511</v>
      </c>
      <c r="L146" t="s">
        <v>806</v>
      </c>
    </row>
    <row r="147" spans="1:12" x14ac:dyDescent="0.3">
      <c r="A147" t="s">
        <v>792</v>
      </c>
      <c r="B147" t="s">
        <v>806</v>
      </c>
      <c r="C147" t="s">
        <v>1509</v>
      </c>
      <c r="D147" t="s">
        <v>984</v>
      </c>
      <c r="G147" t="s">
        <v>792</v>
      </c>
      <c r="H147" t="s">
        <v>1511</v>
      </c>
      <c r="I147" t="s">
        <v>1070</v>
      </c>
      <c r="K147" t="s">
        <v>1511</v>
      </c>
      <c r="L147" t="s">
        <v>806</v>
      </c>
    </row>
    <row r="148" spans="1:12" x14ac:dyDescent="0.3">
      <c r="A148" t="s">
        <v>792</v>
      </c>
      <c r="B148" t="s">
        <v>806</v>
      </c>
      <c r="C148" t="s">
        <v>1509</v>
      </c>
      <c r="D148" t="s">
        <v>985</v>
      </c>
      <c r="G148" t="s">
        <v>792</v>
      </c>
      <c r="H148" t="s">
        <v>1511</v>
      </c>
      <c r="I148" t="s">
        <v>1071</v>
      </c>
      <c r="K148" t="s">
        <v>1511</v>
      </c>
      <c r="L148" t="s">
        <v>806</v>
      </c>
    </row>
    <row r="149" spans="1:12" x14ac:dyDescent="0.3">
      <c r="A149" t="s">
        <v>792</v>
      </c>
      <c r="B149" t="s">
        <v>806</v>
      </c>
      <c r="C149" t="s">
        <v>1509</v>
      </c>
      <c r="D149" t="s">
        <v>986</v>
      </c>
      <c r="G149" t="s">
        <v>792</v>
      </c>
      <c r="H149" t="s">
        <v>1511</v>
      </c>
      <c r="I149" t="s">
        <v>1072</v>
      </c>
      <c r="K149" t="s">
        <v>1511</v>
      </c>
      <c r="L149" t="s">
        <v>806</v>
      </c>
    </row>
    <row r="150" spans="1:12" x14ac:dyDescent="0.3">
      <c r="A150" t="s">
        <v>792</v>
      </c>
      <c r="B150" t="s">
        <v>806</v>
      </c>
      <c r="C150" t="s">
        <v>1509</v>
      </c>
      <c r="D150" t="s">
        <v>987</v>
      </c>
      <c r="G150" t="s">
        <v>792</v>
      </c>
      <c r="H150" t="s">
        <v>1511</v>
      </c>
      <c r="I150" t="s">
        <v>1073</v>
      </c>
      <c r="K150" t="s">
        <v>1511</v>
      </c>
      <c r="L150" t="s">
        <v>806</v>
      </c>
    </row>
    <row r="151" spans="1:12" x14ac:dyDescent="0.3">
      <c r="A151" t="s">
        <v>792</v>
      </c>
      <c r="B151" t="s">
        <v>806</v>
      </c>
      <c r="C151" t="s">
        <v>1509</v>
      </c>
      <c r="D151" t="s">
        <v>1060</v>
      </c>
      <c r="G151" t="s">
        <v>792</v>
      </c>
      <c r="H151" t="s">
        <v>1511</v>
      </c>
      <c r="I151" t="s">
        <v>1074</v>
      </c>
      <c r="K151" t="s">
        <v>1511</v>
      </c>
      <c r="L151" t="s">
        <v>806</v>
      </c>
    </row>
    <row r="152" spans="1:12" x14ac:dyDescent="0.3">
      <c r="A152" t="s">
        <v>792</v>
      </c>
      <c r="B152" t="s">
        <v>806</v>
      </c>
      <c r="C152" t="s">
        <v>1509</v>
      </c>
      <c r="D152" t="s">
        <v>1061</v>
      </c>
      <c r="G152" t="s">
        <v>792</v>
      </c>
      <c r="H152" t="s">
        <v>1511</v>
      </c>
      <c r="I152" t="s">
        <v>1075</v>
      </c>
      <c r="K152" t="s">
        <v>1511</v>
      </c>
      <c r="L152" t="s">
        <v>806</v>
      </c>
    </row>
    <row r="153" spans="1:12" x14ac:dyDescent="0.3">
      <c r="A153" t="s">
        <v>792</v>
      </c>
      <c r="B153" t="s">
        <v>806</v>
      </c>
      <c r="C153" t="s">
        <v>1509</v>
      </c>
      <c r="D153" t="s">
        <v>1062</v>
      </c>
      <c r="G153" t="s">
        <v>792</v>
      </c>
      <c r="H153" t="s">
        <v>1511</v>
      </c>
      <c r="I153" t="s">
        <v>1076</v>
      </c>
      <c r="K153" t="s">
        <v>1511</v>
      </c>
      <c r="L153" t="s">
        <v>806</v>
      </c>
    </row>
    <row r="154" spans="1:12" x14ac:dyDescent="0.3">
      <c r="A154" t="s">
        <v>792</v>
      </c>
      <c r="B154" t="s">
        <v>806</v>
      </c>
      <c r="C154" t="s">
        <v>1509</v>
      </c>
      <c r="D154" t="s">
        <v>1063</v>
      </c>
      <c r="G154" t="s">
        <v>792</v>
      </c>
      <c r="H154" t="s">
        <v>1511</v>
      </c>
      <c r="I154" t="s">
        <v>1077</v>
      </c>
      <c r="K154" t="s">
        <v>1511</v>
      </c>
      <c r="L154" t="s">
        <v>806</v>
      </c>
    </row>
    <row r="155" spans="1:12" x14ac:dyDescent="0.3">
      <c r="A155" t="s">
        <v>792</v>
      </c>
      <c r="B155" t="s">
        <v>806</v>
      </c>
      <c r="C155" t="s">
        <v>1509</v>
      </c>
      <c r="D155" t="s">
        <v>1064</v>
      </c>
      <c r="G155" t="s">
        <v>792</v>
      </c>
      <c r="H155" t="s">
        <v>1511</v>
      </c>
      <c r="I155" t="s">
        <v>1078</v>
      </c>
      <c r="K155" t="s">
        <v>1511</v>
      </c>
      <c r="L155" t="s">
        <v>806</v>
      </c>
    </row>
    <row r="156" spans="1:12" x14ac:dyDescent="0.3">
      <c r="A156" t="s">
        <v>792</v>
      </c>
      <c r="B156" t="s">
        <v>806</v>
      </c>
      <c r="C156" t="s">
        <v>1509</v>
      </c>
      <c r="D156" t="s">
        <v>988</v>
      </c>
      <c r="G156" t="s">
        <v>792</v>
      </c>
      <c r="H156" t="s">
        <v>1511</v>
      </c>
      <c r="I156" t="s">
        <v>1079</v>
      </c>
      <c r="K156" t="s">
        <v>1511</v>
      </c>
      <c r="L156" t="s">
        <v>806</v>
      </c>
    </row>
    <row r="157" spans="1:12" x14ac:dyDescent="0.3">
      <c r="A157" t="s">
        <v>792</v>
      </c>
      <c r="B157" t="s">
        <v>806</v>
      </c>
      <c r="C157" t="s">
        <v>1509</v>
      </c>
      <c r="D157" t="s">
        <v>989</v>
      </c>
      <c r="G157" t="s">
        <v>792</v>
      </c>
      <c r="H157" t="s">
        <v>1511</v>
      </c>
      <c r="I157" t="s">
        <v>1080</v>
      </c>
      <c r="K157" t="s">
        <v>1511</v>
      </c>
      <c r="L157" t="s">
        <v>806</v>
      </c>
    </row>
    <row r="158" spans="1:12" x14ac:dyDescent="0.3">
      <c r="A158" t="s">
        <v>792</v>
      </c>
      <c r="B158" t="s">
        <v>806</v>
      </c>
      <c r="C158" t="s">
        <v>1509</v>
      </c>
      <c r="D158" t="s">
        <v>990</v>
      </c>
      <c r="G158" t="s">
        <v>792</v>
      </c>
      <c r="H158" t="s">
        <v>1507</v>
      </c>
      <c r="I158" t="s">
        <v>1081</v>
      </c>
      <c r="K158" t="s">
        <v>1507</v>
      </c>
      <c r="L158" t="s">
        <v>806</v>
      </c>
    </row>
    <row r="159" spans="1:12" x14ac:dyDescent="0.3">
      <c r="A159" t="s">
        <v>792</v>
      </c>
      <c r="B159" t="s">
        <v>806</v>
      </c>
      <c r="C159" t="s">
        <v>1509</v>
      </c>
      <c r="D159" t="s">
        <v>964</v>
      </c>
      <c r="G159" t="s">
        <v>792</v>
      </c>
      <c r="H159" t="s">
        <v>1507</v>
      </c>
      <c r="I159" t="s">
        <v>1082</v>
      </c>
      <c r="K159" t="s">
        <v>1507</v>
      </c>
      <c r="L159" t="s">
        <v>806</v>
      </c>
    </row>
    <row r="160" spans="1:12" x14ac:dyDescent="0.3">
      <c r="A160" t="s">
        <v>792</v>
      </c>
      <c r="B160" t="s">
        <v>806</v>
      </c>
      <c r="C160" t="s">
        <v>1509</v>
      </c>
      <c r="D160" t="s">
        <v>991</v>
      </c>
      <c r="G160" t="s">
        <v>792</v>
      </c>
      <c r="H160" t="s">
        <v>1507</v>
      </c>
      <c r="I160" t="s">
        <v>1083</v>
      </c>
      <c r="K160" t="s">
        <v>1507</v>
      </c>
      <c r="L160" t="s">
        <v>806</v>
      </c>
    </row>
    <row r="161" spans="1:12" x14ac:dyDescent="0.3">
      <c r="A161" t="s">
        <v>792</v>
      </c>
      <c r="B161" t="s">
        <v>806</v>
      </c>
      <c r="C161" t="s">
        <v>1509</v>
      </c>
      <c r="D161" t="s">
        <v>992</v>
      </c>
      <c r="G161" t="s">
        <v>792</v>
      </c>
      <c r="H161" t="s">
        <v>1507</v>
      </c>
      <c r="I161" t="s">
        <v>1084</v>
      </c>
      <c r="K161" t="s">
        <v>1507</v>
      </c>
      <c r="L161" t="s">
        <v>806</v>
      </c>
    </row>
    <row r="162" spans="1:12" x14ac:dyDescent="0.3">
      <c r="A162" t="s">
        <v>792</v>
      </c>
      <c r="B162" t="s">
        <v>806</v>
      </c>
      <c r="C162" t="s">
        <v>1509</v>
      </c>
      <c r="D162" t="s">
        <v>993</v>
      </c>
      <c r="G162" t="s">
        <v>792</v>
      </c>
      <c r="H162" t="s">
        <v>1507</v>
      </c>
      <c r="I162" t="s">
        <v>1085</v>
      </c>
      <c r="K162" t="s">
        <v>1507</v>
      </c>
      <c r="L162" t="s">
        <v>806</v>
      </c>
    </row>
    <row r="163" spans="1:12" x14ac:dyDescent="0.3">
      <c r="A163" t="s">
        <v>792</v>
      </c>
      <c r="B163" t="s">
        <v>806</v>
      </c>
      <c r="C163" t="s">
        <v>1509</v>
      </c>
      <c r="D163" t="s">
        <v>994</v>
      </c>
      <c r="G163" t="s">
        <v>792</v>
      </c>
      <c r="H163" t="s">
        <v>1507</v>
      </c>
      <c r="I163" t="s">
        <v>1086</v>
      </c>
      <c r="K163" t="s">
        <v>1507</v>
      </c>
      <c r="L163" t="s">
        <v>806</v>
      </c>
    </row>
    <row r="164" spans="1:12" x14ac:dyDescent="0.3">
      <c r="A164" t="s">
        <v>792</v>
      </c>
      <c r="B164" t="s">
        <v>806</v>
      </c>
      <c r="C164" t="s">
        <v>1509</v>
      </c>
      <c r="D164" t="s">
        <v>995</v>
      </c>
      <c r="G164" t="s">
        <v>792</v>
      </c>
      <c r="H164" t="s">
        <v>1507</v>
      </c>
      <c r="I164" t="s">
        <v>1087</v>
      </c>
      <c r="K164" t="s">
        <v>1507</v>
      </c>
      <c r="L164" t="s">
        <v>806</v>
      </c>
    </row>
    <row r="165" spans="1:12" x14ac:dyDescent="0.3">
      <c r="A165" t="s">
        <v>792</v>
      </c>
      <c r="B165" t="s">
        <v>806</v>
      </c>
      <c r="C165" t="s">
        <v>1509</v>
      </c>
      <c r="D165" t="s">
        <v>996</v>
      </c>
      <c r="G165" t="s">
        <v>792</v>
      </c>
      <c r="H165" t="s">
        <v>1507</v>
      </c>
      <c r="I165" t="s">
        <v>1088</v>
      </c>
      <c r="K165" t="s">
        <v>1507</v>
      </c>
      <c r="L165" t="s">
        <v>806</v>
      </c>
    </row>
    <row r="166" spans="1:12" x14ac:dyDescent="0.3">
      <c r="A166" t="s">
        <v>792</v>
      </c>
      <c r="B166" t="s">
        <v>806</v>
      </c>
      <c r="C166" t="s">
        <v>1509</v>
      </c>
      <c r="D166" t="s">
        <v>997</v>
      </c>
      <c r="G166" t="s">
        <v>792</v>
      </c>
      <c r="H166" t="s">
        <v>1507</v>
      </c>
      <c r="I166" t="s">
        <v>1089</v>
      </c>
      <c r="K166" t="s">
        <v>1507</v>
      </c>
      <c r="L166" t="s">
        <v>806</v>
      </c>
    </row>
    <row r="167" spans="1:12" x14ac:dyDescent="0.3">
      <c r="A167" t="s">
        <v>792</v>
      </c>
      <c r="B167" t="s">
        <v>806</v>
      </c>
      <c r="C167" t="s">
        <v>1509</v>
      </c>
      <c r="D167" t="s">
        <v>998</v>
      </c>
      <c r="G167" t="s">
        <v>792</v>
      </c>
      <c r="H167" t="s">
        <v>1507</v>
      </c>
      <c r="I167" t="s">
        <v>1090</v>
      </c>
      <c r="K167" t="s">
        <v>1507</v>
      </c>
      <c r="L167" t="s">
        <v>806</v>
      </c>
    </row>
    <row r="168" spans="1:12" x14ac:dyDescent="0.3">
      <c r="A168" t="s">
        <v>792</v>
      </c>
      <c r="B168" t="s">
        <v>806</v>
      </c>
      <c r="C168" t="s">
        <v>1509</v>
      </c>
      <c r="D168" t="s">
        <v>999</v>
      </c>
      <c r="G168" t="s">
        <v>792</v>
      </c>
      <c r="H168" t="s">
        <v>1507</v>
      </c>
      <c r="I168" t="s">
        <v>1091</v>
      </c>
      <c r="K168" t="s">
        <v>1507</v>
      </c>
      <c r="L168" t="s">
        <v>806</v>
      </c>
    </row>
    <row r="169" spans="1:12" x14ac:dyDescent="0.3">
      <c r="A169" t="s">
        <v>792</v>
      </c>
      <c r="B169" t="s">
        <v>806</v>
      </c>
      <c r="C169" t="s">
        <v>1509</v>
      </c>
      <c r="D169" t="s">
        <v>1000</v>
      </c>
      <c r="G169" t="s">
        <v>792</v>
      </c>
      <c r="H169" t="s">
        <v>1507</v>
      </c>
      <c r="I169" t="s">
        <v>1092</v>
      </c>
      <c r="K169" t="s">
        <v>1507</v>
      </c>
      <c r="L169" t="s">
        <v>806</v>
      </c>
    </row>
    <row r="170" spans="1:12" x14ac:dyDescent="0.3">
      <c r="A170" t="s">
        <v>792</v>
      </c>
      <c r="B170" t="s">
        <v>806</v>
      </c>
      <c r="C170" t="s">
        <v>1509</v>
      </c>
      <c r="D170" t="s">
        <v>965</v>
      </c>
      <c r="G170" t="s">
        <v>792</v>
      </c>
      <c r="H170" t="s">
        <v>1507</v>
      </c>
      <c r="I170" t="s">
        <v>1093</v>
      </c>
      <c r="K170" t="s">
        <v>1507</v>
      </c>
      <c r="L170" t="s">
        <v>806</v>
      </c>
    </row>
    <row r="171" spans="1:12" x14ac:dyDescent="0.3">
      <c r="A171" t="s">
        <v>792</v>
      </c>
      <c r="B171" t="s">
        <v>806</v>
      </c>
      <c r="C171" t="s">
        <v>1509</v>
      </c>
      <c r="D171" t="s">
        <v>966</v>
      </c>
      <c r="G171" t="s">
        <v>792</v>
      </c>
      <c r="H171" t="s">
        <v>1508</v>
      </c>
      <c r="I171" t="s">
        <v>1094</v>
      </c>
      <c r="K171" t="s">
        <v>1508</v>
      </c>
      <c r="L171" t="s">
        <v>806</v>
      </c>
    </row>
    <row r="172" spans="1:12" x14ac:dyDescent="0.3">
      <c r="A172" t="s">
        <v>792</v>
      </c>
      <c r="B172" t="s">
        <v>806</v>
      </c>
      <c r="C172" t="s">
        <v>1509</v>
      </c>
      <c r="D172" t="s">
        <v>1001</v>
      </c>
      <c r="G172" t="s">
        <v>792</v>
      </c>
      <c r="H172" t="s">
        <v>1508</v>
      </c>
      <c r="I172" t="s">
        <v>1095</v>
      </c>
      <c r="K172" t="s">
        <v>1508</v>
      </c>
      <c r="L172" t="s">
        <v>806</v>
      </c>
    </row>
    <row r="173" spans="1:12" x14ac:dyDescent="0.3">
      <c r="A173" t="s">
        <v>792</v>
      </c>
      <c r="B173" t="s">
        <v>806</v>
      </c>
      <c r="C173" t="s">
        <v>1509</v>
      </c>
      <c r="D173" t="s">
        <v>1002</v>
      </c>
      <c r="G173" t="s">
        <v>792</v>
      </c>
      <c r="H173" t="s">
        <v>1508</v>
      </c>
      <c r="I173" t="s">
        <v>1096</v>
      </c>
      <c r="K173" t="s">
        <v>1508</v>
      </c>
      <c r="L173" t="s">
        <v>806</v>
      </c>
    </row>
    <row r="174" spans="1:12" x14ac:dyDescent="0.3">
      <c r="A174" t="s">
        <v>792</v>
      </c>
      <c r="B174" t="s">
        <v>806</v>
      </c>
      <c r="C174" t="s">
        <v>1509</v>
      </c>
      <c r="D174" t="s">
        <v>1003</v>
      </c>
      <c r="G174" t="s">
        <v>792</v>
      </c>
      <c r="H174" t="s">
        <v>1508</v>
      </c>
      <c r="I174" t="s">
        <v>1097</v>
      </c>
      <c r="K174" t="s">
        <v>1508</v>
      </c>
      <c r="L174" t="s">
        <v>806</v>
      </c>
    </row>
    <row r="175" spans="1:12" x14ac:dyDescent="0.3">
      <c r="A175" t="s">
        <v>792</v>
      </c>
      <c r="B175" t="s">
        <v>806</v>
      </c>
      <c r="C175" t="s">
        <v>1509</v>
      </c>
      <c r="D175" t="s">
        <v>1004</v>
      </c>
      <c r="G175" t="s">
        <v>792</v>
      </c>
      <c r="H175" t="s">
        <v>1508</v>
      </c>
      <c r="I175" t="s">
        <v>1098</v>
      </c>
      <c r="K175" t="s">
        <v>1508</v>
      </c>
      <c r="L175" t="s">
        <v>806</v>
      </c>
    </row>
    <row r="176" spans="1:12" x14ac:dyDescent="0.3">
      <c r="A176" t="s">
        <v>792</v>
      </c>
      <c r="B176" t="s">
        <v>806</v>
      </c>
      <c r="C176" t="s">
        <v>1509</v>
      </c>
      <c r="D176" t="s">
        <v>1005</v>
      </c>
      <c r="G176" t="s">
        <v>792</v>
      </c>
      <c r="H176" t="s">
        <v>1508</v>
      </c>
      <c r="I176" t="s">
        <v>1099</v>
      </c>
      <c r="K176" t="s">
        <v>1508</v>
      </c>
      <c r="L176" t="s">
        <v>806</v>
      </c>
    </row>
    <row r="177" spans="1:12" x14ac:dyDescent="0.3">
      <c r="A177" t="s">
        <v>792</v>
      </c>
      <c r="B177" t="s">
        <v>806</v>
      </c>
      <c r="C177" t="s">
        <v>1509</v>
      </c>
      <c r="D177" t="s">
        <v>1006</v>
      </c>
      <c r="G177" t="s">
        <v>792</v>
      </c>
      <c r="H177" t="s">
        <v>1508</v>
      </c>
      <c r="I177" t="s">
        <v>1100</v>
      </c>
      <c r="K177" t="s">
        <v>1508</v>
      </c>
      <c r="L177" t="s">
        <v>806</v>
      </c>
    </row>
    <row r="178" spans="1:12" x14ac:dyDescent="0.3">
      <c r="A178" t="s">
        <v>792</v>
      </c>
      <c r="B178" t="s">
        <v>806</v>
      </c>
      <c r="C178" t="s">
        <v>1509</v>
      </c>
      <c r="D178" t="s">
        <v>1007</v>
      </c>
      <c r="G178" t="s">
        <v>792</v>
      </c>
      <c r="H178" t="s">
        <v>1508</v>
      </c>
      <c r="I178" t="s">
        <v>1101</v>
      </c>
      <c r="K178" t="s">
        <v>1508</v>
      </c>
      <c r="L178" t="s">
        <v>806</v>
      </c>
    </row>
    <row r="179" spans="1:12" x14ac:dyDescent="0.3">
      <c r="A179" t="s">
        <v>792</v>
      </c>
      <c r="B179" t="s">
        <v>806</v>
      </c>
      <c r="C179" t="s">
        <v>1509</v>
      </c>
      <c r="D179" t="s">
        <v>1008</v>
      </c>
      <c r="G179" t="s">
        <v>792</v>
      </c>
      <c r="H179" t="s">
        <v>1508</v>
      </c>
      <c r="I179" t="s">
        <v>1102</v>
      </c>
      <c r="K179" t="s">
        <v>1508</v>
      </c>
      <c r="L179" t="s">
        <v>806</v>
      </c>
    </row>
    <row r="180" spans="1:12" x14ac:dyDescent="0.3">
      <c r="A180" t="s">
        <v>792</v>
      </c>
      <c r="B180" t="s">
        <v>806</v>
      </c>
      <c r="C180" t="s">
        <v>1509</v>
      </c>
      <c r="D180" t="s">
        <v>1009</v>
      </c>
      <c r="G180" t="s">
        <v>792</v>
      </c>
      <c r="H180" t="s">
        <v>1508</v>
      </c>
      <c r="I180" t="s">
        <v>1103</v>
      </c>
      <c r="K180" t="s">
        <v>1508</v>
      </c>
      <c r="L180" t="s">
        <v>806</v>
      </c>
    </row>
    <row r="181" spans="1:12" x14ac:dyDescent="0.3">
      <c r="A181" t="s">
        <v>792</v>
      </c>
      <c r="B181" t="s">
        <v>806</v>
      </c>
      <c r="C181" t="s">
        <v>1509</v>
      </c>
      <c r="D181" t="s">
        <v>1010</v>
      </c>
      <c r="G181" t="s">
        <v>792</v>
      </c>
      <c r="H181" t="s">
        <v>1508</v>
      </c>
      <c r="I181" t="s">
        <v>1104</v>
      </c>
      <c r="K181" t="s">
        <v>1508</v>
      </c>
      <c r="L181" t="s">
        <v>806</v>
      </c>
    </row>
    <row r="182" spans="1:12" x14ac:dyDescent="0.3">
      <c r="A182" t="s">
        <v>792</v>
      </c>
      <c r="B182" t="s">
        <v>806</v>
      </c>
      <c r="C182" t="s">
        <v>1509</v>
      </c>
      <c r="D182" t="s">
        <v>967</v>
      </c>
      <c r="G182" t="s">
        <v>792</v>
      </c>
      <c r="H182" t="s">
        <v>1508</v>
      </c>
      <c r="I182" t="s">
        <v>1105</v>
      </c>
      <c r="K182" t="s">
        <v>1508</v>
      </c>
      <c r="L182" t="s">
        <v>806</v>
      </c>
    </row>
    <row r="183" spans="1:12" x14ac:dyDescent="0.3">
      <c r="A183" t="s">
        <v>792</v>
      </c>
      <c r="B183" t="s">
        <v>806</v>
      </c>
      <c r="C183" t="s">
        <v>1509</v>
      </c>
      <c r="D183" t="s">
        <v>1011</v>
      </c>
      <c r="G183" t="s">
        <v>792</v>
      </c>
      <c r="H183" t="s">
        <v>797</v>
      </c>
      <c r="I183" t="s">
        <v>1106</v>
      </c>
      <c r="K183" t="s">
        <v>797</v>
      </c>
      <c r="L183" t="s">
        <v>806</v>
      </c>
    </row>
    <row r="184" spans="1:12" x14ac:dyDescent="0.3">
      <c r="A184" t="s">
        <v>792</v>
      </c>
      <c r="B184" t="s">
        <v>806</v>
      </c>
      <c r="C184" t="s">
        <v>1509</v>
      </c>
      <c r="D184" t="s">
        <v>1012</v>
      </c>
      <c r="G184" t="s">
        <v>792</v>
      </c>
      <c r="H184" t="s">
        <v>797</v>
      </c>
      <c r="I184" t="s">
        <v>1107</v>
      </c>
      <c r="K184" t="s">
        <v>797</v>
      </c>
      <c r="L184" t="s">
        <v>806</v>
      </c>
    </row>
    <row r="185" spans="1:12" x14ac:dyDescent="0.3">
      <c r="A185" t="s">
        <v>792</v>
      </c>
      <c r="B185" t="s">
        <v>806</v>
      </c>
      <c r="C185" t="s">
        <v>1509</v>
      </c>
      <c r="D185" t="s">
        <v>1013</v>
      </c>
      <c r="G185" t="s">
        <v>792</v>
      </c>
      <c r="H185" t="s">
        <v>1509</v>
      </c>
      <c r="I185" t="s">
        <v>1018</v>
      </c>
      <c r="K185" t="s">
        <v>1509</v>
      </c>
      <c r="L185" t="s">
        <v>806</v>
      </c>
    </row>
    <row r="186" spans="1:12" x14ac:dyDescent="0.3">
      <c r="A186" t="s">
        <v>792</v>
      </c>
      <c r="B186" t="s">
        <v>806</v>
      </c>
      <c r="C186" t="s">
        <v>1509</v>
      </c>
      <c r="D186" t="s">
        <v>1014</v>
      </c>
      <c r="G186" t="s">
        <v>792</v>
      </c>
      <c r="H186" t="s">
        <v>1509</v>
      </c>
      <c r="I186" t="s">
        <v>1019</v>
      </c>
      <c r="K186" t="s">
        <v>1509</v>
      </c>
      <c r="L186" t="s">
        <v>806</v>
      </c>
    </row>
    <row r="187" spans="1:12" x14ac:dyDescent="0.3">
      <c r="A187" t="s">
        <v>792</v>
      </c>
      <c r="B187" t="s">
        <v>806</v>
      </c>
      <c r="C187" t="s">
        <v>1509</v>
      </c>
      <c r="D187" t="s">
        <v>1015</v>
      </c>
      <c r="G187" t="s">
        <v>792</v>
      </c>
      <c r="H187" t="s">
        <v>1509</v>
      </c>
      <c r="I187" t="s">
        <v>1020</v>
      </c>
      <c r="K187" t="s">
        <v>1509</v>
      </c>
      <c r="L187" t="s">
        <v>806</v>
      </c>
    </row>
    <row r="188" spans="1:12" x14ac:dyDescent="0.3">
      <c r="A188" t="s">
        <v>792</v>
      </c>
      <c r="B188" t="s">
        <v>806</v>
      </c>
      <c r="C188" t="s">
        <v>1509</v>
      </c>
      <c r="D188" t="s">
        <v>968</v>
      </c>
      <c r="G188" t="s">
        <v>792</v>
      </c>
      <c r="H188" t="s">
        <v>1509</v>
      </c>
      <c r="I188" t="s">
        <v>1021</v>
      </c>
      <c r="K188" t="s">
        <v>1509</v>
      </c>
      <c r="L188" t="s">
        <v>806</v>
      </c>
    </row>
    <row r="189" spans="1:12" x14ac:dyDescent="0.3">
      <c r="A189" t="s">
        <v>792</v>
      </c>
      <c r="B189" t="s">
        <v>806</v>
      </c>
      <c r="C189" t="s">
        <v>1509</v>
      </c>
      <c r="D189" t="s">
        <v>969</v>
      </c>
      <c r="G189" t="s">
        <v>792</v>
      </c>
      <c r="H189" t="s">
        <v>1509</v>
      </c>
      <c r="I189" t="s">
        <v>1022</v>
      </c>
      <c r="K189" t="s">
        <v>1509</v>
      </c>
      <c r="L189" t="s">
        <v>806</v>
      </c>
    </row>
    <row r="190" spans="1:12" x14ac:dyDescent="0.3">
      <c r="A190" t="s">
        <v>792</v>
      </c>
      <c r="B190" t="s">
        <v>806</v>
      </c>
      <c r="C190" t="s">
        <v>1509</v>
      </c>
      <c r="D190" t="s">
        <v>970</v>
      </c>
      <c r="G190" t="s">
        <v>792</v>
      </c>
      <c r="H190" t="s">
        <v>1509</v>
      </c>
      <c r="I190" t="s">
        <v>1023</v>
      </c>
      <c r="K190" t="s">
        <v>1509</v>
      </c>
      <c r="L190" t="s">
        <v>806</v>
      </c>
    </row>
    <row r="191" spans="1:12" x14ac:dyDescent="0.3">
      <c r="A191" t="s">
        <v>792</v>
      </c>
      <c r="B191" t="s">
        <v>806</v>
      </c>
      <c r="C191" t="s">
        <v>1509</v>
      </c>
      <c r="D191" t="s">
        <v>1016</v>
      </c>
      <c r="G191" t="s">
        <v>792</v>
      </c>
      <c r="H191" t="s">
        <v>1509</v>
      </c>
      <c r="I191" t="s">
        <v>1024</v>
      </c>
      <c r="K191" t="s">
        <v>1509</v>
      </c>
      <c r="L191" t="s">
        <v>806</v>
      </c>
    </row>
    <row r="192" spans="1:12" x14ac:dyDescent="0.3">
      <c r="A192" t="s">
        <v>792</v>
      </c>
      <c r="B192" t="s">
        <v>806</v>
      </c>
      <c r="C192" t="s">
        <v>1509</v>
      </c>
      <c r="D192" t="s">
        <v>1017</v>
      </c>
      <c r="G192" t="s">
        <v>792</v>
      </c>
      <c r="H192" t="s">
        <v>1509</v>
      </c>
      <c r="I192" t="s">
        <v>1025</v>
      </c>
      <c r="K192" t="s">
        <v>1509</v>
      </c>
      <c r="L192" t="s">
        <v>806</v>
      </c>
    </row>
    <row r="193" spans="1:12" x14ac:dyDescent="0.3">
      <c r="A193" t="s">
        <v>792</v>
      </c>
      <c r="B193" t="s">
        <v>806</v>
      </c>
      <c r="C193" t="s">
        <v>1509</v>
      </c>
      <c r="D193" t="s">
        <v>971</v>
      </c>
      <c r="G193" t="s">
        <v>792</v>
      </c>
      <c r="H193" t="s">
        <v>1509</v>
      </c>
      <c r="I193" t="s">
        <v>1026</v>
      </c>
      <c r="K193" t="s">
        <v>1509</v>
      </c>
      <c r="L193" t="s">
        <v>806</v>
      </c>
    </row>
    <row r="194" spans="1:12" x14ac:dyDescent="0.3">
      <c r="A194" t="s">
        <v>790</v>
      </c>
      <c r="B194" t="s">
        <v>805</v>
      </c>
      <c r="C194" t="s">
        <v>823</v>
      </c>
      <c r="D194" t="s">
        <v>928</v>
      </c>
      <c r="G194" t="s">
        <v>792</v>
      </c>
      <c r="H194" t="s">
        <v>1509</v>
      </c>
      <c r="I194" t="s">
        <v>972</v>
      </c>
      <c r="K194" t="s">
        <v>1509</v>
      </c>
      <c r="L194" t="s">
        <v>806</v>
      </c>
    </row>
    <row r="195" spans="1:12" x14ac:dyDescent="0.3">
      <c r="A195" t="s">
        <v>790</v>
      </c>
      <c r="B195" t="s">
        <v>805</v>
      </c>
      <c r="C195" t="s">
        <v>1511</v>
      </c>
      <c r="D195" t="s">
        <v>929</v>
      </c>
      <c r="G195" t="s">
        <v>792</v>
      </c>
      <c r="H195" t="s">
        <v>1509</v>
      </c>
      <c r="I195" t="s">
        <v>973</v>
      </c>
      <c r="K195" t="s">
        <v>1509</v>
      </c>
      <c r="L195" t="s">
        <v>806</v>
      </c>
    </row>
    <row r="196" spans="1:12" x14ac:dyDescent="0.3">
      <c r="A196" t="s">
        <v>790</v>
      </c>
      <c r="B196" t="s">
        <v>805</v>
      </c>
      <c r="C196" t="s">
        <v>1507</v>
      </c>
      <c r="D196" t="s">
        <v>930</v>
      </c>
      <c r="G196" t="s">
        <v>792</v>
      </c>
      <c r="H196" t="s">
        <v>1509</v>
      </c>
      <c r="I196" t="s">
        <v>1027</v>
      </c>
      <c r="K196" t="s">
        <v>1509</v>
      </c>
      <c r="L196" t="s">
        <v>806</v>
      </c>
    </row>
    <row r="197" spans="1:12" x14ac:dyDescent="0.3">
      <c r="A197" t="s">
        <v>790</v>
      </c>
      <c r="B197" t="s">
        <v>805</v>
      </c>
      <c r="C197" t="s">
        <v>1508</v>
      </c>
      <c r="D197" t="s">
        <v>931</v>
      </c>
      <c r="G197" t="s">
        <v>792</v>
      </c>
      <c r="H197" t="s">
        <v>1509</v>
      </c>
      <c r="I197" t="s">
        <v>1028</v>
      </c>
      <c r="K197" t="s">
        <v>1509</v>
      </c>
      <c r="L197" t="s">
        <v>806</v>
      </c>
    </row>
    <row r="198" spans="1:12" x14ac:dyDescent="0.3">
      <c r="A198" t="s">
        <v>794</v>
      </c>
      <c r="B198" t="s">
        <v>1513</v>
      </c>
      <c r="C198" t="s">
        <v>823</v>
      </c>
      <c r="D198" t="s">
        <v>1354</v>
      </c>
      <c r="G198" t="s">
        <v>792</v>
      </c>
      <c r="H198" t="s">
        <v>1509</v>
      </c>
      <c r="I198" t="s">
        <v>1029</v>
      </c>
      <c r="K198" t="s">
        <v>1509</v>
      </c>
      <c r="L198" t="s">
        <v>806</v>
      </c>
    </row>
    <row r="199" spans="1:12" x14ac:dyDescent="0.3">
      <c r="A199" t="s">
        <v>794</v>
      </c>
      <c r="B199" t="s">
        <v>1513</v>
      </c>
      <c r="C199" t="s">
        <v>1511</v>
      </c>
      <c r="D199" t="s">
        <v>1369</v>
      </c>
      <c r="G199" t="s">
        <v>792</v>
      </c>
      <c r="H199" t="s">
        <v>1509</v>
      </c>
      <c r="I199" t="s">
        <v>1030</v>
      </c>
      <c r="K199" t="s">
        <v>1509</v>
      </c>
      <c r="L199" t="s">
        <v>806</v>
      </c>
    </row>
    <row r="200" spans="1:12" x14ac:dyDescent="0.3">
      <c r="A200" t="s">
        <v>794</v>
      </c>
      <c r="B200" t="s">
        <v>1513</v>
      </c>
      <c r="C200" t="s">
        <v>1507</v>
      </c>
      <c r="D200" t="s">
        <v>1370</v>
      </c>
      <c r="G200" t="s">
        <v>792</v>
      </c>
      <c r="H200" t="s">
        <v>1509</v>
      </c>
      <c r="I200" t="s">
        <v>1031</v>
      </c>
      <c r="K200" t="s">
        <v>1509</v>
      </c>
      <c r="L200" t="s">
        <v>806</v>
      </c>
    </row>
    <row r="201" spans="1:12" x14ac:dyDescent="0.3">
      <c r="A201" t="s">
        <v>794</v>
      </c>
      <c r="B201" t="s">
        <v>1513</v>
      </c>
      <c r="C201" t="s">
        <v>1508</v>
      </c>
      <c r="D201" t="s">
        <v>1371</v>
      </c>
      <c r="G201" t="s">
        <v>792</v>
      </c>
      <c r="H201" t="s">
        <v>1509</v>
      </c>
      <c r="I201" t="s">
        <v>974</v>
      </c>
      <c r="K201" t="s">
        <v>1509</v>
      </c>
      <c r="L201" t="s">
        <v>806</v>
      </c>
    </row>
    <row r="202" spans="1:12" x14ac:dyDescent="0.3">
      <c r="A202" t="s">
        <v>794</v>
      </c>
      <c r="B202" t="s">
        <v>1513</v>
      </c>
      <c r="C202" t="s">
        <v>1509</v>
      </c>
      <c r="D202" t="s">
        <v>1363</v>
      </c>
      <c r="G202" t="s">
        <v>792</v>
      </c>
      <c r="H202" t="s">
        <v>1509</v>
      </c>
      <c r="I202" t="s">
        <v>975</v>
      </c>
      <c r="K202" t="s">
        <v>1509</v>
      </c>
      <c r="L202" t="s">
        <v>806</v>
      </c>
    </row>
    <row r="203" spans="1:12" x14ac:dyDescent="0.3">
      <c r="A203" t="s">
        <v>794</v>
      </c>
      <c r="B203" t="s">
        <v>1513</v>
      </c>
      <c r="C203" t="s">
        <v>1509</v>
      </c>
      <c r="D203" t="s">
        <v>1364</v>
      </c>
      <c r="G203" t="s">
        <v>792</v>
      </c>
      <c r="H203" t="s">
        <v>1509</v>
      </c>
      <c r="I203" t="s">
        <v>976</v>
      </c>
      <c r="K203" t="s">
        <v>1509</v>
      </c>
      <c r="L203" t="s">
        <v>806</v>
      </c>
    </row>
    <row r="204" spans="1:12" x14ac:dyDescent="0.3">
      <c r="A204" t="s">
        <v>794</v>
      </c>
      <c r="B204" t="s">
        <v>1513</v>
      </c>
      <c r="C204" t="s">
        <v>1509</v>
      </c>
      <c r="D204" t="s">
        <v>1365</v>
      </c>
      <c r="G204" t="s">
        <v>792</v>
      </c>
      <c r="H204" t="s">
        <v>1509</v>
      </c>
      <c r="I204" t="s">
        <v>977</v>
      </c>
      <c r="K204" t="s">
        <v>1509</v>
      </c>
      <c r="L204" t="s">
        <v>806</v>
      </c>
    </row>
    <row r="205" spans="1:12" x14ac:dyDescent="0.3">
      <c r="A205" t="s">
        <v>794</v>
      </c>
      <c r="B205" t="s">
        <v>1513</v>
      </c>
      <c r="C205" t="s">
        <v>1509</v>
      </c>
      <c r="D205" t="s">
        <v>1366</v>
      </c>
      <c r="G205" t="s">
        <v>792</v>
      </c>
      <c r="H205" t="s">
        <v>1509</v>
      </c>
      <c r="I205" t="s">
        <v>978</v>
      </c>
      <c r="K205" t="s">
        <v>1509</v>
      </c>
      <c r="L205" t="s">
        <v>806</v>
      </c>
    </row>
    <row r="206" spans="1:12" x14ac:dyDescent="0.3">
      <c r="A206" t="s">
        <v>794</v>
      </c>
      <c r="B206" t="s">
        <v>1513</v>
      </c>
      <c r="C206" t="s">
        <v>1509</v>
      </c>
      <c r="D206" t="s">
        <v>1367</v>
      </c>
      <c r="G206" t="s">
        <v>792</v>
      </c>
      <c r="H206" t="s">
        <v>1509</v>
      </c>
      <c r="I206" t="s">
        <v>979</v>
      </c>
      <c r="K206" t="s">
        <v>1509</v>
      </c>
      <c r="L206" t="s">
        <v>806</v>
      </c>
    </row>
    <row r="207" spans="1:12" x14ac:dyDescent="0.3">
      <c r="A207" t="s">
        <v>794</v>
      </c>
      <c r="B207" t="s">
        <v>1513</v>
      </c>
      <c r="C207" t="s">
        <v>1509</v>
      </c>
      <c r="D207" t="s">
        <v>1368</v>
      </c>
      <c r="G207" t="s">
        <v>792</v>
      </c>
      <c r="H207" t="s">
        <v>1509</v>
      </c>
      <c r="I207" t="s">
        <v>1032</v>
      </c>
      <c r="K207" t="s">
        <v>1509</v>
      </c>
      <c r="L207" t="s">
        <v>806</v>
      </c>
    </row>
    <row r="208" spans="1:12" x14ac:dyDescent="0.3">
      <c r="A208" t="s">
        <v>794</v>
      </c>
      <c r="B208" t="s">
        <v>1513</v>
      </c>
      <c r="C208" t="s">
        <v>1509</v>
      </c>
      <c r="D208" t="s">
        <v>1355</v>
      </c>
      <c r="G208" t="s">
        <v>792</v>
      </c>
      <c r="H208" t="s">
        <v>1509</v>
      </c>
      <c r="I208" t="s">
        <v>1033</v>
      </c>
      <c r="K208" t="s">
        <v>1509</v>
      </c>
      <c r="L208" t="s">
        <v>806</v>
      </c>
    </row>
    <row r="209" spans="1:12" x14ac:dyDescent="0.3">
      <c r="A209" t="s">
        <v>794</v>
      </c>
      <c r="B209" t="s">
        <v>1513</v>
      </c>
      <c r="C209" t="s">
        <v>1509</v>
      </c>
      <c r="D209" t="s">
        <v>1356</v>
      </c>
      <c r="G209" t="s">
        <v>792</v>
      </c>
      <c r="H209" t="s">
        <v>1509</v>
      </c>
      <c r="I209" t="s">
        <v>1034</v>
      </c>
      <c r="K209" t="s">
        <v>1509</v>
      </c>
      <c r="L209" t="s">
        <v>806</v>
      </c>
    </row>
    <row r="210" spans="1:12" x14ac:dyDescent="0.3">
      <c r="A210" t="s">
        <v>794</v>
      </c>
      <c r="B210" t="s">
        <v>1513</v>
      </c>
      <c r="C210" t="s">
        <v>1509</v>
      </c>
      <c r="D210" t="s">
        <v>1357</v>
      </c>
      <c r="G210" t="s">
        <v>792</v>
      </c>
      <c r="H210" t="s">
        <v>1509</v>
      </c>
      <c r="I210" t="s">
        <v>980</v>
      </c>
      <c r="K210" t="s">
        <v>1509</v>
      </c>
      <c r="L210" t="s">
        <v>806</v>
      </c>
    </row>
    <row r="211" spans="1:12" x14ac:dyDescent="0.3">
      <c r="A211" t="s">
        <v>794</v>
      </c>
      <c r="B211" t="s">
        <v>1513</v>
      </c>
      <c r="C211" t="s">
        <v>1509</v>
      </c>
      <c r="D211" t="s">
        <v>1358</v>
      </c>
      <c r="G211" t="s">
        <v>792</v>
      </c>
      <c r="H211" t="s">
        <v>1509</v>
      </c>
      <c r="I211" t="s">
        <v>981</v>
      </c>
      <c r="K211" t="s">
        <v>1509</v>
      </c>
      <c r="L211" t="s">
        <v>806</v>
      </c>
    </row>
    <row r="212" spans="1:12" x14ac:dyDescent="0.3">
      <c r="A212" t="s">
        <v>794</v>
      </c>
      <c r="B212" t="s">
        <v>1513</v>
      </c>
      <c r="C212" t="s">
        <v>1509</v>
      </c>
      <c r="D212" t="s">
        <v>1359</v>
      </c>
      <c r="G212" t="s">
        <v>792</v>
      </c>
      <c r="H212" t="s">
        <v>1509</v>
      </c>
      <c r="I212" t="s">
        <v>1035</v>
      </c>
      <c r="K212" t="s">
        <v>1509</v>
      </c>
      <c r="L212" t="s">
        <v>806</v>
      </c>
    </row>
    <row r="213" spans="1:12" x14ac:dyDescent="0.3">
      <c r="A213" t="s">
        <v>794</v>
      </c>
      <c r="B213" t="s">
        <v>1513</v>
      </c>
      <c r="C213" t="s">
        <v>1509</v>
      </c>
      <c r="D213" t="s">
        <v>1360</v>
      </c>
      <c r="G213" t="s">
        <v>792</v>
      </c>
      <c r="H213" t="s">
        <v>1509</v>
      </c>
      <c r="I213" t="s">
        <v>1036</v>
      </c>
      <c r="K213" t="s">
        <v>1509</v>
      </c>
      <c r="L213" t="s">
        <v>806</v>
      </c>
    </row>
    <row r="214" spans="1:12" x14ac:dyDescent="0.3">
      <c r="A214" t="s">
        <v>794</v>
      </c>
      <c r="B214" t="s">
        <v>1513</v>
      </c>
      <c r="C214" t="s">
        <v>1509</v>
      </c>
      <c r="D214" t="s">
        <v>1361</v>
      </c>
      <c r="G214" t="s">
        <v>792</v>
      </c>
      <c r="H214" t="s">
        <v>1509</v>
      </c>
      <c r="I214" t="s">
        <v>1037</v>
      </c>
      <c r="K214" t="s">
        <v>1509</v>
      </c>
      <c r="L214" t="s">
        <v>806</v>
      </c>
    </row>
    <row r="215" spans="1:12" x14ac:dyDescent="0.3">
      <c r="A215" t="s">
        <v>794</v>
      </c>
      <c r="B215" t="s">
        <v>1513</v>
      </c>
      <c r="C215" t="s">
        <v>1509</v>
      </c>
      <c r="D215" t="s">
        <v>1362</v>
      </c>
      <c r="G215" t="s">
        <v>792</v>
      </c>
      <c r="H215" t="s">
        <v>1509</v>
      </c>
      <c r="I215" t="s">
        <v>1038</v>
      </c>
      <c r="K215" t="s">
        <v>1509</v>
      </c>
      <c r="L215" t="s">
        <v>806</v>
      </c>
    </row>
    <row r="216" spans="1:12" x14ac:dyDescent="0.3">
      <c r="A216" t="s">
        <v>791</v>
      </c>
      <c r="B216" t="s">
        <v>810</v>
      </c>
      <c r="C216" t="s">
        <v>1507</v>
      </c>
      <c r="D216" t="s">
        <v>876</v>
      </c>
      <c r="G216" t="s">
        <v>792</v>
      </c>
      <c r="H216" t="s">
        <v>1509</v>
      </c>
      <c r="I216" t="s">
        <v>1039</v>
      </c>
      <c r="K216" t="s">
        <v>1509</v>
      </c>
      <c r="L216" t="s">
        <v>806</v>
      </c>
    </row>
    <row r="217" spans="1:12" x14ac:dyDescent="0.3">
      <c r="A217" t="s">
        <v>791</v>
      </c>
      <c r="B217" t="str">
        <f t="shared" ref="B217:B223" si="0">"Corporate"&amp;A217</f>
        <v>CorporateDragados Canada</v>
      </c>
      <c r="C217" t="s">
        <v>1512</v>
      </c>
      <c r="D217" t="s">
        <v>882</v>
      </c>
      <c r="G217" t="s">
        <v>792</v>
      </c>
      <c r="H217" t="s">
        <v>1509</v>
      </c>
      <c r="I217" t="s">
        <v>1040</v>
      </c>
      <c r="K217" t="s">
        <v>1509</v>
      </c>
      <c r="L217" t="s">
        <v>806</v>
      </c>
    </row>
    <row r="218" spans="1:12" x14ac:dyDescent="0.3">
      <c r="A218" t="s">
        <v>791</v>
      </c>
      <c r="B218" t="str">
        <f t="shared" si="0"/>
        <v>CorporateDragados Canada</v>
      </c>
      <c r="C218" t="s">
        <v>1512</v>
      </c>
      <c r="D218" t="s">
        <v>883</v>
      </c>
      <c r="G218" t="s">
        <v>792</v>
      </c>
      <c r="H218" t="s">
        <v>1509</v>
      </c>
      <c r="I218" t="s">
        <v>1041</v>
      </c>
      <c r="K218" t="s">
        <v>1509</v>
      </c>
      <c r="L218" t="s">
        <v>806</v>
      </c>
    </row>
    <row r="219" spans="1:12" x14ac:dyDescent="0.3">
      <c r="A219" t="s">
        <v>791</v>
      </c>
      <c r="B219" t="str">
        <f t="shared" si="0"/>
        <v>CorporateDragados Canada</v>
      </c>
      <c r="C219" t="s">
        <v>823</v>
      </c>
      <c r="D219" t="s">
        <v>880</v>
      </c>
      <c r="G219" t="s">
        <v>792</v>
      </c>
      <c r="H219" t="s">
        <v>1509</v>
      </c>
      <c r="I219" t="s">
        <v>1042</v>
      </c>
      <c r="K219" t="s">
        <v>1509</v>
      </c>
      <c r="L219" t="s">
        <v>806</v>
      </c>
    </row>
    <row r="220" spans="1:12" x14ac:dyDescent="0.3">
      <c r="A220" t="s">
        <v>791</v>
      </c>
      <c r="B220" t="str">
        <f t="shared" si="0"/>
        <v>CorporateDragados Canada</v>
      </c>
      <c r="C220" t="s">
        <v>1509</v>
      </c>
      <c r="D220" t="s">
        <v>881</v>
      </c>
      <c r="G220" t="s">
        <v>792</v>
      </c>
      <c r="H220" t="s">
        <v>1509</v>
      </c>
      <c r="I220" t="s">
        <v>1043</v>
      </c>
      <c r="K220" t="s">
        <v>1509</v>
      </c>
      <c r="L220" t="s">
        <v>806</v>
      </c>
    </row>
    <row r="221" spans="1:12" x14ac:dyDescent="0.3">
      <c r="A221" t="s">
        <v>790</v>
      </c>
      <c r="B221" t="str">
        <f t="shared" si="0"/>
        <v>CorporateDragados USA</v>
      </c>
      <c r="C221" t="s">
        <v>1512</v>
      </c>
      <c r="D221" t="s">
        <v>961</v>
      </c>
      <c r="G221" t="s">
        <v>792</v>
      </c>
      <c r="H221" t="s">
        <v>1509</v>
      </c>
      <c r="I221" t="s">
        <v>982</v>
      </c>
      <c r="K221" t="s">
        <v>1509</v>
      </c>
      <c r="L221" t="s">
        <v>806</v>
      </c>
    </row>
    <row r="222" spans="1:12" x14ac:dyDescent="0.3">
      <c r="A222" t="s">
        <v>790</v>
      </c>
      <c r="B222" t="str">
        <f t="shared" si="0"/>
        <v>CorporateDragados USA</v>
      </c>
      <c r="C222" t="s">
        <v>1512</v>
      </c>
      <c r="D222" t="s">
        <v>962</v>
      </c>
      <c r="G222" t="s">
        <v>792</v>
      </c>
      <c r="H222" t="s">
        <v>1509</v>
      </c>
      <c r="I222" t="s">
        <v>1044</v>
      </c>
      <c r="K222" t="s">
        <v>1509</v>
      </c>
      <c r="L222" t="s">
        <v>806</v>
      </c>
    </row>
    <row r="223" spans="1:12" x14ac:dyDescent="0.3">
      <c r="A223" t="s">
        <v>790</v>
      </c>
      <c r="B223" t="str">
        <f t="shared" si="0"/>
        <v>CorporateDragados USA</v>
      </c>
      <c r="C223" t="s">
        <v>823</v>
      </c>
      <c r="D223" t="s">
        <v>960</v>
      </c>
      <c r="G223" t="s">
        <v>792</v>
      </c>
      <c r="H223" t="s">
        <v>1509</v>
      </c>
      <c r="I223" t="s">
        <v>1045</v>
      </c>
      <c r="K223" t="s">
        <v>1509</v>
      </c>
      <c r="L223" t="s">
        <v>806</v>
      </c>
    </row>
    <row r="224" spans="1:12" x14ac:dyDescent="0.3">
      <c r="A224" t="s">
        <v>797</v>
      </c>
      <c r="B224" t="s">
        <v>822</v>
      </c>
      <c r="C224" t="s">
        <v>1512</v>
      </c>
      <c r="D224" t="s">
        <v>1128</v>
      </c>
      <c r="G224" t="s">
        <v>792</v>
      </c>
      <c r="H224" t="s">
        <v>1509</v>
      </c>
      <c r="I224" t="s">
        <v>1046</v>
      </c>
      <c r="K224" t="s">
        <v>1509</v>
      </c>
      <c r="L224" t="s">
        <v>806</v>
      </c>
    </row>
    <row r="225" spans="1:12" x14ac:dyDescent="0.3">
      <c r="A225" t="s">
        <v>797</v>
      </c>
      <c r="B225" t="s">
        <v>822</v>
      </c>
      <c r="C225" t="s">
        <v>1512</v>
      </c>
      <c r="D225" t="s">
        <v>1129</v>
      </c>
      <c r="G225" t="s">
        <v>792</v>
      </c>
      <c r="H225" t="s">
        <v>1509</v>
      </c>
      <c r="I225" t="s">
        <v>1047</v>
      </c>
      <c r="K225" t="s">
        <v>1509</v>
      </c>
      <c r="L225" t="s">
        <v>806</v>
      </c>
    </row>
    <row r="226" spans="1:12" x14ac:dyDescent="0.3">
      <c r="A226" t="s">
        <v>797</v>
      </c>
      <c r="B226" t="s">
        <v>822</v>
      </c>
      <c r="C226" t="s">
        <v>1512</v>
      </c>
      <c r="D226" t="s">
        <v>1130</v>
      </c>
      <c r="G226" t="s">
        <v>792</v>
      </c>
      <c r="H226" t="s">
        <v>1509</v>
      </c>
      <c r="I226" t="s">
        <v>1048</v>
      </c>
      <c r="K226" t="s">
        <v>1509</v>
      </c>
      <c r="L226" t="s">
        <v>806</v>
      </c>
    </row>
    <row r="227" spans="1:12" x14ac:dyDescent="0.3">
      <c r="A227" t="s">
        <v>797</v>
      </c>
      <c r="B227" t="s">
        <v>822</v>
      </c>
      <c r="C227" t="s">
        <v>1512</v>
      </c>
      <c r="D227" t="s">
        <v>1131</v>
      </c>
      <c r="G227" t="s">
        <v>792</v>
      </c>
      <c r="H227" t="s">
        <v>1509</v>
      </c>
      <c r="I227" t="s">
        <v>1049</v>
      </c>
      <c r="K227" t="s">
        <v>1509</v>
      </c>
      <c r="L227" t="s">
        <v>806</v>
      </c>
    </row>
    <row r="228" spans="1:12" x14ac:dyDescent="0.3">
      <c r="A228" t="s">
        <v>797</v>
      </c>
      <c r="B228" t="s">
        <v>822</v>
      </c>
      <c r="C228" t="s">
        <v>1512</v>
      </c>
      <c r="D228" t="s">
        <v>1132</v>
      </c>
      <c r="G228" t="s">
        <v>792</v>
      </c>
      <c r="H228" t="s">
        <v>1509</v>
      </c>
      <c r="I228" t="s">
        <v>1050</v>
      </c>
      <c r="K228" t="s">
        <v>1509</v>
      </c>
      <c r="L228" t="s">
        <v>806</v>
      </c>
    </row>
    <row r="229" spans="1:12" x14ac:dyDescent="0.3">
      <c r="A229" t="s">
        <v>797</v>
      </c>
      <c r="B229" t="s">
        <v>822</v>
      </c>
      <c r="C229" t="s">
        <v>1512</v>
      </c>
      <c r="D229" t="s">
        <v>1133</v>
      </c>
      <c r="G229" t="s">
        <v>792</v>
      </c>
      <c r="H229" t="s">
        <v>1509</v>
      </c>
      <c r="I229" t="s">
        <v>1051</v>
      </c>
      <c r="K229" t="s">
        <v>1509</v>
      </c>
      <c r="L229" t="s">
        <v>806</v>
      </c>
    </row>
    <row r="230" spans="1:12" x14ac:dyDescent="0.3">
      <c r="A230" t="s">
        <v>797</v>
      </c>
      <c r="B230" t="s">
        <v>822</v>
      </c>
      <c r="C230" t="s">
        <v>1512</v>
      </c>
      <c r="D230" t="s">
        <v>1136</v>
      </c>
      <c r="G230" t="s">
        <v>792</v>
      </c>
      <c r="H230" t="s">
        <v>1509</v>
      </c>
      <c r="I230" t="s">
        <v>1052</v>
      </c>
      <c r="K230" t="s">
        <v>1509</v>
      </c>
      <c r="L230" t="s">
        <v>806</v>
      </c>
    </row>
    <row r="231" spans="1:12" x14ac:dyDescent="0.3">
      <c r="A231" t="s">
        <v>797</v>
      </c>
      <c r="B231" t="s">
        <v>822</v>
      </c>
      <c r="C231" t="s">
        <v>1512</v>
      </c>
      <c r="D231" t="s">
        <v>1137</v>
      </c>
      <c r="G231" t="s">
        <v>792</v>
      </c>
      <c r="H231" t="s">
        <v>1509</v>
      </c>
      <c r="I231" t="s">
        <v>1053</v>
      </c>
      <c r="K231" t="s">
        <v>1509</v>
      </c>
      <c r="L231" t="s">
        <v>806</v>
      </c>
    </row>
    <row r="232" spans="1:12" x14ac:dyDescent="0.3">
      <c r="A232" t="s">
        <v>797</v>
      </c>
      <c r="B232" t="s">
        <v>822</v>
      </c>
      <c r="C232" t="s">
        <v>1512</v>
      </c>
      <c r="D232" t="s">
        <v>1138</v>
      </c>
      <c r="G232" t="s">
        <v>792</v>
      </c>
      <c r="H232" t="s">
        <v>1509</v>
      </c>
      <c r="I232" t="s">
        <v>983</v>
      </c>
      <c r="K232" t="s">
        <v>1509</v>
      </c>
      <c r="L232" t="s">
        <v>806</v>
      </c>
    </row>
    <row r="233" spans="1:12" x14ac:dyDescent="0.3">
      <c r="A233" t="s">
        <v>797</v>
      </c>
      <c r="B233" t="s">
        <v>822</v>
      </c>
      <c r="C233" t="s">
        <v>1512</v>
      </c>
      <c r="D233" t="s">
        <v>1139</v>
      </c>
      <c r="G233" t="s">
        <v>792</v>
      </c>
      <c r="H233" t="s">
        <v>1509</v>
      </c>
      <c r="I233" t="s">
        <v>1054</v>
      </c>
      <c r="K233" t="s">
        <v>1509</v>
      </c>
      <c r="L233" t="s">
        <v>806</v>
      </c>
    </row>
    <row r="234" spans="1:12" x14ac:dyDescent="0.3">
      <c r="A234" t="s">
        <v>797</v>
      </c>
      <c r="B234" t="s">
        <v>822</v>
      </c>
      <c r="C234" t="s">
        <v>1512</v>
      </c>
      <c r="D234" t="s">
        <v>1140</v>
      </c>
      <c r="G234" t="s">
        <v>792</v>
      </c>
      <c r="H234" t="s">
        <v>1509</v>
      </c>
      <c r="I234" t="s">
        <v>1055</v>
      </c>
      <c r="K234" t="s">
        <v>1509</v>
      </c>
      <c r="L234" t="s">
        <v>806</v>
      </c>
    </row>
    <row r="235" spans="1:12" x14ac:dyDescent="0.3">
      <c r="A235" t="s">
        <v>797</v>
      </c>
      <c r="B235" t="s">
        <v>822</v>
      </c>
      <c r="C235" t="s">
        <v>1512</v>
      </c>
      <c r="D235" t="s">
        <v>1141</v>
      </c>
      <c r="G235" t="s">
        <v>792</v>
      </c>
      <c r="H235" t="s">
        <v>1509</v>
      </c>
      <c r="I235" t="s">
        <v>1056</v>
      </c>
      <c r="K235" t="s">
        <v>1509</v>
      </c>
      <c r="L235" t="s">
        <v>806</v>
      </c>
    </row>
    <row r="236" spans="1:12" x14ac:dyDescent="0.3">
      <c r="A236" t="s">
        <v>797</v>
      </c>
      <c r="B236" t="s">
        <v>822</v>
      </c>
      <c r="C236" t="s">
        <v>1512</v>
      </c>
      <c r="D236" t="s">
        <v>1142</v>
      </c>
      <c r="G236" t="s">
        <v>792</v>
      </c>
      <c r="H236" t="s">
        <v>1509</v>
      </c>
      <c r="I236" t="s">
        <v>1057</v>
      </c>
      <c r="K236" t="s">
        <v>1509</v>
      </c>
      <c r="L236" t="s">
        <v>806</v>
      </c>
    </row>
    <row r="237" spans="1:12" x14ac:dyDescent="0.3">
      <c r="A237" t="s">
        <v>797</v>
      </c>
      <c r="B237" t="s">
        <v>822</v>
      </c>
      <c r="C237" t="s">
        <v>1512</v>
      </c>
      <c r="D237" t="s">
        <v>1143</v>
      </c>
      <c r="G237" t="s">
        <v>792</v>
      </c>
      <c r="H237" t="s">
        <v>1509</v>
      </c>
      <c r="I237" t="s">
        <v>1058</v>
      </c>
      <c r="K237" t="s">
        <v>1509</v>
      </c>
      <c r="L237" t="s">
        <v>806</v>
      </c>
    </row>
    <row r="238" spans="1:12" x14ac:dyDescent="0.3">
      <c r="A238" t="s">
        <v>797</v>
      </c>
      <c r="B238" t="s">
        <v>822</v>
      </c>
      <c r="C238" t="s">
        <v>1512</v>
      </c>
      <c r="D238" t="s">
        <v>1144</v>
      </c>
      <c r="G238" t="s">
        <v>792</v>
      </c>
      <c r="H238" t="s">
        <v>1509</v>
      </c>
      <c r="I238" t="s">
        <v>1059</v>
      </c>
      <c r="K238" t="s">
        <v>1509</v>
      </c>
      <c r="L238" t="s">
        <v>806</v>
      </c>
    </row>
    <row r="239" spans="1:12" x14ac:dyDescent="0.3">
      <c r="A239" t="s">
        <v>797</v>
      </c>
      <c r="B239" t="s">
        <v>822</v>
      </c>
      <c r="C239" t="s">
        <v>823</v>
      </c>
      <c r="D239" t="s">
        <v>1122</v>
      </c>
      <c r="G239" t="s">
        <v>792</v>
      </c>
      <c r="H239" t="s">
        <v>1509</v>
      </c>
      <c r="I239" t="s">
        <v>984</v>
      </c>
      <c r="K239" t="s">
        <v>1509</v>
      </c>
      <c r="L239" t="s">
        <v>806</v>
      </c>
    </row>
    <row r="240" spans="1:12" x14ac:dyDescent="0.3">
      <c r="A240" t="s">
        <v>797</v>
      </c>
      <c r="B240" t="s">
        <v>822</v>
      </c>
      <c r="C240" t="s">
        <v>823</v>
      </c>
      <c r="D240" t="s">
        <v>1124</v>
      </c>
      <c r="G240" t="s">
        <v>792</v>
      </c>
      <c r="H240" t="s">
        <v>1509</v>
      </c>
      <c r="I240" t="s">
        <v>985</v>
      </c>
      <c r="K240" t="s">
        <v>1509</v>
      </c>
      <c r="L240" t="s">
        <v>806</v>
      </c>
    </row>
    <row r="241" spans="1:12" x14ac:dyDescent="0.3">
      <c r="A241" t="s">
        <v>797</v>
      </c>
      <c r="B241" t="s">
        <v>822</v>
      </c>
      <c r="C241" t="s">
        <v>823</v>
      </c>
      <c r="D241" t="s">
        <v>1126</v>
      </c>
      <c r="G241" t="s">
        <v>792</v>
      </c>
      <c r="H241" t="s">
        <v>1509</v>
      </c>
      <c r="I241" t="s">
        <v>986</v>
      </c>
      <c r="K241" t="s">
        <v>1509</v>
      </c>
      <c r="L241" t="s">
        <v>806</v>
      </c>
    </row>
    <row r="242" spans="1:12" x14ac:dyDescent="0.3">
      <c r="A242" t="s">
        <v>797</v>
      </c>
      <c r="B242" t="s">
        <v>822</v>
      </c>
      <c r="C242" t="s">
        <v>823</v>
      </c>
      <c r="D242" t="s">
        <v>1127</v>
      </c>
      <c r="G242" t="s">
        <v>792</v>
      </c>
      <c r="H242" t="s">
        <v>1509</v>
      </c>
      <c r="I242" t="s">
        <v>987</v>
      </c>
      <c r="K242" t="s">
        <v>1509</v>
      </c>
      <c r="L242" t="s">
        <v>806</v>
      </c>
    </row>
    <row r="243" spans="1:12" x14ac:dyDescent="0.3">
      <c r="A243" t="s">
        <v>797</v>
      </c>
      <c r="B243" t="s">
        <v>822</v>
      </c>
      <c r="C243" t="s">
        <v>823</v>
      </c>
      <c r="D243" t="s">
        <v>1134</v>
      </c>
      <c r="G243" t="s">
        <v>792</v>
      </c>
      <c r="H243" t="s">
        <v>1509</v>
      </c>
      <c r="I243" t="s">
        <v>1060</v>
      </c>
      <c r="K243" t="s">
        <v>1509</v>
      </c>
      <c r="L243" t="s">
        <v>806</v>
      </c>
    </row>
    <row r="244" spans="1:12" x14ac:dyDescent="0.3">
      <c r="A244" t="s">
        <v>797</v>
      </c>
      <c r="B244" t="s">
        <v>822</v>
      </c>
      <c r="C244" t="s">
        <v>797</v>
      </c>
      <c r="D244" t="s">
        <v>1135</v>
      </c>
      <c r="G244" t="s">
        <v>792</v>
      </c>
      <c r="H244" t="s">
        <v>1509</v>
      </c>
      <c r="I244" t="s">
        <v>1061</v>
      </c>
      <c r="K244" t="s">
        <v>1509</v>
      </c>
      <c r="L244" t="s">
        <v>806</v>
      </c>
    </row>
    <row r="245" spans="1:12" x14ac:dyDescent="0.3">
      <c r="A245" t="s">
        <v>797</v>
      </c>
      <c r="B245" t="s">
        <v>822</v>
      </c>
      <c r="C245" t="s">
        <v>1509</v>
      </c>
      <c r="D245" t="s">
        <v>1123</v>
      </c>
      <c r="G245" t="s">
        <v>792</v>
      </c>
      <c r="H245" t="s">
        <v>1509</v>
      </c>
      <c r="I245" t="s">
        <v>1062</v>
      </c>
      <c r="K245" t="s">
        <v>1509</v>
      </c>
      <c r="L245" t="s">
        <v>806</v>
      </c>
    </row>
    <row r="246" spans="1:12" x14ac:dyDescent="0.3">
      <c r="A246" t="s">
        <v>797</v>
      </c>
      <c r="B246" t="s">
        <v>822</v>
      </c>
      <c r="C246" t="s">
        <v>1509</v>
      </c>
      <c r="D246" t="s">
        <v>1125</v>
      </c>
      <c r="G246" t="s">
        <v>792</v>
      </c>
      <c r="H246" t="s">
        <v>1509</v>
      </c>
      <c r="I246" t="s">
        <v>1063</v>
      </c>
      <c r="K246" t="s">
        <v>1509</v>
      </c>
      <c r="L246" t="s">
        <v>806</v>
      </c>
    </row>
    <row r="247" spans="1:12" x14ac:dyDescent="0.3">
      <c r="A247" t="s">
        <v>794</v>
      </c>
      <c r="B247" t="str">
        <f>"Corporate"&amp;A247</f>
        <v>CorporatePulice</v>
      </c>
      <c r="C247" t="s">
        <v>1512</v>
      </c>
      <c r="D247" t="s">
        <v>1399</v>
      </c>
      <c r="G247" t="s">
        <v>792</v>
      </c>
      <c r="H247" t="s">
        <v>1509</v>
      </c>
      <c r="I247" t="s">
        <v>1064</v>
      </c>
      <c r="K247" t="s">
        <v>1509</v>
      </c>
      <c r="L247" t="s">
        <v>806</v>
      </c>
    </row>
    <row r="248" spans="1:12" x14ac:dyDescent="0.3">
      <c r="A248" t="s">
        <v>794</v>
      </c>
      <c r="B248" t="str">
        <f t="shared" ref="B248:B250" si="1">"Corporate"&amp;A248</f>
        <v>CorporatePulice</v>
      </c>
      <c r="C248" t="s">
        <v>1512</v>
      </c>
      <c r="D248" t="s">
        <v>1400</v>
      </c>
      <c r="G248" t="s">
        <v>792</v>
      </c>
      <c r="H248" t="s">
        <v>1509</v>
      </c>
      <c r="I248" t="s">
        <v>988</v>
      </c>
      <c r="K248" t="s">
        <v>1509</v>
      </c>
      <c r="L248" t="s">
        <v>806</v>
      </c>
    </row>
    <row r="249" spans="1:12" x14ac:dyDescent="0.3">
      <c r="A249" t="s">
        <v>794</v>
      </c>
      <c r="B249" t="str">
        <f t="shared" si="1"/>
        <v>CorporatePulice</v>
      </c>
      <c r="C249" t="s">
        <v>1512</v>
      </c>
      <c r="D249" t="s">
        <v>1401</v>
      </c>
      <c r="G249" t="s">
        <v>792</v>
      </c>
      <c r="H249" t="s">
        <v>1509</v>
      </c>
      <c r="I249" t="s">
        <v>989</v>
      </c>
      <c r="K249" t="s">
        <v>1509</v>
      </c>
      <c r="L249" t="s">
        <v>806</v>
      </c>
    </row>
    <row r="250" spans="1:12" x14ac:dyDescent="0.3">
      <c r="A250" t="s">
        <v>794</v>
      </c>
      <c r="B250" t="str">
        <f t="shared" si="1"/>
        <v>CorporatePulice</v>
      </c>
      <c r="C250" t="s">
        <v>823</v>
      </c>
      <c r="D250" t="s">
        <v>1398</v>
      </c>
      <c r="G250" t="s">
        <v>792</v>
      </c>
      <c r="H250" t="s">
        <v>1509</v>
      </c>
      <c r="I250" t="s">
        <v>990</v>
      </c>
      <c r="K250" t="s">
        <v>1509</v>
      </c>
      <c r="L250" t="s">
        <v>806</v>
      </c>
    </row>
    <row r="251" spans="1:12" x14ac:dyDescent="0.3">
      <c r="A251" t="s">
        <v>791</v>
      </c>
      <c r="B251" t="s">
        <v>808</v>
      </c>
      <c r="C251" t="s">
        <v>823</v>
      </c>
      <c r="D251" t="s">
        <v>825</v>
      </c>
      <c r="G251" t="s">
        <v>792</v>
      </c>
      <c r="H251" t="s">
        <v>1509</v>
      </c>
      <c r="I251" t="s">
        <v>964</v>
      </c>
      <c r="K251" t="s">
        <v>1509</v>
      </c>
      <c r="L251" t="s">
        <v>806</v>
      </c>
    </row>
    <row r="252" spans="1:12" x14ac:dyDescent="0.3">
      <c r="A252" t="s">
        <v>791</v>
      </c>
      <c r="B252" t="s">
        <v>808</v>
      </c>
      <c r="C252" t="s">
        <v>1511</v>
      </c>
      <c r="D252" t="s">
        <v>828</v>
      </c>
      <c r="G252" t="s">
        <v>792</v>
      </c>
      <c r="H252" t="s">
        <v>1509</v>
      </c>
      <c r="I252" t="s">
        <v>991</v>
      </c>
      <c r="K252" t="s">
        <v>1509</v>
      </c>
      <c r="L252" t="s">
        <v>806</v>
      </c>
    </row>
    <row r="253" spans="1:12" x14ac:dyDescent="0.3">
      <c r="A253" t="s">
        <v>791</v>
      </c>
      <c r="B253" t="s">
        <v>808</v>
      </c>
      <c r="C253" t="s">
        <v>1511</v>
      </c>
      <c r="D253" t="s">
        <v>829</v>
      </c>
      <c r="G253" t="s">
        <v>792</v>
      </c>
      <c r="H253" t="s">
        <v>1509</v>
      </c>
      <c r="I253" t="s">
        <v>992</v>
      </c>
      <c r="K253" t="s">
        <v>1509</v>
      </c>
      <c r="L253" t="s">
        <v>806</v>
      </c>
    </row>
    <row r="254" spans="1:12" x14ac:dyDescent="0.3">
      <c r="A254" t="s">
        <v>791</v>
      </c>
      <c r="B254" t="s">
        <v>808</v>
      </c>
      <c r="C254" t="s">
        <v>1511</v>
      </c>
      <c r="D254" t="s">
        <v>830</v>
      </c>
      <c r="G254" t="s">
        <v>792</v>
      </c>
      <c r="H254" t="s">
        <v>1509</v>
      </c>
      <c r="I254" t="s">
        <v>993</v>
      </c>
      <c r="K254" t="s">
        <v>1509</v>
      </c>
      <c r="L254" t="s">
        <v>806</v>
      </c>
    </row>
    <row r="255" spans="1:12" x14ac:dyDescent="0.3">
      <c r="A255" t="s">
        <v>791</v>
      </c>
      <c r="B255" t="s">
        <v>808</v>
      </c>
      <c r="C255" t="s">
        <v>1511</v>
      </c>
      <c r="D255" t="s">
        <v>831</v>
      </c>
      <c r="G255" t="s">
        <v>792</v>
      </c>
      <c r="H255" t="s">
        <v>1509</v>
      </c>
      <c r="I255" t="s">
        <v>994</v>
      </c>
      <c r="K255" t="s">
        <v>1509</v>
      </c>
      <c r="L255" t="s">
        <v>806</v>
      </c>
    </row>
    <row r="256" spans="1:12" x14ac:dyDescent="0.3">
      <c r="A256" t="s">
        <v>791</v>
      </c>
      <c r="B256" t="s">
        <v>808</v>
      </c>
      <c r="C256" t="s">
        <v>1511</v>
      </c>
      <c r="D256" t="s">
        <v>832</v>
      </c>
      <c r="G256" t="s">
        <v>792</v>
      </c>
      <c r="H256" t="s">
        <v>1509</v>
      </c>
      <c r="I256" t="s">
        <v>995</v>
      </c>
      <c r="K256" t="s">
        <v>1509</v>
      </c>
      <c r="L256" t="s">
        <v>806</v>
      </c>
    </row>
    <row r="257" spans="1:12" x14ac:dyDescent="0.3">
      <c r="A257" t="s">
        <v>791</v>
      </c>
      <c r="B257" t="s">
        <v>808</v>
      </c>
      <c r="C257" t="s">
        <v>1511</v>
      </c>
      <c r="D257" t="s">
        <v>833</v>
      </c>
      <c r="G257" t="s">
        <v>792</v>
      </c>
      <c r="H257" t="s">
        <v>1509</v>
      </c>
      <c r="I257" t="s">
        <v>996</v>
      </c>
      <c r="K257" t="s">
        <v>1509</v>
      </c>
      <c r="L257" t="s">
        <v>806</v>
      </c>
    </row>
    <row r="258" spans="1:12" x14ac:dyDescent="0.3">
      <c r="A258" t="s">
        <v>791</v>
      </c>
      <c r="B258" t="s">
        <v>808</v>
      </c>
      <c r="C258" t="s">
        <v>1511</v>
      </c>
      <c r="D258" t="s">
        <v>834</v>
      </c>
      <c r="G258" t="s">
        <v>792</v>
      </c>
      <c r="H258" t="s">
        <v>1509</v>
      </c>
      <c r="I258" t="s">
        <v>997</v>
      </c>
      <c r="K258" t="s">
        <v>1509</v>
      </c>
      <c r="L258" t="s">
        <v>806</v>
      </c>
    </row>
    <row r="259" spans="1:12" x14ac:dyDescent="0.3">
      <c r="A259" t="s">
        <v>791</v>
      </c>
      <c r="B259" t="s">
        <v>808</v>
      </c>
      <c r="C259" t="s">
        <v>1511</v>
      </c>
      <c r="D259" t="s">
        <v>835</v>
      </c>
      <c r="G259" t="s">
        <v>792</v>
      </c>
      <c r="H259" t="s">
        <v>1509</v>
      </c>
      <c r="I259" t="s">
        <v>998</v>
      </c>
      <c r="K259" t="s">
        <v>1509</v>
      </c>
      <c r="L259" t="s">
        <v>806</v>
      </c>
    </row>
    <row r="260" spans="1:12" x14ac:dyDescent="0.3">
      <c r="A260" t="s">
        <v>791</v>
      </c>
      <c r="B260" t="s">
        <v>808</v>
      </c>
      <c r="C260" t="s">
        <v>1511</v>
      </c>
      <c r="D260" t="s">
        <v>836</v>
      </c>
      <c r="G260" t="s">
        <v>792</v>
      </c>
      <c r="H260" t="s">
        <v>1509</v>
      </c>
      <c r="I260" t="s">
        <v>999</v>
      </c>
      <c r="K260" t="s">
        <v>1509</v>
      </c>
      <c r="L260" t="s">
        <v>806</v>
      </c>
    </row>
    <row r="261" spans="1:12" x14ac:dyDescent="0.3">
      <c r="A261" t="s">
        <v>791</v>
      </c>
      <c r="B261" t="s">
        <v>808</v>
      </c>
      <c r="C261" t="s">
        <v>1511</v>
      </c>
      <c r="D261" t="s">
        <v>837</v>
      </c>
      <c r="G261" t="s">
        <v>792</v>
      </c>
      <c r="H261" t="s">
        <v>1509</v>
      </c>
      <c r="I261" t="s">
        <v>1000</v>
      </c>
      <c r="K261" t="s">
        <v>1509</v>
      </c>
      <c r="L261" t="s">
        <v>806</v>
      </c>
    </row>
    <row r="262" spans="1:12" x14ac:dyDescent="0.3">
      <c r="A262" t="s">
        <v>791</v>
      </c>
      <c r="B262" t="s">
        <v>808</v>
      </c>
      <c r="C262" t="s">
        <v>1511</v>
      </c>
      <c r="D262" t="s">
        <v>838</v>
      </c>
      <c r="G262" t="s">
        <v>792</v>
      </c>
      <c r="H262" t="s">
        <v>1509</v>
      </c>
      <c r="I262" t="s">
        <v>965</v>
      </c>
      <c r="K262" t="s">
        <v>1509</v>
      </c>
      <c r="L262" t="s">
        <v>806</v>
      </c>
    </row>
    <row r="263" spans="1:12" x14ac:dyDescent="0.3">
      <c r="A263" t="s">
        <v>791</v>
      </c>
      <c r="B263" t="s">
        <v>808</v>
      </c>
      <c r="C263" t="s">
        <v>1511</v>
      </c>
      <c r="D263" t="s">
        <v>839</v>
      </c>
      <c r="G263" t="s">
        <v>792</v>
      </c>
      <c r="H263" t="s">
        <v>1509</v>
      </c>
      <c r="I263" t="s">
        <v>966</v>
      </c>
      <c r="K263" t="s">
        <v>1509</v>
      </c>
      <c r="L263" t="s">
        <v>806</v>
      </c>
    </row>
    <row r="264" spans="1:12" x14ac:dyDescent="0.3">
      <c r="A264" t="s">
        <v>791</v>
      </c>
      <c r="B264" t="s">
        <v>808</v>
      </c>
      <c r="C264" t="s">
        <v>1511</v>
      </c>
      <c r="D264" t="s">
        <v>840</v>
      </c>
      <c r="G264" t="s">
        <v>792</v>
      </c>
      <c r="H264" t="s">
        <v>1509</v>
      </c>
      <c r="I264" t="s">
        <v>1001</v>
      </c>
      <c r="K264" t="s">
        <v>1509</v>
      </c>
      <c r="L264" t="s">
        <v>806</v>
      </c>
    </row>
    <row r="265" spans="1:12" x14ac:dyDescent="0.3">
      <c r="A265" t="s">
        <v>791</v>
      </c>
      <c r="B265" t="s">
        <v>808</v>
      </c>
      <c r="C265" t="s">
        <v>1507</v>
      </c>
      <c r="D265" t="s">
        <v>841</v>
      </c>
      <c r="G265" t="s">
        <v>792</v>
      </c>
      <c r="H265" t="s">
        <v>1509</v>
      </c>
      <c r="I265" t="s">
        <v>1002</v>
      </c>
      <c r="K265" t="s">
        <v>1509</v>
      </c>
      <c r="L265" t="s">
        <v>806</v>
      </c>
    </row>
    <row r="266" spans="1:12" x14ac:dyDescent="0.3">
      <c r="A266" t="s">
        <v>791</v>
      </c>
      <c r="B266" t="s">
        <v>808</v>
      </c>
      <c r="C266" t="s">
        <v>1507</v>
      </c>
      <c r="D266" t="s">
        <v>842</v>
      </c>
      <c r="G266" t="s">
        <v>792</v>
      </c>
      <c r="H266" t="s">
        <v>1509</v>
      </c>
      <c r="I266" t="s">
        <v>1003</v>
      </c>
      <c r="K266" t="s">
        <v>1509</v>
      </c>
      <c r="L266" t="s">
        <v>806</v>
      </c>
    </row>
    <row r="267" spans="1:12" x14ac:dyDescent="0.3">
      <c r="A267" t="s">
        <v>791</v>
      </c>
      <c r="B267" t="s">
        <v>808</v>
      </c>
      <c r="C267" t="s">
        <v>1507</v>
      </c>
      <c r="D267" t="s">
        <v>843</v>
      </c>
      <c r="G267" t="s">
        <v>792</v>
      </c>
      <c r="H267" t="s">
        <v>1509</v>
      </c>
      <c r="I267" t="s">
        <v>1004</v>
      </c>
      <c r="K267" t="s">
        <v>1509</v>
      </c>
      <c r="L267" t="s">
        <v>806</v>
      </c>
    </row>
    <row r="268" spans="1:12" x14ac:dyDescent="0.3">
      <c r="A268" t="s">
        <v>791</v>
      </c>
      <c r="B268" t="s">
        <v>808</v>
      </c>
      <c r="C268" t="s">
        <v>1507</v>
      </c>
      <c r="D268" t="s">
        <v>844</v>
      </c>
      <c r="G268" t="s">
        <v>792</v>
      </c>
      <c r="H268" t="s">
        <v>1509</v>
      </c>
      <c r="I268" t="s">
        <v>1005</v>
      </c>
      <c r="K268" t="s">
        <v>1509</v>
      </c>
      <c r="L268" t="s">
        <v>806</v>
      </c>
    </row>
    <row r="269" spans="1:12" x14ac:dyDescent="0.3">
      <c r="A269" t="s">
        <v>791</v>
      </c>
      <c r="B269" t="s">
        <v>808</v>
      </c>
      <c r="C269" t="s">
        <v>1507</v>
      </c>
      <c r="D269" t="s">
        <v>845</v>
      </c>
      <c r="G269" t="s">
        <v>792</v>
      </c>
      <c r="H269" t="s">
        <v>1509</v>
      </c>
      <c r="I269" t="s">
        <v>1006</v>
      </c>
      <c r="K269" t="s">
        <v>1509</v>
      </c>
      <c r="L269" t="s">
        <v>806</v>
      </c>
    </row>
    <row r="270" spans="1:12" x14ac:dyDescent="0.3">
      <c r="A270" t="s">
        <v>791</v>
      </c>
      <c r="B270" t="s">
        <v>808</v>
      </c>
      <c r="C270" t="s">
        <v>1507</v>
      </c>
      <c r="D270" t="s">
        <v>846</v>
      </c>
      <c r="G270" t="s">
        <v>792</v>
      </c>
      <c r="H270" t="s">
        <v>1509</v>
      </c>
      <c r="I270" t="s">
        <v>1007</v>
      </c>
      <c r="K270" t="s">
        <v>1509</v>
      </c>
      <c r="L270" t="s">
        <v>806</v>
      </c>
    </row>
    <row r="271" spans="1:12" x14ac:dyDescent="0.3">
      <c r="A271" t="s">
        <v>791</v>
      </c>
      <c r="B271" t="s">
        <v>808</v>
      </c>
      <c r="C271" t="s">
        <v>1507</v>
      </c>
      <c r="D271" t="s">
        <v>847</v>
      </c>
      <c r="G271" t="s">
        <v>792</v>
      </c>
      <c r="H271" t="s">
        <v>1509</v>
      </c>
      <c r="I271" t="s">
        <v>1008</v>
      </c>
      <c r="K271" t="s">
        <v>1509</v>
      </c>
      <c r="L271" t="s">
        <v>806</v>
      </c>
    </row>
    <row r="272" spans="1:12" x14ac:dyDescent="0.3">
      <c r="A272" t="s">
        <v>791</v>
      </c>
      <c r="B272" t="s">
        <v>808</v>
      </c>
      <c r="C272" t="s">
        <v>1507</v>
      </c>
      <c r="D272" t="s">
        <v>848</v>
      </c>
      <c r="G272" t="s">
        <v>792</v>
      </c>
      <c r="H272" t="s">
        <v>1509</v>
      </c>
      <c r="I272" t="s">
        <v>1009</v>
      </c>
      <c r="K272" t="s">
        <v>1509</v>
      </c>
      <c r="L272" t="s">
        <v>806</v>
      </c>
    </row>
    <row r="273" spans="1:12" x14ac:dyDescent="0.3">
      <c r="A273" t="s">
        <v>791</v>
      </c>
      <c r="B273" t="s">
        <v>808</v>
      </c>
      <c r="C273" t="s">
        <v>1507</v>
      </c>
      <c r="D273" t="s">
        <v>849</v>
      </c>
      <c r="G273" t="s">
        <v>792</v>
      </c>
      <c r="H273" t="s">
        <v>1509</v>
      </c>
      <c r="I273" t="s">
        <v>1010</v>
      </c>
      <c r="K273" t="s">
        <v>1509</v>
      </c>
      <c r="L273" t="s">
        <v>806</v>
      </c>
    </row>
    <row r="274" spans="1:12" x14ac:dyDescent="0.3">
      <c r="A274" t="s">
        <v>791</v>
      </c>
      <c r="B274" t="s">
        <v>808</v>
      </c>
      <c r="C274" t="s">
        <v>1507</v>
      </c>
      <c r="D274" t="s">
        <v>850</v>
      </c>
      <c r="G274" t="s">
        <v>792</v>
      </c>
      <c r="H274" t="s">
        <v>1509</v>
      </c>
      <c r="I274" t="s">
        <v>967</v>
      </c>
      <c r="K274" t="s">
        <v>1509</v>
      </c>
      <c r="L274" t="s">
        <v>806</v>
      </c>
    </row>
    <row r="275" spans="1:12" x14ac:dyDescent="0.3">
      <c r="A275" t="s">
        <v>791</v>
      </c>
      <c r="B275" t="s">
        <v>808</v>
      </c>
      <c r="C275" t="s">
        <v>1507</v>
      </c>
      <c r="D275" t="s">
        <v>851</v>
      </c>
      <c r="G275" t="s">
        <v>792</v>
      </c>
      <c r="H275" t="s">
        <v>1509</v>
      </c>
      <c r="I275" t="s">
        <v>1011</v>
      </c>
      <c r="K275" t="s">
        <v>1509</v>
      </c>
      <c r="L275" t="s">
        <v>806</v>
      </c>
    </row>
    <row r="276" spans="1:12" x14ac:dyDescent="0.3">
      <c r="A276" t="s">
        <v>791</v>
      </c>
      <c r="B276" t="s">
        <v>808</v>
      </c>
      <c r="C276" t="s">
        <v>1507</v>
      </c>
      <c r="D276" t="s">
        <v>852</v>
      </c>
      <c r="G276" t="s">
        <v>792</v>
      </c>
      <c r="H276" t="s">
        <v>1509</v>
      </c>
      <c r="I276" t="s">
        <v>1012</v>
      </c>
      <c r="K276" t="s">
        <v>1509</v>
      </c>
      <c r="L276" t="s">
        <v>806</v>
      </c>
    </row>
    <row r="277" spans="1:12" x14ac:dyDescent="0.3">
      <c r="A277" t="s">
        <v>791</v>
      </c>
      <c r="B277" t="s">
        <v>808</v>
      </c>
      <c r="C277" t="s">
        <v>1507</v>
      </c>
      <c r="D277" t="s">
        <v>853</v>
      </c>
      <c r="G277" t="s">
        <v>792</v>
      </c>
      <c r="H277" t="s">
        <v>1509</v>
      </c>
      <c r="I277" t="s">
        <v>1013</v>
      </c>
      <c r="K277" t="s">
        <v>1509</v>
      </c>
      <c r="L277" t="s">
        <v>806</v>
      </c>
    </row>
    <row r="278" spans="1:12" x14ac:dyDescent="0.3">
      <c r="A278" t="s">
        <v>791</v>
      </c>
      <c r="B278" t="s">
        <v>808</v>
      </c>
      <c r="C278" t="s">
        <v>1508</v>
      </c>
      <c r="D278" t="s">
        <v>854</v>
      </c>
      <c r="G278" t="s">
        <v>792</v>
      </c>
      <c r="H278" t="s">
        <v>1509</v>
      </c>
      <c r="I278" t="s">
        <v>1014</v>
      </c>
      <c r="K278" t="s">
        <v>1509</v>
      </c>
      <c r="L278" t="s">
        <v>806</v>
      </c>
    </row>
    <row r="279" spans="1:12" x14ac:dyDescent="0.3">
      <c r="A279" t="s">
        <v>791</v>
      </c>
      <c r="B279" t="s">
        <v>808</v>
      </c>
      <c r="C279" t="s">
        <v>1508</v>
      </c>
      <c r="D279" t="s">
        <v>855</v>
      </c>
      <c r="G279" t="s">
        <v>792</v>
      </c>
      <c r="H279" t="s">
        <v>1509</v>
      </c>
      <c r="I279" t="s">
        <v>1015</v>
      </c>
      <c r="K279" t="s">
        <v>1509</v>
      </c>
      <c r="L279" t="s">
        <v>806</v>
      </c>
    </row>
    <row r="280" spans="1:12" x14ac:dyDescent="0.3">
      <c r="A280" t="s">
        <v>791</v>
      </c>
      <c r="B280" t="s">
        <v>808</v>
      </c>
      <c r="C280" t="s">
        <v>1508</v>
      </c>
      <c r="D280" t="s">
        <v>856</v>
      </c>
      <c r="G280" t="s">
        <v>792</v>
      </c>
      <c r="H280" t="s">
        <v>1509</v>
      </c>
      <c r="I280" t="s">
        <v>968</v>
      </c>
      <c r="K280" t="s">
        <v>1509</v>
      </c>
      <c r="L280" t="s">
        <v>806</v>
      </c>
    </row>
    <row r="281" spans="1:12" x14ac:dyDescent="0.3">
      <c r="A281" t="s">
        <v>791</v>
      </c>
      <c r="B281" t="s">
        <v>808</v>
      </c>
      <c r="C281" t="s">
        <v>1508</v>
      </c>
      <c r="D281" t="s">
        <v>857</v>
      </c>
      <c r="G281" t="s">
        <v>792</v>
      </c>
      <c r="H281" t="s">
        <v>1509</v>
      </c>
      <c r="I281" t="s">
        <v>969</v>
      </c>
      <c r="K281" t="s">
        <v>1509</v>
      </c>
      <c r="L281" t="s">
        <v>806</v>
      </c>
    </row>
    <row r="282" spans="1:12" x14ac:dyDescent="0.3">
      <c r="A282" t="s">
        <v>791</v>
      </c>
      <c r="B282" t="s">
        <v>808</v>
      </c>
      <c r="C282" t="s">
        <v>1508</v>
      </c>
      <c r="D282" t="s">
        <v>858</v>
      </c>
      <c r="G282" t="s">
        <v>792</v>
      </c>
      <c r="H282" t="s">
        <v>1509</v>
      </c>
      <c r="I282" t="s">
        <v>970</v>
      </c>
      <c r="K282" t="s">
        <v>1509</v>
      </c>
      <c r="L282" t="s">
        <v>806</v>
      </c>
    </row>
    <row r="283" spans="1:12" x14ac:dyDescent="0.3">
      <c r="A283" t="s">
        <v>791</v>
      </c>
      <c r="B283" t="s">
        <v>808</v>
      </c>
      <c r="C283" t="s">
        <v>1509</v>
      </c>
      <c r="D283" t="s">
        <v>826</v>
      </c>
      <c r="G283" t="s">
        <v>792</v>
      </c>
      <c r="H283" t="s">
        <v>1509</v>
      </c>
      <c r="I283" t="s">
        <v>1016</v>
      </c>
      <c r="K283" t="s">
        <v>1509</v>
      </c>
      <c r="L283" t="s">
        <v>806</v>
      </c>
    </row>
    <row r="284" spans="1:12" x14ac:dyDescent="0.3">
      <c r="A284" t="s">
        <v>791</v>
      </c>
      <c r="B284" t="s">
        <v>808</v>
      </c>
      <c r="C284" t="s">
        <v>1509</v>
      </c>
      <c r="D284" t="s">
        <v>827</v>
      </c>
      <c r="G284" t="s">
        <v>792</v>
      </c>
      <c r="H284" t="s">
        <v>1509</v>
      </c>
      <c r="I284" t="s">
        <v>1017</v>
      </c>
      <c r="K284" t="s">
        <v>1509</v>
      </c>
      <c r="L284" t="s">
        <v>806</v>
      </c>
    </row>
    <row r="285" spans="1:12" x14ac:dyDescent="0.3">
      <c r="A285" t="s">
        <v>790</v>
      </c>
      <c r="B285" t="s">
        <v>801</v>
      </c>
      <c r="C285" t="s">
        <v>823</v>
      </c>
      <c r="D285" t="s">
        <v>900</v>
      </c>
      <c r="G285" t="s">
        <v>792</v>
      </c>
      <c r="H285" t="s">
        <v>1509</v>
      </c>
      <c r="I285" t="s">
        <v>971</v>
      </c>
      <c r="K285" t="s">
        <v>1509</v>
      </c>
      <c r="L285" t="s">
        <v>806</v>
      </c>
    </row>
    <row r="286" spans="1:12" x14ac:dyDescent="0.3">
      <c r="A286" t="s">
        <v>790</v>
      </c>
      <c r="B286" t="s">
        <v>801</v>
      </c>
      <c r="C286" t="s">
        <v>1511</v>
      </c>
      <c r="D286" t="s">
        <v>907</v>
      </c>
      <c r="G286" t="s">
        <v>797</v>
      </c>
      <c r="H286" t="s">
        <v>1512</v>
      </c>
      <c r="I286" t="s">
        <v>1128</v>
      </c>
      <c r="K286" t="s">
        <v>797</v>
      </c>
      <c r="L286" t="s">
        <v>799</v>
      </c>
    </row>
    <row r="287" spans="1:12" x14ac:dyDescent="0.3">
      <c r="A287" t="s">
        <v>790</v>
      </c>
      <c r="B287" t="s">
        <v>801</v>
      </c>
      <c r="C287" t="s">
        <v>1511</v>
      </c>
      <c r="D287" t="s">
        <v>908</v>
      </c>
      <c r="G287" t="s">
        <v>797</v>
      </c>
      <c r="H287" t="s">
        <v>1512</v>
      </c>
      <c r="I287" t="s">
        <v>1129</v>
      </c>
      <c r="K287" t="s">
        <v>1512</v>
      </c>
      <c r="L287" t="s">
        <v>822</v>
      </c>
    </row>
    <row r="288" spans="1:12" x14ac:dyDescent="0.3">
      <c r="A288" t="s">
        <v>790</v>
      </c>
      <c r="B288" t="s">
        <v>801</v>
      </c>
      <c r="C288" t="s">
        <v>1507</v>
      </c>
      <c r="D288" t="s">
        <v>909</v>
      </c>
      <c r="G288" t="s">
        <v>797</v>
      </c>
      <c r="H288" t="s">
        <v>1512</v>
      </c>
      <c r="I288" t="s">
        <v>1130</v>
      </c>
      <c r="K288" t="s">
        <v>1512</v>
      </c>
      <c r="L288" t="s">
        <v>822</v>
      </c>
    </row>
    <row r="289" spans="1:12" x14ac:dyDescent="0.3">
      <c r="A289" t="s">
        <v>790</v>
      </c>
      <c r="B289" t="s">
        <v>801</v>
      </c>
      <c r="C289" t="s">
        <v>1507</v>
      </c>
      <c r="D289" t="s">
        <v>910</v>
      </c>
      <c r="G289" t="s">
        <v>797</v>
      </c>
      <c r="H289" t="s">
        <v>1512</v>
      </c>
      <c r="I289" t="s">
        <v>1131</v>
      </c>
      <c r="K289" t="s">
        <v>1512</v>
      </c>
      <c r="L289" t="s">
        <v>822</v>
      </c>
    </row>
    <row r="290" spans="1:12" x14ac:dyDescent="0.3">
      <c r="A290" t="s">
        <v>790</v>
      </c>
      <c r="B290" t="s">
        <v>801</v>
      </c>
      <c r="C290" t="s">
        <v>1508</v>
      </c>
      <c r="D290" t="s">
        <v>911</v>
      </c>
      <c r="G290" t="s">
        <v>797</v>
      </c>
      <c r="H290" t="s">
        <v>1512</v>
      </c>
      <c r="I290" t="s">
        <v>1132</v>
      </c>
      <c r="K290" t="s">
        <v>1512</v>
      </c>
      <c r="L290" t="s">
        <v>822</v>
      </c>
    </row>
    <row r="291" spans="1:12" x14ac:dyDescent="0.3">
      <c r="A291" t="s">
        <v>790</v>
      </c>
      <c r="B291" t="s">
        <v>801</v>
      </c>
      <c r="C291" t="s">
        <v>1509</v>
      </c>
      <c r="D291" t="s">
        <v>901</v>
      </c>
      <c r="G291" t="s">
        <v>797</v>
      </c>
      <c r="H291" t="s">
        <v>1512</v>
      </c>
      <c r="I291" t="s">
        <v>1133</v>
      </c>
      <c r="K291" t="s">
        <v>1512</v>
      </c>
      <c r="L291" t="s">
        <v>822</v>
      </c>
    </row>
    <row r="292" spans="1:12" x14ac:dyDescent="0.3">
      <c r="A292" t="s">
        <v>790</v>
      </c>
      <c r="B292" t="s">
        <v>801</v>
      </c>
      <c r="C292" t="s">
        <v>1509</v>
      </c>
      <c r="D292" t="s">
        <v>902</v>
      </c>
      <c r="G292" t="s">
        <v>797</v>
      </c>
      <c r="H292" t="s">
        <v>1512</v>
      </c>
      <c r="I292" t="s">
        <v>1136</v>
      </c>
      <c r="K292" t="s">
        <v>1512</v>
      </c>
      <c r="L292" t="s">
        <v>822</v>
      </c>
    </row>
    <row r="293" spans="1:12" x14ac:dyDescent="0.3">
      <c r="A293" t="s">
        <v>790</v>
      </c>
      <c r="B293" t="s">
        <v>801</v>
      </c>
      <c r="C293" t="s">
        <v>1509</v>
      </c>
      <c r="D293" t="s">
        <v>903</v>
      </c>
      <c r="G293" t="s">
        <v>797</v>
      </c>
      <c r="H293" t="s">
        <v>1512</v>
      </c>
      <c r="I293" t="s">
        <v>1137</v>
      </c>
      <c r="K293" t="s">
        <v>1512</v>
      </c>
      <c r="L293" t="s">
        <v>822</v>
      </c>
    </row>
    <row r="294" spans="1:12" x14ac:dyDescent="0.3">
      <c r="A294" t="s">
        <v>790</v>
      </c>
      <c r="B294" t="s">
        <v>801</v>
      </c>
      <c r="C294" t="s">
        <v>1509</v>
      </c>
      <c r="D294" t="s">
        <v>904</v>
      </c>
      <c r="G294" t="s">
        <v>797</v>
      </c>
      <c r="H294" t="s">
        <v>1512</v>
      </c>
      <c r="I294" t="s">
        <v>1138</v>
      </c>
      <c r="K294" t="s">
        <v>1512</v>
      </c>
      <c r="L294" t="s">
        <v>822</v>
      </c>
    </row>
    <row r="295" spans="1:12" x14ac:dyDescent="0.3">
      <c r="A295" t="s">
        <v>790</v>
      </c>
      <c r="B295" t="s">
        <v>801</v>
      </c>
      <c r="C295" t="s">
        <v>1509</v>
      </c>
      <c r="D295" t="s">
        <v>905</v>
      </c>
      <c r="G295" t="s">
        <v>797</v>
      </c>
      <c r="H295" t="s">
        <v>1512</v>
      </c>
      <c r="I295" t="s">
        <v>1139</v>
      </c>
      <c r="K295" t="s">
        <v>1512</v>
      </c>
      <c r="L295" t="s">
        <v>822</v>
      </c>
    </row>
    <row r="296" spans="1:12" x14ac:dyDescent="0.3">
      <c r="A296" t="s">
        <v>790</v>
      </c>
      <c r="B296" t="s">
        <v>801</v>
      </c>
      <c r="C296" t="s">
        <v>1509</v>
      </c>
      <c r="D296" t="s">
        <v>906</v>
      </c>
      <c r="G296" t="s">
        <v>797</v>
      </c>
      <c r="H296" t="s">
        <v>1512</v>
      </c>
      <c r="I296" t="s">
        <v>1140</v>
      </c>
      <c r="K296" t="s">
        <v>1512</v>
      </c>
      <c r="L296" t="s">
        <v>822</v>
      </c>
    </row>
    <row r="297" spans="1:12" x14ac:dyDescent="0.3">
      <c r="A297" t="s">
        <v>790</v>
      </c>
      <c r="B297" t="s">
        <v>803</v>
      </c>
      <c r="C297" t="s">
        <v>823</v>
      </c>
      <c r="D297" t="s">
        <v>916</v>
      </c>
      <c r="G297" t="s">
        <v>797</v>
      </c>
      <c r="H297" t="s">
        <v>1512</v>
      </c>
      <c r="I297" t="s">
        <v>1141</v>
      </c>
      <c r="K297" t="s">
        <v>1512</v>
      </c>
      <c r="L297" t="s">
        <v>822</v>
      </c>
    </row>
    <row r="298" spans="1:12" x14ac:dyDescent="0.3">
      <c r="A298" t="s">
        <v>790</v>
      </c>
      <c r="B298" t="s">
        <v>803</v>
      </c>
      <c r="C298" t="s">
        <v>1511</v>
      </c>
      <c r="D298" t="s">
        <v>920</v>
      </c>
      <c r="G298" t="s">
        <v>797</v>
      </c>
      <c r="H298" t="s">
        <v>1512</v>
      </c>
      <c r="I298" t="s">
        <v>1142</v>
      </c>
      <c r="K298" t="s">
        <v>1512</v>
      </c>
      <c r="L298" t="s">
        <v>822</v>
      </c>
    </row>
    <row r="299" spans="1:12" x14ac:dyDescent="0.3">
      <c r="A299" t="s">
        <v>790</v>
      </c>
      <c r="B299" t="s">
        <v>803</v>
      </c>
      <c r="C299" t="s">
        <v>1507</v>
      </c>
      <c r="D299" t="s">
        <v>921</v>
      </c>
      <c r="G299" t="s">
        <v>797</v>
      </c>
      <c r="H299" t="s">
        <v>1512</v>
      </c>
      <c r="I299" t="s">
        <v>1143</v>
      </c>
      <c r="K299" t="s">
        <v>1512</v>
      </c>
      <c r="L299" t="s">
        <v>822</v>
      </c>
    </row>
    <row r="300" spans="1:12" x14ac:dyDescent="0.3">
      <c r="A300" t="s">
        <v>790</v>
      </c>
      <c r="B300" t="s">
        <v>803</v>
      </c>
      <c r="C300" t="s">
        <v>1509</v>
      </c>
      <c r="D300" t="s">
        <v>917</v>
      </c>
      <c r="G300" t="s">
        <v>797</v>
      </c>
      <c r="H300" t="s">
        <v>1512</v>
      </c>
      <c r="I300" t="s">
        <v>1144</v>
      </c>
      <c r="K300" t="s">
        <v>1512</v>
      </c>
      <c r="L300" t="s">
        <v>822</v>
      </c>
    </row>
    <row r="301" spans="1:12" x14ac:dyDescent="0.3">
      <c r="A301" t="s">
        <v>790</v>
      </c>
      <c r="B301" t="s">
        <v>803</v>
      </c>
      <c r="C301" t="s">
        <v>1509</v>
      </c>
      <c r="D301" t="s">
        <v>918</v>
      </c>
      <c r="G301" t="s">
        <v>797</v>
      </c>
      <c r="H301" t="s">
        <v>823</v>
      </c>
      <c r="I301" t="s">
        <v>1122</v>
      </c>
      <c r="K301" t="s">
        <v>1512</v>
      </c>
      <c r="L301" t="s">
        <v>822</v>
      </c>
    </row>
    <row r="302" spans="1:12" x14ac:dyDescent="0.3">
      <c r="A302" t="s">
        <v>790</v>
      </c>
      <c r="B302" t="s">
        <v>803</v>
      </c>
      <c r="C302" t="s">
        <v>1509</v>
      </c>
      <c r="D302" t="s">
        <v>919</v>
      </c>
      <c r="G302" t="s">
        <v>797</v>
      </c>
      <c r="H302" t="s">
        <v>823</v>
      </c>
      <c r="I302" t="s">
        <v>1124</v>
      </c>
      <c r="K302" t="s">
        <v>823</v>
      </c>
      <c r="L302" t="s">
        <v>822</v>
      </c>
    </row>
    <row r="303" spans="1:12" x14ac:dyDescent="0.3">
      <c r="A303" t="s">
        <v>795</v>
      </c>
      <c r="B303" t="s">
        <v>820</v>
      </c>
      <c r="C303" t="s">
        <v>1512</v>
      </c>
      <c r="D303" t="s">
        <v>1266</v>
      </c>
      <c r="G303" t="s">
        <v>797</v>
      </c>
      <c r="H303" t="s">
        <v>823</v>
      </c>
      <c r="I303" t="s">
        <v>1126</v>
      </c>
      <c r="K303" t="s">
        <v>823</v>
      </c>
      <c r="L303" t="s">
        <v>822</v>
      </c>
    </row>
    <row r="304" spans="1:12" x14ac:dyDescent="0.3">
      <c r="A304" t="s">
        <v>795</v>
      </c>
      <c r="B304" t="s">
        <v>820</v>
      </c>
      <c r="C304" t="s">
        <v>1512</v>
      </c>
      <c r="D304" t="s">
        <v>1267</v>
      </c>
      <c r="G304" t="s">
        <v>797</v>
      </c>
      <c r="H304" t="s">
        <v>823</v>
      </c>
      <c r="I304" t="s">
        <v>1127</v>
      </c>
      <c r="K304" t="s">
        <v>823</v>
      </c>
      <c r="L304" t="s">
        <v>822</v>
      </c>
    </row>
    <row r="305" spans="1:12" x14ac:dyDescent="0.3">
      <c r="A305" t="s">
        <v>795</v>
      </c>
      <c r="B305" t="s">
        <v>820</v>
      </c>
      <c r="C305" t="s">
        <v>1512</v>
      </c>
      <c r="D305" t="s">
        <v>1268</v>
      </c>
      <c r="G305" t="s">
        <v>797</v>
      </c>
      <c r="H305" t="s">
        <v>823</v>
      </c>
      <c r="I305" t="s">
        <v>1134</v>
      </c>
      <c r="K305" t="s">
        <v>823</v>
      </c>
      <c r="L305" t="s">
        <v>822</v>
      </c>
    </row>
    <row r="306" spans="1:12" x14ac:dyDescent="0.3">
      <c r="A306" t="s">
        <v>795</v>
      </c>
      <c r="B306" t="s">
        <v>820</v>
      </c>
      <c r="C306" t="s">
        <v>823</v>
      </c>
      <c r="D306" t="s">
        <v>1146</v>
      </c>
      <c r="G306" t="s">
        <v>797</v>
      </c>
      <c r="H306" t="s">
        <v>823</v>
      </c>
      <c r="I306" t="s">
        <v>1121</v>
      </c>
      <c r="K306" t="s">
        <v>823</v>
      </c>
      <c r="L306" t="s">
        <v>822</v>
      </c>
    </row>
    <row r="307" spans="1:12" x14ac:dyDescent="0.3">
      <c r="A307" t="s">
        <v>795</v>
      </c>
      <c r="B307" t="s">
        <v>820</v>
      </c>
      <c r="C307" t="s">
        <v>823</v>
      </c>
      <c r="D307" t="s">
        <v>1191</v>
      </c>
      <c r="G307" t="s">
        <v>797</v>
      </c>
      <c r="H307" t="s">
        <v>823</v>
      </c>
      <c r="I307" t="s">
        <v>1111</v>
      </c>
      <c r="K307" t="s">
        <v>797</v>
      </c>
      <c r="L307" t="s">
        <v>822</v>
      </c>
    </row>
    <row r="308" spans="1:12" x14ac:dyDescent="0.3">
      <c r="A308" t="s">
        <v>795</v>
      </c>
      <c r="B308" t="s">
        <v>820</v>
      </c>
      <c r="C308" t="s">
        <v>1510</v>
      </c>
      <c r="D308" t="s">
        <v>1198</v>
      </c>
      <c r="G308" t="s">
        <v>797</v>
      </c>
      <c r="H308" t="s">
        <v>823</v>
      </c>
      <c r="I308" t="s">
        <v>1117</v>
      </c>
      <c r="K308" t="s">
        <v>1509</v>
      </c>
      <c r="L308" t="s">
        <v>822</v>
      </c>
    </row>
    <row r="309" spans="1:12" x14ac:dyDescent="0.3">
      <c r="A309" t="s">
        <v>795</v>
      </c>
      <c r="B309" t="s">
        <v>820</v>
      </c>
      <c r="C309" t="s">
        <v>1510</v>
      </c>
      <c r="D309" t="s">
        <v>1199</v>
      </c>
      <c r="G309" t="s">
        <v>797</v>
      </c>
      <c r="H309" t="s">
        <v>823</v>
      </c>
      <c r="I309" t="s">
        <v>1120</v>
      </c>
      <c r="K309" t="s">
        <v>1509</v>
      </c>
      <c r="L309" t="s">
        <v>822</v>
      </c>
    </row>
    <row r="310" spans="1:12" x14ac:dyDescent="0.3">
      <c r="A310" t="s">
        <v>795</v>
      </c>
      <c r="B310" t="s">
        <v>820</v>
      </c>
      <c r="C310" t="s">
        <v>1510</v>
      </c>
      <c r="D310" t="s">
        <v>1201</v>
      </c>
      <c r="G310" t="s">
        <v>797</v>
      </c>
      <c r="H310" t="s">
        <v>1510</v>
      </c>
      <c r="I310" t="s">
        <v>1116</v>
      </c>
      <c r="K310" t="s">
        <v>823</v>
      </c>
      <c r="L310" t="s">
        <v>797</v>
      </c>
    </row>
    <row r="311" spans="1:12" x14ac:dyDescent="0.3">
      <c r="A311" t="s">
        <v>795</v>
      </c>
      <c r="B311" t="s">
        <v>820</v>
      </c>
      <c r="C311" t="s">
        <v>1511</v>
      </c>
      <c r="D311" t="s">
        <v>1202</v>
      </c>
      <c r="G311" t="s">
        <v>797</v>
      </c>
      <c r="H311" t="s">
        <v>797</v>
      </c>
      <c r="I311" t="s">
        <v>1110</v>
      </c>
      <c r="K311" t="s">
        <v>823</v>
      </c>
      <c r="L311" t="s">
        <v>811</v>
      </c>
    </row>
    <row r="312" spans="1:12" x14ac:dyDescent="0.3">
      <c r="A312" t="s">
        <v>795</v>
      </c>
      <c r="B312" t="s">
        <v>820</v>
      </c>
      <c r="C312" t="s">
        <v>1511</v>
      </c>
      <c r="D312" t="s">
        <v>1203</v>
      </c>
      <c r="G312" t="s">
        <v>797</v>
      </c>
      <c r="H312" t="s">
        <v>797</v>
      </c>
      <c r="I312" t="s">
        <v>1135</v>
      </c>
      <c r="K312" t="s">
        <v>823</v>
      </c>
      <c r="L312" t="s">
        <v>811</v>
      </c>
    </row>
    <row r="313" spans="1:12" x14ac:dyDescent="0.3">
      <c r="A313" t="s">
        <v>795</v>
      </c>
      <c r="B313" t="s">
        <v>820</v>
      </c>
      <c r="C313" t="s">
        <v>1511</v>
      </c>
      <c r="D313" t="s">
        <v>1204</v>
      </c>
      <c r="G313" t="s">
        <v>797</v>
      </c>
      <c r="H313" t="s">
        <v>1509</v>
      </c>
      <c r="I313" t="s">
        <v>1123</v>
      </c>
      <c r="K313" t="s">
        <v>823</v>
      </c>
      <c r="L313" t="s">
        <v>811</v>
      </c>
    </row>
    <row r="314" spans="1:12" x14ac:dyDescent="0.3">
      <c r="A314" t="s">
        <v>795</v>
      </c>
      <c r="B314" t="s">
        <v>820</v>
      </c>
      <c r="C314" t="s">
        <v>1511</v>
      </c>
      <c r="D314" t="s">
        <v>1205</v>
      </c>
      <c r="G314" t="s">
        <v>797</v>
      </c>
      <c r="H314" t="s">
        <v>1509</v>
      </c>
      <c r="I314" t="s">
        <v>1125</v>
      </c>
      <c r="K314" t="s">
        <v>1510</v>
      </c>
      <c r="L314" t="s">
        <v>811</v>
      </c>
    </row>
    <row r="315" spans="1:12" x14ac:dyDescent="0.3">
      <c r="A315" t="s">
        <v>795</v>
      </c>
      <c r="B315" t="s">
        <v>820</v>
      </c>
      <c r="C315" t="s">
        <v>1511</v>
      </c>
      <c r="D315" t="s">
        <v>1206</v>
      </c>
      <c r="G315" t="s">
        <v>797</v>
      </c>
      <c r="H315" t="s">
        <v>1509</v>
      </c>
      <c r="I315" t="s">
        <v>1112</v>
      </c>
      <c r="K315" t="s">
        <v>1509</v>
      </c>
      <c r="L315" t="s">
        <v>811</v>
      </c>
    </row>
    <row r="316" spans="1:12" x14ac:dyDescent="0.3">
      <c r="A316" t="s">
        <v>795</v>
      </c>
      <c r="B316" t="s">
        <v>820</v>
      </c>
      <c r="C316" t="s">
        <v>1511</v>
      </c>
      <c r="D316" t="s">
        <v>1207</v>
      </c>
      <c r="G316" t="s">
        <v>797</v>
      </c>
      <c r="H316" t="s">
        <v>1509</v>
      </c>
      <c r="I316" t="s">
        <v>1113</v>
      </c>
      <c r="K316" t="s">
        <v>1509</v>
      </c>
      <c r="L316" t="s">
        <v>811</v>
      </c>
    </row>
    <row r="317" spans="1:12" x14ac:dyDescent="0.3">
      <c r="A317" t="s">
        <v>795</v>
      </c>
      <c r="B317" t="s">
        <v>820</v>
      </c>
      <c r="C317" t="s">
        <v>1511</v>
      </c>
      <c r="D317" t="s">
        <v>1208</v>
      </c>
      <c r="G317" t="s">
        <v>797</v>
      </c>
      <c r="H317" t="s">
        <v>1509</v>
      </c>
      <c r="I317" t="s">
        <v>1114</v>
      </c>
      <c r="K317" t="s">
        <v>1509</v>
      </c>
      <c r="L317" t="s">
        <v>811</v>
      </c>
    </row>
    <row r="318" spans="1:12" x14ac:dyDescent="0.3">
      <c r="A318" t="s">
        <v>795</v>
      </c>
      <c r="B318" t="s">
        <v>820</v>
      </c>
      <c r="C318" t="s">
        <v>1511</v>
      </c>
      <c r="D318" t="s">
        <v>1209</v>
      </c>
      <c r="G318" t="s">
        <v>797</v>
      </c>
      <c r="H318" t="s">
        <v>1509</v>
      </c>
      <c r="I318" t="s">
        <v>1115</v>
      </c>
      <c r="K318" t="s">
        <v>1509</v>
      </c>
      <c r="L318" t="s">
        <v>811</v>
      </c>
    </row>
    <row r="319" spans="1:12" x14ac:dyDescent="0.3">
      <c r="A319" t="s">
        <v>795</v>
      </c>
      <c r="B319" t="s">
        <v>820</v>
      </c>
      <c r="C319" t="s">
        <v>1511</v>
      </c>
      <c r="D319" t="s">
        <v>1210</v>
      </c>
      <c r="G319" t="s">
        <v>797</v>
      </c>
      <c r="H319" t="s">
        <v>1509</v>
      </c>
      <c r="I319" t="s">
        <v>1118</v>
      </c>
      <c r="K319" t="s">
        <v>1509</v>
      </c>
      <c r="L319" t="s">
        <v>811</v>
      </c>
    </row>
    <row r="320" spans="1:12" x14ac:dyDescent="0.3">
      <c r="A320" t="s">
        <v>795</v>
      </c>
      <c r="B320" t="s">
        <v>820</v>
      </c>
      <c r="C320" t="s">
        <v>1511</v>
      </c>
      <c r="D320" t="s">
        <v>1211</v>
      </c>
      <c r="G320" t="s">
        <v>797</v>
      </c>
      <c r="H320" t="s">
        <v>1509</v>
      </c>
      <c r="I320" t="s">
        <v>1119</v>
      </c>
      <c r="K320" t="s">
        <v>1509</v>
      </c>
      <c r="L320" t="s">
        <v>811</v>
      </c>
    </row>
    <row r="321" spans="1:12" x14ac:dyDescent="0.3">
      <c r="A321" t="s">
        <v>795</v>
      </c>
      <c r="B321" t="s">
        <v>820</v>
      </c>
      <c r="C321" t="s">
        <v>1511</v>
      </c>
      <c r="D321" t="s">
        <v>1212</v>
      </c>
      <c r="G321" t="s">
        <v>795</v>
      </c>
      <c r="H321" t="s">
        <v>1512</v>
      </c>
      <c r="I321" t="s">
        <v>1266</v>
      </c>
      <c r="K321" t="s">
        <v>1512</v>
      </c>
      <c r="L321" t="s">
        <v>820</v>
      </c>
    </row>
    <row r="322" spans="1:12" x14ac:dyDescent="0.3">
      <c r="A322" t="s">
        <v>795</v>
      </c>
      <c r="B322" t="s">
        <v>820</v>
      </c>
      <c r="C322" t="s">
        <v>1511</v>
      </c>
      <c r="D322" t="s">
        <v>1213</v>
      </c>
      <c r="G322" t="s">
        <v>795</v>
      </c>
      <c r="H322" t="s">
        <v>1512</v>
      </c>
      <c r="I322" t="s">
        <v>1267</v>
      </c>
      <c r="K322" t="s">
        <v>1512</v>
      </c>
      <c r="L322" t="s">
        <v>820</v>
      </c>
    </row>
    <row r="323" spans="1:12" x14ac:dyDescent="0.3">
      <c r="A323" t="s">
        <v>795</v>
      </c>
      <c r="B323" t="s">
        <v>820</v>
      </c>
      <c r="C323" t="s">
        <v>1511</v>
      </c>
      <c r="D323" t="s">
        <v>1214</v>
      </c>
      <c r="G323" t="s">
        <v>795</v>
      </c>
      <c r="H323" t="s">
        <v>1512</v>
      </c>
      <c r="I323" t="s">
        <v>1268</v>
      </c>
      <c r="K323" t="s">
        <v>1512</v>
      </c>
      <c r="L323" t="s">
        <v>820</v>
      </c>
    </row>
    <row r="324" spans="1:12" x14ac:dyDescent="0.3">
      <c r="A324" t="s">
        <v>795</v>
      </c>
      <c r="B324" t="s">
        <v>820</v>
      </c>
      <c r="C324" t="s">
        <v>1511</v>
      </c>
      <c r="D324" t="s">
        <v>1215</v>
      </c>
      <c r="G324" t="s">
        <v>795</v>
      </c>
      <c r="H324" t="s">
        <v>823</v>
      </c>
      <c r="I324" t="s">
        <v>1146</v>
      </c>
      <c r="K324" t="s">
        <v>823</v>
      </c>
      <c r="L324" t="s">
        <v>820</v>
      </c>
    </row>
    <row r="325" spans="1:12" x14ac:dyDescent="0.3">
      <c r="A325" t="s">
        <v>795</v>
      </c>
      <c r="B325" t="s">
        <v>820</v>
      </c>
      <c r="C325" t="s">
        <v>1511</v>
      </c>
      <c r="D325" t="s">
        <v>1216</v>
      </c>
      <c r="G325" t="s">
        <v>795</v>
      </c>
      <c r="H325" t="s">
        <v>823</v>
      </c>
      <c r="I325" t="s">
        <v>1191</v>
      </c>
      <c r="K325" t="s">
        <v>823</v>
      </c>
      <c r="L325" t="s">
        <v>820</v>
      </c>
    </row>
    <row r="326" spans="1:12" x14ac:dyDescent="0.3">
      <c r="A326" t="s">
        <v>795</v>
      </c>
      <c r="B326" t="s">
        <v>820</v>
      </c>
      <c r="C326" t="s">
        <v>1511</v>
      </c>
      <c r="D326" t="s">
        <v>1217</v>
      </c>
      <c r="G326" t="s">
        <v>795</v>
      </c>
      <c r="H326" t="s">
        <v>1510</v>
      </c>
      <c r="I326" t="s">
        <v>1198</v>
      </c>
      <c r="K326" t="s">
        <v>1510</v>
      </c>
      <c r="L326" t="s">
        <v>820</v>
      </c>
    </row>
    <row r="327" spans="1:12" x14ac:dyDescent="0.3">
      <c r="A327" t="s">
        <v>795</v>
      </c>
      <c r="B327" t="s">
        <v>820</v>
      </c>
      <c r="C327" t="s">
        <v>1511</v>
      </c>
      <c r="D327" t="s">
        <v>1218</v>
      </c>
      <c r="G327" t="s">
        <v>795</v>
      </c>
      <c r="H327" t="s">
        <v>1510</v>
      </c>
      <c r="I327" t="s">
        <v>1199</v>
      </c>
      <c r="K327" t="s">
        <v>1510</v>
      </c>
      <c r="L327" t="s">
        <v>820</v>
      </c>
    </row>
    <row r="328" spans="1:12" x14ac:dyDescent="0.3">
      <c r="A328" t="s">
        <v>795</v>
      </c>
      <c r="B328" t="s">
        <v>820</v>
      </c>
      <c r="C328" t="s">
        <v>1511</v>
      </c>
      <c r="D328" t="s">
        <v>1219</v>
      </c>
      <c r="G328" t="s">
        <v>795</v>
      </c>
      <c r="H328" t="s">
        <v>1510</v>
      </c>
      <c r="I328" t="s">
        <v>1201</v>
      </c>
      <c r="K328" t="s">
        <v>1510</v>
      </c>
      <c r="L328" t="s">
        <v>820</v>
      </c>
    </row>
    <row r="329" spans="1:12" x14ac:dyDescent="0.3">
      <c r="A329" t="s">
        <v>795</v>
      </c>
      <c r="B329" t="s">
        <v>820</v>
      </c>
      <c r="C329" t="s">
        <v>1511</v>
      </c>
      <c r="D329" t="s">
        <v>1220</v>
      </c>
      <c r="G329" t="s">
        <v>795</v>
      </c>
      <c r="H329" t="s">
        <v>1511</v>
      </c>
      <c r="I329" t="s">
        <v>1202</v>
      </c>
      <c r="K329" t="s">
        <v>1511</v>
      </c>
      <c r="L329" t="s">
        <v>820</v>
      </c>
    </row>
    <row r="330" spans="1:12" x14ac:dyDescent="0.3">
      <c r="A330" t="s">
        <v>795</v>
      </c>
      <c r="B330" t="s">
        <v>820</v>
      </c>
      <c r="C330" t="s">
        <v>1511</v>
      </c>
      <c r="D330" t="s">
        <v>1221</v>
      </c>
      <c r="G330" t="s">
        <v>795</v>
      </c>
      <c r="H330" t="s">
        <v>1511</v>
      </c>
      <c r="I330" t="s">
        <v>1203</v>
      </c>
      <c r="K330" t="s">
        <v>1511</v>
      </c>
      <c r="L330" t="s">
        <v>820</v>
      </c>
    </row>
    <row r="331" spans="1:12" x14ac:dyDescent="0.3">
      <c r="A331" t="s">
        <v>795</v>
      </c>
      <c r="B331" t="s">
        <v>820</v>
      </c>
      <c r="C331" t="s">
        <v>1511</v>
      </c>
      <c r="D331" t="s">
        <v>1222</v>
      </c>
      <c r="G331" t="s">
        <v>795</v>
      </c>
      <c r="H331" t="s">
        <v>1511</v>
      </c>
      <c r="I331" t="s">
        <v>1204</v>
      </c>
      <c r="K331" t="s">
        <v>1511</v>
      </c>
      <c r="L331" t="s">
        <v>820</v>
      </c>
    </row>
    <row r="332" spans="1:12" x14ac:dyDescent="0.3">
      <c r="A332" t="s">
        <v>795</v>
      </c>
      <c r="B332" t="s">
        <v>820</v>
      </c>
      <c r="C332" t="s">
        <v>1511</v>
      </c>
      <c r="D332" t="s">
        <v>1223</v>
      </c>
      <c r="G332" t="s">
        <v>795</v>
      </c>
      <c r="H332" t="s">
        <v>1511</v>
      </c>
      <c r="I332" t="s">
        <v>1205</v>
      </c>
      <c r="K332" t="s">
        <v>1511</v>
      </c>
      <c r="L332" t="s">
        <v>820</v>
      </c>
    </row>
    <row r="333" spans="1:12" x14ac:dyDescent="0.3">
      <c r="A333" t="s">
        <v>795</v>
      </c>
      <c r="B333" t="s">
        <v>820</v>
      </c>
      <c r="C333" t="s">
        <v>1511</v>
      </c>
      <c r="D333" t="s">
        <v>1224</v>
      </c>
      <c r="G333" t="s">
        <v>795</v>
      </c>
      <c r="H333" t="s">
        <v>1511</v>
      </c>
      <c r="I333" t="s">
        <v>1206</v>
      </c>
      <c r="K333" t="s">
        <v>1511</v>
      </c>
      <c r="L333" t="s">
        <v>820</v>
      </c>
    </row>
    <row r="334" spans="1:12" x14ac:dyDescent="0.3">
      <c r="A334" t="s">
        <v>795</v>
      </c>
      <c r="B334" t="s">
        <v>820</v>
      </c>
      <c r="C334" t="s">
        <v>1511</v>
      </c>
      <c r="D334" t="s">
        <v>1225</v>
      </c>
      <c r="G334" t="s">
        <v>795</v>
      </c>
      <c r="H334" t="s">
        <v>1511</v>
      </c>
      <c r="I334" t="s">
        <v>1207</v>
      </c>
      <c r="K334" t="s">
        <v>1511</v>
      </c>
      <c r="L334" t="s">
        <v>820</v>
      </c>
    </row>
    <row r="335" spans="1:12" x14ac:dyDescent="0.3">
      <c r="A335" t="s">
        <v>795</v>
      </c>
      <c r="B335" t="s">
        <v>820</v>
      </c>
      <c r="C335" t="s">
        <v>1511</v>
      </c>
      <c r="D335" t="s">
        <v>1226</v>
      </c>
      <c r="G335" t="s">
        <v>795</v>
      </c>
      <c r="H335" t="s">
        <v>1511</v>
      </c>
      <c r="I335" t="s">
        <v>1208</v>
      </c>
      <c r="K335" t="s">
        <v>1511</v>
      </c>
      <c r="L335" t="s">
        <v>820</v>
      </c>
    </row>
    <row r="336" spans="1:12" x14ac:dyDescent="0.3">
      <c r="A336" t="s">
        <v>795</v>
      </c>
      <c r="B336" t="s">
        <v>820</v>
      </c>
      <c r="C336" t="s">
        <v>1511</v>
      </c>
      <c r="D336" t="s">
        <v>1227</v>
      </c>
      <c r="G336" t="s">
        <v>795</v>
      </c>
      <c r="H336" t="s">
        <v>1511</v>
      </c>
      <c r="I336" t="s">
        <v>1209</v>
      </c>
      <c r="K336" t="s">
        <v>1511</v>
      </c>
      <c r="L336" t="s">
        <v>820</v>
      </c>
    </row>
    <row r="337" spans="1:12" x14ac:dyDescent="0.3">
      <c r="A337" t="s">
        <v>795</v>
      </c>
      <c r="B337" t="s">
        <v>820</v>
      </c>
      <c r="C337" t="s">
        <v>1507</v>
      </c>
      <c r="D337" t="s">
        <v>1228</v>
      </c>
      <c r="G337" t="s">
        <v>795</v>
      </c>
      <c r="H337" t="s">
        <v>1511</v>
      </c>
      <c r="I337" t="s">
        <v>1210</v>
      </c>
      <c r="K337" t="s">
        <v>1511</v>
      </c>
      <c r="L337" t="s">
        <v>820</v>
      </c>
    </row>
    <row r="338" spans="1:12" x14ac:dyDescent="0.3">
      <c r="A338" t="s">
        <v>795</v>
      </c>
      <c r="B338" t="s">
        <v>820</v>
      </c>
      <c r="C338" t="s">
        <v>1507</v>
      </c>
      <c r="D338" t="s">
        <v>1229</v>
      </c>
      <c r="G338" t="s">
        <v>795</v>
      </c>
      <c r="H338" t="s">
        <v>1511</v>
      </c>
      <c r="I338" t="s">
        <v>1211</v>
      </c>
      <c r="K338" t="s">
        <v>1511</v>
      </c>
      <c r="L338" t="s">
        <v>820</v>
      </c>
    </row>
    <row r="339" spans="1:12" x14ac:dyDescent="0.3">
      <c r="A339" t="s">
        <v>795</v>
      </c>
      <c r="B339" t="s">
        <v>820</v>
      </c>
      <c r="C339" t="s">
        <v>1507</v>
      </c>
      <c r="D339" t="s">
        <v>1230</v>
      </c>
      <c r="G339" t="s">
        <v>795</v>
      </c>
      <c r="H339" t="s">
        <v>1511</v>
      </c>
      <c r="I339" t="s">
        <v>1212</v>
      </c>
      <c r="K339" t="s">
        <v>1511</v>
      </c>
      <c r="L339" t="s">
        <v>820</v>
      </c>
    </row>
    <row r="340" spans="1:12" x14ac:dyDescent="0.3">
      <c r="A340" t="s">
        <v>795</v>
      </c>
      <c r="B340" t="s">
        <v>820</v>
      </c>
      <c r="C340" t="s">
        <v>1507</v>
      </c>
      <c r="D340" t="s">
        <v>1231</v>
      </c>
      <c r="G340" t="s">
        <v>795</v>
      </c>
      <c r="H340" t="s">
        <v>1511</v>
      </c>
      <c r="I340" t="s">
        <v>1213</v>
      </c>
      <c r="K340" t="s">
        <v>1511</v>
      </c>
      <c r="L340" t="s">
        <v>820</v>
      </c>
    </row>
    <row r="341" spans="1:12" x14ac:dyDescent="0.3">
      <c r="A341" t="s">
        <v>795</v>
      </c>
      <c r="B341" t="s">
        <v>820</v>
      </c>
      <c r="C341" t="s">
        <v>1507</v>
      </c>
      <c r="D341" t="s">
        <v>1232</v>
      </c>
      <c r="G341" t="s">
        <v>795</v>
      </c>
      <c r="H341" t="s">
        <v>1511</v>
      </c>
      <c r="I341" t="s">
        <v>1214</v>
      </c>
      <c r="K341" t="s">
        <v>1511</v>
      </c>
      <c r="L341" t="s">
        <v>820</v>
      </c>
    </row>
    <row r="342" spans="1:12" x14ac:dyDescent="0.3">
      <c r="A342" t="s">
        <v>795</v>
      </c>
      <c r="B342" t="s">
        <v>820</v>
      </c>
      <c r="C342" t="s">
        <v>1507</v>
      </c>
      <c r="D342" t="s">
        <v>1233</v>
      </c>
      <c r="G342" t="s">
        <v>795</v>
      </c>
      <c r="H342" t="s">
        <v>1511</v>
      </c>
      <c r="I342" t="s">
        <v>1215</v>
      </c>
      <c r="K342" t="s">
        <v>1511</v>
      </c>
      <c r="L342" t="s">
        <v>820</v>
      </c>
    </row>
    <row r="343" spans="1:12" x14ac:dyDescent="0.3">
      <c r="A343" t="s">
        <v>795</v>
      </c>
      <c r="B343" t="s">
        <v>820</v>
      </c>
      <c r="C343" t="s">
        <v>1507</v>
      </c>
      <c r="D343" t="s">
        <v>1234</v>
      </c>
      <c r="G343" t="s">
        <v>795</v>
      </c>
      <c r="H343" t="s">
        <v>1511</v>
      </c>
      <c r="I343" t="s">
        <v>1216</v>
      </c>
      <c r="K343" t="s">
        <v>1511</v>
      </c>
      <c r="L343" t="s">
        <v>820</v>
      </c>
    </row>
    <row r="344" spans="1:12" x14ac:dyDescent="0.3">
      <c r="A344" t="s">
        <v>795</v>
      </c>
      <c r="B344" t="s">
        <v>820</v>
      </c>
      <c r="C344" t="s">
        <v>1507</v>
      </c>
      <c r="D344" t="s">
        <v>1235</v>
      </c>
      <c r="G344" t="s">
        <v>795</v>
      </c>
      <c r="H344" t="s">
        <v>1511</v>
      </c>
      <c r="I344" t="s">
        <v>1217</v>
      </c>
      <c r="K344" t="s">
        <v>1511</v>
      </c>
      <c r="L344" t="s">
        <v>820</v>
      </c>
    </row>
    <row r="345" spans="1:12" x14ac:dyDescent="0.3">
      <c r="A345" t="s">
        <v>795</v>
      </c>
      <c r="B345" t="s">
        <v>820</v>
      </c>
      <c r="C345" t="s">
        <v>1507</v>
      </c>
      <c r="D345" t="s">
        <v>1236</v>
      </c>
      <c r="G345" t="s">
        <v>795</v>
      </c>
      <c r="H345" t="s">
        <v>1511</v>
      </c>
      <c r="I345" t="s">
        <v>1218</v>
      </c>
      <c r="K345" t="s">
        <v>1511</v>
      </c>
      <c r="L345" t="s">
        <v>820</v>
      </c>
    </row>
    <row r="346" spans="1:12" x14ac:dyDescent="0.3">
      <c r="A346" t="s">
        <v>795</v>
      </c>
      <c r="B346" t="s">
        <v>820</v>
      </c>
      <c r="C346" t="s">
        <v>1507</v>
      </c>
      <c r="D346" t="s">
        <v>1237</v>
      </c>
      <c r="G346" t="s">
        <v>795</v>
      </c>
      <c r="H346" t="s">
        <v>1511</v>
      </c>
      <c r="I346" t="s">
        <v>1219</v>
      </c>
      <c r="K346" t="s">
        <v>1511</v>
      </c>
      <c r="L346" t="s">
        <v>820</v>
      </c>
    </row>
    <row r="347" spans="1:12" x14ac:dyDescent="0.3">
      <c r="A347" t="s">
        <v>795</v>
      </c>
      <c r="B347" t="s">
        <v>820</v>
      </c>
      <c r="C347" t="s">
        <v>1507</v>
      </c>
      <c r="D347" t="s">
        <v>1238</v>
      </c>
      <c r="G347" t="s">
        <v>795</v>
      </c>
      <c r="H347" t="s">
        <v>1511</v>
      </c>
      <c r="I347" t="s">
        <v>1220</v>
      </c>
      <c r="K347" t="s">
        <v>1511</v>
      </c>
      <c r="L347" t="s">
        <v>820</v>
      </c>
    </row>
    <row r="348" spans="1:12" x14ac:dyDescent="0.3">
      <c r="A348" t="s">
        <v>795</v>
      </c>
      <c r="B348" t="s">
        <v>820</v>
      </c>
      <c r="C348" t="s">
        <v>1507</v>
      </c>
      <c r="D348" t="s">
        <v>1239</v>
      </c>
      <c r="G348" t="s">
        <v>795</v>
      </c>
      <c r="H348" t="s">
        <v>1511</v>
      </c>
      <c r="I348" t="s">
        <v>1221</v>
      </c>
      <c r="K348" t="s">
        <v>1511</v>
      </c>
      <c r="L348" t="s">
        <v>820</v>
      </c>
    </row>
    <row r="349" spans="1:12" x14ac:dyDescent="0.3">
      <c r="A349" t="s">
        <v>795</v>
      </c>
      <c r="B349" t="s">
        <v>820</v>
      </c>
      <c r="C349" t="s">
        <v>1507</v>
      </c>
      <c r="D349" t="s">
        <v>1240</v>
      </c>
      <c r="G349" t="s">
        <v>795</v>
      </c>
      <c r="H349" t="s">
        <v>1511</v>
      </c>
      <c r="I349" t="s">
        <v>1222</v>
      </c>
      <c r="K349" t="s">
        <v>1511</v>
      </c>
      <c r="L349" t="s">
        <v>820</v>
      </c>
    </row>
    <row r="350" spans="1:12" x14ac:dyDescent="0.3">
      <c r="A350" t="s">
        <v>795</v>
      </c>
      <c r="B350" t="s">
        <v>820</v>
      </c>
      <c r="C350" t="s">
        <v>1507</v>
      </c>
      <c r="D350" t="s">
        <v>1241</v>
      </c>
      <c r="G350" t="s">
        <v>795</v>
      </c>
      <c r="H350" t="s">
        <v>1511</v>
      </c>
      <c r="I350" t="s">
        <v>1223</v>
      </c>
      <c r="K350" t="s">
        <v>1511</v>
      </c>
      <c r="L350" t="s">
        <v>820</v>
      </c>
    </row>
    <row r="351" spans="1:12" x14ac:dyDescent="0.3">
      <c r="A351" t="s">
        <v>795</v>
      </c>
      <c r="B351" t="s">
        <v>820</v>
      </c>
      <c r="C351" t="s">
        <v>1507</v>
      </c>
      <c r="D351" t="s">
        <v>1242</v>
      </c>
      <c r="G351" t="s">
        <v>795</v>
      </c>
      <c r="H351" t="s">
        <v>1511</v>
      </c>
      <c r="I351" t="s">
        <v>1224</v>
      </c>
      <c r="K351" t="s">
        <v>1511</v>
      </c>
      <c r="L351" t="s">
        <v>820</v>
      </c>
    </row>
    <row r="352" spans="1:12" x14ac:dyDescent="0.3">
      <c r="A352" t="s">
        <v>795</v>
      </c>
      <c r="B352" t="s">
        <v>820</v>
      </c>
      <c r="C352" t="s">
        <v>1507</v>
      </c>
      <c r="D352" t="s">
        <v>1243</v>
      </c>
      <c r="G352" t="s">
        <v>795</v>
      </c>
      <c r="H352" t="s">
        <v>1511</v>
      </c>
      <c r="I352" t="s">
        <v>1225</v>
      </c>
      <c r="K352" t="s">
        <v>1511</v>
      </c>
      <c r="L352" t="s">
        <v>820</v>
      </c>
    </row>
    <row r="353" spans="1:12" x14ac:dyDescent="0.3">
      <c r="A353" t="s">
        <v>795</v>
      </c>
      <c r="B353" t="s">
        <v>820</v>
      </c>
      <c r="C353" t="s">
        <v>1507</v>
      </c>
      <c r="D353" t="s">
        <v>1244</v>
      </c>
      <c r="G353" t="s">
        <v>795</v>
      </c>
      <c r="H353" t="s">
        <v>1511</v>
      </c>
      <c r="I353" t="s">
        <v>1226</v>
      </c>
      <c r="K353" t="s">
        <v>1511</v>
      </c>
      <c r="L353" t="s">
        <v>820</v>
      </c>
    </row>
    <row r="354" spans="1:12" x14ac:dyDescent="0.3">
      <c r="A354" t="s">
        <v>795</v>
      </c>
      <c r="B354" t="s">
        <v>820</v>
      </c>
      <c r="C354" t="s">
        <v>1507</v>
      </c>
      <c r="D354" t="s">
        <v>1245</v>
      </c>
      <c r="G354" t="s">
        <v>795</v>
      </c>
      <c r="H354" t="s">
        <v>1511</v>
      </c>
      <c r="I354" t="s">
        <v>1227</v>
      </c>
      <c r="K354" t="s">
        <v>1511</v>
      </c>
      <c r="L354" t="s">
        <v>820</v>
      </c>
    </row>
    <row r="355" spans="1:12" x14ac:dyDescent="0.3">
      <c r="A355" t="s">
        <v>795</v>
      </c>
      <c r="B355" t="s">
        <v>820</v>
      </c>
      <c r="C355" t="s">
        <v>1507</v>
      </c>
      <c r="D355" t="s">
        <v>1246</v>
      </c>
      <c r="G355" t="s">
        <v>795</v>
      </c>
      <c r="H355" t="s">
        <v>1507</v>
      </c>
      <c r="I355" t="s">
        <v>1228</v>
      </c>
      <c r="K355" t="s">
        <v>1507</v>
      </c>
      <c r="L355" t="s">
        <v>820</v>
      </c>
    </row>
    <row r="356" spans="1:12" x14ac:dyDescent="0.3">
      <c r="A356" t="s">
        <v>795</v>
      </c>
      <c r="B356" t="s">
        <v>820</v>
      </c>
      <c r="C356" t="s">
        <v>1507</v>
      </c>
      <c r="D356" t="s">
        <v>1247</v>
      </c>
      <c r="G356" t="s">
        <v>795</v>
      </c>
      <c r="H356" t="s">
        <v>1507</v>
      </c>
      <c r="I356" t="s">
        <v>1229</v>
      </c>
      <c r="K356" t="s">
        <v>1507</v>
      </c>
      <c r="L356" t="s">
        <v>820</v>
      </c>
    </row>
    <row r="357" spans="1:12" x14ac:dyDescent="0.3">
      <c r="A357" t="s">
        <v>795</v>
      </c>
      <c r="B357" t="s">
        <v>820</v>
      </c>
      <c r="C357" t="s">
        <v>1507</v>
      </c>
      <c r="D357" t="s">
        <v>1248</v>
      </c>
      <c r="G357" t="s">
        <v>795</v>
      </c>
      <c r="H357" t="s">
        <v>1507</v>
      </c>
      <c r="I357" t="s">
        <v>1230</v>
      </c>
      <c r="K357" t="s">
        <v>1507</v>
      </c>
      <c r="L357" t="s">
        <v>820</v>
      </c>
    </row>
    <row r="358" spans="1:12" x14ac:dyDescent="0.3">
      <c r="A358" t="s">
        <v>795</v>
      </c>
      <c r="B358" t="s">
        <v>820</v>
      </c>
      <c r="C358" t="s">
        <v>1507</v>
      </c>
      <c r="D358" t="s">
        <v>1249</v>
      </c>
      <c r="G358" t="s">
        <v>795</v>
      </c>
      <c r="H358" t="s">
        <v>1507</v>
      </c>
      <c r="I358" t="s">
        <v>1231</v>
      </c>
      <c r="K358" t="s">
        <v>1507</v>
      </c>
      <c r="L358" t="s">
        <v>820</v>
      </c>
    </row>
    <row r="359" spans="1:12" x14ac:dyDescent="0.3">
      <c r="A359" t="s">
        <v>795</v>
      </c>
      <c r="B359" t="s">
        <v>820</v>
      </c>
      <c r="C359" t="s">
        <v>1507</v>
      </c>
      <c r="D359" t="s">
        <v>1250</v>
      </c>
      <c r="G359" t="s">
        <v>795</v>
      </c>
      <c r="H359" t="s">
        <v>1507</v>
      </c>
      <c r="I359" t="s">
        <v>1232</v>
      </c>
      <c r="K359" t="s">
        <v>1507</v>
      </c>
      <c r="L359" t="s">
        <v>820</v>
      </c>
    </row>
    <row r="360" spans="1:12" x14ac:dyDescent="0.3">
      <c r="A360" t="s">
        <v>795</v>
      </c>
      <c r="B360" t="s">
        <v>820</v>
      </c>
      <c r="C360" t="s">
        <v>1507</v>
      </c>
      <c r="D360" t="s">
        <v>1251</v>
      </c>
      <c r="G360" t="s">
        <v>795</v>
      </c>
      <c r="H360" t="s">
        <v>1507</v>
      </c>
      <c r="I360" t="s">
        <v>1233</v>
      </c>
      <c r="K360" t="s">
        <v>1507</v>
      </c>
      <c r="L360" t="s">
        <v>820</v>
      </c>
    </row>
    <row r="361" spans="1:12" x14ac:dyDescent="0.3">
      <c r="A361" t="s">
        <v>795</v>
      </c>
      <c r="B361" t="s">
        <v>820</v>
      </c>
      <c r="C361" t="s">
        <v>1507</v>
      </c>
      <c r="D361" t="s">
        <v>1252</v>
      </c>
      <c r="G361" t="s">
        <v>795</v>
      </c>
      <c r="H361" t="s">
        <v>1507</v>
      </c>
      <c r="I361" t="s">
        <v>1234</v>
      </c>
      <c r="K361" t="s">
        <v>1507</v>
      </c>
      <c r="L361" t="s">
        <v>820</v>
      </c>
    </row>
    <row r="362" spans="1:12" x14ac:dyDescent="0.3">
      <c r="A362" t="s">
        <v>795</v>
      </c>
      <c r="B362" t="s">
        <v>820</v>
      </c>
      <c r="C362" t="s">
        <v>1507</v>
      </c>
      <c r="D362" t="s">
        <v>1253</v>
      </c>
      <c r="G362" t="s">
        <v>795</v>
      </c>
      <c r="H362" t="s">
        <v>1507</v>
      </c>
      <c r="I362" t="s">
        <v>1235</v>
      </c>
      <c r="K362" t="s">
        <v>1507</v>
      </c>
      <c r="L362" t="s">
        <v>820</v>
      </c>
    </row>
    <row r="363" spans="1:12" x14ac:dyDescent="0.3">
      <c r="A363" t="s">
        <v>795</v>
      </c>
      <c r="B363" t="s">
        <v>820</v>
      </c>
      <c r="C363" t="s">
        <v>1508</v>
      </c>
      <c r="D363" t="s">
        <v>1254</v>
      </c>
      <c r="G363" t="s">
        <v>795</v>
      </c>
      <c r="H363" t="s">
        <v>1507</v>
      </c>
      <c r="I363" t="s">
        <v>1236</v>
      </c>
      <c r="K363" t="s">
        <v>1507</v>
      </c>
      <c r="L363" t="s">
        <v>820</v>
      </c>
    </row>
    <row r="364" spans="1:12" x14ac:dyDescent="0.3">
      <c r="A364" t="s">
        <v>795</v>
      </c>
      <c r="B364" t="s">
        <v>820</v>
      </c>
      <c r="C364" t="s">
        <v>1508</v>
      </c>
      <c r="D364" t="s">
        <v>1255</v>
      </c>
      <c r="G364" t="s">
        <v>795</v>
      </c>
      <c r="H364" t="s">
        <v>1507</v>
      </c>
      <c r="I364" t="s">
        <v>1237</v>
      </c>
      <c r="K364" t="s">
        <v>1507</v>
      </c>
      <c r="L364" t="s">
        <v>820</v>
      </c>
    </row>
    <row r="365" spans="1:12" x14ac:dyDescent="0.3">
      <c r="A365" t="s">
        <v>795</v>
      </c>
      <c r="B365" t="s">
        <v>820</v>
      </c>
      <c r="C365" t="s">
        <v>1508</v>
      </c>
      <c r="D365" t="s">
        <v>1256</v>
      </c>
      <c r="G365" t="s">
        <v>795</v>
      </c>
      <c r="H365" t="s">
        <v>1507</v>
      </c>
      <c r="I365" t="s">
        <v>1238</v>
      </c>
      <c r="K365" t="s">
        <v>1507</v>
      </c>
      <c r="L365" t="s">
        <v>820</v>
      </c>
    </row>
    <row r="366" spans="1:12" x14ac:dyDescent="0.3">
      <c r="A366" t="s">
        <v>795</v>
      </c>
      <c r="B366" t="s">
        <v>820</v>
      </c>
      <c r="C366" t="s">
        <v>1508</v>
      </c>
      <c r="D366" t="s">
        <v>1257</v>
      </c>
      <c r="G366" t="s">
        <v>795</v>
      </c>
      <c r="H366" t="s">
        <v>1507</v>
      </c>
      <c r="I366" t="s">
        <v>1239</v>
      </c>
      <c r="K366" t="s">
        <v>1507</v>
      </c>
      <c r="L366" t="s">
        <v>820</v>
      </c>
    </row>
    <row r="367" spans="1:12" x14ac:dyDescent="0.3">
      <c r="A367" t="s">
        <v>795</v>
      </c>
      <c r="B367" t="s">
        <v>820</v>
      </c>
      <c r="C367" t="s">
        <v>1508</v>
      </c>
      <c r="D367" t="s">
        <v>1258</v>
      </c>
      <c r="G367" t="s">
        <v>795</v>
      </c>
      <c r="H367" t="s">
        <v>1507</v>
      </c>
      <c r="I367" t="s">
        <v>1240</v>
      </c>
      <c r="K367" t="s">
        <v>1507</v>
      </c>
      <c r="L367" t="s">
        <v>820</v>
      </c>
    </row>
    <row r="368" spans="1:12" x14ac:dyDescent="0.3">
      <c r="A368" t="s">
        <v>795</v>
      </c>
      <c r="B368" t="s">
        <v>820</v>
      </c>
      <c r="C368" t="s">
        <v>1508</v>
      </c>
      <c r="D368" t="s">
        <v>1259</v>
      </c>
      <c r="G368" t="s">
        <v>795</v>
      </c>
      <c r="H368" t="s">
        <v>1507</v>
      </c>
      <c r="I368" t="s">
        <v>1241</v>
      </c>
      <c r="K368" t="s">
        <v>1507</v>
      </c>
      <c r="L368" t="s">
        <v>820</v>
      </c>
    </row>
    <row r="369" spans="1:12" x14ac:dyDescent="0.3">
      <c r="A369" t="s">
        <v>795</v>
      </c>
      <c r="B369" t="s">
        <v>820</v>
      </c>
      <c r="C369" t="s">
        <v>1508</v>
      </c>
      <c r="D369" t="s">
        <v>1260</v>
      </c>
      <c r="G369" t="s">
        <v>795</v>
      </c>
      <c r="H369" t="s">
        <v>1507</v>
      </c>
      <c r="I369" t="s">
        <v>1242</v>
      </c>
      <c r="K369" t="s">
        <v>1507</v>
      </c>
      <c r="L369" t="s">
        <v>820</v>
      </c>
    </row>
    <row r="370" spans="1:12" x14ac:dyDescent="0.3">
      <c r="A370" t="s">
        <v>795</v>
      </c>
      <c r="B370" t="s">
        <v>820</v>
      </c>
      <c r="C370" t="s">
        <v>1508</v>
      </c>
      <c r="D370" t="s">
        <v>1261</v>
      </c>
      <c r="G370" t="s">
        <v>795</v>
      </c>
      <c r="H370" t="s">
        <v>1507</v>
      </c>
      <c r="I370" t="s">
        <v>1243</v>
      </c>
      <c r="K370" t="s">
        <v>1507</v>
      </c>
      <c r="L370" t="s">
        <v>820</v>
      </c>
    </row>
    <row r="371" spans="1:12" x14ac:dyDescent="0.3">
      <c r="A371" t="s">
        <v>795</v>
      </c>
      <c r="B371" t="s">
        <v>820</v>
      </c>
      <c r="C371" t="s">
        <v>1508</v>
      </c>
      <c r="D371" t="s">
        <v>1262</v>
      </c>
      <c r="G371" t="s">
        <v>795</v>
      </c>
      <c r="H371" t="s">
        <v>1507</v>
      </c>
      <c r="I371" t="s">
        <v>1244</v>
      </c>
      <c r="K371" t="s">
        <v>1507</v>
      </c>
      <c r="L371" t="s">
        <v>820</v>
      </c>
    </row>
    <row r="372" spans="1:12" x14ac:dyDescent="0.3">
      <c r="A372" t="s">
        <v>795</v>
      </c>
      <c r="B372" t="s">
        <v>820</v>
      </c>
      <c r="C372" t="s">
        <v>1508</v>
      </c>
      <c r="D372" t="s">
        <v>1263</v>
      </c>
      <c r="G372" t="s">
        <v>795</v>
      </c>
      <c r="H372" t="s">
        <v>1507</v>
      </c>
      <c r="I372" t="s">
        <v>1245</v>
      </c>
      <c r="K372" t="s">
        <v>1507</v>
      </c>
      <c r="L372" t="s">
        <v>820</v>
      </c>
    </row>
    <row r="373" spans="1:12" x14ac:dyDescent="0.3">
      <c r="A373" t="s">
        <v>795</v>
      </c>
      <c r="B373" t="s">
        <v>820</v>
      </c>
      <c r="C373" t="s">
        <v>797</v>
      </c>
      <c r="D373" t="s">
        <v>1145</v>
      </c>
      <c r="G373" t="s">
        <v>795</v>
      </c>
      <c r="H373" t="s">
        <v>1507</v>
      </c>
      <c r="I373" t="s">
        <v>1246</v>
      </c>
      <c r="K373" t="s">
        <v>1507</v>
      </c>
      <c r="L373" t="s">
        <v>820</v>
      </c>
    </row>
    <row r="374" spans="1:12" x14ac:dyDescent="0.3">
      <c r="A374" t="s">
        <v>795</v>
      </c>
      <c r="B374" t="s">
        <v>820</v>
      </c>
      <c r="C374" t="s">
        <v>797</v>
      </c>
      <c r="D374" t="s">
        <v>1200</v>
      </c>
      <c r="G374" t="s">
        <v>795</v>
      </c>
      <c r="H374" t="s">
        <v>1507</v>
      </c>
      <c r="I374" t="s">
        <v>1247</v>
      </c>
      <c r="K374" t="s">
        <v>1507</v>
      </c>
      <c r="L374" t="s">
        <v>820</v>
      </c>
    </row>
    <row r="375" spans="1:12" x14ac:dyDescent="0.3">
      <c r="A375" t="s">
        <v>795</v>
      </c>
      <c r="B375" t="s">
        <v>820</v>
      </c>
      <c r="C375" t="s">
        <v>797</v>
      </c>
      <c r="D375" t="s">
        <v>1264</v>
      </c>
      <c r="G375" t="s">
        <v>795</v>
      </c>
      <c r="H375" t="s">
        <v>1507</v>
      </c>
      <c r="I375" t="s">
        <v>1248</v>
      </c>
      <c r="K375" t="s">
        <v>1507</v>
      </c>
      <c r="L375" t="s">
        <v>820</v>
      </c>
    </row>
    <row r="376" spans="1:12" x14ac:dyDescent="0.3">
      <c r="A376" t="s">
        <v>795</v>
      </c>
      <c r="B376" t="s">
        <v>820</v>
      </c>
      <c r="C376" t="s">
        <v>797</v>
      </c>
      <c r="D376" t="s">
        <v>1265</v>
      </c>
      <c r="G376" t="s">
        <v>795</v>
      </c>
      <c r="H376" t="s">
        <v>1507</v>
      </c>
      <c r="I376" t="s">
        <v>1249</v>
      </c>
      <c r="K376" t="s">
        <v>1507</v>
      </c>
      <c r="L376" t="s">
        <v>820</v>
      </c>
    </row>
    <row r="377" spans="1:12" x14ac:dyDescent="0.3">
      <c r="A377" t="s">
        <v>795</v>
      </c>
      <c r="B377" t="s">
        <v>820</v>
      </c>
      <c r="C377" t="s">
        <v>1509</v>
      </c>
      <c r="D377" t="s">
        <v>1155</v>
      </c>
      <c r="G377" t="s">
        <v>795</v>
      </c>
      <c r="H377" t="s">
        <v>1507</v>
      </c>
      <c r="I377" t="s">
        <v>1250</v>
      </c>
      <c r="K377" t="s">
        <v>1507</v>
      </c>
      <c r="L377" t="s">
        <v>820</v>
      </c>
    </row>
    <row r="378" spans="1:12" x14ac:dyDescent="0.3">
      <c r="A378" t="s">
        <v>795</v>
      </c>
      <c r="B378" t="s">
        <v>820</v>
      </c>
      <c r="C378" t="s">
        <v>1509</v>
      </c>
      <c r="D378" t="s">
        <v>1156</v>
      </c>
      <c r="G378" t="s">
        <v>795</v>
      </c>
      <c r="H378" t="s">
        <v>1507</v>
      </c>
      <c r="I378" t="s">
        <v>1251</v>
      </c>
      <c r="K378" t="s">
        <v>1507</v>
      </c>
      <c r="L378" t="s">
        <v>820</v>
      </c>
    </row>
    <row r="379" spans="1:12" x14ac:dyDescent="0.3">
      <c r="A379" t="s">
        <v>795</v>
      </c>
      <c r="B379" t="s">
        <v>820</v>
      </c>
      <c r="C379" t="s">
        <v>1509</v>
      </c>
      <c r="D379" t="s">
        <v>1157</v>
      </c>
      <c r="G379" t="s">
        <v>795</v>
      </c>
      <c r="H379" t="s">
        <v>1507</v>
      </c>
      <c r="I379" t="s">
        <v>1252</v>
      </c>
      <c r="K379" t="s">
        <v>1507</v>
      </c>
      <c r="L379" t="s">
        <v>820</v>
      </c>
    </row>
    <row r="380" spans="1:12" x14ac:dyDescent="0.3">
      <c r="A380" t="s">
        <v>795</v>
      </c>
      <c r="B380" t="s">
        <v>820</v>
      </c>
      <c r="C380" t="s">
        <v>1509</v>
      </c>
      <c r="D380" t="s">
        <v>1158</v>
      </c>
      <c r="G380" t="s">
        <v>795</v>
      </c>
      <c r="H380" t="s">
        <v>1507</v>
      </c>
      <c r="I380" t="s">
        <v>1253</v>
      </c>
      <c r="K380" t="s">
        <v>1507</v>
      </c>
      <c r="L380" t="s">
        <v>820</v>
      </c>
    </row>
    <row r="381" spans="1:12" x14ac:dyDescent="0.3">
      <c r="A381" t="s">
        <v>795</v>
      </c>
      <c r="B381" t="s">
        <v>820</v>
      </c>
      <c r="C381" t="s">
        <v>1509</v>
      </c>
      <c r="D381" t="s">
        <v>1159</v>
      </c>
      <c r="G381" t="s">
        <v>795</v>
      </c>
      <c r="H381" t="s">
        <v>1508</v>
      </c>
      <c r="I381" t="s">
        <v>1254</v>
      </c>
      <c r="K381" t="s">
        <v>1508</v>
      </c>
      <c r="L381" t="s">
        <v>820</v>
      </c>
    </row>
    <row r="382" spans="1:12" x14ac:dyDescent="0.3">
      <c r="A382" t="s">
        <v>795</v>
      </c>
      <c r="B382" t="s">
        <v>820</v>
      </c>
      <c r="C382" t="s">
        <v>1509</v>
      </c>
      <c r="D382" t="s">
        <v>1160</v>
      </c>
      <c r="G382" t="s">
        <v>795</v>
      </c>
      <c r="H382" t="s">
        <v>1508</v>
      </c>
      <c r="I382" t="s">
        <v>1255</v>
      </c>
      <c r="K382" t="s">
        <v>1508</v>
      </c>
      <c r="L382" t="s">
        <v>820</v>
      </c>
    </row>
    <row r="383" spans="1:12" x14ac:dyDescent="0.3">
      <c r="A383" t="s">
        <v>795</v>
      </c>
      <c r="B383" t="s">
        <v>820</v>
      </c>
      <c r="C383" t="s">
        <v>1509</v>
      </c>
      <c r="D383" t="s">
        <v>1161</v>
      </c>
      <c r="G383" t="s">
        <v>795</v>
      </c>
      <c r="H383" t="s">
        <v>1508</v>
      </c>
      <c r="I383" t="s">
        <v>1256</v>
      </c>
      <c r="K383" t="s">
        <v>1508</v>
      </c>
      <c r="L383" t="s">
        <v>820</v>
      </c>
    </row>
    <row r="384" spans="1:12" x14ac:dyDescent="0.3">
      <c r="A384" t="s">
        <v>795</v>
      </c>
      <c r="B384" t="s">
        <v>820</v>
      </c>
      <c r="C384" t="s">
        <v>1509</v>
      </c>
      <c r="D384" t="s">
        <v>1162</v>
      </c>
      <c r="G384" t="s">
        <v>795</v>
      </c>
      <c r="H384" t="s">
        <v>1508</v>
      </c>
      <c r="I384" t="s">
        <v>1257</v>
      </c>
      <c r="K384" t="s">
        <v>1508</v>
      </c>
      <c r="L384" t="s">
        <v>820</v>
      </c>
    </row>
    <row r="385" spans="1:12" x14ac:dyDescent="0.3">
      <c r="A385" t="s">
        <v>795</v>
      </c>
      <c r="B385" t="s">
        <v>820</v>
      </c>
      <c r="C385" t="s">
        <v>1509</v>
      </c>
      <c r="D385" t="s">
        <v>1163</v>
      </c>
      <c r="G385" t="s">
        <v>795</v>
      </c>
      <c r="H385" t="s">
        <v>1508</v>
      </c>
      <c r="I385" t="s">
        <v>1258</v>
      </c>
      <c r="K385" t="s">
        <v>1508</v>
      </c>
      <c r="L385" t="s">
        <v>820</v>
      </c>
    </row>
    <row r="386" spans="1:12" x14ac:dyDescent="0.3">
      <c r="A386" t="s">
        <v>795</v>
      </c>
      <c r="B386" t="s">
        <v>820</v>
      </c>
      <c r="C386" t="s">
        <v>1509</v>
      </c>
      <c r="D386" t="s">
        <v>1164</v>
      </c>
      <c r="G386" t="s">
        <v>795</v>
      </c>
      <c r="H386" t="s">
        <v>1508</v>
      </c>
      <c r="I386" t="s">
        <v>1259</v>
      </c>
      <c r="K386" t="s">
        <v>1508</v>
      </c>
      <c r="L386" t="s">
        <v>820</v>
      </c>
    </row>
    <row r="387" spans="1:12" x14ac:dyDescent="0.3">
      <c r="A387" t="s">
        <v>795</v>
      </c>
      <c r="B387" t="s">
        <v>820</v>
      </c>
      <c r="C387" t="s">
        <v>1509</v>
      </c>
      <c r="D387" t="s">
        <v>1147</v>
      </c>
      <c r="G387" t="s">
        <v>795</v>
      </c>
      <c r="H387" t="s">
        <v>1508</v>
      </c>
      <c r="I387" t="s">
        <v>1260</v>
      </c>
      <c r="K387" t="s">
        <v>1508</v>
      </c>
      <c r="L387" t="s">
        <v>820</v>
      </c>
    </row>
    <row r="388" spans="1:12" x14ac:dyDescent="0.3">
      <c r="A388" t="s">
        <v>795</v>
      </c>
      <c r="B388" t="s">
        <v>820</v>
      </c>
      <c r="C388" t="s">
        <v>1509</v>
      </c>
      <c r="D388" t="s">
        <v>1192</v>
      </c>
      <c r="G388" t="s">
        <v>795</v>
      </c>
      <c r="H388" t="s">
        <v>1508</v>
      </c>
      <c r="I388" t="s">
        <v>1261</v>
      </c>
      <c r="K388" t="s">
        <v>1508</v>
      </c>
      <c r="L388" t="s">
        <v>820</v>
      </c>
    </row>
    <row r="389" spans="1:12" x14ac:dyDescent="0.3">
      <c r="A389" t="s">
        <v>795</v>
      </c>
      <c r="B389" t="s">
        <v>820</v>
      </c>
      <c r="C389" t="s">
        <v>1509</v>
      </c>
      <c r="D389" t="s">
        <v>1193</v>
      </c>
      <c r="G389" t="s">
        <v>795</v>
      </c>
      <c r="H389" t="s">
        <v>1508</v>
      </c>
      <c r="I389" t="s">
        <v>1262</v>
      </c>
      <c r="K389" t="s">
        <v>1508</v>
      </c>
      <c r="L389" t="s">
        <v>820</v>
      </c>
    </row>
    <row r="390" spans="1:12" x14ac:dyDescent="0.3">
      <c r="A390" t="s">
        <v>795</v>
      </c>
      <c r="B390" t="s">
        <v>820</v>
      </c>
      <c r="C390" t="s">
        <v>1509</v>
      </c>
      <c r="D390" t="s">
        <v>1194</v>
      </c>
      <c r="G390" t="s">
        <v>795</v>
      </c>
      <c r="H390" t="s">
        <v>1508</v>
      </c>
      <c r="I390" t="s">
        <v>1263</v>
      </c>
      <c r="K390" t="s">
        <v>1508</v>
      </c>
      <c r="L390" t="s">
        <v>820</v>
      </c>
    </row>
    <row r="391" spans="1:12" x14ac:dyDescent="0.3">
      <c r="A391" t="s">
        <v>795</v>
      </c>
      <c r="B391" t="s">
        <v>820</v>
      </c>
      <c r="C391" t="s">
        <v>1509</v>
      </c>
      <c r="D391" t="s">
        <v>1195</v>
      </c>
      <c r="G391" t="s">
        <v>795</v>
      </c>
      <c r="H391" t="s">
        <v>797</v>
      </c>
      <c r="I391" t="s">
        <v>1145</v>
      </c>
      <c r="K391" t="s">
        <v>797</v>
      </c>
      <c r="L391" t="s">
        <v>820</v>
      </c>
    </row>
    <row r="392" spans="1:12" x14ac:dyDescent="0.3">
      <c r="A392" t="s">
        <v>795</v>
      </c>
      <c r="B392" t="s">
        <v>820</v>
      </c>
      <c r="C392" t="s">
        <v>1509</v>
      </c>
      <c r="D392" t="s">
        <v>1196</v>
      </c>
      <c r="G392" t="s">
        <v>795</v>
      </c>
      <c r="H392" t="s">
        <v>797</v>
      </c>
      <c r="I392" t="s">
        <v>1200</v>
      </c>
      <c r="K392" t="s">
        <v>797</v>
      </c>
      <c r="L392" t="s">
        <v>820</v>
      </c>
    </row>
    <row r="393" spans="1:12" x14ac:dyDescent="0.3">
      <c r="A393" t="s">
        <v>795</v>
      </c>
      <c r="B393" t="s">
        <v>820</v>
      </c>
      <c r="C393" t="s">
        <v>1509</v>
      </c>
      <c r="D393" t="s">
        <v>1197</v>
      </c>
      <c r="G393" t="s">
        <v>795</v>
      </c>
      <c r="H393" t="s">
        <v>797</v>
      </c>
      <c r="I393" t="s">
        <v>1264</v>
      </c>
      <c r="K393" t="s">
        <v>797</v>
      </c>
      <c r="L393" t="s">
        <v>820</v>
      </c>
    </row>
    <row r="394" spans="1:12" x14ac:dyDescent="0.3">
      <c r="A394" t="s">
        <v>795</v>
      </c>
      <c r="B394" t="s">
        <v>820</v>
      </c>
      <c r="C394" t="s">
        <v>1509</v>
      </c>
      <c r="D394" t="s">
        <v>1165</v>
      </c>
      <c r="G394" t="s">
        <v>795</v>
      </c>
      <c r="H394" t="s">
        <v>797</v>
      </c>
      <c r="I394" t="s">
        <v>1265</v>
      </c>
      <c r="K394" t="s">
        <v>797</v>
      </c>
      <c r="L394" t="s">
        <v>820</v>
      </c>
    </row>
    <row r="395" spans="1:12" x14ac:dyDescent="0.3">
      <c r="A395" t="s">
        <v>795</v>
      </c>
      <c r="B395" t="s">
        <v>820</v>
      </c>
      <c r="C395" t="s">
        <v>1509</v>
      </c>
      <c r="D395" t="s">
        <v>1166</v>
      </c>
      <c r="G395" t="s">
        <v>795</v>
      </c>
      <c r="H395" t="s">
        <v>1509</v>
      </c>
      <c r="I395" t="s">
        <v>1155</v>
      </c>
      <c r="K395" t="s">
        <v>1509</v>
      </c>
      <c r="L395" t="s">
        <v>820</v>
      </c>
    </row>
    <row r="396" spans="1:12" x14ac:dyDescent="0.3">
      <c r="A396" t="s">
        <v>795</v>
      </c>
      <c r="B396" t="s">
        <v>820</v>
      </c>
      <c r="C396" t="s">
        <v>1509</v>
      </c>
      <c r="D396" t="s">
        <v>1167</v>
      </c>
      <c r="G396" t="s">
        <v>795</v>
      </c>
      <c r="H396" t="s">
        <v>1509</v>
      </c>
      <c r="I396" t="s">
        <v>1156</v>
      </c>
      <c r="K396" t="s">
        <v>1509</v>
      </c>
      <c r="L396" t="s">
        <v>820</v>
      </c>
    </row>
    <row r="397" spans="1:12" x14ac:dyDescent="0.3">
      <c r="A397" t="s">
        <v>795</v>
      </c>
      <c r="B397" t="s">
        <v>820</v>
      </c>
      <c r="C397" t="s">
        <v>1509</v>
      </c>
      <c r="D397" t="s">
        <v>1168</v>
      </c>
      <c r="G397" t="s">
        <v>795</v>
      </c>
      <c r="H397" t="s">
        <v>1509</v>
      </c>
      <c r="I397" t="s">
        <v>1157</v>
      </c>
      <c r="K397" t="s">
        <v>1509</v>
      </c>
      <c r="L397" t="s">
        <v>820</v>
      </c>
    </row>
    <row r="398" spans="1:12" x14ac:dyDescent="0.3">
      <c r="A398" t="s">
        <v>795</v>
      </c>
      <c r="B398" t="s">
        <v>820</v>
      </c>
      <c r="C398" t="s">
        <v>1509</v>
      </c>
      <c r="D398" t="s">
        <v>1148</v>
      </c>
      <c r="G398" t="s">
        <v>795</v>
      </c>
      <c r="H398" t="s">
        <v>1509</v>
      </c>
      <c r="I398" t="s">
        <v>1158</v>
      </c>
      <c r="K398" t="s">
        <v>1509</v>
      </c>
      <c r="L398" t="s">
        <v>820</v>
      </c>
    </row>
    <row r="399" spans="1:12" x14ac:dyDescent="0.3">
      <c r="A399" t="s">
        <v>795</v>
      </c>
      <c r="B399" t="s">
        <v>820</v>
      </c>
      <c r="C399" t="s">
        <v>1509</v>
      </c>
      <c r="D399" t="s">
        <v>1169</v>
      </c>
      <c r="G399" t="s">
        <v>795</v>
      </c>
      <c r="H399" t="s">
        <v>1509</v>
      </c>
      <c r="I399" t="s">
        <v>1159</v>
      </c>
      <c r="K399" t="s">
        <v>1509</v>
      </c>
      <c r="L399" t="s">
        <v>820</v>
      </c>
    </row>
    <row r="400" spans="1:12" x14ac:dyDescent="0.3">
      <c r="A400" t="s">
        <v>795</v>
      </c>
      <c r="B400" t="s">
        <v>820</v>
      </c>
      <c r="C400" t="s">
        <v>1509</v>
      </c>
      <c r="D400" t="s">
        <v>1170</v>
      </c>
      <c r="G400" t="s">
        <v>795</v>
      </c>
      <c r="H400" t="s">
        <v>1509</v>
      </c>
      <c r="I400" t="s">
        <v>1160</v>
      </c>
      <c r="K400" t="s">
        <v>1509</v>
      </c>
      <c r="L400" t="s">
        <v>820</v>
      </c>
    </row>
    <row r="401" spans="1:12" x14ac:dyDescent="0.3">
      <c r="A401" t="s">
        <v>795</v>
      </c>
      <c r="B401" t="s">
        <v>820</v>
      </c>
      <c r="C401" t="s">
        <v>1509</v>
      </c>
      <c r="D401" t="s">
        <v>1171</v>
      </c>
      <c r="G401" t="s">
        <v>795</v>
      </c>
      <c r="H401" t="s">
        <v>1509</v>
      </c>
      <c r="I401" t="s">
        <v>1161</v>
      </c>
      <c r="K401" t="s">
        <v>1509</v>
      </c>
      <c r="L401" t="s">
        <v>820</v>
      </c>
    </row>
    <row r="402" spans="1:12" x14ac:dyDescent="0.3">
      <c r="A402" t="s">
        <v>795</v>
      </c>
      <c r="B402" t="s">
        <v>820</v>
      </c>
      <c r="C402" t="s">
        <v>1509</v>
      </c>
      <c r="D402" t="s">
        <v>1172</v>
      </c>
      <c r="G402" t="s">
        <v>795</v>
      </c>
      <c r="H402" t="s">
        <v>1509</v>
      </c>
      <c r="I402" t="s">
        <v>1162</v>
      </c>
      <c r="K402" t="s">
        <v>1509</v>
      </c>
      <c r="L402" t="s">
        <v>820</v>
      </c>
    </row>
    <row r="403" spans="1:12" x14ac:dyDescent="0.3">
      <c r="A403" t="s">
        <v>795</v>
      </c>
      <c r="B403" t="s">
        <v>820</v>
      </c>
      <c r="C403" t="s">
        <v>1509</v>
      </c>
      <c r="D403" t="s">
        <v>1173</v>
      </c>
      <c r="G403" t="s">
        <v>795</v>
      </c>
      <c r="H403" t="s">
        <v>1509</v>
      </c>
      <c r="I403" t="s">
        <v>1163</v>
      </c>
      <c r="K403" t="s">
        <v>1509</v>
      </c>
      <c r="L403" t="s">
        <v>820</v>
      </c>
    </row>
    <row r="404" spans="1:12" x14ac:dyDescent="0.3">
      <c r="A404" t="s">
        <v>795</v>
      </c>
      <c r="B404" t="s">
        <v>820</v>
      </c>
      <c r="C404" t="s">
        <v>1509</v>
      </c>
      <c r="D404" t="s">
        <v>1174</v>
      </c>
      <c r="G404" t="s">
        <v>795</v>
      </c>
      <c r="H404" t="s">
        <v>1509</v>
      </c>
      <c r="I404" t="s">
        <v>1164</v>
      </c>
      <c r="K404" t="s">
        <v>1509</v>
      </c>
      <c r="L404" t="s">
        <v>820</v>
      </c>
    </row>
    <row r="405" spans="1:12" x14ac:dyDescent="0.3">
      <c r="A405" t="s">
        <v>795</v>
      </c>
      <c r="B405" t="s">
        <v>820</v>
      </c>
      <c r="C405" t="s">
        <v>1509</v>
      </c>
      <c r="D405" t="s">
        <v>1175</v>
      </c>
      <c r="G405" t="s">
        <v>795</v>
      </c>
      <c r="H405" t="s">
        <v>1509</v>
      </c>
      <c r="I405" t="s">
        <v>1147</v>
      </c>
      <c r="K405" t="s">
        <v>1509</v>
      </c>
      <c r="L405" t="s">
        <v>820</v>
      </c>
    </row>
    <row r="406" spans="1:12" x14ac:dyDescent="0.3">
      <c r="A406" t="s">
        <v>795</v>
      </c>
      <c r="B406" t="s">
        <v>820</v>
      </c>
      <c r="C406" t="s">
        <v>1509</v>
      </c>
      <c r="D406" t="s">
        <v>1176</v>
      </c>
      <c r="G406" t="s">
        <v>795</v>
      </c>
      <c r="H406" t="s">
        <v>1509</v>
      </c>
      <c r="I406" t="s">
        <v>1192</v>
      </c>
      <c r="K406" t="s">
        <v>1509</v>
      </c>
      <c r="L406" t="s">
        <v>820</v>
      </c>
    </row>
    <row r="407" spans="1:12" x14ac:dyDescent="0.3">
      <c r="A407" t="s">
        <v>795</v>
      </c>
      <c r="B407" t="s">
        <v>820</v>
      </c>
      <c r="C407" t="s">
        <v>1509</v>
      </c>
      <c r="D407" t="s">
        <v>1177</v>
      </c>
      <c r="G407" t="s">
        <v>795</v>
      </c>
      <c r="H407" t="s">
        <v>1509</v>
      </c>
      <c r="I407" t="s">
        <v>1193</v>
      </c>
      <c r="K407" t="s">
        <v>1509</v>
      </c>
      <c r="L407" t="s">
        <v>820</v>
      </c>
    </row>
    <row r="408" spans="1:12" x14ac:dyDescent="0.3">
      <c r="A408" t="s">
        <v>795</v>
      </c>
      <c r="B408" t="s">
        <v>820</v>
      </c>
      <c r="C408" t="s">
        <v>1509</v>
      </c>
      <c r="D408" t="s">
        <v>1149</v>
      </c>
      <c r="G408" t="s">
        <v>795</v>
      </c>
      <c r="H408" t="s">
        <v>1509</v>
      </c>
      <c r="I408" t="s">
        <v>1194</v>
      </c>
      <c r="K408" t="s">
        <v>1509</v>
      </c>
      <c r="L408" t="s">
        <v>820</v>
      </c>
    </row>
    <row r="409" spans="1:12" x14ac:dyDescent="0.3">
      <c r="A409" t="s">
        <v>795</v>
      </c>
      <c r="B409" t="s">
        <v>820</v>
      </c>
      <c r="C409" t="s">
        <v>1509</v>
      </c>
      <c r="D409" t="s">
        <v>1178</v>
      </c>
      <c r="G409" t="s">
        <v>795</v>
      </c>
      <c r="H409" t="s">
        <v>1509</v>
      </c>
      <c r="I409" t="s">
        <v>1195</v>
      </c>
      <c r="K409" t="s">
        <v>1509</v>
      </c>
      <c r="L409" t="s">
        <v>820</v>
      </c>
    </row>
    <row r="410" spans="1:12" x14ac:dyDescent="0.3">
      <c r="A410" t="s">
        <v>795</v>
      </c>
      <c r="B410" t="s">
        <v>820</v>
      </c>
      <c r="C410" t="s">
        <v>1509</v>
      </c>
      <c r="D410" t="s">
        <v>1179</v>
      </c>
      <c r="G410" t="s">
        <v>795</v>
      </c>
      <c r="H410" t="s">
        <v>1509</v>
      </c>
      <c r="I410" t="s">
        <v>1196</v>
      </c>
      <c r="K410" t="s">
        <v>1509</v>
      </c>
      <c r="L410" t="s">
        <v>820</v>
      </c>
    </row>
    <row r="411" spans="1:12" x14ac:dyDescent="0.3">
      <c r="A411" t="s">
        <v>795</v>
      </c>
      <c r="B411" t="s">
        <v>820</v>
      </c>
      <c r="C411" t="s">
        <v>1509</v>
      </c>
      <c r="D411" t="s">
        <v>1180</v>
      </c>
      <c r="G411" t="s">
        <v>795</v>
      </c>
      <c r="H411" t="s">
        <v>1509</v>
      </c>
      <c r="I411" t="s">
        <v>1197</v>
      </c>
      <c r="K411" t="s">
        <v>1509</v>
      </c>
      <c r="L411" t="s">
        <v>820</v>
      </c>
    </row>
    <row r="412" spans="1:12" x14ac:dyDescent="0.3">
      <c r="A412" t="s">
        <v>795</v>
      </c>
      <c r="B412" t="s">
        <v>820</v>
      </c>
      <c r="C412" t="s">
        <v>1509</v>
      </c>
      <c r="D412" t="s">
        <v>1181</v>
      </c>
      <c r="G412" t="s">
        <v>795</v>
      </c>
      <c r="H412" t="s">
        <v>1509</v>
      </c>
      <c r="I412" t="s">
        <v>1165</v>
      </c>
      <c r="K412" t="s">
        <v>1509</v>
      </c>
      <c r="L412" t="s">
        <v>820</v>
      </c>
    </row>
    <row r="413" spans="1:12" x14ac:dyDescent="0.3">
      <c r="A413" t="s">
        <v>795</v>
      </c>
      <c r="B413" t="s">
        <v>820</v>
      </c>
      <c r="C413" t="s">
        <v>1509</v>
      </c>
      <c r="D413" t="s">
        <v>1182</v>
      </c>
      <c r="G413" t="s">
        <v>795</v>
      </c>
      <c r="H413" t="s">
        <v>1509</v>
      </c>
      <c r="I413" t="s">
        <v>1166</v>
      </c>
      <c r="K413" t="s">
        <v>1509</v>
      </c>
      <c r="L413" t="s">
        <v>820</v>
      </c>
    </row>
    <row r="414" spans="1:12" x14ac:dyDescent="0.3">
      <c r="A414" t="s">
        <v>795</v>
      </c>
      <c r="B414" t="s">
        <v>820</v>
      </c>
      <c r="C414" t="s">
        <v>1509</v>
      </c>
      <c r="D414" t="s">
        <v>1183</v>
      </c>
      <c r="G414" t="s">
        <v>795</v>
      </c>
      <c r="H414" t="s">
        <v>1509</v>
      </c>
      <c r="I414" t="s">
        <v>1167</v>
      </c>
      <c r="K414" t="s">
        <v>1509</v>
      </c>
      <c r="L414" t="s">
        <v>820</v>
      </c>
    </row>
    <row r="415" spans="1:12" x14ac:dyDescent="0.3">
      <c r="A415" t="s">
        <v>795</v>
      </c>
      <c r="B415" t="s">
        <v>820</v>
      </c>
      <c r="C415" t="s">
        <v>1509</v>
      </c>
      <c r="D415" t="s">
        <v>1184</v>
      </c>
      <c r="G415" t="s">
        <v>795</v>
      </c>
      <c r="H415" t="s">
        <v>1509</v>
      </c>
      <c r="I415" t="s">
        <v>1168</v>
      </c>
      <c r="K415" t="s">
        <v>1509</v>
      </c>
      <c r="L415" t="s">
        <v>820</v>
      </c>
    </row>
    <row r="416" spans="1:12" x14ac:dyDescent="0.3">
      <c r="A416" t="s">
        <v>795</v>
      </c>
      <c r="B416" t="s">
        <v>820</v>
      </c>
      <c r="C416" t="s">
        <v>1509</v>
      </c>
      <c r="D416" t="s">
        <v>1185</v>
      </c>
      <c r="G416" t="s">
        <v>795</v>
      </c>
      <c r="H416" t="s">
        <v>1509</v>
      </c>
      <c r="I416" t="s">
        <v>1148</v>
      </c>
      <c r="K416" t="s">
        <v>1509</v>
      </c>
      <c r="L416" t="s">
        <v>820</v>
      </c>
    </row>
    <row r="417" spans="1:12" x14ac:dyDescent="0.3">
      <c r="A417" t="s">
        <v>795</v>
      </c>
      <c r="B417" t="s">
        <v>820</v>
      </c>
      <c r="C417" t="s">
        <v>1509</v>
      </c>
      <c r="D417" t="s">
        <v>1186</v>
      </c>
      <c r="G417" t="s">
        <v>795</v>
      </c>
      <c r="H417" t="s">
        <v>1509</v>
      </c>
      <c r="I417" t="s">
        <v>1169</v>
      </c>
      <c r="K417" t="s">
        <v>1509</v>
      </c>
      <c r="L417" t="s">
        <v>820</v>
      </c>
    </row>
    <row r="418" spans="1:12" x14ac:dyDescent="0.3">
      <c r="A418" t="s">
        <v>795</v>
      </c>
      <c r="B418" t="s">
        <v>820</v>
      </c>
      <c r="C418" t="s">
        <v>1509</v>
      </c>
      <c r="D418" t="s">
        <v>1187</v>
      </c>
      <c r="G418" t="s">
        <v>795</v>
      </c>
      <c r="H418" t="s">
        <v>1509</v>
      </c>
      <c r="I418" t="s">
        <v>1170</v>
      </c>
      <c r="K418" t="s">
        <v>1509</v>
      </c>
      <c r="L418" t="s">
        <v>820</v>
      </c>
    </row>
    <row r="419" spans="1:12" x14ac:dyDescent="0.3">
      <c r="A419" t="s">
        <v>795</v>
      </c>
      <c r="B419" t="s">
        <v>820</v>
      </c>
      <c r="C419" t="s">
        <v>1509</v>
      </c>
      <c r="D419" t="s">
        <v>1188</v>
      </c>
      <c r="G419" t="s">
        <v>795</v>
      </c>
      <c r="H419" t="s">
        <v>1509</v>
      </c>
      <c r="I419" t="s">
        <v>1171</v>
      </c>
      <c r="K419" t="s">
        <v>1509</v>
      </c>
      <c r="L419" t="s">
        <v>820</v>
      </c>
    </row>
    <row r="420" spans="1:12" x14ac:dyDescent="0.3">
      <c r="A420" t="s">
        <v>795</v>
      </c>
      <c r="B420" t="s">
        <v>820</v>
      </c>
      <c r="C420" t="s">
        <v>1509</v>
      </c>
      <c r="D420" t="s">
        <v>1189</v>
      </c>
      <c r="G420" t="s">
        <v>795</v>
      </c>
      <c r="H420" t="s">
        <v>1509</v>
      </c>
      <c r="I420" t="s">
        <v>1172</v>
      </c>
      <c r="K420" t="s">
        <v>1509</v>
      </c>
      <c r="L420" t="s">
        <v>820</v>
      </c>
    </row>
    <row r="421" spans="1:12" x14ac:dyDescent="0.3">
      <c r="A421" t="s">
        <v>795</v>
      </c>
      <c r="B421" t="s">
        <v>820</v>
      </c>
      <c r="C421" t="s">
        <v>1509</v>
      </c>
      <c r="D421" t="s">
        <v>1190</v>
      </c>
      <c r="G421" t="s">
        <v>795</v>
      </c>
      <c r="H421" t="s">
        <v>1509</v>
      </c>
      <c r="I421" t="s">
        <v>1173</v>
      </c>
      <c r="K421" t="s">
        <v>1509</v>
      </c>
      <c r="L421" t="s">
        <v>820</v>
      </c>
    </row>
    <row r="422" spans="1:12" x14ac:dyDescent="0.3">
      <c r="A422" t="s">
        <v>795</v>
      </c>
      <c r="B422" t="s">
        <v>820</v>
      </c>
      <c r="C422" t="s">
        <v>1509</v>
      </c>
      <c r="D422" t="s">
        <v>1150</v>
      </c>
      <c r="G422" t="s">
        <v>795</v>
      </c>
      <c r="H422" t="s">
        <v>1509</v>
      </c>
      <c r="I422" t="s">
        <v>1174</v>
      </c>
      <c r="K422" t="s">
        <v>1509</v>
      </c>
      <c r="L422" t="s">
        <v>820</v>
      </c>
    </row>
    <row r="423" spans="1:12" x14ac:dyDescent="0.3">
      <c r="A423" t="s">
        <v>795</v>
      </c>
      <c r="B423" t="s">
        <v>820</v>
      </c>
      <c r="C423" t="s">
        <v>1509</v>
      </c>
      <c r="D423" t="s">
        <v>1151</v>
      </c>
      <c r="G423" t="s">
        <v>795</v>
      </c>
      <c r="H423" t="s">
        <v>1509</v>
      </c>
      <c r="I423" t="s">
        <v>1175</v>
      </c>
      <c r="K423" t="s">
        <v>1509</v>
      </c>
      <c r="L423" t="s">
        <v>820</v>
      </c>
    </row>
    <row r="424" spans="1:12" x14ac:dyDescent="0.3">
      <c r="A424" t="s">
        <v>795</v>
      </c>
      <c r="B424" t="s">
        <v>820</v>
      </c>
      <c r="C424" t="s">
        <v>1509</v>
      </c>
      <c r="D424" t="s">
        <v>1152</v>
      </c>
      <c r="G424" t="s">
        <v>795</v>
      </c>
      <c r="H424" t="s">
        <v>1509</v>
      </c>
      <c r="I424" t="s">
        <v>1176</v>
      </c>
      <c r="K424" t="s">
        <v>1509</v>
      </c>
      <c r="L424" t="s">
        <v>820</v>
      </c>
    </row>
    <row r="425" spans="1:12" x14ac:dyDescent="0.3">
      <c r="A425" t="s">
        <v>795</v>
      </c>
      <c r="B425" t="s">
        <v>820</v>
      </c>
      <c r="C425" t="s">
        <v>1509</v>
      </c>
      <c r="D425" t="s">
        <v>1153</v>
      </c>
      <c r="G425" t="s">
        <v>795</v>
      </c>
      <c r="H425" t="s">
        <v>1509</v>
      </c>
      <c r="I425" t="s">
        <v>1177</v>
      </c>
      <c r="K425" t="s">
        <v>1509</v>
      </c>
      <c r="L425" t="s">
        <v>820</v>
      </c>
    </row>
    <row r="426" spans="1:12" x14ac:dyDescent="0.3">
      <c r="A426" t="s">
        <v>795</v>
      </c>
      <c r="B426" t="s">
        <v>820</v>
      </c>
      <c r="C426" t="s">
        <v>1509</v>
      </c>
      <c r="D426" t="s">
        <v>1154</v>
      </c>
      <c r="G426" t="s">
        <v>795</v>
      </c>
      <c r="H426" t="s">
        <v>1509</v>
      </c>
      <c r="I426" t="s">
        <v>1149</v>
      </c>
      <c r="K426" t="s">
        <v>1509</v>
      </c>
      <c r="L426" t="s">
        <v>820</v>
      </c>
    </row>
    <row r="427" spans="1:12" x14ac:dyDescent="0.3">
      <c r="A427" t="s">
        <v>790</v>
      </c>
      <c r="B427" t="s">
        <v>815</v>
      </c>
      <c r="C427" t="s">
        <v>823</v>
      </c>
      <c r="D427" t="s">
        <v>932</v>
      </c>
      <c r="G427" t="s">
        <v>795</v>
      </c>
      <c r="H427" t="s">
        <v>1509</v>
      </c>
      <c r="I427" t="s">
        <v>1178</v>
      </c>
      <c r="K427" t="s">
        <v>1509</v>
      </c>
      <c r="L427" t="s">
        <v>820</v>
      </c>
    </row>
    <row r="428" spans="1:12" x14ac:dyDescent="0.3">
      <c r="A428" t="s">
        <v>790</v>
      </c>
      <c r="B428" t="s">
        <v>815</v>
      </c>
      <c r="C428" t="s">
        <v>1509</v>
      </c>
      <c r="D428" t="s">
        <v>933</v>
      </c>
      <c r="G428" t="s">
        <v>795</v>
      </c>
      <c r="H428" t="s">
        <v>1509</v>
      </c>
      <c r="I428" t="s">
        <v>1179</v>
      </c>
      <c r="K428" t="s">
        <v>1509</v>
      </c>
      <c r="L428" t="s">
        <v>820</v>
      </c>
    </row>
    <row r="429" spans="1:12" x14ac:dyDescent="0.3">
      <c r="A429" t="s">
        <v>794</v>
      </c>
      <c r="B429" t="s">
        <v>818</v>
      </c>
      <c r="C429" t="s">
        <v>823</v>
      </c>
      <c r="D429" t="s">
        <v>1385</v>
      </c>
      <c r="G429" t="s">
        <v>795</v>
      </c>
      <c r="H429" t="s">
        <v>1509</v>
      </c>
      <c r="I429" t="s">
        <v>1180</v>
      </c>
      <c r="K429" t="s">
        <v>1509</v>
      </c>
      <c r="L429" t="s">
        <v>820</v>
      </c>
    </row>
    <row r="430" spans="1:12" x14ac:dyDescent="0.3">
      <c r="A430" t="s">
        <v>794</v>
      </c>
      <c r="B430" t="s">
        <v>818</v>
      </c>
      <c r="C430" t="s">
        <v>1510</v>
      </c>
      <c r="D430" t="s">
        <v>1393</v>
      </c>
      <c r="G430" t="s">
        <v>795</v>
      </c>
      <c r="H430" t="s">
        <v>1509</v>
      </c>
      <c r="I430" t="s">
        <v>1181</v>
      </c>
      <c r="K430" t="s">
        <v>1509</v>
      </c>
      <c r="L430" t="s">
        <v>820</v>
      </c>
    </row>
    <row r="431" spans="1:12" x14ac:dyDescent="0.3">
      <c r="A431" t="s">
        <v>794</v>
      </c>
      <c r="B431" t="s">
        <v>818</v>
      </c>
      <c r="C431" t="s">
        <v>1509</v>
      </c>
      <c r="D431" t="s">
        <v>1386</v>
      </c>
      <c r="G431" t="s">
        <v>795</v>
      </c>
      <c r="H431" t="s">
        <v>1509</v>
      </c>
      <c r="I431" t="s">
        <v>1182</v>
      </c>
      <c r="K431" t="s">
        <v>1509</v>
      </c>
      <c r="L431" t="s">
        <v>820</v>
      </c>
    </row>
    <row r="432" spans="1:12" x14ac:dyDescent="0.3">
      <c r="A432" t="s">
        <v>794</v>
      </c>
      <c r="B432" t="s">
        <v>818</v>
      </c>
      <c r="C432" t="s">
        <v>1509</v>
      </c>
      <c r="D432" t="s">
        <v>1387</v>
      </c>
      <c r="G432" t="s">
        <v>795</v>
      </c>
      <c r="H432" t="s">
        <v>1509</v>
      </c>
      <c r="I432" t="s">
        <v>1183</v>
      </c>
      <c r="K432" t="s">
        <v>1509</v>
      </c>
      <c r="L432" t="s">
        <v>820</v>
      </c>
    </row>
    <row r="433" spans="1:12" x14ac:dyDescent="0.3">
      <c r="A433" t="s">
        <v>794</v>
      </c>
      <c r="B433" t="s">
        <v>818</v>
      </c>
      <c r="C433" t="s">
        <v>1509</v>
      </c>
      <c r="D433" t="s">
        <v>1388</v>
      </c>
      <c r="G433" t="s">
        <v>795</v>
      </c>
      <c r="H433" t="s">
        <v>1509</v>
      </c>
      <c r="I433" t="s">
        <v>1184</v>
      </c>
      <c r="K433" t="s">
        <v>1509</v>
      </c>
      <c r="L433" t="s">
        <v>820</v>
      </c>
    </row>
    <row r="434" spans="1:12" x14ac:dyDescent="0.3">
      <c r="A434" t="s">
        <v>794</v>
      </c>
      <c r="B434" t="s">
        <v>818</v>
      </c>
      <c r="C434" t="s">
        <v>1509</v>
      </c>
      <c r="D434" t="s">
        <v>1389</v>
      </c>
      <c r="G434" t="s">
        <v>795</v>
      </c>
      <c r="H434" t="s">
        <v>1509</v>
      </c>
      <c r="I434" t="s">
        <v>1185</v>
      </c>
      <c r="K434" t="s">
        <v>1509</v>
      </c>
      <c r="L434" t="s">
        <v>820</v>
      </c>
    </row>
    <row r="435" spans="1:12" x14ac:dyDescent="0.3">
      <c r="A435" t="s">
        <v>794</v>
      </c>
      <c r="B435" t="s">
        <v>818</v>
      </c>
      <c r="C435" t="s">
        <v>1509</v>
      </c>
      <c r="D435" t="s">
        <v>1390</v>
      </c>
      <c r="G435" t="s">
        <v>795</v>
      </c>
      <c r="H435" t="s">
        <v>1509</v>
      </c>
      <c r="I435" t="s">
        <v>1186</v>
      </c>
      <c r="K435" t="s">
        <v>1509</v>
      </c>
      <c r="L435" t="s">
        <v>820</v>
      </c>
    </row>
    <row r="436" spans="1:12" x14ac:dyDescent="0.3">
      <c r="A436" t="s">
        <v>794</v>
      </c>
      <c r="B436" t="s">
        <v>818</v>
      </c>
      <c r="C436" t="s">
        <v>1509</v>
      </c>
      <c r="D436" t="s">
        <v>1391</v>
      </c>
      <c r="G436" t="s">
        <v>795</v>
      </c>
      <c r="H436" t="s">
        <v>1509</v>
      </c>
      <c r="I436" t="s">
        <v>1187</v>
      </c>
      <c r="K436" t="s">
        <v>1509</v>
      </c>
      <c r="L436" t="s">
        <v>820</v>
      </c>
    </row>
    <row r="437" spans="1:12" x14ac:dyDescent="0.3">
      <c r="A437" t="s">
        <v>794</v>
      </c>
      <c r="B437" t="s">
        <v>818</v>
      </c>
      <c r="C437" t="s">
        <v>1509</v>
      </c>
      <c r="D437" t="s">
        <v>1392</v>
      </c>
      <c r="G437" t="s">
        <v>795</v>
      </c>
      <c r="H437" t="s">
        <v>1509</v>
      </c>
      <c r="I437" t="s">
        <v>1188</v>
      </c>
      <c r="K437" t="s">
        <v>1509</v>
      </c>
      <c r="L437" t="s">
        <v>820</v>
      </c>
    </row>
    <row r="438" spans="1:12" x14ac:dyDescent="0.3">
      <c r="A438" t="s">
        <v>790</v>
      </c>
      <c r="B438" t="s">
        <v>807</v>
      </c>
      <c r="C438" t="s">
        <v>823</v>
      </c>
      <c r="D438" t="s">
        <v>934</v>
      </c>
      <c r="G438" t="s">
        <v>795</v>
      </c>
      <c r="H438" t="s">
        <v>1509</v>
      </c>
      <c r="I438" t="s">
        <v>1189</v>
      </c>
      <c r="K438" t="s">
        <v>1509</v>
      </c>
      <c r="L438" t="s">
        <v>820</v>
      </c>
    </row>
    <row r="439" spans="1:12" x14ac:dyDescent="0.3">
      <c r="A439" t="s">
        <v>790</v>
      </c>
      <c r="B439" t="s">
        <v>807</v>
      </c>
      <c r="C439" t="s">
        <v>1511</v>
      </c>
      <c r="D439" t="s">
        <v>938</v>
      </c>
      <c r="G439" t="s">
        <v>795</v>
      </c>
      <c r="H439" t="s">
        <v>1509</v>
      </c>
      <c r="I439" t="s">
        <v>1190</v>
      </c>
      <c r="K439" t="s">
        <v>1509</v>
      </c>
      <c r="L439" t="s">
        <v>820</v>
      </c>
    </row>
    <row r="440" spans="1:12" x14ac:dyDescent="0.3">
      <c r="A440" t="s">
        <v>790</v>
      </c>
      <c r="B440" t="s">
        <v>807</v>
      </c>
      <c r="C440" t="s">
        <v>1511</v>
      </c>
      <c r="D440" t="s">
        <v>939</v>
      </c>
      <c r="G440" t="s">
        <v>795</v>
      </c>
      <c r="H440" t="s">
        <v>1509</v>
      </c>
      <c r="I440" t="s">
        <v>1150</v>
      </c>
      <c r="K440" t="s">
        <v>1509</v>
      </c>
      <c r="L440" t="s">
        <v>820</v>
      </c>
    </row>
    <row r="441" spans="1:12" x14ac:dyDescent="0.3">
      <c r="A441" t="s">
        <v>790</v>
      </c>
      <c r="B441" t="s">
        <v>807</v>
      </c>
      <c r="C441" t="s">
        <v>1507</v>
      </c>
      <c r="D441" t="s">
        <v>940</v>
      </c>
      <c r="G441" t="s">
        <v>795</v>
      </c>
      <c r="H441" t="s">
        <v>1509</v>
      </c>
      <c r="I441" t="s">
        <v>1151</v>
      </c>
      <c r="K441" t="s">
        <v>1509</v>
      </c>
      <c r="L441" t="s">
        <v>820</v>
      </c>
    </row>
    <row r="442" spans="1:12" x14ac:dyDescent="0.3">
      <c r="A442" t="s">
        <v>790</v>
      </c>
      <c r="B442" t="s">
        <v>807</v>
      </c>
      <c r="C442" t="s">
        <v>1507</v>
      </c>
      <c r="D442" t="s">
        <v>941</v>
      </c>
      <c r="G442" t="s">
        <v>795</v>
      </c>
      <c r="H442" t="s">
        <v>1509</v>
      </c>
      <c r="I442" t="s">
        <v>1152</v>
      </c>
      <c r="K442" t="s">
        <v>1509</v>
      </c>
      <c r="L442" t="s">
        <v>820</v>
      </c>
    </row>
    <row r="443" spans="1:12" x14ac:dyDescent="0.3">
      <c r="A443" t="s">
        <v>790</v>
      </c>
      <c r="B443" t="s">
        <v>807</v>
      </c>
      <c r="C443" t="s">
        <v>1508</v>
      </c>
      <c r="D443" t="s">
        <v>942</v>
      </c>
      <c r="G443" t="s">
        <v>795</v>
      </c>
      <c r="H443" t="s">
        <v>1509</v>
      </c>
      <c r="I443" t="s">
        <v>1153</v>
      </c>
      <c r="K443" t="s">
        <v>1509</v>
      </c>
      <c r="L443" t="s">
        <v>820</v>
      </c>
    </row>
    <row r="444" spans="1:12" x14ac:dyDescent="0.3">
      <c r="A444" t="s">
        <v>790</v>
      </c>
      <c r="B444" t="s">
        <v>807</v>
      </c>
      <c r="C444" t="s">
        <v>1508</v>
      </c>
      <c r="D444" t="s">
        <v>943</v>
      </c>
      <c r="G444" t="s">
        <v>795</v>
      </c>
      <c r="H444" t="s">
        <v>1509</v>
      </c>
      <c r="I444" t="s">
        <v>1154</v>
      </c>
      <c r="K444" t="s">
        <v>1509</v>
      </c>
      <c r="L444" t="s">
        <v>820</v>
      </c>
    </row>
    <row r="445" spans="1:12" x14ac:dyDescent="0.3">
      <c r="A445" t="s">
        <v>790</v>
      </c>
      <c r="B445" t="s">
        <v>807</v>
      </c>
      <c r="C445" t="s">
        <v>1509</v>
      </c>
      <c r="D445" t="s">
        <v>935</v>
      </c>
      <c r="G445" t="s">
        <v>793</v>
      </c>
      <c r="H445" t="s">
        <v>1512</v>
      </c>
      <c r="I445" t="s">
        <v>1309</v>
      </c>
      <c r="K445" t="s">
        <v>1512</v>
      </c>
      <c r="L445" t="s">
        <v>816</v>
      </c>
    </row>
    <row r="446" spans="1:12" x14ac:dyDescent="0.3">
      <c r="A446" t="s">
        <v>790</v>
      </c>
      <c r="B446" t="s">
        <v>807</v>
      </c>
      <c r="C446" t="s">
        <v>1509</v>
      </c>
      <c r="D446" t="s">
        <v>936</v>
      </c>
      <c r="G446" t="s">
        <v>793</v>
      </c>
      <c r="H446" t="s">
        <v>823</v>
      </c>
      <c r="I446" t="s">
        <v>1269</v>
      </c>
      <c r="K446" t="s">
        <v>823</v>
      </c>
      <c r="L446" t="s">
        <v>816</v>
      </c>
    </row>
    <row r="447" spans="1:12" x14ac:dyDescent="0.3">
      <c r="A447" t="s">
        <v>790</v>
      </c>
      <c r="B447" t="s">
        <v>807</v>
      </c>
      <c r="C447" t="s">
        <v>1509</v>
      </c>
      <c r="D447" t="s">
        <v>937</v>
      </c>
      <c r="G447" t="s">
        <v>793</v>
      </c>
      <c r="H447" t="s">
        <v>1510</v>
      </c>
      <c r="I447" t="s">
        <v>1306</v>
      </c>
      <c r="K447" t="s">
        <v>1510</v>
      </c>
      <c r="L447" t="s">
        <v>816</v>
      </c>
    </row>
    <row r="448" spans="1:12" x14ac:dyDescent="0.3">
      <c r="A448" t="s">
        <v>796</v>
      </c>
      <c r="B448" t="s">
        <v>821</v>
      </c>
      <c r="C448" t="s">
        <v>1512</v>
      </c>
      <c r="D448" t="s">
        <v>1505</v>
      </c>
      <c r="G448" t="s">
        <v>793</v>
      </c>
      <c r="H448" t="s">
        <v>1511</v>
      </c>
      <c r="I448" t="s">
        <v>1307</v>
      </c>
      <c r="K448" t="s">
        <v>1511</v>
      </c>
      <c r="L448" t="s">
        <v>816</v>
      </c>
    </row>
    <row r="449" spans="1:12" x14ac:dyDescent="0.3">
      <c r="A449" t="s">
        <v>796</v>
      </c>
      <c r="B449" t="s">
        <v>821</v>
      </c>
      <c r="C449" t="s">
        <v>1512</v>
      </c>
      <c r="D449" t="s">
        <v>1506</v>
      </c>
      <c r="G449" t="s">
        <v>793</v>
      </c>
      <c r="H449" t="s">
        <v>1507</v>
      </c>
      <c r="I449" t="s">
        <v>1308</v>
      </c>
      <c r="K449" t="s">
        <v>1507</v>
      </c>
      <c r="L449" t="s">
        <v>816</v>
      </c>
    </row>
    <row r="450" spans="1:12" x14ac:dyDescent="0.3">
      <c r="A450" t="s">
        <v>796</v>
      </c>
      <c r="B450" t="s">
        <v>821</v>
      </c>
      <c r="C450" t="s">
        <v>823</v>
      </c>
      <c r="D450" t="s">
        <v>1402</v>
      </c>
      <c r="G450" t="s">
        <v>793</v>
      </c>
      <c r="H450" t="s">
        <v>1509</v>
      </c>
      <c r="I450" t="s">
        <v>1291</v>
      </c>
      <c r="K450" t="s">
        <v>1509</v>
      </c>
      <c r="L450" t="s">
        <v>816</v>
      </c>
    </row>
    <row r="451" spans="1:12" x14ac:dyDescent="0.3">
      <c r="A451" t="s">
        <v>796</v>
      </c>
      <c r="B451" t="s">
        <v>821</v>
      </c>
      <c r="C451" t="s">
        <v>1510</v>
      </c>
      <c r="D451" t="s">
        <v>1503</v>
      </c>
      <c r="G451" t="s">
        <v>793</v>
      </c>
      <c r="H451" t="s">
        <v>1509</v>
      </c>
      <c r="I451" t="s">
        <v>1292</v>
      </c>
      <c r="K451" t="s">
        <v>1509</v>
      </c>
      <c r="L451" t="s">
        <v>816</v>
      </c>
    </row>
    <row r="452" spans="1:12" x14ac:dyDescent="0.3">
      <c r="A452" t="s">
        <v>796</v>
      </c>
      <c r="B452" t="s">
        <v>821</v>
      </c>
      <c r="C452" t="s">
        <v>1510</v>
      </c>
      <c r="D452" t="s">
        <v>1504</v>
      </c>
      <c r="G452" t="s">
        <v>793</v>
      </c>
      <c r="H452" t="s">
        <v>1509</v>
      </c>
      <c r="I452" t="s">
        <v>1278</v>
      </c>
      <c r="K452" t="s">
        <v>1509</v>
      </c>
      <c r="L452" t="s">
        <v>816</v>
      </c>
    </row>
    <row r="453" spans="1:12" x14ac:dyDescent="0.3">
      <c r="A453" t="s">
        <v>796</v>
      </c>
      <c r="B453" t="s">
        <v>821</v>
      </c>
      <c r="C453" t="s">
        <v>1511</v>
      </c>
      <c r="D453" t="s">
        <v>1416</v>
      </c>
      <c r="G453" t="s">
        <v>793</v>
      </c>
      <c r="H453" t="s">
        <v>1509</v>
      </c>
      <c r="I453" t="s">
        <v>1293</v>
      </c>
      <c r="K453" t="s">
        <v>1509</v>
      </c>
      <c r="L453" t="s">
        <v>816</v>
      </c>
    </row>
    <row r="454" spans="1:12" x14ac:dyDescent="0.3">
      <c r="A454" t="s">
        <v>796</v>
      </c>
      <c r="B454" t="s">
        <v>821</v>
      </c>
      <c r="C454" t="s">
        <v>1511</v>
      </c>
      <c r="D454" t="s">
        <v>1417</v>
      </c>
      <c r="G454" t="s">
        <v>793</v>
      </c>
      <c r="H454" t="s">
        <v>1509</v>
      </c>
      <c r="I454" t="s">
        <v>1279</v>
      </c>
      <c r="K454" t="s">
        <v>1509</v>
      </c>
      <c r="L454" t="s">
        <v>816</v>
      </c>
    </row>
    <row r="455" spans="1:12" x14ac:dyDescent="0.3">
      <c r="A455" t="s">
        <v>796</v>
      </c>
      <c r="B455" t="s">
        <v>821</v>
      </c>
      <c r="C455" t="s">
        <v>1511</v>
      </c>
      <c r="D455" t="s">
        <v>1418</v>
      </c>
      <c r="G455" t="s">
        <v>793</v>
      </c>
      <c r="H455" t="s">
        <v>1509</v>
      </c>
      <c r="I455" t="s">
        <v>1294</v>
      </c>
      <c r="K455" t="s">
        <v>1509</v>
      </c>
      <c r="L455" t="s">
        <v>816</v>
      </c>
    </row>
    <row r="456" spans="1:12" x14ac:dyDescent="0.3">
      <c r="A456" t="s">
        <v>796</v>
      </c>
      <c r="B456" t="s">
        <v>821</v>
      </c>
      <c r="C456" t="s">
        <v>1511</v>
      </c>
      <c r="D456" t="s">
        <v>1419</v>
      </c>
      <c r="G456" t="s">
        <v>793</v>
      </c>
      <c r="H456" t="s">
        <v>1509</v>
      </c>
      <c r="I456" t="s">
        <v>1295</v>
      </c>
      <c r="K456" t="s">
        <v>1509</v>
      </c>
      <c r="L456" t="s">
        <v>816</v>
      </c>
    </row>
    <row r="457" spans="1:12" x14ac:dyDescent="0.3">
      <c r="A457" t="s">
        <v>796</v>
      </c>
      <c r="B457" t="s">
        <v>821</v>
      </c>
      <c r="C457" t="s">
        <v>1511</v>
      </c>
      <c r="D457" t="s">
        <v>1420</v>
      </c>
      <c r="G457" t="s">
        <v>793</v>
      </c>
      <c r="H457" t="s">
        <v>1509</v>
      </c>
      <c r="I457" t="s">
        <v>1280</v>
      </c>
      <c r="K457" t="s">
        <v>1509</v>
      </c>
      <c r="L457" t="s">
        <v>816</v>
      </c>
    </row>
    <row r="458" spans="1:12" x14ac:dyDescent="0.3">
      <c r="A458" t="s">
        <v>796</v>
      </c>
      <c r="B458" t="s">
        <v>821</v>
      </c>
      <c r="C458" t="s">
        <v>1511</v>
      </c>
      <c r="D458" t="s">
        <v>1421</v>
      </c>
      <c r="G458" t="s">
        <v>793</v>
      </c>
      <c r="H458" t="s">
        <v>1509</v>
      </c>
      <c r="I458" t="s">
        <v>1296</v>
      </c>
      <c r="K458" t="s">
        <v>1509</v>
      </c>
      <c r="L458" t="s">
        <v>816</v>
      </c>
    </row>
    <row r="459" spans="1:12" x14ac:dyDescent="0.3">
      <c r="A459" t="s">
        <v>796</v>
      </c>
      <c r="B459" t="s">
        <v>821</v>
      </c>
      <c r="C459" t="s">
        <v>1511</v>
      </c>
      <c r="D459" t="s">
        <v>1422</v>
      </c>
      <c r="G459" t="s">
        <v>793</v>
      </c>
      <c r="H459" t="s">
        <v>1509</v>
      </c>
      <c r="I459" t="s">
        <v>1297</v>
      </c>
      <c r="K459" t="s">
        <v>1509</v>
      </c>
      <c r="L459" t="s">
        <v>816</v>
      </c>
    </row>
    <row r="460" spans="1:12" x14ac:dyDescent="0.3">
      <c r="A460" t="s">
        <v>796</v>
      </c>
      <c r="B460" t="s">
        <v>821</v>
      </c>
      <c r="C460" t="s">
        <v>1511</v>
      </c>
      <c r="D460" t="s">
        <v>1423</v>
      </c>
      <c r="G460" t="s">
        <v>793</v>
      </c>
      <c r="H460" t="s">
        <v>1509</v>
      </c>
      <c r="I460" t="s">
        <v>1298</v>
      </c>
      <c r="K460" t="s">
        <v>1509</v>
      </c>
      <c r="L460" t="s">
        <v>816</v>
      </c>
    </row>
    <row r="461" spans="1:12" x14ac:dyDescent="0.3">
      <c r="A461" t="s">
        <v>796</v>
      </c>
      <c r="B461" t="s">
        <v>821</v>
      </c>
      <c r="C461" t="s">
        <v>1511</v>
      </c>
      <c r="D461" t="s">
        <v>1424</v>
      </c>
      <c r="G461" t="s">
        <v>793</v>
      </c>
      <c r="H461" t="s">
        <v>1509</v>
      </c>
      <c r="I461" t="s">
        <v>1299</v>
      </c>
      <c r="K461" t="s">
        <v>1509</v>
      </c>
      <c r="L461" t="s">
        <v>816</v>
      </c>
    </row>
    <row r="462" spans="1:12" x14ac:dyDescent="0.3">
      <c r="A462" t="s">
        <v>796</v>
      </c>
      <c r="B462" t="s">
        <v>821</v>
      </c>
      <c r="C462" t="s">
        <v>1511</v>
      </c>
      <c r="D462" t="s">
        <v>1425</v>
      </c>
      <c r="G462" t="s">
        <v>793</v>
      </c>
      <c r="H462" t="s">
        <v>1509</v>
      </c>
      <c r="I462" t="s">
        <v>1300</v>
      </c>
      <c r="K462" t="s">
        <v>1509</v>
      </c>
      <c r="L462" t="s">
        <v>816</v>
      </c>
    </row>
    <row r="463" spans="1:12" x14ac:dyDescent="0.3">
      <c r="A463" t="s">
        <v>796</v>
      </c>
      <c r="B463" t="s">
        <v>821</v>
      </c>
      <c r="C463" t="s">
        <v>1511</v>
      </c>
      <c r="D463" t="s">
        <v>1426</v>
      </c>
      <c r="G463" t="s">
        <v>793</v>
      </c>
      <c r="H463" t="s">
        <v>1509</v>
      </c>
      <c r="I463" t="s">
        <v>1281</v>
      </c>
      <c r="K463" t="s">
        <v>1509</v>
      </c>
      <c r="L463" t="s">
        <v>816</v>
      </c>
    </row>
    <row r="464" spans="1:12" x14ac:dyDescent="0.3">
      <c r="A464" t="s">
        <v>796</v>
      </c>
      <c r="B464" t="s">
        <v>821</v>
      </c>
      <c r="C464" t="s">
        <v>1511</v>
      </c>
      <c r="D464" t="s">
        <v>1427</v>
      </c>
      <c r="G464" t="s">
        <v>793</v>
      </c>
      <c r="H464" t="s">
        <v>1509</v>
      </c>
      <c r="I464" t="s">
        <v>1301</v>
      </c>
      <c r="K464" t="s">
        <v>1509</v>
      </c>
      <c r="L464" t="s">
        <v>816</v>
      </c>
    </row>
    <row r="465" spans="1:12" x14ac:dyDescent="0.3">
      <c r="A465" t="s">
        <v>796</v>
      </c>
      <c r="B465" t="s">
        <v>821</v>
      </c>
      <c r="C465" t="s">
        <v>1511</v>
      </c>
      <c r="D465" t="s">
        <v>1428</v>
      </c>
      <c r="G465" t="s">
        <v>793</v>
      </c>
      <c r="H465" t="s">
        <v>1509</v>
      </c>
      <c r="I465" t="s">
        <v>1302</v>
      </c>
      <c r="K465" t="s">
        <v>1509</v>
      </c>
      <c r="L465" t="s">
        <v>816</v>
      </c>
    </row>
    <row r="466" spans="1:12" x14ac:dyDescent="0.3">
      <c r="A466" t="s">
        <v>796</v>
      </c>
      <c r="B466" t="s">
        <v>821</v>
      </c>
      <c r="C466" t="s">
        <v>1511</v>
      </c>
      <c r="D466" t="s">
        <v>1429</v>
      </c>
      <c r="G466" t="s">
        <v>793</v>
      </c>
      <c r="H466" t="s">
        <v>1509</v>
      </c>
      <c r="I466" t="s">
        <v>1303</v>
      </c>
      <c r="K466" t="s">
        <v>1509</v>
      </c>
      <c r="L466" t="s">
        <v>816</v>
      </c>
    </row>
    <row r="467" spans="1:12" x14ac:dyDescent="0.3">
      <c r="A467" t="s">
        <v>796</v>
      </c>
      <c r="B467" t="s">
        <v>821</v>
      </c>
      <c r="C467" t="s">
        <v>1511</v>
      </c>
      <c r="D467" t="s">
        <v>1430</v>
      </c>
      <c r="G467" t="s">
        <v>793</v>
      </c>
      <c r="H467" t="s">
        <v>1509</v>
      </c>
      <c r="I467" t="s">
        <v>1304</v>
      </c>
      <c r="K467" t="s">
        <v>1509</v>
      </c>
      <c r="L467" t="s">
        <v>816</v>
      </c>
    </row>
    <row r="468" spans="1:12" x14ac:dyDescent="0.3">
      <c r="A468" t="s">
        <v>796</v>
      </c>
      <c r="B468" t="s">
        <v>821</v>
      </c>
      <c r="C468" t="s">
        <v>1511</v>
      </c>
      <c r="D468" t="s">
        <v>1431</v>
      </c>
      <c r="G468" t="s">
        <v>793</v>
      </c>
      <c r="H468" t="s">
        <v>1509</v>
      </c>
      <c r="I468" t="s">
        <v>1305</v>
      </c>
      <c r="K468" t="s">
        <v>1509</v>
      </c>
      <c r="L468" t="s">
        <v>816</v>
      </c>
    </row>
    <row r="469" spans="1:12" x14ac:dyDescent="0.3">
      <c r="A469" t="s">
        <v>796</v>
      </c>
      <c r="B469" t="s">
        <v>821</v>
      </c>
      <c r="C469" t="s">
        <v>1511</v>
      </c>
      <c r="D469" t="s">
        <v>1432</v>
      </c>
      <c r="G469" t="s">
        <v>793</v>
      </c>
      <c r="H469" t="s">
        <v>1509</v>
      </c>
      <c r="I469" t="s">
        <v>1282</v>
      </c>
      <c r="K469" t="s">
        <v>1509</v>
      </c>
      <c r="L469" t="s">
        <v>816</v>
      </c>
    </row>
    <row r="470" spans="1:12" x14ac:dyDescent="0.3">
      <c r="A470" t="s">
        <v>796</v>
      </c>
      <c r="B470" t="s">
        <v>821</v>
      </c>
      <c r="C470" t="s">
        <v>1511</v>
      </c>
      <c r="D470" t="s">
        <v>1433</v>
      </c>
      <c r="G470" t="s">
        <v>793</v>
      </c>
      <c r="H470" t="s">
        <v>1509</v>
      </c>
      <c r="I470" t="s">
        <v>1283</v>
      </c>
      <c r="K470" t="s">
        <v>1509</v>
      </c>
      <c r="L470" t="s">
        <v>816</v>
      </c>
    </row>
    <row r="471" spans="1:12" x14ac:dyDescent="0.3">
      <c r="A471" t="s">
        <v>796</v>
      </c>
      <c r="B471" t="s">
        <v>821</v>
      </c>
      <c r="C471" t="s">
        <v>1511</v>
      </c>
      <c r="D471" t="s">
        <v>1434</v>
      </c>
      <c r="G471" t="s">
        <v>793</v>
      </c>
      <c r="H471" t="s">
        <v>1509</v>
      </c>
      <c r="I471" t="s">
        <v>1284</v>
      </c>
      <c r="K471" t="s">
        <v>1509</v>
      </c>
      <c r="L471" t="s">
        <v>816</v>
      </c>
    </row>
    <row r="472" spans="1:12" x14ac:dyDescent="0.3">
      <c r="A472" t="s">
        <v>796</v>
      </c>
      <c r="B472" t="s">
        <v>821</v>
      </c>
      <c r="C472" t="s">
        <v>1511</v>
      </c>
      <c r="D472" t="s">
        <v>1435</v>
      </c>
      <c r="G472" t="s">
        <v>793</v>
      </c>
      <c r="H472" t="s">
        <v>1509</v>
      </c>
      <c r="I472" t="s">
        <v>1285</v>
      </c>
      <c r="K472" t="s">
        <v>1509</v>
      </c>
      <c r="L472" t="s">
        <v>816</v>
      </c>
    </row>
    <row r="473" spans="1:12" x14ac:dyDescent="0.3">
      <c r="A473" t="s">
        <v>796</v>
      </c>
      <c r="B473" t="s">
        <v>821</v>
      </c>
      <c r="C473" t="s">
        <v>1511</v>
      </c>
      <c r="D473" t="s">
        <v>1436</v>
      </c>
      <c r="G473" t="s">
        <v>793</v>
      </c>
      <c r="H473" t="s">
        <v>1509</v>
      </c>
      <c r="I473" t="s">
        <v>1286</v>
      </c>
      <c r="K473" t="s">
        <v>1509</v>
      </c>
      <c r="L473" t="s">
        <v>816</v>
      </c>
    </row>
    <row r="474" spans="1:12" x14ac:dyDescent="0.3">
      <c r="A474" t="s">
        <v>796</v>
      </c>
      <c r="B474" t="s">
        <v>821</v>
      </c>
      <c r="C474" t="s">
        <v>1511</v>
      </c>
      <c r="D474" t="s">
        <v>1437</v>
      </c>
      <c r="G474" t="s">
        <v>793</v>
      </c>
      <c r="H474" t="s">
        <v>1509</v>
      </c>
      <c r="I474" t="s">
        <v>1287</v>
      </c>
      <c r="K474" t="s">
        <v>1509</v>
      </c>
      <c r="L474" t="s">
        <v>816</v>
      </c>
    </row>
    <row r="475" spans="1:12" x14ac:dyDescent="0.3">
      <c r="A475" t="s">
        <v>796</v>
      </c>
      <c r="B475" t="s">
        <v>821</v>
      </c>
      <c r="C475" t="s">
        <v>1511</v>
      </c>
      <c r="D475" t="s">
        <v>1438</v>
      </c>
      <c r="G475" t="s">
        <v>793</v>
      </c>
      <c r="H475" t="s">
        <v>1509</v>
      </c>
      <c r="I475" t="s">
        <v>1288</v>
      </c>
      <c r="K475" t="s">
        <v>1509</v>
      </c>
      <c r="L475" t="s">
        <v>816</v>
      </c>
    </row>
    <row r="476" spans="1:12" x14ac:dyDescent="0.3">
      <c r="A476" t="s">
        <v>796</v>
      </c>
      <c r="B476" t="s">
        <v>821</v>
      </c>
      <c r="C476" t="s">
        <v>1511</v>
      </c>
      <c r="D476" t="s">
        <v>1439</v>
      </c>
      <c r="G476" t="s">
        <v>793</v>
      </c>
      <c r="H476" t="s">
        <v>1509</v>
      </c>
      <c r="I476" t="s">
        <v>1289</v>
      </c>
      <c r="K476" t="s">
        <v>1509</v>
      </c>
      <c r="L476" t="s">
        <v>816</v>
      </c>
    </row>
    <row r="477" spans="1:12" x14ac:dyDescent="0.3">
      <c r="A477" t="s">
        <v>796</v>
      </c>
      <c r="B477" t="s">
        <v>821</v>
      </c>
      <c r="C477" t="s">
        <v>1511</v>
      </c>
      <c r="D477" t="s">
        <v>1440</v>
      </c>
      <c r="G477" t="s">
        <v>793</v>
      </c>
      <c r="H477" t="s">
        <v>1509</v>
      </c>
      <c r="I477" t="s">
        <v>1290</v>
      </c>
      <c r="K477" t="s">
        <v>1509</v>
      </c>
      <c r="L477" t="s">
        <v>816</v>
      </c>
    </row>
    <row r="478" spans="1:12" x14ac:dyDescent="0.3">
      <c r="A478" t="s">
        <v>796</v>
      </c>
      <c r="B478" t="s">
        <v>821</v>
      </c>
      <c r="C478" t="s">
        <v>1511</v>
      </c>
      <c r="D478" t="s">
        <v>1441</v>
      </c>
      <c r="G478" t="s">
        <v>793</v>
      </c>
      <c r="H478" t="s">
        <v>1509</v>
      </c>
      <c r="I478" t="s">
        <v>1270</v>
      </c>
      <c r="K478" t="s">
        <v>1509</v>
      </c>
      <c r="L478" t="s">
        <v>816</v>
      </c>
    </row>
    <row r="479" spans="1:12" x14ac:dyDescent="0.3">
      <c r="A479" t="s">
        <v>796</v>
      </c>
      <c r="B479" t="s">
        <v>821</v>
      </c>
      <c r="C479" t="s">
        <v>1511</v>
      </c>
      <c r="D479" t="s">
        <v>1442</v>
      </c>
      <c r="G479" t="s">
        <v>793</v>
      </c>
      <c r="H479" t="s">
        <v>1509</v>
      </c>
      <c r="I479" t="s">
        <v>1271</v>
      </c>
      <c r="K479" t="s">
        <v>1509</v>
      </c>
      <c r="L479" t="s">
        <v>816</v>
      </c>
    </row>
    <row r="480" spans="1:12" x14ac:dyDescent="0.3">
      <c r="A480" t="s">
        <v>796</v>
      </c>
      <c r="B480" t="s">
        <v>821</v>
      </c>
      <c r="C480" t="s">
        <v>1511</v>
      </c>
      <c r="D480" t="s">
        <v>1443</v>
      </c>
      <c r="G480" t="s">
        <v>793</v>
      </c>
      <c r="H480" t="s">
        <v>1509</v>
      </c>
      <c r="I480" t="s">
        <v>1272</v>
      </c>
      <c r="K480" t="s">
        <v>1509</v>
      </c>
      <c r="L480" t="s">
        <v>816</v>
      </c>
    </row>
    <row r="481" spans="1:12" x14ac:dyDescent="0.3">
      <c r="A481" t="s">
        <v>796</v>
      </c>
      <c r="B481" t="s">
        <v>821</v>
      </c>
      <c r="C481" t="s">
        <v>1511</v>
      </c>
      <c r="D481" t="s">
        <v>1444</v>
      </c>
      <c r="G481" t="s">
        <v>793</v>
      </c>
      <c r="H481" t="s">
        <v>1509</v>
      </c>
      <c r="I481" t="s">
        <v>1273</v>
      </c>
      <c r="K481" t="s">
        <v>1509</v>
      </c>
      <c r="L481" t="s">
        <v>816</v>
      </c>
    </row>
    <row r="482" spans="1:12" x14ac:dyDescent="0.3">
      <c r="A482" t="s">
        <v>796</v>
      </c>
      <c r="B482" t="s">
        <v>821</v>
      </c>
      <c r="C482" t="s">
        <v>1511</v>
      </c>
      <c r="D482" t="s">
        <v>1445</v>
      </c>
      <c r="G482" t="s">
        <v>793</v>
      </c>
      <c r="H482" t="s">
        <v>1509</v>
      </c>
      <c r="I482" t="s">
        <v>1274</v>
      </c>
      <c r="K482" t="s">
        <v>1509</v>
      </c>
      <c r="L482" t="s">
        <v>816</v>
      </c>
    </row>
    <row r="483" spans="1:12" x14ac:dyDescent="0.3">
      <c r="A483" t="s">
        <v>796</v>
      </c>
      <c r="B483" t="s">
        <v>821</v>
      </c>
      <c r="C483" t="s">
        <v>1511</v>
      </c>
      <c r="D483" t="s">
        <v>1446</v>
      </c>
      <c r="G483" t="s">
        <v>793</v>
      </c>
      <c r="H483" t="s">
        <v>1509</v>
      </c>
      <c r="I483" t="s">
        <v>1275</v>
      </c>
      <c r="K483" t="s">
        <v>1509</v>
      </c>
      <c r="L483" t="s">
        <v>816</v>
      </c>
    </row>
    <row r="484" spans="1:12" x14ac:dyDescent="0.3">
      <c r="A484" t="s">
        <v>796</v>
      </c>
      <c r="B484" t="s">
        <v>821</v>
      </c>
      <c r="C484" t="s">
        <v>1511</v>
      </c>
      <c r="D484" t="s">
        <v>1447</v>
      </c>
      <c r="G484" t="s">
        <v>793</v>
      </c>
      <c r="H484" t="s">
        <v>1509</v>
      </c>
      <c r="I484" t="s">
        <v>1276</v>
      </c>
      <c r="K484" t="s">
        <v>1509</v>
      </c>
      <c r="L484" t="s">
        <v>816</v>
      </c>
    </row>
    <row r="485" spans="1:12" x14ac:dyDescent="0.3">
      <c r="A485" t="s">
        <v>796</v>
      </c>
      <c r="B485" t="s">
        <v>821</v>
      </c>
      <c r="C485" t="s">
        <v>1511</v>
      </c>
      <c r="D485" t="s">
        <v>1448</v>
      </c>
      <c r="G485" t="s">
        <v>793</v>
      </c>
      <c r="H485" t="s">
        <v>1509</v>
      </c>
      <c r="I485" t="s">
        <v>1277</v>
      </c>
      <c r="K485" t="s">
        <v>1509</v>
      </c>
      <c r="L485" t="s">
        <v>816</v>
      </c>
    </row>
    <row r="486" spans="1:12" x14ac:dyDescent="0.3">
      <c r="A486" t="s">
        <v>796</v>
      </c>
      <c r="B486" t="s">
        <v>821</v>
      </c>
      <c r="C486" t="s">
        <v>1507</v>
      </c>
      <c r="D486" t="s">
        <v>1449</v>
      </c>
      <c r="G486" t="s">
        <v>794</v>
      </c>
      <c r="H486" t="s">
        <v>1512</v>
      </c>
      <c r="I486" t="s">
        <v>1353</v>
      </c>
      <c r="K486" t="s">
        <v>1512</v>
      </c>
      <c r="L486" t="s">
        <v>817</v>
      </c>
    </row>
    <row r="487" spans="1:12" x14ac:dyDescent="0.3">
      <c r="A487" t="s">
        <v>796</v>
      </c>
      <c r="B487" t="s">
        <v>821</v>
      </c>
      <c r="C487" t="s">
        <v>1507</v>
      </c>
      <c r="D487" t="s">
        <v>1450</v>
      </c>
      <c r="G487" t="s">
        <v>794</v>
      </c>
      <c r="H487" t="s">
        <v>1512</v>
      </c>
      <c r="I487" t="s">
        <v>1399</v>
      </c>
      <c r="K487" t="s">
        <v>823</v>
      </c>
      <c r="L487" t="s">
        <v>817</v>
      </c>
    </row>
    <row r="488" spans="1:12" x14ac:dyDescent="0.3">
      <c r="A488" t="s">
        <v>796</v>
      </c>
      <c r="B488" t="s">
        <v>821</v>
      </c>
      <c r="C488" t="s">
        <v>1507</v>
      </c>
      <c r="D488" t="s">
        <v>1451</v>
      </c>
      <c r="G488" t="s">
        <v>794</v>
      </c>
      <c r="H488" t="s">
        <v>1512</v>
      </c>
      <c r="I488" t="s">
        <v>1400</v>
      </c>
      <c r="K488" t="s">
        <v>1510</v>
      </c>
      <c r="L488" t="s">
        <v>817</v>
      </c>
    </row>
    <row r="489" spans="1:12" x14ac:dyDescent="0.3">
      <c r="A489" t="s">
        <v>796</v>
      </c>
      <c r="B489" t="s">
        <v>821</v>
      </c>
      <c r="C489" t="s">
        <v>1507</v>
      </c>
      <c r="D489" t="s">
        <v>1452</v>
      </c>
      <c r="G489" t="s">
        <v>794</v>
      </c>
      <c r="H489" t="s">
        <v>1512</v>
      </c>
      <c r="I489" t="s">
        <v>1401</v>
      </c>
      <c r="K489" t="s">
        <v>1511</v>
      </c>
      <c r="L489" t="s">
        <v>817</v>
      </c>
    </row>
    <row r="490" spans="1:12" x14ac:dyDescent="0.3">
      <c r="A490" t="s">
        <v>796</v>
      </c>
      <c r="B490" t="s">
        <v>821</v>
      </c>
      <c r="C490" t="s">
        <v>1507</v>
      </c>
      <c r="D490" t="s">
        <v>1453</v>
      </c>
      <c r="G490" t="s">
        <v>794</v>
      </c>
      <c r="H490" t="s">
        <v>1512</v>
      </c>
      <c r="I490" t="s">
        <v>1384</v>
      </c>
      <c r="K490" t="s">
        <v>1511</v>
      </c>
      <c r="L490" t="s">
        <v>817</v>
      </c>
    </row>
    <row r="491" spans="1:12" x14ac:dyDescent="0.3">
      <c r="A491" t="s">
        <v>796</v>
      </c>
      <c r="B491" t="s">
        <v>821</v>
      </c>
      <c r="C491" t="s">
        <v>1507</v>
      </c>
      <c r="D491" t="s">
        <v>1454</v>
      </c>
      <c r="G491" t="s">
        <v>794</v>
      </c>
      <c r="H491" t="s">
        <v>823</v>
      </c>
      <c r="I491" t="s">
        <v>1310</v>
      </c>
      <c r="K491" t="s">
        <v>1511</v>
      </c>
      <c r="L491" t="s">
        <v>817</v>
      </c>
    </row>
    <row r="492" spans="1:12" x14ac:dyDescent="0.3">
      <c r="A492" t="s">
        <v>796</v>
      </c>
      <c r="B492" t="s">
        <v>821</v>
      </c>
      <c r="C492" t="s">
        <v>1507</v>
      </c>
      <c r="D492" t="s">
        <v>1455</v>
      </c>
      <c r="G492" t="s">
        <v>794</v>
      </c>
      <c r="H492" t="s">
        <v>823</v>
      </c>
      <c r="I492" t="s">
        <v>1354</v>
      </c>
      <c r="K492" t="s">
        <v>1507</v>
      </c>
      <c r="L492" t="s">
        <v>817</v>
      </c>
    </row>
    <row r="493" spans="1:12" x14ac:dyDescent="0.3">
      <c r="A493" t="s">
        <v>796</v>
      </c>
      <c r="B493" t="s">
        <v>821</v>
      </c>
      <c r="C493" t="s">
        <v>1507</v>
      </c>
      <c r="D493" t="s">
        <v>1456</v>
      </c>
      <c r="G493" t="s">
        <v>794</v>
      </c>
      <c r="H493" t="s">
        <v>823</v>
      </c>
      <c r="I493" t="s">
        <v>1398</v>
      </c>
      <c r="K493" t="s">
        <v>1507</v>
      </c>
      <c r="L493" t="s">
        <v>817</v>
      </c>
    </row>
    <row r="494" spans="1:12" x14ac:dyDescent="0.3">
      <c r="A494" t="s">
        <v>796</v>
      </c>
      <c r="B494" t="s">
        <v>821</v>
      </c>
      <c r="C494" t="s">
        <v>1507</v>
      </c>
      <c r="D494" t="s">
        <v>1457</v>
      </c>
      <c r="G494" t="s">
        <v>794</v>
      </c>
      <c r="H494" t="s">
        <v>823</v>
      </c>
      <c r="I494" t="s">
        <v>1385</v>
      </c>
      <c r="K494" t="s">
        <v>1507</v>
      </c>
      <c r="L494" t="s">
        <v>817</v>
      </c>
    </row>
    <row r="495" spans="1:12" x14ac:dyDescent="0.3">
      <c r="A495" t="s">
        <v>796</v>
      </c>
      <c r="B495" t="s">
        <v>821</v>
      </c>
      <c r="C495" t="s">
        <v>1507</v>
      </c>
      <c r="D495" t="s">
        <v>1458</v>
      </c>
      <c r="G495" t="s">
        <v>794</v>
      </c>
      <c r="H495" t="s">
        <v>823</v>
      </c>
      <c r="I495" t="s">
        <v>1394</v>
      </c>
      <c r="K495" t="s">
        <v>1508</v>
      </c>
      <c r="L495" t="s">
        <v>817</v>
      </c>
    </row>
    <row r="496" spans="1:12" x14ac:dyDescent="0.3">
      <c r="A496" t="s">
        <v>796</v>
      </c>
      <c r="B496" t="s">
        <v>821</v>
      </c>
      <c r="C496" t="s">
        <v>1507</v>
      </c>
      <c r="D496" t="s">
        <v>1459</v>
      </c>
      <c r="G496" t="s">
        <v>794</v>
      </c>
      <c r="H496" t="s">
        <v>823</v>
      </c>
      <c r="I496" t="s">
        <v>1372</v>
      </c>
      <c r="K496" t="s">
        <v>1508</v>
      </c>
      <c r="L496" t="s">
        <v>817</v>
      </c>
    </row>
    <row r="497" spans="1:12" x14ac:dyDescent="0.3">
      <c r="A497" t="s">
        <v>796</v>
      </c>
      <c r="B497" t="s">
        <v>821</v>
      </c>
      <c r="C497" t="s">
        <v>1507</v>
      </c>
      <c r="D497" t="s">
        <v>1460</v>
      </c>
      <c r="G497" t="s">
        <v>794</v>
      </c>
      <c r="H497" t="s">
        <v>1510</v>
      </c>
      <c r="I497" t="s">
        <v>1343</v>
      </c>
      <c r="K497" t="s">
        <v>1508</v>
      </c>
      <c r="L497" t="s">
        <v>817</v>
      </c>
    </row>
    <row r="498" spans="1:12" x14ac:dyDescent="0.3">
      <c r="A498" t="s">
        <v>796</v>
      </c>
      <c r="B498" t="s">
        <v>821</v>
      </c>
      <c r="C498" t="s">
        <v>1507</v>
      </c>
      <c r="D498" t="s">
        <v>1461</v>
      </c>
      <c r="G498" t="s">
        <v>794</v>
      </c>
      <c r="H498" t="s">
        <v>1510</v>
      </c>
      <c r="I498" t="s">
        <v>1393</v>
      </c>
      <c r="K498" t="s">
        <v>1509</v>
      </c>
      <c r="L498" t="s">
        <v>817</v>
      </c>
    </row>
    <row r="499" spans="1:12" x14ac:dyDescent="0.3">
      <c r="A499" t="s">
        <v>796</v>
      </c>
      <c r="B499" t="s">
        <v>821</v>
      </c>
      <c r="C499" t="s">
        <v>1507</v>
      </c>
      <c r="D499" t="s">
        <v>1462</v>
      </c>
      <c r="G499" t="s">
        <v>794</v>
      </c>
      <c r="H499" t="s">
        <v>1510</v>
      </c>
      <c r="I499" t="s">
        <v>1397</v>
      </c>
      <c r="K499" t="s">
        <v>1509</v>
      </c>
      <c r="L499" t="s">
        <v>817</v>
      </c>
    </row>
    <row r="500" spans="1:12" x14ac:dyDescent="0.3">
      <c r="A500" t="s">
        <v>796</v>
      </c>
      <c r="B500" t="s">
        <v>821</v>
      </c>
      <c r="C500" t="s">
        <v>1507</v>
      </c>
      <c r="D500" t="s">
        <v>1463</v>
      </c>
      <c r="G500" t="s">
        <v>794</v>
      </c>
      <c r="H500" t="s">
        <v>1511</v>
      </c>
      <c r="I500" t="s">
        <v>1344</v>
      </c>
      <c r="K500" t="s">
        <v>1509</v>
      </c>
      <c r="L500" t="s">
        <v>817</v>
      </c>
    </row>
    <row r="501" spans="1:12" x14ac:dyDescent="0.3">
      <c r="A501" t="s">
        <v>796</v>
      </c>
      <c r="B501" t="s">
        <v>821</v>
      </c>
      <c r="C501" t="s">
        <v>1507</v>
      </c>
      <c r="D501" t="s">
        <v>1464</v>
      </c>
      <c r="G501" t="s">
        <v>794</v>
      </c>
      <c r="H501" t="s">
        <v>1511</v>
      </c>
      <c r="I501" t="s">
        <v>1345</v>
      </c>
      <c r="K501" t="s">
        <v>1509</v>
      </c>
      <c r="L501" t="s">
        <v>817</v>
      </c>
    </row>
    <row r="502" spans="1:12" x14ac:dyDescent="0.3">
      <c r="A502" t="s">
        <v>796</v>
      </c>
      <c r="B502" t="s">
        <v>821</v>
      </c>
      <c r="C502" t="s">
        <v>1507</v>
      </c>
      <c r="D502" t="s">
        <v>1465</v>
      </c>
      <c r="G502" t="s">
        <v>794</v>
      </c>
      <c r="H502" t="s">
        <v>1511</v>
      </c>
      <c r="I502" t="s">
        <v>1346</v>
      </c>
      <c r="K502" t="s">
        <v>1509</v>
      </c>
      <c r="L502" t="s">
        <v>817</v>
      </c>
    </row>
    <row r="503" spans="1:12" x14ac:dyDescent="0.3">
      <c r="A503" t="s">
        <v>796</v>
      </c>
      <c r="B503" t="s">
        <v>821</v>
      </c>
      <c r="C503" t="s">
        <v>1507</v>
      </c>
      <c r="D503" t="s">
        <v>1466</v>
      </c>
      <c r="G503" t="s">
        <v>794</v>
      </c>
      <c r="H503" t="s">
        <v>1511</v>
      </c>
      <c r="I503" t="s">
        <v>1369</v>
      </c>
      <c r="K503" t="s">
        <v>1509</v>
      </c>
      <c r="L503" t="s">
        <v>817</v>
      </c>
    </row>
    <row r="504" spans="1:12" x14ac:dyDescent="0.3">
      <c r="A504" t="s">
        <v>796</v>
      </c>
      <c r="B504" t="s">
        <v>821</v>
      </c>
      <c r="C504" t="s">
        <v>1507</v>
      </c>
      <c r="D504" t="s">
        <v>1467</v>
      </c>
      <c r="G504" t="s">
        <v>794</v>
      </c>
      <c r="H504" t="s">
        <v>1511</v>
      </c>
      <c r="I504" t="s">
        <v>1382</v>
      </c>
      <c r="K504" t="s">
        <v>1509</v>
      </c>
      <c r="L504" t="s">
        <v>817</v>
      </c>
    </row>
    <row r="505" spans="1:12" x14ac:dyDescent="0.3">
      <c r="A505" t="s">
        <v>796</v>
      </c>
      <c r="B505" t="s">
        <v>821</v>
      </c>
      <c r="C505" t="s">
        <v>1507</v>
      </c>
      <c r="D505" t="s">
        <v>1468</v>
      </c>
      <c r="G505" t="s">
        <v>794</v>
      </c>
      <c r="H505" t="s">
        <v>1507</v>
      </c>
      <c r="I505" t="s">
        <v>1347</v>
      </c>
      <c r="K505" t="s">
        <v>1509</v>
      </c>
      <c r="L505" t="s">
        <v>817</v>
      </c>
    </row>
    <row r="506" spans="1:12" x14ac:dyDescent="0.3">
      <c r="A506" t="s">
        <v>796</v>
      </c>
      <c r="B506" t="s">
        <v>821</v>
      </c>
      <c r="C506" t="s">
        <v>1507</v>
      </c>
      <c r="D506" t="s">
        <v>1469</v>
      </c>
      <c r="G506" t="s">
        <v>794</v>
      </c>
      <c r="H506" t="s">
        <v>1507</v>
      </c>
      <c r="I506" t="s">
        <v>1348</v>
      </c>
      <c r="K506" t="s">
        <v>1509</v>
      </c>
      <c r="L506" t="s">
        <v>817</v>
      </c>
    </row>
    <row r="507" spans="1:12" x14ac:dyDescent="0.3">
      <c r="A507" t="s">
        <v>796</v>
      </c>
      <c r="B507" t="s">
        <v>821</v>
      </c>
      <c r="C507" t="s">
        <v>1507</v>
      </c>
      <c r="D507" t="s">
        <v>1470</v>
      </c>
      <c r="G507" t="s">
        <v>794</v>
      </c>
      <c r="H507" t="s">
        <v>1507</v>
      </c>
      <c r="I507" t="s">
        <v>1349</v>
      </c>
      <c r="K507" t="s">
        <v>1509</v>
      </c>
      <c r="L507" t="s">
        <v>817</v>
      </c>
    </row>
    <row r="508" spans="1:12" x14ac:dyDescent="0.3">
      <c r="A508" t="s">
        <v>796</v>
      </c>
      <c r="B508" t="s">
        <v>821</v>
      </c>
      <c r="C508" t="s">
        <v>1507</v>
      </c>
      <c r="D508" t="s">
        <v>1471</v>
      </c>
      <c r="G508" t="s">
        <v>794</v>
      </c>
      <c r="H508" t="s">
        <v>1507</v>
      </c>
      <c r="I508" t="s">
        <v>1370</v>
      </c>
      <c r="K508" t="s">
        <v>1509</v>
      </c>
      <c r="L508" t="s">
        <v>817</v>
      </c>
    </row>
    <row r="509" spans="1:12" x14ac:dyDescent="0.3">
      <c r="A509" t="s">
        <v>796</v>
      </c>
      <c r="B509" t="s">
        <v>821</v>
      </c>
      <c r="C509" t="s">
        <v>1507</v>
      </c>
      <c r="D509" t="s">
        <v>1472</v>
      </c>
      <c r="G509" t="s">
        <v>794</v>
      </c>
      <c r="H509" t="s">
        <v>1507</v>
      </c>
      <c r="I509" t="s">
        <v>1383</v>
      </c>
      <c r="K509" t="s">
        <v>1509</v>
      </c>
      <c r="L509" t="s">
        <v>817</v>
      </c>
    </row>
    <row r="510" spans="1:12" x14ac:dyDescent="0.3">
      <c r="A510" t="s">
        <v>796</v>
      </c>
      <c r="B510" t="s">
        <v>821</v>
      </c>
      <c r="C510" t="s">
        <v>1507</v>
      </c>
      <c r="D510" t="s">
        <v>1473</v>
      </c>
      <c r="G510" t="s">
        <v>794</v>
      </c>
      <c r="H510" t="s">
        <v>1508</v>
      </c>
      <c r="I510" t="s">
        <v>1350</v>
      </c>
      <c r="K510" t="s">
        <v>1509</v>
      </c>
      <c r="L510" t="s">
        <v>817</v>
      </c>
    </row>
    <row r="511" spans="1:12" x14ac:dyDescent="0.3">
      <c r="A511" t="s">
        <v>796</v>
      </c>
      <c r="B511" t="s">
        <v>821</v>
      </c>
      <c r="C511" t="s">
        <v>1507</v>
      </c>
      <c r="D511" t="s">
        <v>1474</v>
      </c>
      <c r="G511" t="s">
        <v>794</v>
      </c>
      <c r="H511" t="s">
        <v>1508</v>
      </c>
      <c r="I511" t="s">
        <v>1351</v>
      </c>
      <c r="K511" t="s">
        <v>1509</v>
      </c>
      <c r="L511" t="s">
        <v>817</v>
      </c>
    </row>
    <row r="512" spans="1:12" x14ac:dyDescent="0.3">
      <c r="A512" t="s">
        <v>796</v>
      </c>
      <c r="B512" t="s">
        <v>821</v>
      </c>
      <c r="C512" t="s">
        <v>1507</v>
      </c>
      <c r="D512" t="s">
        <v>1475</v>
      </c>
      <c r="G512" t="s">
        <v>794</v>
      </c>
      <c r="H512" t="s">
        <v>1508</v>
      </c>
      <c r="I512" t="s">
        <v>1352</v>
      </c>
      <c r="K512" t="s">
        <v>1509</v>
      </c>
      <c r="L512" t="s">
        <v>817</v>
      </c>
    </row>
    <row r="513" spans="1:12" x14ac:dyDescent="0.3">
      <c r="A513" t="s">
        <v>796</v>
      </c>
      <c r="B513" t="s">
        <v>821</v>
      </c>
      <c r="C513" t="s">
        <v>1507</v>
      </c>
      <c r="D513" t="s">
        <v>1476</v>
      </c>
      <c r="G513" t="s">
        <v>794</v>
      </c>
      <c r="H513" t="s">
        <v>1508</v>
      </c>
      <c r="I513" t="s">
        <v>1371</v>
      </c>
      <c r="K513" t="s">
        <v>1509</v>
      </c>
      <c r="L513" t="s">
        <v>817</v>
      </c>
    </row>
    <row r="514" spans="1:12" x14ac:dyDescent="0.3">
      <c r="A514" t="s">
        <v>796</v>
      </c>
      <c r="B514" t="s">
        <v>821</v>
      </c>
      <c r="C514" t="s">
        <v>1507</v>
      </c>
      <c r="D514" t="s">
        <v>1477</v>
      </c>
      <c r="G514" t="s">
        <v>794</v>
      </c>
      <c r="H514" t="s">
        <v>1509</v>
      </c>
      <c r="I514" t="s">
        <v>1319</v>
      </c>
      <c r="K514" t="s">
        <v>1509</v>
      </c>
      <c r="L514" t="s">
        <v>817</v>
      </c>
    </row>
    <row r="515" spans="1:12" x14ac:dyDescent="0.3">
      <c r="A515" t="s">
        <v>796</v>
      </c>
      <c r="B515" t="s">
        <v>821</v>
      </c>
      <c r="C515" t="s">
        <v>1507</v>
      </c>
      <c r="D515" t="s">
        <v>1478</v>
      </c>
      <c r="G515" t="s">
        <v>794</v>
      </c>
      <c r="H515" t="s">
        <v>1509</v>
      </c>
      <c r="I515" t="s">
        <v>1320</v>
      </c>
      <c r="K515" t="s">
        <v>1509</v>
      </c>
      <c r="L515" t="s">
        <v>817</v>
      </c>
    </row>
    <row r="516" spans="1:12" x14ac:dyDescent="0.3">
      <c r="A516" t="s">
        <v>796</v>
      </c>
      <c r="B516" t="s">
        <v>821</v>
      </c>
      <c r="C516" t="s">
        <v>1507</v>
      </c>
      <c r="D516" t="s">
        <v>1479</v>
      </c>
      <c r="G516" t="s">
        <v>794</v>
      </c>
      <c r="H516" t="s">
        <v>1509</v>
      </c>
      <c r="I516" t="s">
        <v>1321</v>
      </c>
      <c r="K516" t="s">
        <v>1509</v>
      </c>
      <c r="L516" t="s">
        <v>817</v>
      </c>
    </row>
    <row r="517" spans="1:12" x14ac:dyDescent="0.3">
      <c r="A517" t="s">
        <v>796</v>
      </c>
      <c r="B517" t="s">
        <v>821</v>
      </c>
      <c r="C517" t="s">
        <v>1507</v>
      </c>
      <c r="D517" t="s">
        <v>1480</v>
      </c>
      <c r="G517" t="s">
        <v>794</v>
      </c>
      <c r="H517" t="s">
        <v>1509</v>
      </c>
      <c r="I517" t="s">
        <v>1322</v>
      </c>
      <c r="K517" t="s">
        <v>1509</v>
      </c>
      <c r="L517" t="s">
        <v>817</v>
      </c>
    </row>
    <row r="518" spans="1:12" x14ac:dyDescent="0.3">
      <c r="A518" t="s">
        <v>796</v>
      </c>
      <c r="B518" t="s">
        <v>821</v>
      </c>
      <c r="C518" t="s">
        <v>1507</v>
      </c>
      <c r="D518" t="s">
        <v>1481</v>
      </c>
      <c r="G518" t="s">
        <v>794</v>
      </c>
      <c r="H518" t="s">
        <v>1509</v>
      </c>
      <c r="I518" t="s">
        <v>1323</v>
      </c>
      <c r="K518" t="s">
        <v>1509</v>
      </c>
      <c r="L518" t="s">
        <v>817</v>
      </c>
    </row>
    <row r="519" spans="1:12" x14ac:dyDescent="0.3">
      <c r="A519" t="s">
        <v>796</v>
      </c>
      <c r="B519" t="s">
        <v>821</v>
      </c>
      <c r="C519" t="s">
        <v>1508</v>
      </c>
      <c r="D519" t="s">
        <v>1482</v>
      </c>
      <c r="G519" t="s">
        <v>794</v>
      </c>
      <c r="H519" t="s">
        <v>1509</v>
      </c>
      <c r="I519" t="s">
        <v>1324</v>
      </c>
      <c r="K519" t="s">
        <v>1509</v>
      </c>
      <c r="L519" t="s">
        <v>817</v>
      </c>
    </row>
    <row r="520" spans="1:12" x14ac:dyDescent="0.3">
      <c r="A520" t="s">
        <v>796</v>
      </c>
      <c r="B520" t="s">
        <v>821</v>
      </c>
      <c r="C520" t="s">
        <v>1508</v>
      </c>
      <c r="D520" t="s">
        <v>1483</v>
      </c>
      <c r="G520" t="s">
        <v>794</v>
      </c>
      <c r="H520" t="s">
        <v>1509</v>
      </c>
      <c r="I520" t="s">
        <v>1325</v>
      </c>
      <c r="K520" t="s">
        <v>1509</v>
      </c>
      <c r="L520" t="s">
        <v>817</v>
      </c>
    </row>
    <row r="521" spans="1:12" x14ac:dyDescent="0.3">
      <c r="A521" t="s">
        <v>796</v>
      </c>
      <c r="B521" t="s">
        <v>821</v>
      </c>
      <c r="C521" t="s">
        <v>1508</v>
      </c>
      <c r="D521" t="s">
        <v>1484</v>
      </c>
      <c r="G521" t="s">
        <v>794</v>
      </c>
      <c r="H521" t="s">
        <v>1509</v>
      </c>
      <c r="I521" t="s">
        <v>1326</v>
      </c>
      <c r="K521" t="s">
        <v>1509</v>
      </c>
      <c r="L521" t="s">
        <v>817</v>
      </c>
    </row>
    <row r="522" spans="1:12" x14ac:dyDescent="0.3">
      <c r="A522" t="s">
        <v>796</v>
      </c>
      <c r="B522" t="s">
        <v>821</v>
      </c>
      <c r="C522" t="s">
        <v>1508</v>
      </c>
      <c r="D522" t="s">
        <v>1485</v>
      </c>
      <c r="G522" t="s">
        <v>794</v>
      </c>
      <c r="H522" t="s">
        <v>1509</v>
      </c>
      <c r="I522" t="s">
        <v>1327</v>
      </c>
      <c r="K522" t="s">
        <v>1509</v>
      </c>
      <c r="L522" t="s">
        <v>817</v>
      </c>
    </row>
    <row r="523" spans="1:12" x14ac:dyDescent="0.3">
      <c r="A523" t="s">
        <v>796</v>
      </c>
      <c r="B523" t="s">
        <v>821</v>
      </c>
      <c r="C523" t="s">
        <v>1508</v>
      </c>
      <c r="D523" t="s">
        <v>1486</v>
      </c>
      <c r="G523" t="s">
        <v>794</v>
      </c>
      <c r="H523" t="s">
        <v>1509</v>
      </c>
      <c r="I523" t="s">
        <v>1328</v>
      </c>
      <c r="K523" t="s">
        <v>1509</v>
      </c>
      <c r="L523" t="s">
        <v>817</v>
      </c>
    </row>
    <row r="524" spans="1:12" x14ac:dyDescent="0.3">
      <c r="A524" t="s">
        <v>796</v>
      </c>
      <c r="B524" t="s">
        <v>821</v>
      </c>
      <c r="C524" t="s">
        <v>1508</v>
      </c>
      <c r="D524" t="s">
        <v>1487</v>
      </c>
      <c r="G524" t="s">
        <v>794</v>
      </c>
      <c r="H524" t="s">
        <v>1509</v>
      </c>
      <c r="I524" t="s">
        <v>1329</v>
      </c>
      <c r="K524" t="s">
        <v>1509</v>
      </c>
      <c r="L524" t="s">
        <v>817</v>
      </c>
    </row>
    <row r="525" spans="1:12" x14ac:dyDescent="0.3">
      <c r="A525" t="s">
        <v>796</v>
      </c>
      <c r="B525" t="s">
        <v>821</v>
      </c>
      <c r="C525" t="s">
        <v>1508</v>
      </c>
      <c r="D525" t="s">
        <v>1488</v>
      </c>
      <c r="G525" t="s">
        <v>794</v>
      </c>
      <c r="H525" t="s">
        <v>1509</v>
      </c>
      <c r="I525" t="s">
        <v>1330</v>
      </c>
      <c r="K525" t="s">
        <v>1509</v>
      </c>
      <c r="L525" t="s">
        <v>817</v>
      </c>
    </row>
    <row r="526" spans="1:12" x14ac:dyDescent="0.3">
      <c r="A526" t="s">
        <v>796</v>
      </c>
      <c r="B526" t="s">
        <v>821</v>
      </c>
      <c r="C526" t="s">
        <v>1508</v>
      </c>
      <c r="D526" t="s">
        <v>1489</v>
      </c>
      <c r="G526" t="s">
        <v>794</v>
      </c>
      <c r="H526" t="s">
        <v>1509</v>
      </c>
      <c r="I526" t="s">
        <v>1331</v>
      </c>
      <c r="K526" t="s">
        <v>1509</v>
      </c>
      <c r="L526" t="s">
        <v>817</v>
      </c>
    </row>
    <row r="527" spans="1:12" x14ac:dyDescent="0.3">
      <c r="A527" t="s">
        <v>796</v>
      </c>
      <c r="B527" t="s">
        <v>821</v>
      </c>
      <c r="C527" t="s">
        <v>1508</v>
      </c>
      <c r="D527" t="s">
        <v>1490</v>
      </c>
      <c r="G527" t="s">
        <v>794</v>
      </c>
      <c r="H527" t="s">
        <v>1509</v>
      </c>
      <c r="I527" t="s">
        <v>1332</v>
      </c>
      <c r="K527" t="s">
        <v>1509</v>
      </c>
      <c r="L527" t="s">
        <v>817</v>
      </c>
    </row>
    <row r="528" spans="1:12" x14ac:dyDescent="0.3">
      <c r="A528" t="s">
        <v>796</v>
      </c>
      <c r="B528" t="s">
        <v>821</v>
      </c>
      <c r="C528" t="s">
        <v>1508</v>
      </c>
      <c r="D528" t="s">
        <v>1491</v>
      </c>
      <c r="G528" t="s">
        <v>794</v>
      </c>
      <c r="H528" t="s">
        <v>1509</v>
      </c>
      <c r="I528" t="s">
        <v>1333</v>
      </c>
      <c r="K528" t="s">
        <v>1509</v>
      </c>
      <c r="L528" t="s">
        <v>817</v>
      </c>
    </row>
    <row r="529" spans="1:12" x14ac:dyDescent="0.3">
      <c r="A529" t="s">
        <v>796</v>
      </c>
      <c r="B529" t="s">
        <v>821</v>
      </c>
      <c r="C529" t="s">
        <v>1508</v>
      </c>
      <c r="D529" t="s">
        <v>1492</v>
      </c>
      <c r="G529" t="s">
        <v>794</v>
      </c>
      <c r="H529" t="s">
        <v>1509</v>
      </c>
      <c r="I529" t="s">
        <v>1334</v>
      </c>
      <c r="K529" t="s">
        <v>1509</v>
      </c>
      <c r="L529" t="s">
        <v>817</v>
      </c>
    </row>
    <row r="530" spans="1:12" x14ac:dyDescent="0.3">
      <c r="A530" t="s">
        <v>796</v>
      </c>
      <c r="B530" t="s">
        <v>821</v>
      </c>
      <c r="C530" t="s">
        <v>1508</v>
      </c>
      <c r="D530" t="s">
        <v>1493</v>
      </c>
      <c r="G530" t="s">
        <v>794</v>
      </c>
      <c r="H530" t="s">
        <v>1509</v>
      </c>
      <c r="I530" t="s">
        <v>1335</v>
      </c>
      <c r="K530" t="s">
        <v>823</v>
      </c>
      <c r="L530" t="s">
        <v>805</v>
      </c>
    </row>
    <row r="531" spans="1:12" x14ac:dyDescent="0.3">
      <c r="A531" t="s">
        <v>796</v>
      </c>
      <c r="B531" t="s">
        <v>821</v>
      </c>
      <c r="C531" t="s">
        <v>1508</v>
      </c>
      <c r="D531" t="s">
        <v>1494</v>
      </c>
      <c r="G531" t="s">
        <v>794</v>
      </c>
      <c r="H531" t="s">
        <v>1509</v>
      </c>
      <c r="I531" t="s">
        <v>1336</v>
      </c>
      <c r="K531" t="s">
        <v>1511</v>
      </c>
      <c r="L531" t="s">
        <v>805</v>
      </c>
    </row>
    <row r="532" spans="1:12" x14ac:dyDescent="0.3">
      <c r="A532" t="s">
        <v>796</v>
      </c>
      <c r="B532" t="s">
        <v>821</v>
      </c>
      <c r="C532" t="s">
        <v>1508</v>
      </c>
      <c r="D532" t="s">
        <v>1495</v>
      </c>
      <c r="G532" t="s">
        <v>794</v>
      </c>
      <c r="H532" t="s">
        <v>1509</v>
      </c>
      <c r="I532" t="s">
        <v>1337</v>
      </c>
      <c r="K532" t="s">
        <v>1507</v>
      </c>
      <c r="L532" t="s">
        <v>805</v>
      </c>
    </row>
    <row r="533" spans="1:12" x14ac:dyDescent="0.3">
      <c r="A533" t="s">
        <v>796</v>
      </c>
      <c r="B533" t="s">
        <v>821</v>
      </c>
      <c r="C533" t="s">
        <v>1508</v>
      </c>
      <c r="D533" t="s">
        <v>1496</v>
      </c>
      <c r="G533" t="s">
        <v>794</v>
      </c>
      <c r="H533" t="s">
        <v>1509</v>
      </c>
      <c r="I533" t="s">
        <v>1338</v>
      </c>
      <c r="K533" t="s">
        <v>1508</v>
      </c>
      <c r="L533" t="s">
        <v>805</v>
      </c>
    </row>
    <row r="534" spans="1:12" x14ac:dyDescent="0.3">
      <c r="A534" t="s">
        <v>796</v>
      </c>
      <c r="B534" t="s">
        <v>821</v>
      </c>
      <c r="C534" t="s">
        <v>1508</v>
      </c>
      <c r="D534" t="s">
        <v>1497</v>
      </c>
      <c r="G534" t="s">
        <v>794</v>
      </c>
      <c r="H534" t="s">
        <v>1509</v>
      </c>
      <c r="I534" t="s">
        <v>1311</v>
      </c>
      <c r="K534" t="s">
        <v>1509</v>
      </c>
      <c r="L534" t="s">
        <v>805</v>
      </c>
    </row>
    <row r="535" spans="1:12" x14ac:dyDescent="0.3">
      <c r="A535" t="s">
        <v>796</v>
      </c>
      <c r="B535" t="s">
        <v>821</v>
      </c>
      <c r="C535" t="s">
        <v>1508</v>
      </c>
      <c r="D535" t="s">
        <v>1498</v>
      </c>
      <c r="G535" t="s">
        <v>794</v>
      </c>
      <c r="H535" t="s">
        <v>1509</v>
      </c>
      <c r="I535" t="s">
        <v>1339</v>
      </c>
      <c r="K535" t="s">
        <v>1509</v>
      </c>
      <c r="L535" t="s">
        <v>805</v>
      </c>
    </row>
    <row r="536" spans="1:12" x14ac:dyDescent="0.3">
      <c r="A536" t="s">
        <v>796</v>
      </c>
      <c r="B536" t="s">
        <v>821</v>
      </c>
      <c r="C536" t="s">
        <v>1508</v>
      </c>
      <c r="D536" t="s">
        <v>1499</v>
      </c>
      <c r="G536" t="s">
        <v>794</v>
      </c>
      <c r="H536" t="s">
        <v>1509</v>
      </c>
      <c r="I536" t="s">
        <v>1340</v>
      </c>
      <c r="K536" t="s">
        <v>1509</v>
      </c>
      <c r="L536" t="s">
        <v>805</v>
      </c>
    </row>
    <row r="537" spans="1:12" x14ac:dyDescent="0.3">
      <c r="A537" t="s">
        <v>796</v>
      </c>
      <c r="B537" t="s">
        <v>821</v>
      </c>
      <c r="C537" t="s">
        <v>1508</v>
      </c>
      <c r="D537" t="s">
        <v>1500</v>
      </c>
      <c r="G537" t="s">
        <v>794</v>
      </c>
      <c r="H537" t="s">
        <v>1509</v>
      </c>
      <c r="I537" t="s">
        <v>1341</v>
      </c>
      <c r="K537" t="s">
        <v>1509</v>
      </c>
      <c r="L537" t="s">
        <v>805</v>
      </c>
    </row>
    <row r="538" spans="1:12" x14ac:dyDescent="0.3">
      <c r="A538" t="s">
        <v>796</v>
      </c>
      <c r="B538" t="s">
        <v>821</v>
      </c>
      <c r="C538" t="s">
        <v>1508</v>
      </c>
      <c r="D538" t="s">
        <v>1501</v>
      </c>
      <c r="G538" t="s">
        <v>794</v>
      </c>
      <c r="H538" t="s">
        <v>1509</v>
      </c>
      <c r="I538" t="s">
        <v>1342</v>
      </c>
      <c r="K538" t="s">
        <v>1509</v>
      </c>
      <c r="L538" t="s">
        <v>805</v>
      </c>
    </row>
    <row r="539" spans="1:12" x14ac:dyDescent="0.3">
      <c r="A539" t="s">
        <v>796</v>
      </c>
      <c r="B539" t="s">
        <v>821</v>
      </c>
      <c r="C539" t="s">
        <v>1508</v>
      </c>
      <c r="D539" t="s">
        <v>1502</v>
      </c>
      <c r="G539" t="s">
        <v>794</v>
      </c>
      <c r="H539" t="s">
        <v>1509</v>
      </c>
      <c r="I539" t="s">
        <v>1312</v>
      </c>
      <c r="K539" t="s">
        <v>1509</v>
      </c>
      <c r="L539" t="s">
        <v>805</v>
      </c>
    </row>
    <row r="540" spans="1:12" x14ac:dyDescent="0.3">
      <c r="A540" t="s">
        <v>796</v>
      </c>
      <c r="B540" t="s">
        <v>821</v>
      </c>
      <c r="C540" t="s">
        <v>1509</v>
      </c>
      <c r="D540" t="s">
        <v>1410</v>
      </c>
      <c r="G540" t="s">
        <v>794</v>
      </c>
      <c r="H540" t="s">
        <v>1509</v>
      </c>
      <c r="I540" t="s">
        <v>1313</v>
      </c>
      <c r="K540" t="s">
        <v>1509</v>
      </c>
      <c r="L540" t="s">
        <v>805</v>
      </c>
    </row>
    <row r="541" spans="1:12" x14ac:dyDescent="0.3">
      <c r="A541" t="s">
        <v>796</v>
      </c>
      <c r="B541" t="s">
        <v>821</v>
      </c>
      <c r="C541" t="s">
        <v>1509</v>
      </c>
      <c r="D541" t="s">
        <v>1411</v>
      </c>
      <c r="G541" t="s">
        <v>794</v>
      </c>
      <c r="H541" t="s">
        <v>1509</v>
      </c>
      <c r="I541" t="s">
        <v>1314</v>
      </c>
      <c r="K541" t="s">
        <v>1509</v>
      </c>
      <c r="L541" t="s">
        <v>805</v>
      </c>
    </row>
    <row r="542" spans="1:12" x14ac:dyDescent="0.3">
      <c r="A542" t="s">
        <v>796</v>
      </c>
      <c r="B542" t="s">
        <v>821</v>
      </c>
      <c r="C542" t="s">
        <v>1509</v>
      </c>
      <c r="D542" t="s">
        <v>1412</v>
      </c>
      <c r="G542" t="s">
        <v>794</v>
      </c>
      <c r="H542" t="s">
        <v>1509</v>
      </c>
      <c r="I542" t="s">
        <v>1315</v>
      </c>
      <c r="K542" t="s">
        <v>1509</v>
      </c>
      <c r="L542" t="s">
        <v>805</v>
      </c>
    </row>
    <row r="543" spans="1:12" x14ac:dyDescent="0.3">
      <c r="A543" t="s">
        <v>796</v>
      </c>
      <c r="B543" t="s">
        <v>821</v>
      </c>
      <c r="C543" t="s">
        <v>1509</v>
      </c>
      <c r="D543" t="s">
        <v>1413</v>
      </c>
      <c r="G543" t="s">
        <v>794</v>
      </c>
      <c r="H543" t="s">
        <v>1509</v>
      </c>
      <c r="I543" t="s">
        <v>1316</v>
      </c>
      <c r="K543" t="s">
        <v>1509</v>
      </c>
      <c r="L543" t="s">
        <v>805</v>
      </c>
    </row>
    <row r="544" spans="1:12" x14ac:dyDescent="0.3">
      <c r="A544" t="s">
        <v>796</v>
      </c>
      <c r="B544" t="s">
        <v>821</v>
      </c>
      <c r="C544" t="s">
        <v>1509</v>
      </c>
      <c r="D544" t="s">
        <v>1414</v>
      </c>
      <c r="G544" t="s">
        <v>794</v>
      </c>
      <c r="H544" t="s">
        <v>1509</v>
      </c>
      <c r="I544" t="s">
        <v>1317</v>
      </c>
      <c r="K544" t="s">
        <v>1509</v>
      </c>
      <c r="L544" t="s">
        <v>805</v>
      </c>
    </row>
    <row r="545" spans="1:12" x14ac:dyDescent="0.3">
      <c r="A545" t="s">
        <v>796</v>
      </c>
      <c r="B545" t="s">
        <v>821</v>
      </c>
      <c r="C545" t="s">
        <v>1509</v>
      </c>
      <c r="D545" t="s">
        <v>1415</v>
      </c>
      <c r="G545" t="s">
        <v>794</v>
      </c>
      <c r="H545" t="s">
        <v>1509</v>
      </c>
      <c r="I545" t="s">
        <v>1318</v>
      </c>
      <c r="K545" t="s">
        <v>1509</v>
      </c>
      <c r="L545" t="s">
        <v>805</v>
      </c>
    </row>
    <row r="546" spans="1:12" x14ac:dyDescent="0.3">
      <c r="A546" t="s">
        <v>796</v>
      </c>
      <c r="B546" t="s">
        <v>821</v>
      </c>
      <c r="C546" t="s">
        <v>1509</v>
      </c>
      <c r="D546" t="s">
        <v>1403</v>
      </c>
      <c r="G546" t="s">
        <v>794</v>
      </c>
      <c r="H546" t="s">
        <v>1509</v>
      </c>
      <c r="I546" t="s">
        <v>1363</v>
      </c>
      <c r="K546" t="s">
        <v>1509</v>
      </c>
      <c r="L546" t="s">
        <v>805</v>
      </c>
    </row>
    <row r="547" spans="1:12" x14ac:dyDescent="0.3">
      <c r="A547" t="s">
        <v>796</v>
      </c>
      <c r="B547" t="s">
        <v>821</v>
      </c>
      <c r="C547" t="s">
        <v>1509</v>
      </c>
      <c r="D547" t="s">
        <v>1404</v>
      </c>
      <c r="G547" t="s">
        <v>794</v>
      </c>
      <c r="H547" t="s">
        <v>1509</v>
      </c>
      <c r="I547" t="s">
        <v>1364</v>
      </c>
      <c r="K547" t="s">
        <v>1509</v>
      </c>
      <c r="L547" t="s">
        <v>805</v>
      </c>
    </row>
    <row r="548" spans="1:12" x14ac:dyDescent="0.3">
      <c r="A548" t="s">
        <v>796</v>
      </c>
      <c r="B548" t="s">
        <v>821</v>
      </c>
      <c r="C548" t="s">
        <v>1509</v>
      </c>
      <c r="D548" t="s">
        <v>1405</v>
      </c>
      <c r="G548" t="s">
        <v>794</v>
      </c>
      <c r="H548" t="s">
        <v>1509</v>
      </c>
      <c r="I548" t="s">
        <v>1365</v>
      </c>
      <c r="K548" t="s">
        <v>1512</v>
      </c>
      <c r="L548" t="s">
        <v>822</v>
      </c>
    </row>
    <row r="549" spans="1:12" x14ac:dyDescent="0.3">
      <c r="A549" t="s">
        <v>796</v>
      </c>
      <c r="B549" t="s">
        <v>821</v>
      </c>
      <c r="C549" t="s">
        <v>1509</v>
      </c>
      <c r="D549" t="s">
        <v>1406</v>
      </c>
      <c r="G549" t="s">
        <v>794</v>
      </c>
      <c r="H549" t="s">
        <v>1509</v>
      </c>
      <c r="I549" t="s">
        <v>1366</v>
      </c>
      <c r="K549" t="s">
        <v>1512</v>
      </c>
      <c r="L549" t="s">
        <v>822</v>
      </c>
    </row>
    <row r="550" spans="1:12" x14ac:dyDescent="0.3">
      <c r="A550" t="s">
        <v>796</v>
      </c>
      <c r="B550" t="s">
        <v>821</v>
      </c>
      <c r="C550" t="s">
        <v>1509</v>
      </c>
      <c r="D550" t="s">
        <v>1407</v>
      </c>
      <c r="G550" t="s">
        <v>794</v>
      </c>
      <c r="H550" t="s">
        <v>1509</v>
      </c>
      <c r="I550" t="s">
        <v>1367</v>
      </c>
      <c r="K550" t="s">
        <v>1512</v>
      </c>
      <c r="L550" t="s">
        <v>822</v>
      </c>
    </row>
    <row r="551" spans="1:12" x14ac:dyDescent="0.3">
      <c r="A551" t="s">
        <v>796</v>
      </c>
      <c r="B551" t="s">
        <v>821</v>
      </c>
      <c r="C551" t="s">
        <v>1509</v>
      </c>
      <c r="D551" t="s">
        <v>1408</v>
      </c>
      <c r="G551" t="s">
        <v>794</v>
      </c>
      <c r="H551" t="s">
        <v>1509</v>
      </c>
      <c r="I551" t="s">
        <v>1368</v>
      </c>
      <c r="K551" t="s">
        <v>823</v>
      </c>
      <c r="L551" t="s">
        <v>822</v>
      </c>
    </row>
    <row r="552" spans="1:12" x14ac:dyDescent="0.3">
      <c r="A552" t="s">
        <v>796</v>
      </c>
      <c r="B552" t="s">
        <v>821</v>
      </c>
      <c r="C552" t="s">
        <v>1509</v>
      </c>
      <c r="D552" t="s">
        <v>1409</v>
      </c>
      <c r="G552" t="s">
        <v>794</v>
      </c>
      <c r="H552" t="s">
        <v>1509</v>
      </c>
      <c r="I552" t="s">
        <v>1355</v>
      </c>
      <c r="K552" t="s">
        <v>823</v>
      </c>
      <c r="L552" t="s">
        <v>818</v>
      </c>
    </row>
    <row r="553" spans="1:12" x14ac:dyDescent="0.3">
      <c r="A553" t="s">
        <v>790</v>
      </c>
      <c r="B553" t="s">
        <v>800</v>
      </c>
      <c r="C553" t="s">
        <v>823</v>
      </c>
      <c r="D553" t="s">
        <v>884</v>
      </c>
      <c r="G553" t="s">
        <v>794</v>
      </c>
      <c r="H553" t="s">
        <v>1509</v>
      </c>
      <c r="I553" t="s">
        <v>1356</v>
      </c>
      <c r="K553" t="s">
        <v>1510</v>
      </c>
      <c r="L553" t="s">
        <v>818</v>
      </c>
    </row>
    <row r="554" spans="1:12" x14ac:dyDescent="0.3">
      <c r="A554" t="s">
        <v>790</v>
      </c>
      <c r="B554" t="s">
        <v>800</v>
      </c>
      <c r="C554" t="s">
        <v>1510</v>
      </c>
      <c r="D554" t="s">
        <v>887</v>
      </c>
      <c r="G554" t="s">
        <v>794</v>
      </c>
      <c r="H554" t="s">
        <v>1509</v>
      </c>
      <c r="I554" t="s">
        <v>1357</v>
      </c>
      <c r="K554" t="s">
        <v>1509</v>
      </c>
      <c r="L554" t="s">
        <v>818</v>
      </c>
    </row>
    <row r="555" spans="1:12" x14ac:dyDescent="0.3">
      <c r="A555" t="s">
        <v>790</v>
      </c>
      <c r="B555" t="s">
        <v>800</v>
      </c>
      <c r="C555" t="s">
        <v>1511</v>
      </c>
      <c r="D555" t="s">
        <v>888</v>
      </c>
      <c r="G555" t="s">
        <v>794</v>
      </c>
      <c r="H555" t="s">
        <v>1509</v>
      </c>
      <c r="I555" t="s">
        <v>1358</v>
      </c>
      <c r="K555" t="s">
        <v>1509</v>
      </c>
      <c r="L555" t="s">
        <v>818</v>
      </c>
    </row>
    <row r="556" spans="1:12" x14ac:dyDescent="0.3">
      <c r="A556" t="s">
        <v>790</v>
      </c>
      <c r="B556" t="s">
        <v>800</v>
      </c>
      <c r="C556" t="s">
        <v>1511</v>
      </c>
      <c r="D556" t="s">
        <v>889</v>
      </c>
      <c r="G556" t="s">
        <v>794</v>
      </c>
      <c r="H556" t="s">
        <v>1509</v>
      </c>
      <c r="I556" t="s">
        <v>1359</v>
      </c>
      <c r="K556" t="s">
        <v>1509</v>
      </c>
      <c r="L556" t="s">
        <v>818</v>
      </c>
    </row>
    <row r="557" spans="1:12" x14ac:dyDescent="0.3">
      <c r="A557" t="s">
        <v>790</v>
      </c>
      <c r="B557" t="s">
        <v>800</v>
      </c>
      <c r="C557" t="s">
        <v>1511</v>
      </c>
      <c r="D557" t="s">
        <v>890</v>
      </c>
      <c r="G557" t="s">
        <v>794</v>
      </c>
      <c r="H557" t="s">
        <v>1509</v>
      </c>
      <c r="I557" t="s">
        <v>1360</v>
      </c>
      <c r="K557" t="s">
        <v>1509</v>
      </c>
      <c r="L557" t="s">
        <v>818</v>
      </c>
    </row>
    <row r="558" spans="1:12" x14ac:dyDescent="0.3">
      <c r="A558" t="s">
        <v>790</v>
      </c>
      <c r="B558" t="s">
        <v>800</v>
      </c>
      <c r="C558" t="s">
        <v>1511</v>
      </c>
      <c r="D558" t="s">
        <v>891</v>
      </c>
      <c r="G558" t="s">
        <v>794</v>
      </c>
      <c r="H558" t="s">
        <v>1509</v>
      </c>
      <c r="I558" t="s">
        <v>1361</v>
      </c>
      <c r="K558" t="s">
        <v>1509</v>
      </c>
      <c r="L558" t="s">
        <v>818</v>
      </c>
    </row>
    <row r="559" spans="1:12" x14ac:dyDescent="0.3">
      <c r="A559" t="s">
        <v>790</v>
      </c>
      <c r="B559" t="s">
        <v>800</v>
      </c>
      <c r="C559" t="s">
        <v>1511</v>
      </c>
      <c r="D559" t="s">
        <v>892</v>
      </c>
      <c r="G559" t="s">
        <v>794</v>
      </c>
      <c r="H559" t="s">
        <v>1509</v>
      </c>
      <c r="I559" t="s">
        <v>1362</v>
      </c>
      <c r="K559" t="s">
        <v>1509</v>
      </c>
      <c r="L559" t="s">
        <v>818</v>
      </c>
    </row>
    <row r="560" spans="1:12" x14ac:dyDescent="0.3">
      <c r="A560" t="s">
        <v>790</v>
      </c>
      <c r="B560" t="s">
        <v>800</v>
      </c>
      <c r="C560" t="s">
        <v>1511</v>
      </c>
      <c r="D560" t="s">
        <v>893</v>
      </c>
      <c r="G560" t="s">
        <v>794</v>
      </c>
      <c r="H560" t="s">
        <v>1509</v>
      </c>
      <c r="I560" t="s">
        <v>1386</v>
      </c>
      <c r="K560" t="s">
        <v>1509</v>
      </c>
      <c r="L560" t="s">
        <v>818</v>
      </c>
    </row>
    <row r="561" spans="1:12" x14ac:dyDescent="0.3">
      <c r="A561" t="s">
        <v>790</v>
      </c>
      <c r="B561" t="s">
        <v>800</v>
      </c>
      <c r="C561" t="s">
        <v>1507</v>
      </c>
      <c r="D561" t="s">
        <v>894</v>
      </c>
      <c r="G561" t="s">
        <v>794</v>
      </c>
      <c r="H561" t="s">
        <v>1509</v>
      </c>
      <c r="I561" t="s">
        <v>1387</v>
      </c>
      <c r="K561" t="s">
        <v>823</v>
      </c>
      <c r="L561" t="s">
        <v>819</v>
      </c>
    </row>
    <row r="562" spans="1:12" x14ac:dyDescent="0.3">
      <c r="A562" t="s">
        <v>790</v>
      </c>
      <c r="B562" t="s">
        <v>800</v>
      </c>
      <c r="C562" t="s">
        <v>1507</v>
      </c>
      <c r="D562" t="s">
        <v>895</v>
      </c>
      <c r="G562" t="s">
        <v>794</v>
      </c>
      <c r="H562" t="s">
        <v>1509</v>
      </c>
      <c r="I562" t="s">
        <v>1388</v>
      </c>
      <c r="K562" t="s">
        <v>1510</v>
      </c>
      <c r="L562" t="s">
        <v>819</v>
      </c>
    </row>
    <row r="563" spans="1:12" x14ac:dyDescent="0.3">
      <c r="A563" t="s">
        <v>790</v>
      </c>
      <c r="B563" t="s">
        <v>800</v>
      </c>
      <c r="C563" t="s">
        <v>1507</v>
      </c>
      <c r="D563" t="s">
        <v>896</v>
      </c>
      <c r="G563" t="s">
        <v>794</v>
      </c>
      <c r="H563" t="s">
        <v>1509</v>
      </c>
      <c r="I563" t="s">
        <v>1389</v>
      </c>
      <c r="K563" t="s">
        <v>1509</v>
      </c>
      <c r="L563" t="s">
        <v>819</v>
      </c>
    </row>
    <row r="564" spans="1:12" x14ac:dyDescent="0.3">
      <c r="A564" t="s">
        <v>790</v>
      </c>
      <c r="B564" t="s">
        <v>800</v>
      </c>
      <c r="C564" t="s">
        <v>1507</v>
      </c>
      <c r="D564" t="s">
        <v>897</v>
      </c>
      <c r="G564" t="s">
        <v>794</v>
      </c>
      <c r="H564" t="s">
        <v>1509</v>
      </c>
      <c r="I564" t="s">
        <v>1390</v>
      </c>
      <c r="K564" t="s">
        <v>1509</v>
      </c>
      <c r="L564" t="s">
        <v>819</v>
      </c>
    </row>
    <row r="565" spans="1:12" x14ac:dyDescent="0.3">
      <c r="A565" t="s">
        <v>790</v>
      </c>
      <c r="B565" t="s">
        <v>800</v>
      </c>
      <c r="C565" t="s">
        <v>1507</v>
      </c>
      <c r="D565" t="s">
        <v>898</v>
      </c>
      <c r="G565" t="s">
        <v>794</v>
      </c>
      <c r="H565" t="s">
        <v>1509</v>
      </c>
      <c r="I565" t="s">
        <v>1391</v>
      </c>
      <c r="K565" t="s">
        <v>1512</v>
      </c>
      <c r="L565" t="s">
        <v>814</v>
      </c>
    </row>
    <row r="566" spans="1:12" x14ac:dyDescent="0.3">
      <c r="A566" t="s">
        <v>790</v>
      </c>
      <c r="B566" t="s">
        <v>800</v>
      </c>
      <c r="C566" t="s">
        <v>1507</v>
      </c>
      <c r="D566" t="s">
        <v>899</v>
      </c>
      <c r="G566" t="s">
        <v>794</v>
      </c>
      <c r="H566" t="s">
        <v>1509</v>
      </c>
      <c r="I566" t="s">
        <v>1392</v>
      </c>
      <c r="K566" t="s">
        <v>823</v>
      </c>
      <c r="L566" t="s">
        <v>814</v>
      </c>
    </row>
    <row r="567" spans="1:12" x14ac:dyDescent="0.3">
      <c r="A567" t="s">
        <v>790</v>
      </c>
      <c r="B567" t="s">
        <v>800</v>
      </c>
      <c r="C567" t="s">
        <v>1509</v>
      </c>
      <c r="D567" t="s">
        <v>885</v>
      </c>
      <c r="G567" t="s">
        <v>794</v>
      </c>
      <c r="H567" t="s">
        <v>1509</v>
      </c>
      <c r="I567" t="s">
        <v>1395</v>
      </c>
      <c r="K567" t="s">
        <v>1511</v>
      </c>
      <c r="L567" t="s">
        <v>814</v>
      </c>
    </row>
    <row r="568" spans="1:12" x14ac:dyDescent="0.3">
      <c r="A568" t="s">
        <v>790</v>
      </c>
      <c r="B568" t="s">
        <v>800</v>
      </c>
      <c r="C568" t="s">
        <v>1509</v>
      </c>
      <c r="D568" t="s">
        <v>886</v>
      </c>
      <c r="G568" t="s">
        <v>794</v>
      </c>
      <c r="H568" t="s">
        <v>1509</v>
      </c>
      <c r="I568" t="s">
        <v>1396</v>
      </c>
      <c r="K568" t="s">
        <v>1507</v>
      </c>
      <c r="L568" t="s">
        <v>814</v>
      </c>
    </row>
    <row r="569" spans="1:12" x14ac:dyDescent="0.3">
      <c r="A569" t="s">
        <v>790</v>
      </c>
      <c r="B569" t="s">
        <v>804</v>
      </c>
      <c r="C569" t="s">
        <v>823</v>
      </c>
      <c r="D569" t="s">
        <v>923</v>
      </c>
      <c r="G569" t="s">
        <v>794</v>
      </c>
      <c r="H569" t="s">
        <v>1509</v>
      </c>
      <c r="I569" t="s">
        <v>1381</v>
      </c>
      <c r="K569" t="s">
        <v>1509</v>
      </c>
      <c r="L569" t="s">
        <v>814</v>
      </c>
    </row>
    <row r="570" spans="1:12" x14ac:dyDescent="0.3">
      <c r="A570" t="s">
        <v>790</v>
      </c>
      <c r="B570" t="s">
        <v>804</v>
      </c>
      <c r="C570" t="s">
        <v>1511</v>
      </c>
      <c r="D570" t="s">
        <v>925</v>
      </c>
      <c r="G570" t="s">
        <v>794</v>
      </c>
      <c r="H570" t="s">
        <v>1509</v>
      </c>
      <c r="I570" t="s">
        <v>1373</v>
      </c>
      <c r="K570" t="s">
        <v>1509</v>
      </c>
      <c r="L570" t="s">
        <v>814</v>
      </c>
    </row>
    <row r="571" spans="1:12" x14ac:dyDescent="0.3">
      <c r="A571" t="s">
        <v>790</v>
      </c>
      <c r="B571" t="s">
        <v>804</v>
      </c>
      <c r="C571" t="s">
        <v>1507</v>
      </c>
      <c r="D571" t="s">
        <v>926</v>
      </c>
      <c r="G571" t="s">
        <v>794</v>
      </c>
      <c r="H571" t="s">
        <v>1509</v>
      </c>
      <c r="I571" t="s">
        <v>1374</v>
      </c>
      <c r="K571" t="s">
        <v>1509</v>
      </c>
      <c r="L571" t="s">
        <v>814</v>
      </c>
    </row>
    <row r="572" spans="1:12" x14ac:dyDescent="0.3">
      <c r="A572" t="s">
        <v>790</v>
      </c>
      <c r="B572" t="s">
        <v>804</v>
      </c>
      <c r="C572" t="s">
        <v>1508</v>
      </c>
      <c r="D572" t="s">
        <v>927</v>
      </c>
      <c r="G572" t="s">
        <v>794</v>
      </c>
      <c r="H572" t="s">
        <v>1509</v>
      </c>
      <c r="I572" t="s">
        <v>1375</v>
      </c>
      <c r="K572" t="s">
        <v>1509</v>
      </c>
      <c r="L572" t="s">
        <v>814</v>
      </c>
    </row>
    <row r="573" spans="1:12" x14ac:dyDescent="0.3">
      <c r="A573" t="s">
        <v>790</v>
      </c>
      <c r="B573" t="s">
        <v>804</v>
      </c>
      <c r="C573" t="s">
        <v>797</v>
      </c>
      <c r="D573" t="s">
        <v>922</v>
      </c>
      <c r="G573" t="s">
        <v>794</v>
      </c>
      <c r="H573" t="s">
        <v>1509</v>
      </c>
      <c r="I573" t="s">
        <v>1376</v>
      </c>
      <c r="K573" t="s">
        <v>1509</v>
      </c>
      <c r="L573" t="s">
        <v>814</v>
      </c>
    </row>
    <row r="574" spans="1:12" x14ac:dyDescent="0.3">
      <c r="A574" t="s">
        <v>790</v>
      </c>
      <c r="B574" t="s">
        <v>804</v>
      </c>
      <c r="C574" t="s">
        <v>1509</v>
      </c>
      <c r="D574" t="s">
        <v>924</v>
      </c>
      <c r="G574" t="s">
        <v>794</v>
      </c>
      <c r="H574" t="s">
        <v>1509</v>
      </c>
      <c r="I574" t="s">
        <v>1377</v>
      </c>
      <c r="K574" t="s">
        <v>1509</v>
      </c>
      <c r="L574" t="s">
        <v>814</v>
      </c>
    </row>
    <row r="575" spans="1:12" x14ac:dyDescent="0.3">
      <c r="A575" t="s">
        <v>797</v>
      </c>
      <c r="B575" t="s">
        <v>797</v>
      </c>
      <c r="C575" t="s">
        <v>823</v>
      </c>
      <c r="D575" t="s">
        <v>1121</v>
      </c>
      <c r="G575" t="s">
        <v>794</v>
      </c>
      <c r="H575" t="s">
        <v>1509</v>
      </c>
      <c r="I575" t="s">
        <v>1378</v>
      </c>
      <c r="K575" t="s">
        <v>1509</v>
      </c>
      <c r="L575" t="s">
        <v>814</v>
      </c>
    </row>
    <row r="576" spans="1:12" x14ac:dyDescent="0.3">
      <c r="A576" t="s">
        <v>791</v>
      </c>
      <c r="B576" t="s">
        <v>812</v>
      </c>
      <c r="C576" t="s">
        <v>823</v>
      </c>
      <c r="D576" t="s">
        <v>877</v>
      </c>
      <c r="G576" t="s">
        <v>794</v>
      </c>
      <c r="H576" t="s">
        <v>1509</v>
      </c>
      <c r="I576" t="s">
        <v>1379</v>
      </c>
      <c r="K576" t="s">
        <v>1509</v>
      </c>
      <c r="L576" t="s">
        <v>814</v>
      </c>
    </row>
    <row r="577" spans="1:12" x14ac:dyDescent="0.3">
      <c r="A577" t="s">
        <v>791</v>
      </c>
      <c r="B577" t="s">
        <v>812</v>
      </c>
      <c r="C577" t="s">
        <v>1509</v>
      </c>
      <c r="D577" t="s">
        <v>878</v>
      </c>
      <c r="G577" t="s">
        <v>794</v>
      </c>
      <c r="H577" t="s">
        <v>1509</v>
      </c>
      <c r="I577" t="s">
        <v>1380</v>
      </c>
      <c r="K577" t="s">
        <v>1509</v>
      </c>
      <c r="L577" t="s">
        <v>814</v>
      </c>
    </row>
    <row r="578" spans="1:12" x14ac:dyDescent="0.3">
      <c r="A578" t="s">
        <v>791</v>
      </c>
      <c r="B578" t="s">
        <v>812</v>
      </c>
      <c r="C578" t="s">
        <v>1509</v>
      </c>
      <c r="D578" t="s">
        <v>879</v>
      </c>
      <c r="G578" t="s">
        <v>796</v>
      </c>
      <c r="H578" t="s">
        <v>1512</v>
      </c>
      <c r="I578" t="s">
        <v>1505</v>
      </c>
      <c r="K578" t="s">
        <v>1512</v>
      </c>
      <c r="L578" t="s">
        <v>821</v>
      </c>
    </row>
    <row r="579" spans="1:12" x14ac:dyDescent="0.3">
      <c r="A579" t="s">
        <v>790</v>
      </c>
      <c r="B579" t="s">
        <v>802</v>
      </c>
      <c r="C579" t="s">
        <v>823</v>
      </c>
      <c r="D579" t="s">
        <v>912</v>
      </c>
      <c r="G579" t="s">
        <v>796</v>
      </c>
      <c r="H579" t="s">
        <v>1512</v>
      </c>
      <c r="I579" t="s">
        <v>1506</v>
      </c>
      <c r="K579" t="s">
        <v>1512</v>
      </c>
      <c r="L579" t="s">
        <v>821</v>
      </c>
    </row>
    <row r="580" spans="1:12" x14ac:dyDescent="0.3">
      <c r="A580" t="s">
        <v>790</v>
      </c>
      <c r="B580" t="s">
        <v>802</v>
      </c>
      <c r="C580" t="s">
        <v>1509</v>
      </c>
      <c r="D580" t="s">
        <v>913</v>
      </c>
      <c r="G580" t="s">
        <v>796</v>
      </c>
      <c r="H580" t="s">
        <v>823</v>
      </c>
      <c r="I580" t="s">
        <v>1402</v>
      </c>
      <c r="K580" t="s">
        <v>823</v>
      </c>
      <c r="L580" t="s">
        <v>821</v>
      </c>
    </row>
    <row r="581" spans="1:12" x14ac:dyDescent="0.3">
      <c r="A581" t="s">
        <v>790</v>
      </c>
      <c r="B581" t="s">
        <v>802</v>
      </c>
      <c r="C581" t="s">
        <v>1509</v>
      </c>
      <c r="D581" t="s">
        <v>914</v>
      </c>
      <c r="G581" t="s">
        <v>796</v>
      </c>
      <c r="H581" t="s">
        <v>1510</v>
      </c>
      <c r="I581" t="s">
        <v>1503</v>
      </c>
      <c r="K581" t="s">
        <v>1510</v>
      </c>
      <c r="L581" t="s">
        <v>821</v>
      </c>
    </row>
    <row r="582" spans="1:12" x14ac:dyDescent="0.3">
      <c r="A582" t="s">
        <v>790</v>
      </c>
      <c r="B582" t="s">
        <v>802</v>
      </c>
      <c r="C582" t="s">
        <v>1509</v>
      </c>
      <c r="D582" t="s">
        <v>915</v>
      </c>
      <c r="G582" t="s">
        <v>796</v>
      </c>
      <c r="H582" t="s">
        <v>1510</v>
      </c>
      <c r="I582" t="s">
        <v>1504</v>
      </c>
      <c r="K582" t="s">
        <v>1510</v>
      </c>
      <c r="L582" t="s">
        <v>821</v>
      </c>
    </row>
    <row r="583" spans="1:12" x14ac:dyDescent="0.3">
      <c r="A583" t="s">
        <v>794</v>
      </c>
      <c r="B583" t="s">
        <v>819</v>
      </c>
      <c r="C583" t="s">
        <v>823</v>
      </c>
      <c r="D583" t="s">
        <v>1394</v>
      </c>
      <c r="G583" t="s">
        <v>796</v>
      </c>
      <c r="H583" t="s">
        <v>1511</v>
      </c>
      <c r="I583" t="s">
        <v>1416</v>
      </c>
      <c r="K583" t="s">
        <v>1511</v>
      </c>
      <c r="L583" t="s">
        <v>821</v>
      </c>
    </row>
    <row r="584" spans="1:12" x14ac:dyDescent="0.3">
      <c r="A584" t="s">
        <v>794</v>
      </c>
      <c r="B584" t="s">
        <v>819</v>
      </c>
      <c r="C584" t="s">
        <v>1510</v>
      </c>
      <c r="D584" t="s">
        <v>1397</v>
      </c>
      <c r="G584" t="s">
        <v>796</v>
      </c>
      <c r="H584" t="s">
        <v>1511</v>
      </c>
      <c r="I584" t="s">
        <v>1417</v>
      </c>
      <c r="K584" t="s">
        <v>1511</v>
      </c>
      <c r="L584" t="s">
        <v>821</v>
      </c>
    </row>
    <row r="585" spans="1:12" x14ac:dyDescent="0.3">
      <c r="A585" t="s">
        <v>794</v>
      </c>
      <c r="B585" t="s">
        <v>819</v>
      </c>
      <c r="C585" t="s">
        <v>1509</v>
      </c>
      <c r="D585" t="s">
        <v>1395</v>
      </c>
      <c r="G585" t="s">
        <v>796</v>
      </c>
      <c r="H585" t="s">
        <v>1511</v>
      </c>
      <c r="I585" t="s">
        <v>1418</v>
      </c>
      <c r="K585" t="s">
        <v>1511</v>
      </c>
      <c r="L585" t="s">
        <v>821</v>
      </c>
    </row>
    <row r="586" spans="1:12" x14ac:dyDescent="0.3">
      <c r="A586" t="s">
        <v>794</v>
      </c>
      <c r="B586" t="s">
        <v>819</v>
      </c>
      <c r="C586" t="s">
        <v>1509</v>
      </c>
      <c r="D586" t="s">
        <v>1396</v>
      </c>
      <c r="G586" t="s">
        <v>796</v>
      </c>
      <c r="H586" t="s">
        <v>1511</v>
      </c>
      <c r="I586" t="s">
        <v>1419</v>
      </c>
      <c r="K586" t="s">
        <v>1511</v>
      </c>
      <c r="L586" t="s">
        <v>821</v>
      </c>
    </row>
    <row r="587" spans="1:12" x14ac:dyDescent="0.3">
      <c r="A587" t="s">
        <v>790</v>
      </c>
      <c r="B587" t="s">
        <v>813</v>
      </c>
      <c r="C587" t="s">
        <v>823</v>
      </c>
      <c r="D587" t="s">
        <v>944</v>
      </c>
      <c r="G587" t="s">
        <v>796</v>
      </c>
      <c r="H587" t="s">
        <v>1511</v>
      </c>
      <c r="I587" t="s">
        <v>1420</v>
      </c>
      <c r="K587" t="s">
        <v>1511</v>
      </c>
      <c r="L587" t="s">
        <v>821</v>
      </c>
    </row>
    <row r="588" spans="1:12" x14ac:dyDescent="0.3">
      <c r="A588" t="s">
        <v>790</v>
      </c>
      <c r="B588" t="s">
        <v>813</v>
      </c>
      <c r="C588" t="s">
        <v>1511</v>
      </c>
      <c r="D588" t="s">
        <v>945</v>
      </c>
      <c r="G588" t="s">
        <v>796</v>
      </c>
      <c r="H588" t="s">
        <v>1511</v>
      </c>
      <c r="I588" t="s">
        <v>1421</v>
      </c>
      <c r="K588" t="s">
        <v>1511</v>
      </c>
      <c r="L588" t="s">
        <v>821</v>
      </c>
    </row>
    <row r="589" spans="1:12" x14ac:dyDescent="0.3">
      <c r="A589" t="s">
        <v>790</v>
      </c>
      <c r="B589" t="s">
        <v>813</v>
      </c>
      <c r="C589" t="s">
        <v>1511</v>
      </c>
      <c r="D589" t="s">
        <v>946</v>
      </c>
      <c r="G589" t="s">
        <v>796</v>
      </c>
      <c r="H589" t="s">
        <v>1511</v>
      </c>
      <c r="I589" t="s">
        <v>1422</v>
      </c>
      <c r="K589" t="s">
        <v>1511</v>
      </c>
      <c r="L589" t="s">
        <v>821</v>
      </c>
    </row>
    <row r="590" spans="1:12" x14ac:dyDescent="0.3">
      <c r="A590" t="s">
        <v>790</v>
      </c>
      <c r="B590" t="s">
        <v>813</v>
      </c>
      <c r="C590" t="s">
        <v>1507</v>
      </c>
      <c r="D590" t="s">
        <v>947</v>
      </c>
      <c r="G590" t="s">
        <v>796</v>
      </c>
      <c r="H590" t="s">
        <v>1511</v>
      </c>
      <c r="I590" t="s">
        <v>1423</v>
      </c>
      <c r="K590" t="s">
        <v>1511</v>
      </c>
      <c r="L590" t="s">
        <v>821</v>
      </c>
    </row>
    <row r="591" spans="1:12" x14ac:dyDescent="0.3">
      <c r="A591" t="s">
        <v>790</v>
      </c>
      <c r="B591" t="s">
        <v>813</v>
      </c>
      <c r="C591" t="s">
        <v>1507</v>
      </c>
      <c r="D591" t="s">
        <v>948</v>
      </c>
      <c r="G591" t="s">
        <v>796</v>
      </c>
      <c r="H591" t="s">
        <v>1511</v>
      </c>
      <c r="I591" t="s">
        <v>1424</v>
      </c>
      <c r="K591" t="s">
        <v>1511</v>
      </c>
      <c r="L591" t="s">
        <v>821</v>
      </c>
    </row>
    <row r="592" spans="1:12" x14ac:dyDescent="0.3">
      <c r="A592" t="s">
        <v>790</v>
      </c>
      <c r="B592" t="s">
        <v>813</v>
      </c>
      <c r="C592" t="s">
        <v>1508</v>
      </c>
      <c r="D592" t="s">
        <v>949</v>
      </c>
      <c r="G592" t="s">
        <v>796</v>
      </c>
      <c r="H592" t="s">
        <v>1511</v>
      </c>
      <c r="I592" t="s">
        <v>1425</v>
      </c>
      <c r="K592" t="s">
        <v>1511</v>
      </c>
      <c r="L592" t="s">
        <v>821</v>
      </c>
    </row>
    <row r="593" spans="1:12" x14ac:dyDescent="0.3">
      <c r="A593" t="s">
        <v>790</v>
      </c>
      <c r="B593" t="s">
        <v>813</v>
      </c>
      <c r="C593" t="s">
        <v>1508</v>
      </c>
      <c r="D593" t="s">
        <v>950</v>
      </c>
      <c r="G593" t="s">
        <v>796</v>
      </c>
      <c r="H593" t="s">
        <v>1511</v>
      </c>
      <c r="I593" t="s">
        <v>1426</v>
      </c>
      <c r="K593" t="s">
        <v>1511</v>
      </c>
      <c r="L593" t="s">
        <v>821</v>
      </c>
    </row>
    <row r="594" spans="1:12" x14ac:dyDescent="0.3">
      <c r="A594" t="s">
        <v>793</v>
      </c>
      <c r="B594" t="s">
        <v>816</v>
      </c>
      <c r="C594" t="s">
        <v>1512</v>
      </c>
      <c r="D594" t="s">
        <v>1309</v>
      </c>
      <c r="G594" t="s">
        <v>796</v>
      </c>
      <c r="H594" t="s">
        <v>1511</v>
      </c>
      <c r="I594" t="s">
        <v>1427</v>
      </c>
      <c r="K594" t="s">
        <v>1511</v>
      </c>
      <c r="L594" t="s">
        <v>821</v>
      </c>
    </row>
    <row r="595" spans="1:12" x14ac:dyDescent="0.3">
      <c r="A595" t="s">
        <v>793</v>
      </c>
      <c r="B595" t="s">
        <v>816</v>
      </c>
      <c r="C595" t="s">
        <v>823</v>
      </c>
      <c r="D595" t="s">
        <v>1269</v>
      </c>
      <c r="G595" t="s">
        <v>796</v>
      </c>
      <c r="H595" t="s">
        <v>1511</v>
      </c>
      <c r="I595" t="s">
        <v>1428</v>
      </c>
      <c r="K595" t="s">
        <v>1511</v>
      </c>
      <c r="L595" t="s">
        <v>821</v>
      </c>
    </row>
    <row r="596" spans="1:12" x14ac:dyDescent="0.3">
      <c r="A596" t="s">
        <v>793</v>
      </c>
      <c r="B596" t="s">
        <v>816</v>
      </c>
      <c r="C596" t="s">
        <v>1510</v>
      </c>
      <c r="D596" t="s">
        <v>1306</v>
      </c>
      <c r="G596" t="s">
        <v>796</v>
      </c>
      <c r="H596" t="s">
        <v>1511</v>
      </c>
      <c r="I596" t="s">
        <v>1429</v>
      </c>
      <c r="K596" t="s">
        <v>1511</v>
      </c>
      <c r="L596" t="s">
        <v>821</v>
      </c>
    </row>
    <row r="597" spans="1:12" x14ac:dyDescent="0.3">
      <c r="A597" t="s">
        <v>793</v>
      </c>
      <c r="B597" t="s">
        <v>816</v>
      </c>
      <c r="C597" t="s">
        <v>1511</v>
      </c>
      <c r="D597" t="s">
        <v>1307</v>
      </c>
      <c r="G597" t="s">
        <v>796</v>
      </c>
      <c r="H597" t="s">
        <v>1511</v>
      </c>
      <c r="I597" t="s">
        <v>1430</v>
      </c>
      <c r="K597" t="s">
        <v>1511</v>
      </c>
      <c r="L597" t="s">
        <v>821</v>
      </c>
    </row>
    <row r="598" spans="1:12" x14ac:dyDescent="0.3">
      <c r="A598" t="s">
        <v>793</v>
      </c>
      <c r="B598" t="s">
        <v>816</v>
      </c>
      <c r="C598" t="s">
        <v>1507</v>
      </c>
      <c r="D598" t="s">
        <v>1308</v>
      </c>
      <c r="G598" t="s">
        <v>796</v>
      </c>
      <c r="H598" t="s">
        <v>1511</v>
      </c>
      <c r="I598" t="s">
        <v>1431</v>
      </c>
      <c r="K598" t="s">
        <v>1511</v>
      </c>
      <c r="L598" t="s">
        <v>821</v>
      </c>
    </row>
    <row r="599" spans="1:12" x14ac:dyDescent="0.3">
      <c r="A599" t="s">
        <v>793</v>
      </c>
      <c r="B599" t="s">
        <v>816</v>
      </c>
      <c r="C599" t="s">
        <v>1509</v>
      </c>
      <c r="D599" t="s">
        <v>1291</v>
      </c>
      <c r="G599" t="s">
        <v>796</v>
      </c>
      <c r="H599" t="s">
        <v>1511</v>
      </c>
      <c r="I599" t="s">
        <v>1432</v>
      </c>
      <c r="K599" t="s">
        <v>1511</v>
      </c>
      <c r="L599" t="s">
        <v>821</v>
      </c>
    </row>
    <row r="600" spans="1:12" x14ac:dyDescent="0.3">
      <c r="A600" t="s">
        <v>793</v>
      </c>
      <c r="B600" t="s">
        <v>816</v>
      </c>
      <c r="C600" t="s">
        <v>1509</v>
      </c>
      <c r="D600" t="s">
        <v>1292</v>
      </c>
      <c r="G600" t="s">
        <v>796</v>
      </c>
      <c r="H600" t="s">
        <v>1511</v>
      </c>
      <c r="I600" t="s">
        <v>1433</v>
      </c>
      <c r="K600" t="s">
        <v>1511</v>
      </c>
      <c r="L600" t="s">
        <v>821</v>
      </c>
    </row>
    <row r="601" spans="1:12" x14ac:dyDescent="0.3">
      <c r="A601" t="s">
        <v>793</v>
      </c>
      <c r="B601" t="s">
        <v>816</v>
      </c>
      <c r="C601" t="s">
        <v>1509</v>
      </c>
      <c r="D601" t="s">
        <v>1278</v>
      </c>
      <c r="G601" t="s">
        <v>796</v>
      </c>
      <c r="H601" t="s">
        <v>1511</v>
      </c>
      <c r="I601" t="s">
        <v>1434</v>
      </c>
      <c r="K601" t="s">
        <v>1511</v>
      </c>
      <c r="L601" t="s">
        <v>821</v>
      </c>
    </row>
    <row r="602" spans="1:12" x14ac:dyDescent="0.3">
      <c r="A602" t="s">
        <v>793</v>
      </c>
      <c r="B602" t="s">
        <v>816</v>
      </c>
      <c r="C602" t="s">
        <v>1509</v>
      </c>
      <c r="D602" t="s">
        <v>1293</v>
      </c>
      <c r="G602" t="s">
        <v>796</v>
      </c>
      <c r="H602" t="s">
        <v>1511</v>
      </c>
      <c r="I602" t="s">
        <v>1435</v>
      </c>
      <c r="K602" t="s">
        <v>1511</v>
      </c>
      <c r="L602" t="s">
        <v>821</v>
      </c>
    </row>
    <row r="603" spans="1:12" x14ac:dyDescent="0.3">
      <c r="A603" t="s">
        <v>793</v>
      </c>
      <c r="B603" t="s">
        <v>816</v>
      </c>
      <c r="C603" t="s">
        <v>1509</v>
      </c>
      <c r="D603" t="s">
        <v>1279</v>
      </c>
      <c r="G603" t="s">
        <v>796</v>
      </c>
      <c r="H603" t="s">
        <v>1511</v>
      </c>
      <c r="I603" t="s">
        <v>1436</v>
      </c>
      <c r="K603" t="s">
        <v>1511</v>
      </c>
      <c r="L603" t="s">
        <v>821</v>
      </c>
    </row>
    <row r="604" spans="1:12" x14ac:dyDescent="0.3">
      <c r="A604" t="s">
        <v>793</v>
      </c>
      <c r="B604" t="s">
        <v>816</v>
      </c>
      <c r="C604" t="s">
        <v>1509</v>
      </c>
      <c r="D604" t="s">
        <v>1294</v>
      </c>
      <c r="G604" t="s">
        <v>796</v>
      </c>
      <c r="H604" t="s">
        <v>1511</v>
      </c>
      <c r="I604" t="s">
        <v>1437</v>
      </c>
      <c r="K604" t="s">
        <v>1511</v>
      </c>
      <c r="L604" t="s">
        <v>821</v>
      </c>
    </row>
    <row r="605" spans="1:12" x14ac:dyDescent="0.3">
      <c r="A605" t="s">
        <v>793</v>
      </c>
      <c r="B605" t="s">
        <v>816</v>
      </c>
      <c r="C605" t="s">
        <v>1509</v>
      </c>
      <c r="D605" t="s">
        <v>1295</v>
      </c>
      <c r="G605" t="s">
        <v>796</v>
      </c>
      <c r="H605" t="s">
        <v>1511</v>
      </c>
      <c r="I605" t="s">
        <v>1438</v>
      </c>
      <c r="K605" t="s">
        <v>1511</v>
      </c>
      <c r="L605" t="s">
        <v>821</v>
      </c>
    </row>
    <row r="606" spans="1:12" x14ac:dyDescent="0.3">
      <c r="A606" t="s">
        <v>793</v>
      </c>
      <c r="B606" t="s">
        <v>816</v>
      </c>
      <c r="C606" t="s">
        <v>1509</v>
      </c>
      <c r="D606" t="s">
        <v>1280</v>
      </c>
      <c r="G606" t="s">
        <v>796</v>
      </c>
      <c r="H606" t="s">
        <v>1511</v>
      </c>
      <c r="I606" t="s">
        <v>1439</v>
      </c>
      <c r="K606" t="s">
        <v>1511</v>
      </c>
      <c r="L606" t="s">
        <v>821</v>
      </c>
    </row>
    <row r="607" spans="1:12" x14ac:dyDescent="0.3">
      <c r="A607" t="s">
        <v>793</v>
      </c>
      <c r="B607" t="s">
        <v>816</v>
      </c>
      <c r="C607" t="s">
        <v>1509</v>
      </c>
      <c r="D607" t="s">
        <v>1296</v>
      </c>
      <c r="G607" t="s">
        <v>796</v>
      </c>
      <c r="H607" t="s">
        <v>1511</v>
      </c>
      <c r="I607" t="s">
        <v>1440</v>
      </c>
      <c r="K607" t="s">
        <v>1511</v>
      </c>
      <c r="L607" t="s">
        <v>821</v>
      </c>
    </row>
    <row r="608" spans="1:12" x14ac:dyDescent="0.3">
      <c r="A608" t="s">
        <v>793</v>
      </c>
      <c r="B608" t="s">
        <v>816</v>
      </c>
      <c r="C608" t="s">
        <v>1509</v>
      </c>
      <c r="D608" t="s">
        <v>1297</v>
      </c>
      <c r="G608" t="s">
        <v>796</v>
      </c>
      <c r="H608" t="s">
        <v>1511</v>
      </c>
      <c r="I608" t="s">
        <v>1441</v>
      </c>
      <c r="K608" t="s">
        <v>1511</v>
      </c>
      <c r="L608" t="s">
        <v>821</v>
      </c>
    </row>
    <row r="609" spans="1:12" x14ac:dyDescent="0.3">
      <c r="A609" t="s">
        <v>793</v>
      </c>
      <c r="B609" t="s">
        <v>816</v>
      </c>
      <c r="C609" t="s">
        <v>1509</v>
      </c>
      <c r="D609" t="s">
        <v>1298</v>
      </c>
      <c r="G609" t="s">
        <v>796</v>
      </c>
      <c r="H609" t="s">
        <v>1511</v>
      </c>
      <c r="I609" t="s">
        <v>1442</v>
      </c>
      <c r="K609" t="s">
        <v>1511</v>
      </c>
      <c r="L609" t="s">
        <v>821</v>
      </c>
    </row>
    <row r="610" spans="1:12" x14ac:dyDescent="0.3">
      <c r="A610" t="s">
        <v>793</v>
      </c>
      <c r="B610" t="s">
        <v>816</v>
      </c>
      <c r="C610" t="s">
        <v>1509</v>
      </c>
      <c r="D610" t="s">
        <v>1299</v>
      </c>
      <c r="G610" t="s">
        <v>796</v>
      </c>
      <c r="H610" t="s">
        <v>1511</v>
      </c>
      <c r="I610" t="s">
        <v>1443</v>
      </c>
      <c r="K610" t="s">
        <v>1511</v>
      </c>
      <c r="L610" t="s">
        <v>821</v>
      </c>
    </row>
    <row r="611" spans="1:12" x14ac:dyDescent="0.3">
      <c r="A611" t="s">
        <v>793</v>
      </c>
      <c r="B611" t="s">
        <v>816</v>
      </c>
      <c r="C611" t="s">
        <v>1509</v>
      </c>
      <c r="D611" t="s">
        <v>1300</v>
      </c>
      <c r="G611" t="s">
        <v>796</v>
      </c>
      <c r="H611" t="s">
        <v>1511</v>
      </c>
      <c r="I611" t="s">
        <v>1444</v>
      </c>
      <c r="K611" t="s">
        <v>1511</v>
      </c>
      <c r="L611" t="s">
        <v>821</v>
      </c>
    </row>
    <row r="612" spans="1:12" x14ac:dyDescent="0.3">
      <c r="A612" t="s">
        <v>793</v>
      </c>
      <c r="B612" t="s">
        <v>816</v>
      </c>
      <c r="C612" t="s">
        <v>1509</v>
      </c>
      <c r="D612" t="s">
        <v>1281</v>
      </c>
      <c r="G612" t="s">
        <v>796</v>
      </c>
      <c r="H612" t="s">
        <v>1511</v>
      </c>
      <c r="I612" t="s">
        <v>1445</v>
      </c>
      <c r="K612" t="s">
        <v>1511</v>
      </c>
      <c r="L612" t="s">
        <v>821</v>
      </c>
    </row>
    <row r="613" spans="1:12" x14ac:dyDescent="0.3">
      <c r="A613" t="s">
        <v>793</v>
      </c>
      <c r="B613" t="s">
        <v>816</v>
      </c>
      <c r="C613" t="s">
        <v>1509</v>
      </c>
      <c r="D613" t="s">
        <v>1301</v>
      </c>
      <c r="G613" t="s">
        <v>796</v>
      </c>
      <c r="H613" t="s">
        <v>1511</v>
      </c>
      <c r="I613" t="s">
        <v>1446</v>
      </c>
      <c r="K613" t="s">
        <v>1511</v>
      </c>
      <c r="L613" t="s">
        <v>821</v>
      </c>
    </row>
    <row r="614" spans="1:12" x14ac:dyDescent="0.3">
      <c r="A614" t="s">
        <v>793</v>
      </c>
      <c r="B614" t="s">
        <v>816</v>
      </c>
      <c r="C614" t="s">
        <v>1509</v>
      </c>
      <c r="D614" t="s">
        <v>1302</v>
      </c>
      <c r="G614" t="s">
        <v>796</v>
      </c>
      <c r="H614" t="s">
        <v>1511</v>
      </c>
      <c r="I614" t="s">
        <v>1447</v>
      </c>
      <c r="K614" t="s">
        <v>1511</v>
      </c>
      <c r="L614" t="s">
        <v>821</v>
      </c>
    </row>
    <row r="615" spans="1:12" x14ac:dyDescent="0.3">
      <c r="A615" t="s">
        <v>793</v>
      </c>
      <c r="B615" t="s">
        <v>816</v>
      </c>
      <c r="C615" t="s">
        <v>1509</v>
      </c>
      <c r="D615" t="s">
        <v>1303</v>
      </c>
      <c r="G615" t="s">
        <v>796</v>
      </c>
      <c r="H615" t="s">
        <v>1511</v>
      </c>
      <c r="I615" t="s">
        <v>1448</v>
      </c>
      <c r="K615" t="s">
        <v>1511</v>
      </c>
      <c r="L615" t="s">
        <v>821</v>
      </c>
    </row>
    <row r="616" spans="1:12" x14ac:dyDescent="0.3">
      <c r="A616" t="s">
        <v>793</v>
      </c>
      <c r="B616" t="s">
        <v>816</v>
      </c>
      <c r="C616" t="s">
        <v>1509</v>
      </c>
      <c r="D616" t="s">
        <v>1304</v>
      </c>
      <c r="G616" t="s">
        <v>796</v>
      </c>
      <c r="H616" t="s">
        <v>1507</v>
      </c>
      <c r="I616" t="s">
        <v>1449</v>
      </c>
      <c r="K616" t="s">
        <v>1507</v>
      </c>
      <c r="L616" t="s">
        <v>821</v>
      </c>
    </row>
    <row r="617" spans="1:12" x14ac:dyDescent="0.3">
      <c r="A617" t="s">
        <v>793</v>
      </c>
      <c r="B617" t="s">
        <v>816</v>
      </c>
      <c r="C617" t="s">
        <v>1509</v>
      </c>
      <c r="D617" t="s">
        <v>1305</v>
      </c>
      <c r="G617" t="s">
        <v>796</v>
      </c>
      <c r="H617" t="s">
        <v>1507</v>
      </c>
      <c r="I617" t="s">
        <v>1450</v>
      </c>
      <c r="K617" t="s">
        <v>1507</v>
      </c>
      <c r="L617" t="s">
        <v>821</v>
      </c>
    </row>
    <row r="618" spans="1:12" x14ac:dyDescent="0.3">
      <c r="A618" t="s">
        <v>793</v>
      </c>
      <c r="B618" t="s">
        <v>816</v>
      </c>
      <c r="C618" t="s">
        <v>1509</v>
      </c>
      <c r="D618" t="s">
        <v>1282</v>
      </c>
      <c r="G618" t="s">
        <v>796</v>
      </c>
      <c r="H618" t="s">
        <v>1507</v>
      </c>
      <c r="I618" t="s">
        <v>1451</v>
      </c>
      <c r="K618" t="s">
        <v>1507</v>
      </c>
      <c r="L618" t="s">
        <v>821</v>
      </c>
    </row>
    <row r="619" spans="1:12" x14ac:dyDescent="0.3">
      <c r="A619" t="s">
        <v>793</v>
      </c>
      <c r="B619" t="s">
        <v>816</v>
      </c>
      <c r="C619" t="s">
        <v>1509</v>
      </c>
      <c r="D619" t="s">
        <v>1283</v>
      </c>
      <c r="G619" t="s">
        <v>796</v>
      </c>
      <c r="H619" t="s">
        <v>1507</v>
      </c>
      <c r="I619" t="s">
        <v>1452</v>
      </c>
      <c r="K619" t="s">
        <v>1507</v>
      </c>
      <c r="L619" t="s">
        <v>821</v>
      </c>
    </row>
    <row r="620" spans="1:12" x14ac:dyDescent="0.3">
      <c r="A620" t="s">
        <v>793</v>
      </c>
      <c r="B620" t="s">
        <v>816</v>
      </c>
      <c r="C620" t="s">
        <v>1509</v>
      </c>
      <c r="D620" t="s">
        <v>1284</v>
      </c>
      <c r="G620" t="s">
        <v>796</v>
      </c>
      <c r="H620" t="s">
        <v>1507</v>
      </c>
      <c r="I620" t="s">
        <v>1453</v>
      </c>
      <c r="K620" t="s">
        <v>1507</v>
      </c>
      <c r="L620" t="s">
        <v>821</v>
      </c>
    </row>
    <row r="621" spans="1:12" x14ac:dyDescent="0.3">
      <c r="A621" t="s">
        <v>793</v>
      </c>
      <c r="B621" t="s">
        <v>816</v>
      </c>
      <c r="C621" t="s">
        <v>1509</v>
      </c>
      <c r="D621" t="s">
        <v>1285</v>
      </c>
      <c r="G621" t="s">
        <v>796</v>
      </c>
      <c r="H621" t="s">
        <v>1507</v>
      </c>
      <c r="I621" t="s">
        <v>1454</v>
      </c>
      <c r="K621" t="s">
        <v>1507</v>
      </c>
      <c r="L621" t="s">
        <v>821</v>
      </c>
    </row>
    <row r="622" spans="1:12" x14ac:dyDescent="0.3">
      <c r="A622" t="s">
        <v>793</v>
      </c>
      <c r="B622" t="s">
        <v>816</v>
      </c>
      <c r="C622" t="s">
        <v>1509</v>
      </c>
      <c r="D622" t="s">
        <v>1286</v>
      </c>
      <c r="G622" t="s">
        <v>796</v>
      </c>
      <c r="H622" t="s">
        <v>1507</v>
      </c>
      <c r="I622" t="s">
        <v>1455</v>
      </c>
      <c r="K622" t="s">
        <v>1507</v>
      </c>
      <c r="L622" t="s">
        <v>821</v>
      </c>
    </row>
    <row r="623" spans="1:12" x14ac:dyDescent="0.3">
      <c r="A623" t="s">
        <v>793</v>
      </c>
      <c r="B623" t="s">
        <v>816</v>
      </c>
      <c r="C623" t="s">
        <v>1509</v>
      </c>
      <c r="D623" t="s">
        <v>1287</v>
      </c>
      <c r="G623" t="s">
        <v>796</v>
      </c>
      <c r="H623" t="s">
        <v>1507</v>
      </c>
      <c r="I623" t="s">
        <v>1456</v>
      </c>
      <c r="K623" t="s">
        <v>1507</v>
      </c>
      <c r="L623" t="s">
        <v>821</v>
      </c>
    </row>
    <row r="624" spans="1:12" x14ac:dyDescent="0.3">
      <c r="A624" t="s">
        <v>793</v>
      </c>
      <c r="B624" t="s">
        <v>816</v>
      </c>
      <c r="C624" t="s">
        <v>1509</v>
      </c>
      <c r="D624" t="s">
        <v>1288</v>
      </c>
      <c r="G624" t="s">
        <v>796</v>
      </c>
      <c r="H624" t="s">
        <v>1507</v>
      </c>
      <c r="I624" t="s">
        <v>1457</v>
      </c>
      <c r="K624" t="s">
        <v>1507</v>
      </c>
      <c r="L624" t="s">
        <v>821</v>
      </c>
    </row>
    <row r="625" spans="1:12" x14ac:dyDescent="0.3">
      <c r="A625" t="s">
        <v>793</v>
      </c>
      <c r="B625" t="s">
        <v>816</v>
      </c>
      <c r="C625" t="s">
        <v>1509</v>
      </c>
      <c r="D625" t="s">
        <v>1289</v>
      </c>
      <c r="G625" t="s">
        <v>796</v>
      </c>
      <c r="H625" t="s">
        <v>1507</v>
      </c>
      <c r="I625" t="s">
        <v>1458</v>
      </c>
      <c r="K625" t="s">
        <v>1507</v>
      </c>
      <c r="L625" t="s">
        <v>821</v>
      </c>
    </row>
    <row r="626" spans="1:12" x14ac:dyDescent="0.3">
      <c r="A626" t="s">
        <v>793</v>
      </c>
      <c r="B626" t="s">
        <v>816</v>
      </c>
      <c r="C626" t="s">
        <v>1509</v>
      </c>
      <c r="D626" t="s">
        <v>1290</v>
      </c>
      <c r="G626" t="s">
        <v>796</v>
      </c>
      <c r="H626" t="s">
        <v>1507</v>
      </c>
      <c r="I626" t="s">
        <v>1459</v>
      </c>
      <c r="K626" t="s">
        <v>1507</v>
      </c>
      <c r="L626" t="s">
        <v>821</v>
      </c>
    </row>
    <row r="627" spans="1:12" x14ac:dyDescent="0.3">
      <c r="A627" t="s">
        <v>793</v>
      </c>
      <c r="B627" t="s">
        <v>816</v>
      </c>
      <c r="C627" t="s">
        <v>1509</v>
      </c>
      <c r="D627" t="s">
        <v>1270</v>
      </c>
      <c r="G627" t="s">
        <v>796</v>
      </c>
      <c r="H627" t="s">
        <v>1507</v>
      </c>
      <c r="I627" t="s">
        <v>1460</v>
      </c>
      <c r="K627" t="s">
        <v>1507</v>
      </c>
      <c r="L627" t="s">
        <v>821</v>
      </c>
    </row>
    <row r="628" spans="1:12" x14ac:dyDescent="0.3">
      <c r="A628" t="s">
        <v>793</v>
      </c>
      <c r="B628" t="s">
        <v>816</v>
      </c>
      <c r="C628" t="s">
        <v>1509</v>
      </c>
      <c r="D628" t="s">
        <v>1271</v>
      </c>
      <c r="G628" t="s">
        <v>796</v>
      </c>
      <c r="H628" t="s">
        <v>1507</v>
      </c>
      <c r="I628" t="s">
        <v>1461</v>
      </c>
      <c r="K628" t="s">
        <v>1507</v>
      </c>
      <c r="L628" t="s">
        <v>821</v>
      </c>
    </row>
    <row r="629" spans="1:12" x14ac:dyDescent="0.3">
      <c r="A629" t="s">
        <v>793</v>
      </c>
      <c r="B629" t="s">
        <v>816</v>
      </c>
      <c r="C629" t="s">
        <v>1509</v>
      </c>
      <c r="D629" t="s">
        <v>1272</v>
      </c>
      <c r="G629" t="s">
        <v>796</v>
      </c>
      <c r="H629" t="s">
        <v>1507</v>
      </c>
      <c r="I629" t="s">
        <v>1462</v>
      </c>
      <c r="K629" t="s">
        <v>1507</v>
      </c>
      <c r="L629" t="s">
        <v>821</v>
      </c>
    </row>
    <row r="630" spans="1:12" x14ac:dyDescent="0.3">
      <c r="A630" t="s">
        <v>793</v>
      </c>
      <c r="B630" t="s">
        <v>816</v>
      </c>
      <c r="C630" t="s">
        <v>1509</v>
      </c>
      <c r="D630" t="s">
        <v>1273</v>
      </c>
      <c r="G630" t="s">
        <v>796</v>
      </c>
      <c r="H630" t="s">
        <v>1507</v>
      </c>
      <c r="I630" t="s">
        <v>1463</v>
      </c>
      <c r="K630" t="s">
        <v>1507</v>
      </c>
      <c r="L630" t="s">
        <v>821</v>
      </c>
    </row>
    <row r="631" spans="1:12" x14ac:dyDescent="0.3">
      <c r="A631" t="s">
        <v>793</v>
      </c>
      <c r="B631" t="s">
        <v>816</v>
      </c>
      <c r="C631" t="s">
        <v>1509</v>
      </c>
      <c r="D631" t="s">
        <v>1274</v>
      </c>
      <c r="G631" t="s">
        <v>796</v>
      </c>
      <c r="H631" t="s">
        <v>1507</v>
      </c>
      <c r="I631" t="s">
        <v>1464</v>
      </c>
      <c r="K631" t="s">
        <v>1507</v>
      </c>
      <c r="L631" t="s">
        <v>821</v>
      </c>
    </row>
    <row r="632" spans="1:12" x14ac:dyDescent="0.3">
      <c r="A632" t="s">
        <v>793</v>
      </c>
      <c r="B632" t="s">
        <v>816</v>
      </c>
      <c r="C632" t="s">
        <v>1509</v>
      </c>
      <c r="D632" t="s">
        <v>1275</v>
      </c>
      <c r="G632" t="s">
        <v>796</v>
      </c>
      <c r="H632" t="s">
        <v>1507</v>
      </c>
      <c r="I632" t="s">
        <v>1465</v>
      </c>
      <c r="K632" t="s">
        <v>1507</v>
      </c>
      <c r="L632" t="s">
        <v>821</v>
      </c>
    </row>
    <row r="633" spans="1:12" x14ac:dyDescent="0.3">
      <c r="A633" t="s">
        <v>793</v>
      </c>
      <c r="B633" t="s">
        <v>816</v>
      </c>
      <c r="C633" t="s">
        <v>1509</v>
      </c>
      <c r="D633" t="s">
        <v>1276</v>
      </c>
      <c r="G633" t="s">
        <v>796</v>
      </c>
      <c r="H633" t="s">
        <v>1507</v>
      </c>
      <c r="I633" t="s">
        <v>1466</v>
      </c>
      <c r="K633" t="s">
        <v>1507</v>
      </c>
      <c r="L633" t="s">
        <v>821</v>
      </c>
    </row>
    <row r="634" spans="1:12" x14ac:dyDescent="0.3">
      <c r="A634" t="s">
        <v>793</v>
      </c>
      <c r="B634" t="s">
        <v>816</v>
      </c>
      <c r="C634" t="s">
        <v>1509</v>
      </c>
      <c r="D634" t="s">
        <v>1277</v>
      </c>
      <c r="G634" t="s">
        <v>796</v>
      </c>
      <c r="H634" t="s">
        <v>1507</v>
      </c>
      <c r="I634" t="s">
        <v>1467</v>
      </c>
      <c r="K634" t="s">
        <v>1507</v>
      </c>
      <c r="L634" t="s">
        <v>821</v>
      </c>
    </row>
    <row r="635" spans="1:12" x14ac:dyDescent="0.3">
      <c r="A635" t="s">
        <v>790</v>
      </c>
      <c r="B635" t="s">
        <v>814</v>
      </c>
      <c r="C635" t="s">
        <v>823</v>
      </c>
      <c r="D635" t="s">
        <v>951</v>
      </c>
      <c r="G635" t="s">
        <v>796</v>
      </c>
      <c r="H635" t="s">
        <v>1507</v>
      </c>
      <c r="I635" t="s">
        <v>1468</v>
      </c>
      <c r="K635" t="s">
        <v>1507</v>
      </c>
      <c r="L635" t="s">
        <v>821</v>
      </c>
    </row>
    <row r="636" spans="1:12" x14ac:dyDescent="0.3">
      <c r="A636" t="s">
        <v>790</v>
      </c>
      <c r="B636" t="s">
        <v>814</v>
      </c>
      <c r="C636" t="s">
        <v>1511</v>
      </c>
      <c r="D636" t="s">
        <v>953</v>
      </c>
      <c r="G636" t="s">
        <v>796</v>
      </c>
      <c r="H636" t="s">
        <v>1507</v>
      </c>
      <c r="I636" t="s">
        <v>1469</v>
      </c>
      <c r="K636" t="s">
        <v>1507</v>
      </c>
      <c r="L636" t="s">
        <v>821</v>
      </c>
    </row>
    <row r="637" spans="1:12" x14ac:dyDescent="0.3">
      <c r="A637" t="s">
        <v>790</v>
      </c>
      <c r="B637" t="s">
        <v>814</v>
      </c>
      <c r="C637" t="s">
        <v>1511</v>
      </c>
      <c r="D637" t="s">
        <v>954</v>
      </c>
      <c r="G637" t="s">
        <v>796</v>
      </c>
      <c r="H637" t="s">
        <v>1507</v>
      </c>
      <c r="I637" t="s">
        <v>1470</v>
      </c>
      <c r="K637" t="s">
        <v>1507</v>
      </c>
      <c r="L637" t="s">
        <v>821</v>
      </c>
    </row>
    <row r="638" spans="1:12" x14ac:dyDescent="0.3">
      <c r="A638" t="s">
        <v>790</v>
      </c>
      <c r="B638" t="s">
        <v>814</v>
      </c>
      <c r="C638" t="s">
        <v>1511</v>
      </c>
      <c r="D638" t="s">
        <v>955</v>
      </c>
      <c r="G638" t="s">
        <v>796</v>
      </c>
      <c r="H638" t="s">
        <v>1507</v>
      </c>
      <c r="I638" t="s">
        <v>1471</v>
      </c>
      <c r="K638" t="s">
        <v>1507</v>
      </c>
      <c r="L638" t="s">
        <v>821</v>
      </c>
    </row>
    <row r="639" spans="1:12" x14ac:dyDescent="0.3">
      <c r="A639" t="s">
        <v>790</v>
      </c>
      <c r="B639" t="s">
        <v>814</v>
      </c>
      <c r="C639" t="s">
        <v>1507</v>
      </c>
      <c r="D639" t="s">
        <v>956</v>
      </c>
      <c r="G639" t="s">
        <v>796</v>
      </c>
      <c r="H639" t="s">
        <v>1507</v>
      </c>
      <c r="I639" t="s">
        <v>1472</v>
      </c>
      <c r="K639" t="s">
        <v>1507</v>
      </c>
      <c r="L639" t="s">
        <v>821</v>
      </c>
    </row>
    <row r="640" spans="1:12" x14ac:dyDescent="0.3">
      <c r="A640" t="s">
        <v>790</v>
      </c>
      <c r="B640" t="s">
        <v>814</v>
      </c>
      <c r="C640" t="s">
        <v>1507</v>
      </c>
      <c r="D640" t="s">
        <v>957</v>
      </c>
      <c r="G640" t="s">
        <v>796</v>
      </c>
      <c r="H640" t="s">
        <v>1507</v>
      </c>
      <c r="I640" t="s">
        <v>1473</v>
      </c>
      <c r="K640" t="s">
        <v>1507</v>
      </c>
      <c r="L640" t="s">
        <v>821</v>
      </c>
    </row>
    <row r="641" spans="1:12" x14ac:dyDescent="0.3">
      <c r="A641" t="s">
        <v>790</v>
      </c>
      <c r="B641" t="s">
        <v>814</v>
      </c>
      <c r="C641" t="s">
        <v>1507</v>
      </c>
      <c r="D641" t="s">
        <v>958</v>
      </c>
      <c r="G641" t="s">
        <v>796</v>
      </c>
      <c r="H641" t="s">
        <v>1507</v>
      </c>
      <c r="I641" t="s">
        <v>1474</v>
      </c>
      <c r="K641" t="s">
        <v>1507</v>
      </c>
      <c r="L641" t="s">
        <v>821</v>
      </c>
    </row>
    <row r="642" spans="1:12" x14ac:dyDescent="0.3">
      <c r="A642" t="s">
        <v>790</v>
      </c>
      <c r="B642" t="s">
        <v>814</v>
      </c>
      <c r="C642" t="s">
        <v>1508</v>
      </c>
      <c r="D642" t="s">
        <v>959</v>
      </c>
      <c r="G642" t="s">
        <v>796</v>
      </c>
      <c r="H642" t="s">
        <v>1507</v>
      </c>
      <c r="I642" t="s">
        <v>1475</v>
      </c>
      <c r="K642" t="s">
        <v>1507</v>
      </c>
      <c r="L642" t="s">
        <v>821</v>
      </c>
    </row>
    <row r="643" spans="1:12" x14ac:dyDescent="0.3">
      <c r="A643" t="s">
        <v>790</v>
      </c>
      <c r="B643" t="s">
        <v>814</v>
      </c>
      <c r="C643" t="s">
        <v>1509</v>
      </c>
      <c r="D643" t="s">
        <v>952</v>
      </c>
      <c r="G643" t="s">
        <v>796</v>
      </c>
      <c r="H643" t="s">
        <v>1507</v>
      </c>
      <c r="I643" t="s">
        <v>1476</v>
      </c>
      <c r="K643" t="s">
        <v>1507</v>
      </c>
      <c r="L643" t="s">
        <v>821</v>
      </c>
    </row>
    <row r="644" spans="1:12" x14ac:dyDescent="0.3">
      <c r="A644" t="s">
        <v>794</v>
      </c>
      <c r="B644" t="s">
        <v>1514</v>
      </c>
      <c r="C644" t="s">
        <v>1512</v>
      </c>
      <c r="D644" t="s">
        <v>1384</v>
      </c>
      <c r="G644" t="s">
        <v>796</v>
      </c>
      <c r="H644" t="s">
        <v>1507</v>
      </c>
      <c r="I644" t="s">
        <v>1477</v>
      </c>
      <c r="K644" t="s">
        <v>1507</v>
      </c>
      <c r="L644" t="s">
        <v>821</v>
      </c>
    </row>
    <row r="645" spans="1:12" x14ac:dyDescent="0.3">
      <c r="A645" t="s">
        <v>794</v>
      </c>
      <c r="B645" t="s">
        <v>1514</v>
      </c>
      <c r="C645" t="s">
        <v>823</v>
      </c>
      <c r="D645" t="s">
        <v>1372</v>
      </c>
      <c r="G645" t="s">
        <v>796</v>
      </c>
      <c r="H645" t="s">
        <v>1507</v>
      </c>
      <c r="I645" t="s">
        <v>1478</v>
      </c>
      <c r="K645" t="s">
        <v>1507</v>
      </c>
      <c r="L645" t="s">
        <v>821</v>
      </c>
    </row>
    <row r="646" spans="1:12" x14ac:dyDescent="0.3">
      <c r="A646" t="s">
        <v>794</v>
      </c>
      <c r="B646" t="s">
        <v>1514</v>
      </c>
      <c r="C646" t="s">
        <v>1511</v>
      </c>
      <c r="D646" t="s">
        <v>1382</v>
      </c>
      <c r="G646" t="s">
        <v>796</v>
      </c>
      <c r="H646" t="s">
        <v>1507</v>
      </c>
      <c r="I646" t="s">
        <v>1479</v>
      </c>
      <c r="K646" t="s">
        <v>1507</v>
      </c>
      <c r="L646" t="s">
        <v>821</v>
      </c>
    </row>
    <row r="647" spans="1:12" x14ac:dyDescent="0.3">
      <c r="A647" t="s">
        <v>794</v>
      </c>
      <c r="B647" t="s">
        <v>1514</v>
      </c>
      <c r="C647" t="s">
        <v>1507</v>
      </c>
      <c r="D647" t="s">
        <v>1383</v>
      </c>
      <c r="G647" t="s">
        <v>796</v>
      </c>
      <c r="H647" t="s">
        <v>1507</v>
      </c>
      <c r="I647" t="s">
        <v>1480</v>
      </c>
      <c r="K647" t="s">
        <v>1507</v>
      </c>
      <c r="L647" t="s">
        <v>821</v>
      </c>
    </row>
    <row r="648" spans="1:12" x14ac:dyDescent="0.3">
      <c r="A648" t="s">
        <v>794</v>
      </c>
      <c r="B648" t="s">
        <v>1514</v>
      </c>
      <c r="C648" t="s">
        <v>1509</v>
      </c>
      <c r="D648" t="s">
        <v>1381</v>
      </c>
      <c r="G648" t="s">
        <v>796</v>
      </c>
      <c r="H648" t="s">
        <v>1507</v>
      </c>
      <c r="I648" t="s">
        <v>1481</v>
      </c>
      <c r="K648" t="s">
        <v>1507</v>
      </c>
      <c r="L648" t="s">
        <v>821</v>
      </c>
    </row>
    <row r="649" spans="1:12" x14ac:dyDescent="0.3">
      <c r="A649" t="s">
        <v>794</v>
      </c>
      <c r="B649" t="s">
        <v>1514</v>
      </c>
      <c r="C649" t="s">
        <v>1509</v>
      </c>
      <c r="D649" t="s">
        <v>1373</v>
      </c>
      <c r="G649" t="s">
        <v>796</v>
      </c>
      <c r="H649" t="s">
        <v>1508</v>
      </c>
      <c r="I649" t="s">
        <v>1482</v>
      </c>
      <c r="K649" t="s">
        <v>1508</v>
      </c>
      <c r="L649" t="s">
        <v>821</v>
      </c>
    </row>
    <row r="650" spans="1:12" x14ac:dyDescent="0.3">
      <c r="A650" t="s">
        <v>794</v>
      </c>
      <c r="B650" t="s">
        <v>1514</v>
      </c>
      <c r="C650" t="s">
        <v>1509</v>
      </c>
      <c r="D650" t="s">
        <v>1374</v>
      </c>
      <c r="G650" t="s">
        <v>796</v>
      </c>
      <c r="H650" t="s">
        <v>1508</v>
      </c>
      <c r="I650" t="s">
        <v>1483</v>
      </c>
      <c r="K650" t="s">
        <v>1508</v>
      </c>
      <c r="L650" t="s">
        <v>821</v>
      </c>
    </row>
    <row r="651" spans="1:12" x14ac:dyDescent="0.3">
      <c r="A651" t="s">
        <v>794</v>
      </c>
      <c r="B651" t="s">
        <v>1514</v>
      </c>
      <c r="C651" t="s">
        <v>1509</v>
      </c>
      <c r="D651" t="s">
        <v>1375</v>
      </c>
      <c r="G651" t="s">
        <v>796</v>
      </c>
      <c r="H651" t="s">
        <v>1508</v>
      </c>
      <c r="I651" t="s">
        <v>1484</v>
      </c>
      <c r="K651" t="s">
        <v>1508</v>
      </c>
      <c r="L651" t="s">
        <v>821</v>
      </c>
    </row>
    <row r="652" spans="1:12" x14ac:dyDescent="0.3">
      <c r="A652" t="s">
        <v>794</v>
      </c>
      <c r="B652" t="s">
        <v>1514</v>
      </c>
      <c r="C652" t="s">
        <v>1509</v>
      </c>
      <c r="D652" t="s">
        <v>1376</v>
      </c>
      <c r="G652" t="s">
        <v>796</v>
      </c>
      <c r="H652" t="s">
        <v>1508</v>
      </c>
      <c r="I652" t="s">
        <v>1485</v>
      </c>
      <c r="K652" t="s">
        <v>1508</v>
      </c>
      <c r="L652" t="s">
        <v>821</v>
      </c>
    </row>
    <row r="653" spans="1:12" x14ac:dyDescent="0.3">
      <c r="A653" t="s">
        <v>794</v>
      </c>
      <c r="B653" t="s">
        <v>1514</v>
      </c>
      <c r="C653" t="s">
        <v>1509</v>
      </c>
      <c r="D653" t="s">
        <v>1377</v>
      </c>
      <c r="G653" t="s">
        <v>796</v>
      </c>
      <c r="H653" t="s">
        <v>1508</v>
      </c>
      <c r="I653" t="s">
        <v>1486</v>
      </c>
      <c r="K653" t="s">
        <v>1508</v>
      </c>
      <c r="L653" t="s">
        <v>821</v>
      </c>
    </row>
    <row r="654" spans="1:12" x14ac:dyDescent="0.3">
      <c r="A654" t="s">
        <v>794</v>
      </c>
      <c r="B654" t="s">
        <v>1514</v>
      </c>
      <c r="C654" t="s">
        <v>1509</v>
      </c>
      <c r="D654" t="s">
        <v>1378</v>
      </c>
      <c r="G654" t="s">
        <v>796</v>
      </c>
      <c r="H654" t="s">
        <v>1508</v>
      </c>
      <c r="I654" t="s">
        <v>1487</v>
      </c>
      <c r="K654" t="s">
        <v>1508</v>
      </c>
      <c r="L654" t="s">
        <v>821</v>
      </c>
    </row>
    <row r="655" spans="1:12" x14ac:dyDescent="0.3">
      <c r="A655" t="s">
        <v>794</v>
      </c>
      <c r="B655" t="s">
        <v>1514</v>
      </c>
      <c r="C655" t="s">
        <v>1509</v>
      </c>
      <c r="D655" t="s">
        <v>1379</v>
      </c>
      <c r="G655" t="s">
        <v>796</v>
      </c>
      <c r="H655" t="s">
        <v>1508</v>
      </c>
      <c r="I655" t="s">
        <v>1488</v>
      </c>
      <c r="K655" t="s">
        <v>1508</v>
      </c>
      <c r="L655" t="s">
        <v>821</v>
      </c>
    </row>
    <row r="656" spans="1:12" x14ac:dyDescent="0.3">
      <c r="A656" t="s">
        <v>794</v>
      </c>
      <c r="B656" t="s">
        <v>1514</v>
      </c>
      <c r="C656" t="s">
        <v>1509</v>
      </c>
      <c r="D656" t="s">
        <v>1380</v>
      </c>
      <c r="G656" t="s">
        <v>796</v>
      </c>
      <c r="H656" t="s">
        <v>1508</v>
      </c>
      <c r="I656" t="s">
        <v>1489</v>
      </c>
      <c r="K656" t="s">
        <v>1508</v>
      </c>
      <c r="L656" t="s">
        <v>821</v>
      </c>
    </row>
    <row r="657" spans="1:12" x14ac:dyDescent="0.3">
      <c r="A657" t="s">
        <v>797</v>
      </c>
      <c r="B657" t="s">
        <v>811</v>
      </c>
      <c r="C657" t="s">
        <v>823</v>
      </c>
      <c r="D657" t="s">
        <v>1111</v>
      </c>
      <c r="G657" t="s">
        <v>796</v>
      </c>
      <c r="H657" t="s">
        <v>1508</v>
      </c>
      <c r="I657" t="s">
        <v>1490</v>
      </c>
      <c r="K657" t="s">
        <v>1508</v>
      </c>
      <c r="L657" t="s">
        <v>821</v>
      </c>
    </row>
    <row r="658" spans="1:12" x14ac:dyDescent="0.3">
      <c r="A658" t="s">
        <v>797</v>
      </c>
      <c r="B658" t="s">
        <v>811</v>
      </c>
      <c r="C658" t="s">
        <v>823</v>
      </c>
      <c r="D658" t="s">
        <v>1117</v>
      </c>
      <c r="G658" t="s">
        <v>796</v>
      </c>
      <c r="H658" t="s">
        <v>1508</v>
      </c>
      <c r="I658" t="s">
        <v>1491</v>
      </c>
      <c r="K658" t="s">
        <v>1508</v>
      </c>
      <c r="L658" t="s">
        <v>821</v>
      </c>
    </row>
    <row r="659" spans="1:12" x14ac:dyDescent="0.3">
      <c r="A659" t="s">
        <v>797</v>
      </c>
      <c r="B659" t="s">
        <v>811</v>
      </c>
      <c r="C659" t="s">
        <v>823</v>
      </c>
      <c r="D659" t="s">
        <v>1120</v>
      </c>
      <c r="G659" t="s">
        <v>796</v>
      </c>
      <c r="H659" t="s">
        <v>1508</v>
      </c>
      <c r="I659" t="s">
        <v>1492</v>
      </c>
      <c r="K659" t="s">
        <v>1508</v>
      </c>
      <c r="L659" t="s">
        <v>821</v>
      </c>
    </row>
    <row r="660" spans="1:12" x14ac:dyDescent="0.3">
      <c r="A660" t="s">
        <v>797</v>
      </c>
      <c r="B660" t="s">
        <v>811</v>
      </c>
      <c r="C660" t="s">
        <v>1510</v>
      </c>
      <c r="D660" t="s">
        <v>1116</v>
      </c>
      <c r="G660" t="s">
        <v>796</v>
      </c>
      <c r="H660" t="s">
        <v>1508</v>
      </c>
      <c r="I660" t="s">
        <v>1493</v>
      </c>
      <c r="K660" t="s">
        <v>1508</v>
      </c>
      <c r="L660" t="s">
        <v>821</v>
      </c>
    </row>
    <row r="661" spans="1:12" x14ac:dyDescent="0.3">
      <c r="A661" t="s">
        <v>797</v>
      </c>
      <c r="B661" t="s">
        <v>811</v>
      </c>
      <c r="C661" t="s">
        <v>1509</v>
      </c>
      <c r="D661" t="s">
        <v>1112</v>
      </c>
      <c r="G661" t="s">
        <v>796</v>
      </c>
      <c r="H661" t="s">
        <v>1508</v>
      </c>
      <c r="I661" t="s">
        <v>1494</v>
      </c>
      <c r="K661" t="s">
        <v>1508</v>
      </c>
      <c r="L661" t="s">
        <v>821</v>
      </c>
    </row>
    <row r="662" spans="1:12" x14ac:dyDescent="0.3">
      <c r="A662" t="s">
        <v>797</v>
      </c>
      <c r="B662" t="s">
        <v>811</v>
      </c>
      <c r="C662" t="s">
        <v>1509</v>
      </c>
      <c r="D662" t="s">
        <v>1113</v>
      </c>
      <c r="G662" t="s">
        <v>796</v>
      </c>
      <c r="H662" t="s">
        <v>1508</v>
      </c>
      <c r="I662" t="s">
        <v>1495</v>
      </c>
      <c r="K662" t="s">
        <v>1508</v>
      </c>
      <c r="L662" t="s">
        <v>821</v>
      </c>
    </row>
    <row r="663" spans="1:12" x14ac:dyDescent="0.3">
      <c r="A663" t="s">
        <v>797</v>
      </c>
      <c r="B663" t="s">
        <v>811</v>
      </c>
      <c r="C663" t="s">
        <v>1509</v>
      </c>
      <c r="D663" t="s">
        <v>1114</v>
      </c>
      <c r="G663" t="s">
        <v>796</v>
      </c>
      <c r="H663" t="s">
        <v>1508</v>
      </c>
      <c r="I663" t="s">
        <v>1496</v>
      </c>
      <c r="K663" t="s">
        <v>1508</v>
      </c>
      <c r="L663" t="s">
        <v>821</v>
      </c>
    </row>
    <row r="664" spans="1:12" x14ac:dyDescent="0.3">
      <c r="A664" t="s">
        <v>797</v>
      </c>
      <c r="B664" t="s">
        <v>811</v>
      </c>
      <c r="C664" t="s">
        <v>1509</v>
      </c>
      <c r="D664" t="s">
        <v>1115</v>
      </c>
      <c r="G664" t="s">
        <v>796</v>
      </c>
      <c r="H664" t="s">
        <v>1508</v>
      </c>
      <c r="I664" t="s">
        <v>1497</v>
      </c>
      <c r="K664" t="s">
        <v>1508</v>
      </c>
      <c r="L664" t="s">
        <v>821</v>
      </c>
    </row>
    <row r="665" spans="1:12" x14ac:dyDescent="0.3">
      <c r="A665" t="s">
        <v>797</v>
      </c>
      <c r="B665" t="s">
        <v>811</v>
      </c>
      <c r="C665" t="s">
        <v>1509</v>
      </c>
      <c r="D665" t="s">
        <v>1118</v>
      </c>
      <c r="G665" t="s">
        <v>796</v>
      </c>
      <c r="H665" t="s">
        <v>1508</v>
      </c>
      <c r="I665" t="s">
        <v>1498</v>
      </c>
      <c r="K665" t="s">
        <v>1508</v>
      </c>
      <c r="L665" t="s">
        <v>821</v>
      </c>
    </row>
    <row r="666" spans="1:12" x14ac:dyDescent="0.3">
      <c r="A666" t="s">
        <v>797</v>
      </c>
      <c r="B666" t="s">
        <v>811</v>
      </c>
      <c r="C666" t="s">
        <v>1509</v>
      </c>
      <c r="D666" t="s">
        <v>1119</v>
      </c>
      <c r="G666" t="s">
        <v>796</v>
      </c>
      <c r="H666" t="s">
        <v>1508</v>
      </c>
      <c r="I666" t="s">
        <v>1499</v>
      </c>
      <c r="K666" t="s">
        <v>1508</v>
      </c>
      <c r="L666" t="s">
        <v>821</v>
      </c>
    </row>
    <row r="667" spans="1:12" x14ac:dyDescent="0.3">
      <c r="A667" t="s">
        <v>791</v>
      </c>
      <c r="B667" t="s">
        <v>809</v>
      </c>
      <c r="C667" t="s">
        <v>1512</v>
      </c>
      <c r="D667" t="s">
        <v>874</v>
      </c>
      <c r="G667" t="s">
        <v>796</v>
      </c>
      <c r="H667" t="s">
        <v>1508</v>
      </c>
      <c r="I667" t="s">
        <v>1500</v>
      </c>
      <c r="K667" t="s">
        <v>1508</v>
      </c>
      <c r="L667" t="s">
        <v>821</v>
      </c>
    </row>
    <row r="668" spans="1:12" x14ac:dyDescent="0.3">
      <c r="A668" t="s">
        <v>791</v>
      </c>
      <c r="B668" t="s">
        <v>809</v>
      </c>
      <c r="C668" t="s">
        <v>823</v>
      </c>
      <c r="D668" t="s">
        <v>859</v>
      </c>
      <c r="G668" t="s">
        <v>796</v>
      </c>
      <c r="H668" t="s">
        <v>1508</v>
      </c>
      <c r="I668" t="s">
        <v>1501</v>
      </c>
      <c r="K668" t="s">
        <v>1508</v>
      </c>
      <c r="L668" t="s">
        <v>821</v>
      </c>
    </row>
    <row r="669" spans="1:12" x14ac:dyDescent="0.3">
      <c r="A669" t="s">
        <v>791</v>
      </c>
      <c r="B669" t="s">
        <v>809</v>
      </c>
      <c r="C669" t="s">
        <v>1511</v>
      </c>
      <c r="D669" t="s">
        <v>860</v>
      </c>
      <c r="G669" t="s">
        <v>796</v>
      </c>
      <c r="H669" t="s">
        <v>1508</v>
      </c>
      <c r="I669" t="s">
        <v>1502</v>
      </c>
      <c r="K669" t="s">
        <v>1508</v>
      </c>
      <c r="L669" t="s">
        <v>821</v>
      </c>
    </row>
    <row r="670" spans="1:12" x14ac:dyDescent="0.3">
      <c r="A670" t="s">
        <v>791</v>
      </c>
      <c r="B670" t="s">
        <v>809</v>
      </c>
      <c r="C670" t="s">
        <v>1511</v>
      </c>
      <c r="D670" t="s">
        <v>861</v>
      </c>
      <c r="G670" t="s">
        <v>796</v>
      </c>
      <c r="H670" t="s">
        <v>1509</v>
      </c>
      <c r="I670" t="s">
        <v>1410</v>
      </c>
      <c r="K670" t="s">
        <v>1509</v>
      </c>
      <c r="L670" t="s">
        <v>821</v>
      </c>
    </row>
    <row r="671" spans="1:12" x14ac:dyDescent="0.3">
      <c r="A671" t="s">
        <v>791</v>
      </c>
      <c r="B671" t="s">
        <v>809</v>
      </c>
      <c r="C671" t="s">
        <v>1511</v>
      </c>
      <c r="D671" t="s">
        <v>862</v>
      </c>
      <c r="G671" t="s">
        <v>796</v>
      </c>
      <c r="H671" t="s">
        <v>1509</v>
      </c>
      <c r="I671" t="s">
        <v>1411</v>
      </c>
      <c r="K671" t="s">
        <v>1509</v>
      </c>
      <c r="L671" t="s">
        <v>821</v>
      </c>
    </row>
    <row r="672" spans="1:12" x14ac:dyDescent="0.3">
      <c r="A672" t="s">
        <v>791</v>
      </c>
      <c r="B672" t="s">
        <v>809</v>
      </c>
      <c r="C672" t="s">
        <v>1511</v>
      </c>
      <c r="D672" t="s">
        <v>863</v>
      </c>
      <c r="G672" t="s">
        <v>796</v>
      </c>
      <c r="H672" t="s">
        <v>1509</v>
      </c>
      <c r="I672" t="s">
        <v>1412</v>
      </c>
      <c r="K672" t="s">
        <v>1509</v>
      </c>
      <c r="L672" t="s">
        <v>821</v>
      </c>
    </row>
    <row r="673" spans="1:12" x14ac:dyDescent="0.3">
      <c r="A673" t="s">
        <v>791</v>
      </c>
      <c r="B673" t="s">
        <v>809</v>
      </c>
      <c r="C673" t="s">
        <v>1511</v>
      </c>
      <c r="D673" t="s">
        <v>864</v>
      </c>
      <c r="G673" t="s">
        <v>796</v>
      </c>
      <c r="H673" t="s">
        <v>1509</v>
      </c>
      <c r="I673" t="s">
        <v>1413</v>
      </c>
      <c r="K673" t="s">
        <v>1509</v>
      </c>
      <c r="L673" t="s">
        <v>821</v>
      </c>
    </row>
    <row r="674" spans="1:12" x14ac:dyDescent="0.3">
      <c r="A674" t="s">
        <v>791</v>
      </c>
      <c r="B674" t="s">
        <v>809</v>
      </c>
      <c r="C674" t="s">
        <v>1511</v>
      </c>
      <c r="D674" t="s">
        <v>865</v>
      </c>
      <c r="G674" t="s">
        <v>796</v>
      </c>
      <c r="H674" t="s">
        <v>1509</v>
      </c>
      <c r="I674" t="s">
        <v>1414</v>
      </c>
      <c r="K674" t="s">
        <v>1509</v>
      </c>
      <c r="L674" t="s">
        <v>821</v>
      </c>
    </row>
    <row r="675" spans="1:12" x14ac:dyDescent="0.3">
      <c r="A675" t="s">
        <v>791</v>
      </c>
      <c r="B675" t="s">
        <v>809</v>
      </c>
      <c r="C675" t="s">
        <v>1507</v>
      </c>
      <c r="D675" t="s">
        <v>866</v>
      </c>
      <c r="G675" t="s">
        <v>796</v>
      </c>
      <c r="H675" t="s">
        <v>1509</v>
      </c>
      <c r="I675" t="s">
        <v>1415</v>
      </c>
      <c r="K675" t="s">
        <v>1509</v>
      </c>
      <c r="L675" t="s">
        <v>821</v>
      </c>
    </row>
    <row r="676" spans="1:12" x14ac:dyDescent="0.3">
      <c r="A676" t="s">
        <v>791</v>
      </c>
      <c r="B676" t="s">
        <v>809</v>
      </c>
      <c r="C676" t="s">
        <v>1507</v>
      </c>
      <c r="D676" t="s">
        <v>867</v>
      </c>
      <c r="G676" t="s">
        <v>796</v>
      </c>
      <c r="H676" t="s">
        <v>1509</v>
      </c>
      <c r="I676" t="s">
        <v>1403</v>
      </c>
      <c r="K676" t="s">
        <v>1509</v>
      </c>
      <c r="L676" t="s">
        <v>821</v>
      </c>
    </row>
    <row r="677" spans="1:12" x14ac:dyDescent="0.3">
      <c r="A677" t="s">
        <v>791</v>
      </c>
      <c r="B677" t="s">
        <v>809</v>
      </c>
      <c r="C677" t="s">
        <v>1507</v>
      </c>
      <c r="D677" t="s">
        <v>868</v>
      </c>
      <c r="G677" t="s">
        <v>796</v>
      </c>
      <c r="H677" t="s">
        <v>1509</v>
      </c>
      <c r="I677" t="s">
        <v>1404</v>
      </c>
      <c r="K677" t="s">
        <v>1509</v>
      </c>
      <c r="L677" t="s">
        <v>821</v>
      </c>
    </row>
    <row r="678" spans="1:12" x14ac:dyDescent="0.3">
      <c r="A678" t="s">
        <v>791</v>
      </c>
      <c r="B678" t="s">
        <v>809</v>
      </c>
      <c r="C678" t="s">
        <v>1507</v>
      </c>
      <c r="D678" t="s">
        <v>869</v>
      </c>
      <c r="G678" t="s">
        <v>796</v>
      </c>
      <c r="H678" t="s">
        <v>1509</v>
      </c>
      <c r="I678" t="s">
        <v>1405</v>
      </c>
      <c r="K678" t="s">
        <v>1509</v>
      </c>
      <c r="L678" t="s">
        <v>821</v>
      </c>
    </row>
    <row r="679" spans="1:12" x14ac:dyDescent="0.3">
      <c r="A679" t="s">
        <v>791</v>
      </c>
      <c r="B679" t="s">
        <v>809</v>
      </c>
      <c r="C679" t="s">
        <v>1507</v>
      </c>
      <c r="D679" t="s">
        <v>870</v>
      </c>
      <c r="G679" t="s">
        <v>796</v>
      </c>
      <c r="H679" t="s">
        <v>1509</v>
      </c>
      <c r="I679" t="s">
        <v>1406</v>
      </c>
      <c r="K679" t="s">
        <v>1509</v>
      </c>
      <c r="L679" t="s">
        <v>821</v>
      </c>
    </row>
    <row r="680" spans="1:12" x14ac:dyDescent="0.3">
      <c r="A680" t="s">
        <v>791</v>
      </c>
      <c r="B680" t="s">
        <v>809</v>
      </c>
      <c r="C680" t="s">
        <v>1507</v>
      </c>
      <c r="D680" t="s">
        <v>871</v>
      </c>
      <c r="G680" t="s">
        <v>796</v>
      </c>
      <c r="H680" t="s">
        <v>1509</v>
      </c>
      <c r="I680" t="s">
        <v>1407</v>
      </c>
      <c r="K680" t="s">
        <v>1509</v>
      </c>
      <c r="L680" t="s">
        <v>821</v>
      </c>
    </row>
    <row r="681" spans="1:12" x14ac:dyDescent="0.3">
      <c r="A681" t="s">
        <v>791</v>
      </c>
      <c r="B681" t="s">
        <v>809</v>
      </c>
      <c r="C681" t="s">
        <v>1508</v>
      </c>
      <c r="D681" t="s">
        <v>872</v>
      </c>
      <c r="G681" t="s">
        <v>796</v>
      </c>
      <c r="H681" t="s">
        <v>1509</v>
      </c>
      <c r="I681" t="s">
        <v>1408</v>
      </c>
      <c r="K681" t="s">
        <v>1509</v>
      </c>
      <c r="L681" t="s">
        <v>821</v>
      </c>
    </row>
    <row r="682" spans="1:12" x14ac:dyDescent="0.3">
      <c r="A682" t="s">
        <v>791</v>
      </c>
      <c r="B682" t="s">
        <v>809</v>
      </c>
      <c r="C682" t="s">
        <v>1508</v>
      </c>
      <c r="D682" t="s">
        <v>873</v>
      </c>
      <c r="G682" t="s">
        <v>796</v>
      </c>
      <c r="H682" t="s">
        <v>1509</v>
      </c>
      <c r="I682" t="s">
        <v>1409</v>
      </c>
      <c r="K682" t="s">
        <v>1509</v>
      </c>
      <c r="L682" t="s">
        <v>821</v>
      </c>
    </row>
  </sheetData>
  <autoFilter ref="A1:D682">
    <sortState ref="A2:D682">
      <sortCondition ref="B1"/>
    </sortState>
  </autoFilter>
  <sortState ref="A1:D683">
    <sortCondition ref="A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ommandButton5">
          <controlPr autoLine="0" r:id="rId5">
            <anchor moveWithCells="1">
              <from>
                <xdr:col>21</xdr:col>
                <xdr:colOff>350520</xdr:colOff>
                <xdr:row>1</xdr:row>
                <xdr:rowOff>83820</xdr:rowOff>
              </from>
              <to>
                <xdr:col>24</xdr:col>
                <xdr:colOff>68580</xdr:colOff>
                <xdr:row>6</xdr:row>
                <xdr:rowOff>22860</xdr:rowOff>
              </to>
            </anchor>
          </controlPr>
        </control>
      </mc:Choice>
      <mc:Fallback>
        <control shapeId="8205" r:id="rId4" name="CommandButton5"/>
      </mc:Fallback>
    </mc:AlternateContent>
    <mc:AlternateContent xmlns:mc="http://schemas.openxmlformats.org/markup-compatibility/2006">
      <mc:Choice Requires="x14">
        <control shapeId="8204" r:id="rId6" name="CommandButton4">
          <controlPr autoLine="0" r:id="rId7">
            <anchor moveWithCells="1">
              <from>
                <xdr:col>23</xdr:col>
                <xdr:colOff>30480</xdr:colOff>
                <xdr:row>1</xdr:row>
                <xdr:rowOff>152400</xdr:rowOff>
              </from>
              <to>
                <xdr:col>23</xdr:col>
                <xdr:colOff>487680</xdr:colOff>
                <xdr:row>3</xdr:row>
                <xdr:rowOff>60960</xdr:rowOff>
              </to>
            </anchor>
          </controlPr>
        </control>
      </mc:Choice>
      <mc:Fallback>
        <control shapeId="8204" r:id="rId6" name="CommandButton4"/>
      </mc:Fallback>
    </mc:AlternateContent>
    <mc:AlternateContent xmlns:mc="http://schemas.openxmlformats.org/markup-compatibility/2006">
      <mc:Choice Requires="x14">
        <control shapeId="8194" r:id="rId8" name="CommandButton1">
          <controlPr autoLine="0" r:id="rId9">
            <anchor moveWithCells="1">
              <from>
                <xdr:col>14</xdr:col>
                <xdr:colOff>289560</xdr:colOff>
                <xdr:row>3</xdr:row>
                <xdr:rowOff>53340</xdr:rowOff>
              </from>
              <to>
                <xdr:col>22</xdr:col>
                <xdr:colOff>358140</xdr:colOff>
                <xdr:row>5</xdr:row>
                <xdr:rowOff>182880</xdr:rowOff>
              </to>
            </anchor>
          </controlPr>
        </control>
      </mc:Choice>
      <mc:Fallback>
        <control shapeId="8194" r:id="rId8" name="CommandButton1"/>
      </mc:Fallback>
    </mc:AlternateContent>
    <mc:AlternateContent xmlns:mc="http://schemas.openxmlformats.org/markup-compatibility/2006">
      <mc:Choice Requires="x14">
        <control shapeId="8193" r:id="rId10" name="TreeView41">
          <controlPr autoLine="0" autoPict="0" r:id="rId11">
            <anchor moveWithCells="1">
              <from>
                <xdr:col>14</xdr:col>
                <xdr:colOff>251460</xdr:colOff>
                <xdr:row>5</xdr:row>
                <xdr:rowOff>182880</xdr:rowOff>
              </from>
              <to>
                <xdr:col>22</xdr:col>
                <xdr:colOff>342900</xdr:colOff>
                <xdr:row>26</xdr:row>
                <xdr:rowOff>60960</xdr:rowOff>
              </to>
            </anchor>
          </controlPr>
        </control>
      </mc:Choice>
      <mc:Fallback>
        <control shapeId="8193" r:id="rId10" name="TreeView41"/>
      </mc:Fallback>
    </mc:AlternateContent>
    <mc:AlternateContent xmlns:mc="http://schemas.openxmlformats.org/markup-compatibility/2006">
      <mc:Choice Requires="x14">
        <control shapeId="8198" r:id="rId12" name="CommandButton2">
          <controlPr autoLine="0" r:id="rId13">
            <anchor moveWithCells="1">
              <from>
                <xdr:col>17</xdr:col>
                <xdr:colOff>121920</xdr:colOff>
                <xdr:row>1</xdr:row>
                <xdr:rowOff>99060</xdr:rowOff>
              </from>
              <to>
                <xdr:col>17</xdr:col>
                <xdr:colOff>579120</xdr:colOff>
                <xdr:row>3</xdr:row>
                <xdr:rowOff>7620</xdr:rowOff>
              </to>
            </anchor>
          </controlPr>
        </control>
      </mc:Choice>
      <mc:Fallback>
        <control shapeId="8198" r:id="rId12" name="CommandButton2"/>
      </mc:Fallback>
    </mc:AlternateContent>
    <mc:AlternateContent xmlns:mc="http://schemas.openxmlformats.org/markup-compatibility/2006">
      <mc:Choice Requires="x14">
        <control shapeId="8199" r:id="rId14" name="CommonDialog1">
          <controlPr autoLine="0" autoPict="0" r:id="rId15">
            <anchor moveWithCells="1">
              <from>
                <xdr:col>5</xdr:col>
                <xdr:colOff>0</xdr:colOff>
                <xdr:row>110</xdr:row>
                <xdr:rowOff>76200</xdr:rowOff>
              </from>
              <to>
                <xdr:col>13</xdr:col>
                <xdr:colOff>304800</xdr:colOff>
                <xdr:row>112</xdr:row>
                <xdr:rowOff>15240</xdr:rowOff>
              </to>
            </anchor>
          </controlPr>
        </control>
      </mc:Choice>
      <mc:Fallback>
        <control shapeId="8199" r:id="rId14" name="CommonDialog1"/>
      </mc:Fallback>
    </mc:AlternateContent>
    <mc:AlternateContent xmlns:mc="http://schemas.openxmlformats.org/markup-compatibility/2006">
      <mc:Choice Requires="x14">
        <control shapeId="8201" r:id="rId16" name="CommandButton3">
          <controlPr autoLine="0" r:id="rId17">
            <anchor moveWithCells="1">
              <from>
                <xdr:col>15</xdr:col>
                <xdr:colOff>7620</xdr:colOff>
                <xdr:row>1</xdr:row>
                <xdr:rowOff>99060</xdr:rowOff>
              </from>
              <to>
                <xdr:col>15</xdr:col>
                <xdr:colOff>464820</xdr:colOff>
                <xdr:row>3</xdr:row>
                <xdr:rowOff>7620</xdr:rowOff>
              </to>
            </anchor>
          </controlPr>
        </control>
      </mc:Choice>
      <mc:Fallback>
        <control shapeId="8201" r:id="rId16" name="CommandButton3"/>
      </mc:Fallback>
    </mc:AlternateContent>
    <mc:AlternateContent xmlns:mc="http://schemas.openxmlformats.org/markup-compatibility/2006">
      <mc:Choice Requires="x14">
        <control shapeId="8202" r:id="rId18" name="ImageList311">
          <controlPr autoLine="0" autoPict="0" r:id="rId19">
            <anchor moveWithCells="1">
              <from>
                <xdr:col>13</xdr:col>
                <xdr:colOff>167640</xdr:colOff>
                <xdr:row>1</xdr:row>
                <xdr:rowOff>45720</xdr:rowOff>
              </from>
              <to>
                <xdr:col>14</xdr:col>
                <xdr:colOff>175260</xdr:colOff>
                <xdr:row>3</xdr:row>
                <xdr:rowOff>30480</xdr:rowOff>
              </to>
            </anchor>
          </controlPr>
        </control>
      </mc:Choice>
      <mc:Fallback>
        <control shapeId="8202" r:id="rId18" name="ImageList311"/>
      </mc:Fallback>
    </mc:AlternateContent>
    <mc:AlternateContent xmlns:mc="http://schemas.openxmlformats.org/markup-compatibility/2006">
      <mc:Choice Requires="x14">
        <control shapeId="8203" r:id="rId20" name="Button 11">
          <controlPr defaultSize="0" autoFill="0" autoPict="0">
            <anchor moveWithCells="1">
              <from>
                <xdr:col>19</xdr:col>
                <xdr:colOff>236220</xdr:colOff>
                <xdr:row>1</xdr:row>
                <xdr:rowOff>99060</xdr:rowOff>
              </from>
              <to>
                <xdr:col>20</xdr:col>
                <xdr:colOff>83820</xdr:colOff>
                <xdr:row>3</xdr:row>
                <xdr:rowOff>7620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N3" sqref="N3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WebBrowser1">
          <controlPr autoFill="0" autoLine="0" autoPict="0" r:id="rId4">
            <anchor moveWithCells="1">
              <from>
                <xdr:col>3</xdr:col>
                <xdr:colOff>83820</xdr:colOff>
                <xdr:row>3</xdr:row>
                <xdr:rowOff>83820</xdr:rowOff>
              </from>
              <to>
                <xdr:col>9</xdr:col>
                <xdr:colOff>190500</xdr:colOff>
                <xdr:row>14</xdr:row>
                <xdr:rowOff>121920</xdr:rowOff>
              </to>
            </anchor>
          </controlPr>
        </control>
      </mc:Choice>
      <mc:Fallback>
        <control shapeId="14337" r:id="rId3" name="WebBrowser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683"/>
  <sheetViews>
    <sheetView workbookViewId="0">
      <selection activeCell="E14" sqref="E14"/>
    </sheetView>
  </sheetViews>
  <sheetFormatPr defaultRowHeight="14.4" x14ac:dyDescent="0.3"/>
  <cols>
    <col min="1" max="1" width="15.33203125" bestFit="1" customWidth="1"/>
    <col min="2" max="2" width="15.33203125" customWidth="1"/>
    <col min="3" max="3" width="31.77734375" bestFit="1" customWidth="1"/>
    <col min="4" max="4" width="14.77734375" bestFit="1" customWidth="1"/>
    <col min="5" max="5" width="13.6640625" bestFit="1" customWidth="1"/>
    <col min="10" max="10" width="14.77734375" style="9" bestFit="1" customWidth="1"/>
    <col min="11" max="11" width="15.33203125" bestFit="1" customWidth="1"/>
  </cols>
  <sheetData>
    <row r="1" spans="1:12" x14ac:dyDescent="0.3">
      <c r="A1" s="12" t="s">
        <v>789</v>
      </c>
      <c r="B1" s="17"/>
      <c r="C1" t="s">
        <v>118</v>
      </c>
      <c r="D1" t="s">
        <v>116</v>
      </c>
      <c r="E1" t="s">
        <v>117</v>
      </c>
      <c r="F1" t="s">
        <v>798</v>
      </c>
      <c r="J1" s="9" t="s">
        <v>116</v>
      </c>
      <c r="K1" t="s">
        <v>789</v>
      </c>
      <c r="L1" t="s">
        <v>823</v>
      </c>
    </row>
    <row r="2" spans="1:12" x14ac:dyDescent="0.3">
      <c r="A2" s="13" t="str">
        <f>VLOOKUP(Table_Query_from_CMSFIL[[#This Row],[COMPANYNO]],$J$1:$K$39,2)</f>
        <v>Other</v>
      </c>
      <c r="B2" s="18" t="str">
        <f>VLOOKUP(Table_Query_from_CMSFIL[[#This Row],[COMPANYNO]],J:L,3)</f>
        <v>AllCoAllDiv</v>
      </c>
      <c r="C2" t="s">
        <v>162</v>
      </c>
      <c r="D2">
        <v>0</v>
      </c>
      <c r="E2">
        <v>0</v>
      </c>
      <c r="J2" s="9">
        <v>0</v>
      </c>
      <c r="K2" t="s">
        <v>797</v>
      </c>
      <c r="L2" t="s">
        <v>799</v>
      </c>
    </row>
    <row r="3" spans="1:12" x14ac:dyDescent="0.3">
      <c r="A3" s="16" t="str">
        <f>VLOOKUP(Table_Query_from_CMSFIL[[#This Row],[COMPANYNO]],$J$1:$K$39,2)</f>
        <v>Dragados USA</v>
      </c>
      <c r="B3" s="18" t="str">
        <f>VLOOKUP(Table_Query_from_CMSFIL[[#This Row],[COMPANYNO]],J:L,3)</f>
        <v>New York</v>
      </c>
      <c r="C3" t="s">
        <v>152</v>
      </c>
      <c r="D3">
        <v>1</v>
      </c>
      <c r="E3">
        <v>1</v>
      </c>
      <c r="J3" s="9">
        <v>1</v>
      </c>
      <c r="K3" t="s">
        <v>790</v>
      </c>
      <c r="L3" t="s">
        <v>800</v>
      </c>
    </row>
    <row r="4" spans="1:12" x14ac:dyDescent="0.3">
      <c r="A4" s="13" t="str">
        <f>VLOOKUP(Table_Query_from_CMSFIL[[#This Row],[COMPANYNO]],$J$1:$K$39,2)</f>
        <v>Dragados USA</v>
      </c>
      <c r="B4" s="18" t="str">
        <f>VLOOKUP(Table_Query_from_CMSFIL[[#This Row],[COMPANYNO]],J:L,3)</f>
        <v>New York</v>
      </c>
      <c r="C4" t="s">
        <v>155</v>
      </c>
      <c r="D4">
        <v>1</v>
      </c>
      <c r="E4">
        <v>301</v>
      </c>
      <c r="J4" s="9">
        <v>2</v>
      </c>
      <c r="K4" t="s">
        <v>790</v>
      </c>
      <c r="L4" t="s">
        <v>801</v>
      </c>
    </row>
    <row r="5" spans="1:12" x14ac:dyDescent="0.3">
      <c r="A5" s="16" t="str">
        <f>VLOOKUP(Table_Query_from_CMSFIL[[#This Row],[COMPANYNO]],$J$1:$K$39,2)</f>
        <v>Dragados USA</v>
      </c>
      <c r="B5" s="18" t="str">
        <f>VLOOKUP(Table_Query_from_CMSFIL[[#This Row],[COMPANYNO]],J:L,3)</f>
        <v>New York</v>
      </c>
      <c r="C5" t="s">
        <v>165</v>
      </c>
      <c r="D5">
        <v>1</v>
      </c>
      <c r="E5">
        <v>302</v>
      </c>
      <c r="J5" s="9">
        <v>3</v>
      </c>
      <c r="K5" t="s">
        <v>790</v>
      </c>
      <c r="L5" t="s">
        <v>802</v>
      </c>
    </row>
    <row r="6" spans="1:12" x14ac:dyDescent="0.3">
      <c r="A6" s="13" t="str">
        <f>VLOOKUP(Table_Query_from_CMSFIL[[#This Row],[COMPANYNO]],$J$1:$K$39,2)</f>
        <v>Dragados USA</v>
      </c>
      <c r="B6" s="18" t="str">
        <f>VLOOKUP(Table_Query_from_CMSFIL[[#This Row],[COMPANYNO]],J:L,3)</f>
        <v>New York</v>
      </c>
      <c r="C6" t="s">
        <v>338</v>
      </c>
      <c r="D6">
        <v>1</v>
      </c>
      <c r="E6">
        <v>303</v>
      </c>
      <c r="J6" s="9">
        <v>4</v>
      </c>
      <c r="K6" t="s">
        <v>790</v>
      </c>
      <c r="L6" t="s">
        <v>803</v>
      </c>
    </row>
    <row r="7" spans="1:12" x14ac:dyDescent="0.3">
      <c r="A7" s="16" t="str">
        <f>VLOOKUP(Table_Query_from_CMSFIL[[#This Row],[COMPANYNO]],$J$1:$K$39,2)</f>
        <v>Dragados USA</v>
      </c>
      <c r="B7" s="18" t="str">
        <f>VLOOKUP(Table_Query_from_CMSFIL[[#This Row],[COMPANYNO]],J:L,3)</f>
        <v>New York</v>
      </c>
      <c r="C7" t="s">
        <v>339</v>
      </c>
      <c r="D7">
        <v>1</v>
      </c>
      <c r="E7">
        <v>304</v>
      </c>
      <c r="J7" s="9">
        <v>5</v>
      </c>
      <c r="K7" t="s">
        <v>790</v>
      </c>
      <c r="L7" t="s">
        <v>804</v>
      </c>
    </row>
    <row r="8" spans="1:12" x14ac:dyDescent="0.3">
      <c r="A8" s="13" t="str">
        <f>VLOOKUP(Table_Query_from_CMSFIL[[#This Row],[COMPANYNO]],$J$1:$K$39,2)</f>
        <v>Dragados USA</v>
      </c>
      <c r="B8" s="18" t="str">
        <f>VLOOKUP(Table_Query_from_CMSFIL[[#This Row],[COMPANYNO]],J:L,3)</f>
        <v>New York</v>
      </c>
      <c r="C8" t="s">
        <v>355</v>
      </c>
      <c r="D8">
        <v>1</v>
      </c>
      <c r="E8">
        <v>305</v>
      </c>
      <c r="J8" s="9">
        <v>6</v>
      </c>
      <c r="K8" t="s">
        <v>790</v>
      </c>
      <c r="L8" t="s">
        <v>805</v>
      </c>
    </row>
    <row r="9" spans="1:12" x14ac:dyDescent="0.3">
      <c r="A9" s="16" t="str">
        <f>VLOOKUP(Table_Query_from_CMSFIL[[#This Row],[COMPANYNO]],$J$1:$K$39,2)</f>
        <v>Dragados USA</v>
      </c>
      <c r="B9" s="18" t="str">
        <f>VLOOKUP(Table_Query_from_CMSFIL[[#This Row],[COMPANYNO]],J:L,3)</f>
        <v>New York</v>
      </c>
      <c r="C9" t="s">
        <v>356</v>
      </c>
      <c r="D9">
        <v>1</v>
      </c>
      <c r="E9">
        <v>501</v>
      </c>
      <c r="J9" s="9">
        <v>7</v>
      </c>
      <c r="K9" t="s">
        <v>790</v>
      </c>
      <c r="L9" t="s">
        <v>815</v>
      </c>
    </row>
    <row r="10" spans="1:12" x14ac:dyDescent="0.3">
      <c r="A10" s="13" t="str">
        <f>VLOOKUP(Table_Query_from_CMSFIL[[#This Row],[COMPANYNO]],$J$1:$K$39,2)</f>
        <v>Dragados USA</v>
      </c>
      <c r="B10" s="18" t="str">
        <f>VLOOKUP(Table_Query_from_CMSFIL[[#This Row],[COMPANYNO]],J:L,3)</f>
        <v>New York</v>
      </c>
      <c r="C10" t="s">
        <v>357</v>
      </c>
      <c r="D10">
        <v>1</v>
      </c>
      <c r="E10">
        <v>502</v>
      </c>
      <c r="J10" s="9">
        <v>8</v>
      </c>
      <c r="K10" t="s">
        <v>790</v>
      </c>
      <c r="L10" t="s">
        <v>807</v>
      </c>
    </row>
    <row r="11" spans="1:12" x14ac:dyDescent="0.3">
      <c r="A11" s="16" t="str">
        <f>VLOOKUP(Table_Query_from_CMSFIL[[#This Row],[COMPANYNO]],$J$1:$K$39,2)</f>
        <v>Dragados USA</v>
      </c>
      <c r="B11" s="18" t="str">
        <f>VLOOKUP(Table_Query_from_CMSFIL[[#This Row],[COMPANYNO]],J:L,3)</f>
        <v>New York</v>
      </c>
      <c r="C11" t="s">
        <v>425</v>
      </c>
      <c r="D11">
        <v>1</v>
      </c>
      <c r="E11">
        <v>503</v>
      </c>
      <c r="J11" s="9">
        <v>9</v>
      </c>
      <c r="K11" t="s">
        <v>791</v>
      </c>
      <c r="L11" t="s">
        <v>808</v>
      </c>
    </row>
    <row r="12" spans="1:12" x14ac:dyDescent="0.3">
      <c r="A12" s="13" t="str">
        <f>VLOOKUP(Table_Query_from_CMSFIL[[#This Row],[COMPANYNO]],$J$1:$K$39,2)</f>
        <v>Dragados USA</v>
      </c>
      <c r="B12" s="18" t="str">
        <f>VLOOKUP(Table_Query_from_CMSFIL[[#This Row],[COMPANYNO]],J:L,3)</f>
        <v>New York</v>
      </c>
      <c r="C12" t="s">
        <v>426</v>
      </c>
      <c r="D12">
        <v>1</v>
      </c>
      <c r="E12">
        <v>504</v>
      </c>
      <c r="J12" s="9">
        <v>10</v>
      </c>
      <c r="K12" t="s">
        <v>791</v>
      </c>
      <c r="L12" t="s">
        <v>809</v>
      </c>
    </row>
    <row r="13" spans="1:12" x14ac:dyDescent="0.3">
      <c r="A13" s="16" t="str">
        <f>VLOOKUP(Table_Query_from_CMSFIL[[#This Row],[COMPANYNO]],$J$1:$K$39,2)</f>
        <v>Dragados USA</v>
      </c>
      <c r="B13" s="18" t="str">
        <f>VLOOKUP(Table_Query_from_CMSFIL[[#This Row],[COMPANYNO]],J:L,3)</f>
        <v>New York</v>
      </c>
      <c r="C13" t="s">
        <v>489</v>
      </c>
      <c r="D13">
        <v>1</v>
      </c>
      <c r="E13">
        <v>505</v>
      </c>
      <c r="J13" s="9">
        <v>11</v>
      </c>
      <c r="K13" t="s">
        <v>791</v>
      </c>
      <c r="L13" t="s">
        <v>810</v>
      </c>
    </row>
    <row r="14" spans="1:12" x14ac:dyDescent="0.3">
      <c r="A14" s="13" t="str">
        <f>VLOOKUP(Table_Query_from_CMSFIL[[#This Row],[COMPANYNO]],$J$1:$K$39,2)</f>
        <v>Dragados USA</v>
      </c>
      <c r="B14" s="18" t="str">
        <f>VLOOKUP(Table_Query_from_CMSFIL[[#This Row],[COMPANYNO]],J:L,3)</f>
        <v>New York</v>
      </c>
      <c r="C14" t="s">
        <v>490</v>
      </c>
      <c r="D14">
        <v>1</v>
      </c>
      <c r="E14">
        <v>2</v>
      </c>
      <c r="J14" s="9">
        <v>12</v>
      </c>
      <c r="K14" t="s">
        <v>797</v>
      </c>
      <c r="L14" t="s">
        <v>811</v>
      </c>
    </row>
    <row r="15" spans="1:12" x14ac:dyDescent="0.3">
      <c r="A15" s="16" t="str">
        <f>VLOOKUP(Table_Query_from_CMSFIL[[#This Row],[COMPANYNO]],$J$1:$K$39,2)</f>
        <v>Dragados USA</v>
      </c>
      <c r="B15" s="18" t="str">
        <f>VLOOKUP(Table_Query_from_CMSFIL[[#This Row],[COMPANYNO]],J:L,3)</f>
        <v>New York</v>
      </c>
      <c r="C15" t="s">
        <v>515</v>
      </c>
      <c r="D15">
        <v>1</v>
      </c>
      <c r="E15">
        <v>3</v>
      </c>
      <c r="J15" s="9">
        <v>13</v>
      </c>
      <c r="K15" t="s">
        <v>791</v>
      </c>
      <c r="L15" t="s">
        <v>812</v>
      </c>
    </row>
    <row r="16" spans="1:12" x14ac:dyDescent="0.3">
      <c r="A16" s="13" t="str">
        <f>VLOOKUP(Table_Query_from_CMSFIL[[#This Row],[COMPANYNO]],$J$1:$K$39,2)</f>
        <v>Dragados USA</v>
      </c>
      <c r="B16" s="18" t="str">
        <f>VLOOKUP(Table_Query_from_CMSFIL[[#This Row],[COMPANYNO]],J:L,3)</f>
        <v>New York</v>
      </c>
      <c r="C16" t="s">
        <v>516</v>
      </c>
      <c r="D16">
        <v>1</v>
      </c>
      <c r="E16">
        <v>299</v>
      </c>
      <c r="J16" s="9">
        <v>20</v>
      </c>
      <c r="K16" t="s">
        <v>790</v>
      </c>
      <c r="L16" t="s">
        <v>813</v>
      </c>
    </row>
    <row r="17" spans="1:12" x14ac:dyDescent="0.3">
      <c r="A17" s="16" t="str">
        <f>VLOOKUP(Table_Query_from_CMSFIL[[#This Row],[COMPANYNO]],$J$1:$K$39,2)</f>
        <v>Dragados USA</v>
      </c>
      <c r="B17" s="18" t="str">
        <f>VLOOKUP(Table_Query_from_CMSFIL[[#This Row],[COMPANYNO]],J:L,3)</f>
        <v>New York</v>
      </c>
      <c r="C17" t="s">
        <v>517</v>
      </c>
      <c r="D17">
        <v>1</v>
      </c>
      <c r="E17">
        <v>506</v>
      </c>
      <c r="J17" s="9">
        <v>22</v>
      </c>
      <c r="K17" t="s">
        <v>790</v>
      </c>
      <c r="L17" t="s">
        <v>814</v>
      </c>
    </row>
    <row r="18" spans="1:12" x14ac:dyDescent="0.3">
      <c r="A18" s="13" t="str">
        <f>VLOOKUP(Table_Query_from_CMSFIL[[#This Row],[COMPANYNO]],$J$1:$K$39,2)</f>
        <v>Dragados USA</v>
      </c>
      <c r="B18" s="18" t="str">
        <f>VLOOKUP(Table_Query_from_CMSFIL[[#This Row],[COMPANYNO]],J:L,3)</f>
        <v>New York</v>
      </c>
      <c r="C18" t="s">
        <v>541</v>
      </c>
      <c r="D18">
        <v>1</v>
      </c>
      <c r="E18">
        <v>306</v>
      </c>
      <c r="J18" s="9">
        <v>45</v>
      </c>
      <c r="K18" t="s">
        <v>792</v>
      </c>
      <c r="L18" t="s">
        <v>806</v>
      </c>
    </row>
    <row r="19" spans="1:12" x14ac:dyDescent="0.3">
      <c r="A19" s="16" t="str">
        <f>VLOOKUP(Table_Query_from_CMSFIL[[#This Row],[COMPANYNO]],$J$1:$K$39,2)</f>
        <v>Dragados USA</v>
      </c>
      <c r="B19" s="18" t="str">
        <f>VLOOKUP(Table_Query_from_CMSFIL[[#This Row],[COMPANYNO]],J:L,3)</f>
        <v>Florida</v>
      </c>
      <c r="C19" t="s">
        <v>542</v>
      </c>
      <c r="D19">
        <v>2</v>
      </c>
      <c r="E19">
        <v>1</v>
      </c>
      <c r="J19" s="9">
        <v>50</v>
      </c>
      <c r="K19" t="s">
        <v>793</v>
      </c>
      <c r="L19" t="s">
        <v>816</v>
      </c>
    </row>
    <row r="20" spans="1:12" x14ac:dyDescent="0.3">
      <c r="A20" s="13" t="str">
        <f>VLOOKUP(Table_Query_from_CMSFIL[[#This Row],[COMPANYNO]],$J$1:$K$39,2)</f>
        <v>Dragados USA</v>
      </c>
      <c r="B20" s="18" t="str">
        <f>VLOOKUP(Table_Query_from_CMSFIL[[#This Row],[COMPANYNO]],J:L,3)</f>
        <v>Florida</v>
      </c>
      <c r="C20" t="s">
        <v>543</v>
      </c>
      <c r="D20">
        <v>2</v>
      </c>
      <c r="E20">
        <v>301</v>
      </c>
      <c r="J20" s="9">
        <v>60</v>
      </c>
      <c r="K20" t="s">
        <v>794</v>
      </c>
      <c r="L20" t="s">
        <v>817</v>
      </c>
    </row>
    <row r="21" spans="1:12" x14ac:dyDescent="0.3">
      <c r="A21" s="16" t="str">
        <f>VLOOKUP(Table_Query_from_CMSFIL[[#This Row],[COMPANYNO]],$J$1:$K$39,2)</f>
        <v>Dragados USA</v>
      </c>
      <c r="B21" s="18" t="str">
        <f>VLOOKUP(Table_Query_from_CMSFIL[[#This Row],[COMPANYNO]],J:L,3)</f>
        <v>Florida</v>
      </c>
      <c r="C21" t="s">
        <v>552</v>
      </c>
      <c r="D21">
        <v>2</v>
      </c>
      <c r="E21">
        <v>501</v>
      </c>
      <c r="J21" s="9">
        <v>61</v>
      </c>
      <c r="K21" t="s">
        <v>794</v>
      </c>
      <c r="L21" t="s">
        <v>805</v>
      </c>
    </row>
    <row r="22" spans="1:12" x14ac:dyDescent="0.3">
      <c r="A22" s="13" t="str">
        <f>VLOOKUP(Table_Query_from_CMSFIL[[#This Row],[COMPANYNO]],$J$1:$K$39,2)</f>
        <v>Dragados USA</v>
      </c>
      <c r="B22" s="18" t="str">
        <f>VLOOKUP(Table_Query_from_CMSFIL[[#This Row],[COMPANYNO]],J:L,3)</f>
        <v>Florida</v>
      </c>
      <c r="C22" t="s">
        <v>553</v>
      </c>
      <c r="D22">
        <v>2</v>
      </c>
      <c r="E22">
        <v>2</v>
      </c>
      <c r="J22" s="9">
        <v>62</v>
      </c>
      <c r="K22" t="s">
        <v>794</v>
      </c>
      <c r="L22" t="s">
        <v>814</v>
      </c>
    </row>
    <row r="23" spans="1:12" x14ac:dyDescent="0.3">
      <c r="A23" s="16" t="str">
        <f>VLOOKUP(Table_Query_from_CMSFIL[[#This Row],[COMPANYNO]],$J$1:$K$39,2)</f>
        <v>Dragados USA</v>
      </c>
      <c r="B23" s="18" t="str">
        <f>VLOOKUP(Table_Query_from_CMSFIL[[#This Row],[COMPANYNO]],J:L,3)</f>
        <v>Florida</v>
      </c>
      <c r="C23" t="s">
        <v>665</v>
      </c>
      <c r="D23">
        <v>2</v>
      </c>
      <c r="E23">
        <v>3</v>
      </c>
      <c r="J23" s="9">
        <v>65</v>
      </c>
      <c r="K23" t="s">
        <v>794</v>
      </c>
      <c r="L23" t="s">
        <v>818</v>
      </c>
    </row>
    <row r="24" spans="1:12" x14ac:dyDescent="0.3">
      <c r="A24" s="13" t="str">
        <f>VLOOKUP(Table_Query_from_CMSFIL[[#This Row],[COMPANYNO]],$J$1:$K$39,2)</f>
        <v>Dragados USA</v>
      </c>
      <c r="B24" s="18" t="str">
        <f>VLOOKUP(Table_Query_from_CMSFIL[[#This Row],[COMPANYNO]],J:L,3)</f>
        <v>Florida</v>
      </c>
      <c r="C24" t="s">
        <v>666</v>
      </c>
      <c r="D24">
        <v>2</v>
      </c>
      <c r="E24">
        <v>4</v>
      </c>
      <c r="J24" s="9">
        <v>68</v>
      </c>
      <c r="K24" t="s">
        <v>794</v>
      </c>
      <c r="L24" t="s">
        <v>819</v>
      </c>
    </row>
    <row r="25" spans="1:12" x14ac:dyDescent="0.3">
      <c r="A25" s="16" t="str">
        <f>VLOOKUP(Table_Query_from_CMSFIL[[#This Row],[COMPANYNO]],$J$1:$K$39,2)</f>
        <v>Dragados USA</v>
      </c>
      <c r="B25" s="18" t="str">
        <f>VLOOKUP(Table_Query_from_CMSFIL[[#This Row],[COMPANYNO]],J:L,3)</f>
        <v>Florida</v>
      </c>
      <c r="C25" t="s">
        <v>678</v>
      </c>
      <c r="D25">
        <v>2</v>
      </c>
      <c r="E25">
        <v>5</v>
      </c>
      <c r="J25" s="9">
        <v>70</v>
      </c>
      <c r="K25" t="s">
        <v>797</v>
      </c>
      <c r="L25" t="s">
        <v>811</v>
      </c>
    </row>
    <row r="26" spans="1:12" x14ac:dyDescent="0.3">
      <c r="A26" s="13" t="str">
        <f>VLOOKUP(Table_Query_from_CMSFIL[[#This Row],[COMPANYNO]],$J$1:$K$39,2)</f>
        <v>Dragados USA</v>
      </c>
      <c r="B26" s="18" t="str">
        <f>VLOOKUP(Table_Query_from_CMSFIL[[#This Row],[COMPANYNO]],J:L,3)</f>
        <v>Florida</v>
      </c>
      <c r="C26" t="s">
        <v>679</v>
      </c>
      <c r="D26">
        <v>2</v>
      </c>
      <c r="E26">
        <v>6</v>
      </c>
      <c r="J26" s="9">
        <v>71</v>
      </c>
      <c r="K26" t="s">
        <v>797</v>
      </c>
      <c r="L26" t="s">
        <v>811</v>
      </c>
    </row>
    <row r="27" spans="1:12" x14ac:dyDescent="0.3">
      <c r="A27" s="16" t="str">
        <f>VLOOKUP(Table_Query_from_CMSFIL[[#This Row],[COMPANYNO]],$J$1:$K$39,2)</f>
        <v>Dragados USA</v>
      </c>
      <c r="B27" s="18" t="str">
        <f>VLOOKUP(Table_Query_from_CMSFIL[[#This Row],[COMPANYNO]],J:L,3)</f>
        <v>Florida</v>
      </c>
      <c r="C27" t="s">
        <v>680</v>
      </c>
      <c r="D27">
        <v>2</v>
      </c>
      <c r="E27">
        <v>7</v>
      </c>
      <c r="J27" s="9">
        <v>75</v>
      </c>
      <c r="K27" t="s">
        <v>795</v>
      </c>
      <c r="L27" t="s">
        <v>820</v>
      </c>
    </row>
    <row r="28" spans="1:12" x14ac:dyDescent="0.3">
      <c r="A28" s="13" t="str">
        <f>VLOOKUP(Table_Query_from_CMSFIL[[#This Row],[COMPANYNO]],$J$1:$K$39,2)</f>
        <v>Dragados USA</v>
      </c>
      <c r="B28" s="18" t="str">
        <f>VLOOKUP(Table_Query_from_CMSFIL[[#This Row],[COMPANYNO]],J:L,3)</f>
        <v>Florida</v>
      </c>
      <c r="C28" t="s">
        <v>681</v>
      </c>
      <c r="D28">
        <v>2</v>
      </c>
      <c r="E28">
        <v>302</v>
      </c>
      <c r="J28" s="9">
        <v>80</v>
      </c>
      <c r="K28" t="s">
        <v>796</v>
      </c>
      <c r="L28" t="s">
        <v>821</v>
      </c>
    </row>
    <row r="29" spans="1:12" x14ac:dyDescent="0.3">
      <c r="A29" s="16" t="str">
        <f>VLOOKUP(Table_Query_from_CMSFIL[[#This Row],[COMPANYNO]],$J$1:$K$39,2)</f>
        <v>Dragados USA</v>
      </c>
      <c r="B29" s="18" t="str">
        <f>VLOOKUP(Table_Query_from_CMSFIL[[#This Row],[COMPANYNO]],J:L,3)</f>
        <v>Florida</v>
      </c>
      <c r="C29" t="s">
        <v>721</v>
      </c>
      <c r="D29">
        <v>2</v>
      </c>
      <c r="E29">
        <v>702</v>
      </c>
      <c r="J29" s="9">
        <v>81</v>
      </c>
      <c r="K29" t="s">
        <v>797</v>
      </c>
      <c r="L29" t="s">
        <v>797</v>
      </c>
    </row>
    <row r="30" spans="1:12" x14ac:dyDescent="0.3">
      <c r="A30" s="13" t="str">
        <f>VLOOKUP(Table_Query_from_CMSFIL[[#This Row],[COMPANYNO]],$J$1:$K$39,2)</f>
        <v>Dragados USA</v>
      </c>
      <c r="B30" s="18" t="str">
        <f>VLOOKUP(Table_Query_from_CMSFIL[[#This Row],[COMPANYNO]],J:L,3)</f>
        <v>Florida</v>
      </c>
      <c r="C30" t="s">
        <v>722</v>
      </c>
      <c r="D30">
        <v>2</v>
      </c>
      <c r="E30">
        <v>502</v>
      </c>
      <c r="J30" s="9">
        <v>90</v>
      </c>
      <c r="K30" t="s">
        <v>790</v>
      </c>
      <c r="L30" t="s">
        <v>822</v>
      </c>
    </row>
    <row r="31" spans="1:12" x14ac:dyDescent="0.3">
      <c r="A31" s="16" t="str">
        <f>VLOOKUP(Table_Query_from_CMSFIL[[#This Row],[COMPANYNO]],$J$1:$K$39,2)</f>
        <v>Dragados USA</v>
      </c>
      <c r="B31" s="18" t="str">
        <f>VLOOKUP(Table_Query_from_CMSFIL[[#This Row],[COMPANYNO]],J:L,3)</f>
        <v>Puerto Rico</v>
      </c>
      <c r="C31" t="s">
        <v>726</v>
      </c>
      <c r="D31">
        <v>3</v>
      </c>
      <c r="E31">
        <v>2</v>
      </c>
      <c r="J31" s="9">
        <v>91</v>
      </c>
      <c r="K31" t="s">
        <v>791</v>
      </c>
      <c r="L31" t="s">
        <v>822</v>
      </c>
    </row>
    <row r="32" spans="1:12" x14ac:dyDescent="0.3">
      <c r="A32" s="13" t="str">
        <f>VLOOKUP(Table_Query_from_CMSFIL[[#This Row],[COMPANYNO]],$J$1:$K$39,2)</f>
        <v>Dragados USA</v>
      </c>
      <c r="B32" s="18" t="str">
        <f>VLOOKUP(Table_Query_from_CMSFIL[[#This Row],[COMPANYNO]],J:L,3)</f>
        <v>Puerto Rico</v>
      </c>
      <c r="C32" t="s">
        <v>727</v>
      </c>
      <c r="D32">
        <v>3</v>
      </c>
      <c r="E32">
        <v>3</v>
      </c>
      <c r="J32" s="9">
        <v>92</v>
      </c>
      <c r="K32" t="s">
        <v>797</v>
      </c>
      <c r="L32" t="s">
        <v>822</v>
      </c>
    </row>
    <row r="33" spans="1:12" x14ac:dyDescent="0.3">
      <c r="A33" s="16" t="str">
        <f>VLOOKUP(Table_Query_from_CMSFIL[[#This Row],[COMPANYNO]],$J$1:$K$39,2)</f>
        <v>Dragados USA</v>
      </c>
      <c r="B33" s="18" t="str">
        <f>VLOOKUP(Table_Query_from_CMSFIL[[#This Row],[COMPANYNO]],J:L,3)</f>
        <v>Puerto Rico</v>
      </c>
      <c r="C33" t="s">
        <v>728</v>
      </c>
      <c r="D33">
        <v>3</v>
      </c>
      <c r="E33">
        <v>1</v>
      </c>
      <c r="J33" s="9">
        <v>93</v>
      </c>
      <c r="K33" t="s">
        <v>797</v>
      </c>
      <c r="L33" t="s">
        <v>822</v>
      </c>
    </row>
    <row r="34" spans="1:12" x14ac:dyDescent="0.3">
      <c r="A34" s="13" t="str">
        <f>VLOOKUP(Table_Query_from_CMSFIL[[#This Row],[COMPANYNO]],$J$1:$K$39,2)</f>
        <v>Dragados USA</v>
      </c>
      <c r="B34" s="18" t="str">
        <f>VLOOKUP(Table_Query_from_CMSFIL[[#This Row],[COMPANYNO]],J:L,3)</f>
        <v>Puerto Rico</v>
      </c>
      <c r="C34" t="s">
        <v>759</v>
      </c>
      <c r="D34">
        <v>3</v>
      </c>
      <c r="E34">
        <v>4</v>
      </c>
      <c r="J34" s="9">
        <v>94</v>
      </c>
      <c r="K34" t="s">
        <v>797</v>
      </c>
      <c r="L34" t="s">
        <v>822</v>
      </c>
    </row>
    <row r="35" spans="1:12" x14ac:dyDescent="0.3">
      <c r="A35" s="16" t="str">
        <f>VLOOKUP(Table_Query_from_CMSFIL[[#This Row],[COMPANYNO]],$J$1:$K$39,2)</f>
        <v>Dragados USA</v>
      </c>
      <c r="B35" s="18" t="str">
        <f>VLOOKUP(Table_Query_from_CMSFIL[[#This Row],[COMPANYNO]],J:L,3)</f>
        <v>I-595</v>
      </c>
      <c r="C35" t="s">
        <v>760</v>
      </c>
      <c r="D35">
        <v>4</v>
      </c>
      <c r="E35">
        <v>2</v>
      </c>
      <c r="J35" s="9">
        <v>95</v>
      </c>
      <c r="K35" t="s">
        <v>797</v>
      </c>
      <c r="L35" t="s">
        <v>822</v>
      </c>
    </row>
    <row r="36" spans="1:12" x14ac:dyDescent="0.3">
      <c r="A36" s="13" t="str">
        <f>VLOOKUP(Table_Query_from_CMSFIL[[#This Row],[COMPANYNO]],$J$1:$K$39,2)</f>
        <v>Dragados USA</v>
      </c>
      <c r="B36" s="18" t="str">
        <f>VLOOKUP(Table_Query_from_CMSFIL[[#This Row],[COMPANYNO]],J:L,3)</f>
        <v>I-595</v>
      </c>
      <c r="C36" t="s">
        <v>761</v>
      </c>
      <c r="D36">
        <v>4</v>
      </c>
      <c r="E36">
        <v>1</v>
      </c>
      <c r="J36" s="9">
        <v>96</v>
      </c>
      <c r="K36" t="s">
        <v>794</v>
      </c>
      <c r="L36" t="s">
        <v>822</v>
      </c>
    </row>
    <row r="37" spans="1:12" x14ac:dyDescent="0.3">
      <c r="A37" s="16" t="str">
        <f>VLOOKUP(Table_Query_from_CMSFIL[[#This Row],[COMPANYNO]],$J$1:$K$39,2)</f>
        <v>Dragados USA</v>
      </c>
      <c r="B37" s="18" t="str">
        <f>VLOOKUP(Table_Query_from_CMSFIL[[#This Row],[COMPANYNO]],J:L,3)</f>
        <v>I-595</v>
      </c>
      <c r="C37" t="s">
        <v>153</v>
      </c>
      <c r="D37">
        <v>4</v>
      </c>
      <c r="E37">
        <v>501</v>
      </c>
      <c r="J37" s="9">
        <v>97</v>
      </c>
      <c r="K37" t="s">
        <v>797</v>
      </c>
      <c r="L37" t="s">
        <v>822</v>
      </c>
    </row>
    <row r="38" spans="1:12" x14ac:dyDescent="0.3">
      <c r="A38" s="13" t="str">
        <f>VLOOKUP(Table_Query_from_CMSFIL[[#This Row],[COMPANYNO]],$J$1:$K$39,2)</f>
        <v>Dragados USA</v>
      </c>
      <c r="B38" s="18" t="str">
        <f>VLOOKUP(Table_Query_from_CMSFIL[[#This Row],[COMPANYNO]],J:L,3)</f>
        <v>I-595</v>
      </c>
      <c r="C38" t="s">
        <v>156</v>
      </c>
      <c r="D38">
        <v>4</v>
      </c>
      <c r="E38">
        <v>301</v>
      </c>
      <c r="J38" s="9">
        <v>98</v>
      </c>
      <c r="K38" t="s">
        <v>797</v>
      </c>
      <c r="L38" t="s">
        <v>822</v>
      </c>
    </row>
    <row r="39" spans="1:12" x14ac:dyDescent="0.3">
      <c r="A39" s="16" t="str">
        <f>VLOOKUP(Table_Query_from_CMSFIL[[#This Row],[COMPANYNO]],$J$1:$K$39,2)</f>
        <v>Dragados USA</v>
      </c>
      <c r="B39" s="18" t="str">
        <f>VLOOKUP(Table_Query_from_CMSFIL[[#This Row],[COMPANYNO]],J:L,3)</f>
        <v>I-595</v>
      </c>
      <c r="C39" t="s">
        <v>164</v>
      </c>
      <c r="D39">
        <v>4</v>
      </c>
      <c r="E39">
        <v>3</v>
      </c>
      <c r="J39" s="9">
        <v>99</v>
      </c>
      <c r="K39" t="s">
        <v>797</v>
      </c>
      <c r="L39" t="s">
        <v>822</v>
      </c>
    </row>
    <row r="40" spans="1:12" x14ac:dyDescent="0.3">
      <c r="A40" s="13" t="str">
        <f>VLOOKUP(Table_Query_from_CMSFIL[[#This Row],[COMPANYNO]],$J$1:$K$39,2)</f>
        <v>Dragados USA</v>
      </c>
      <c r="B40" s="18" t="str">
        <f>VLOOKUP(Table_Query_from_CMSFIL[[#This Row],[COMPANYNO]],J:L,3)</f>
        <v>I-595</v>
      </c>
      <c r="C40" t="s">
        <v>249</v>
      </c>
      <c r="D40">
        <v>4</v>
      </c>
      <c r="E40">
        <v>4</v>
      </c>
    </row>
    <row r="41" spans="1:12" x14ac:dyDescent="0.3">
      <c r="A41" s="16" t="str">
        <f>VLOOKUP(Table_Query_from_CMSFIL[[#This Row],[COMPANYNO]],$J$1:$K$39,2)</f>
        <v>Dragados USA</v>
      </c>
      <c r="B41" s="18" t="str">
        <f>VLOOKUP(Table_Query_from_CMSFIL[[#This Row],[COMPANYNO]],J:L,3)</f>
        <v>North Pacific</v>
      </c>
      <c r="C41" t="s">
        <v>250</v>
      </c>
      <c r="D41">
        <v>5</v>
      </c>
      <c r="E41">
        <v>1</v>
      </c>
    </row>
    <row r="42" spans="1:12" x14ac:dyDescent="0.3">
      <c r="A42" s="13" t="str">
        <f>VLOOKUP(Table_Query_from_CMSFIL[[#This Row],[COMPANYNO]],$J$1:$K$39,2)</f>
        <v>Dragados USA</v>
      </c>
      <c r="B42" s="18" t="str">
        <f>VLOOKUP(Table_Query_from_CMSFIL[[#This Row],[COMPANYNO]],J:L,3)</f>
        <v>North Pacific</v>
      </c>
      <c r="C42" t="s">
        <v>257</v>
      </c>
      <c r="D42">
        <v>5</v>
      </c>
      <c r="E42">
        <v>301</v>
      </c>
    </row>
    <row r="43" spans="1:12" x14ac:dyDescent="0.3">
      <c r="A43" s="16" t="str">
        <f>VLOOKUP(Table_Query_from_CMSFIL[[#This Row],[COMPANYNO]],$J$1:$K$39,2)</f>
        <v>Dragados USA</v>
      </c>
      <c r="B43" s="18" t="str">
        <f>VLOOKUP(Table_Query_from_CMSFIL[[#This Row],[COMPANYNO]],J:L,3)</f>
        <v>North Pacific</v>
      </c>
      <c r="C43" t="s">
        <v>258</v>
      </c>
      <c r="D43">
        <v>5</v>
      </c>
      <c r="E43">
        <v>701</v>
      </c>
    </row>
    <row r="44" spans="1:12" x14ac:dyDescent="0.3">
      <c r="A44" s="13" t="str">
        <f>VLOOKUP(Table_Query_from_CMSFIL[[#This Row],[COMPANYNO]],$J$1:$K$39,2)</f>
        <v>Dragados USA</v>
      </c>
      <c r="B44" s="18" t="str">
        <f>VLOOKUP(Table_Query_from_CMSFIL[[#This Row],[COMPANYNO]],J:L,3)</f>
        <v>North Pacific</v>
      </c>
      <c r="C44" t="s">
        <v>265</v>
      </c>
      <c r="D44">
        <v>5</v>
      </c>
      <c r="E44">
        <v>501</v>
      </c>
    </row>
    <row r="45" spans="1:12" x14ac:dyDescent="0.3">
      <c r="A45" s="16" t="str">
        <f>VLOOKUP(Table_Query_from_CMSFIL[[#This Row],[COMPANYNO]],$J$1:$K$39,2)</f>
        <v>Dragados USA</v>
      </c>
      <c r="B45" s="18" t="str">
        <f>VLOOKUP(Table_Query_from_CMSFIL[[#This Row],[COMPANYNO]],J:L,3)</f>
        <v>North Pacific</v>
      </c>
      <c r="C45" t="s">
        <v>266</v>
      </c>
      <c r="D45">
        <v>5</v>
      </c>
      <c r="E45">
        <v>0</v>
      </c>
    </row>
    <row r="46" spans="1:12" x14ac:dyDescent="0.3">
      <c r="A46" s="13" t="str">
        <f>VLOOKUP(Table_Query_from_CMSFIL[[#This Row],[COMPANYNO]],$J$1:$K$39,2)</f>
        <v>Dragados USA</v>
      </c>
      <c r="B46" s="18" t="str">
        <f>VLOOKUP(Table_Query_from_CMSFIL[[#This Row],[COMPANYNO]],J:L,3)</f>
        <v>North Pacific</v>
      </c>
      <c r="C46" t="s">
        <v>267</v>
      </c>
      <c r="D46">
        <v>5</v>
      </c>
      <c r="E46">
        <v>2</v>
      </c>
    </row>
    <row r="47" spans="1:12" x14ac:dyDescent="0.3">
      <c r="A47" s="16" t="str">
        <f>VLOOKUP(Table_Query_from_CMSFIL[[#This Row],[COMPANYNO]],$J$1:$K$39,2)</f>
        <v>Dragados USA</v>
      </c>
      <c r="B47" s="18" t="str">
        <f>VLOOKUP(Table_Query_from_CMSFIL[[#This Row],[COMPANYNO]],J:L,3)</f>
        <v>California</v>
      </c>
      <c r="C47" t="s">
        <v>699</v>
      </c>
      <c r="D47">
        <v>6</v>
      </c>
      <c r="E47">
        <v>1</v>
      </c>
    </row>
    <row r="48" spans="1:12" x14ac:dyDescent="0.3">
      <c r="A48" s="13" t="str">
        <f>VLOOKUP(Table_Query_from_CMSFIL[[#This Row],[COMPANYNO]],$J$1:$K$39,2)</f>
        <v>Dragados USA</v>
      </c>
      <c r="B48" s="18" t="str">
        <f>VLOOKUP(Table_Query_from_CMSFIL[[#This Row],[COMPANYNO]],J:L,3)</f>
        <v>California</v>
      </c>
      <c r="C48" t="s">
        <v>700</v>
      </c>
      <c r="D48">
        <v>6</v>
      </c>
      <c r="E48">
        <v>501</v>
      </c>
    </row>
    <row r="49" spans="1:5" x14ac:dyDescent="0.3">
      <c r="A49" s="16" t="str">
        <f>VLOOKUP(Table_Query_from_CMSFIL[[#This Row],[COMPANYNO]],$J$1:$K$39,2)</f>
        <v>Dragados USA</v>
      </c>
      <c r="B49" s="18" t="str">
        <f>VLOOKUP(Table_Query_from_CMSFIL[[#This Row],[COMPANYNO]],J:L,3)</f>
        <v>California</v>
      </c>
      <c r="C49" t="s">
        <v>758</v>
      </c>
      <c r="D49">
        <v>6</v>
      </c>
      <c r="E49">
        <v>701</v>
      </c>
    </row>
    <row r="50" spans="1:5" x14ac:dyDescent="0.3">
      <c r="A50" s="13" t="str">
        <f>VLOOKUP(Table_Query_from_CMSFIL[[#This Row],[COMPANYNO]],$J$1:$K$39,2)</f>
        <v>Dragados USA</v>
      </c>
      <c r="B50" s="18" t="str">
        <f>VLOOKUP(Table_Query_from_CMSFIL[[#This Row],[COMPANYNO]],J:L,3)</f>
        <v>California</v>
      </c>
      <c r="C50" t="s">
        <v>777</v>
      </c>
      <c r="D50">
        <v>6</v>
      </c>
      <c r="E50">
        <v>301</v>
      </c>
    </row>
    <row r="51" spans="1:5" x14ac:dyDescent="0.3">
      <c r="A51" s="16" t="str">
        <f>VLOOKUP(Table_Query_from_CMSFIL[[#This Row],[COMPANYNO]],$J$1:$K$39,2)</f>
        <v>Dragados USA</v>
      </c>
      <c r="B51" s="18" t="str">
        <f>VLOOKUP(Table_Query_from_CMSFIL[[#This Row],[COMPANYNO]],J:L,3)</f>
        <v>Massachusets</v>
      </c>
      <c r="C51" t="s">
        <v>778</v>
      </c>
      <c r="D51">
        <v>7</v>
      </c>
      <c r="E51">
        <v>1</v>
      </c>
    </row>
    <row r="52" spans="1:5" x14ac:dyDescent="0.3">
      <c r="A52" s="13" t="str">
        <f>VLOOKUP(Table_Query_from_CMSFIL[[#This Row],[COMPANYNO]],$J$1:$K$39,2)</f>
        <v>Dragados USA</v>
      </c>
      <c r="B52" s="18" t="str">
        <f>VLOOKUP(Table_Query_from_CMSFIL[[#This Row],[COMPANYNO]],J:L,3)</f>
        <v>Massachusets</v>
      </c>
      <c r="C52" t="s">
        <v>779</v>
      </c>
      <c r="D52">
        <v>7</v>
      </c>
      <c r="E52">
        <v>2</v>
      </c>
    </row>
    <row r="53" spans="1:5" x14ac:dyDescent="0.3">
      <c r="A53" s="16" t="str">
        <f>VLOOKUP(Table_Query_from_CMSFIL[[#This Row],[COMPANYNO]],$J$1:$K$39,2)</f>
        <v>Dragados USA</v>
      </c>
      <c r="B53" s="18" t="str">
        <f>VLOOKUP(Table_Query_from_CMSFIL[[#This Row],[COMPANYNO]],J:L,3)</f>
        <v>Mid Atlantic</v>
      </c>
      <c r="C53" t="s">
        <v>154</v>
      </c>
      <c r="D53">
        <v>8</v>
      </c>
      <c r="E53">
        <v>2</v>
      </c>
    </row>
    <row r="54" spans="1:5" x14ac:dyDescent="0.3">
      <c r="A54" s="13" t="str">
        <f>VLOOKUP(Table_Query_from_CMSFIL[[#This Row],[COMPANYNO]],$J$1:$K$39,2)</f>
        <v>Dragados USA</v>
      </c>
      <c r="B54" s="18" t="str">
        <f>VLOOKUP(Table_Query_from_CMSFIL[[#This Row],[COMPANYNO]],J:L,3)</f>
        <v>Mid Atlantic</v>
      </c>
      <c r="C54" t="s">
        <v>157</v>
      </c>
      <c r="D54">
        <v>8</v>
      </c>
      <c r="E54">
        <v>1</v>
      </c>
    </row>
    <row r="55" spans="1:5" x14ac:dyDescent="0.3">
      <c r="A55" s="16" t="str">
        <f>VLOOKUP(Table_Query_from_CMSFIL[[#This Row],[COMPANYNO]],$J$1:$K$39,2)</f>
        <v>Dragados USA</v>
      </c>
      <c r="B55" s="18" t="str">
        <f>VLOOKUP(Table_Query_from_CMSFIL[[#This Row],[COMPANYNO]],J:L,3)</f>
        <v>Mid Atlantic</v>
      </c>
      <c r="C55" t="s">
        <v>554</v>
      </c>
      <c r="D55">
        <v>8</v>
      </c>
      <c r="E55">
        <v>3</v>
      </c>
    </row>
    <row r="56" spans="1:5" x14ac:dyDescent="0.3">
      <c r="A56" s="13" t="str">
        <f>VLOOKUP(Table_Query_from_CMSFIL[[#This Row],[COMPANYNO]],$J$1:$K$39,2)</f>
        <v>Dragados USA</v>
      </c>
      <c r="B56" s="18" t="str">
        <f>VLOOKUP(Table_Query_from_CMSFIL[[#This Row],[COMPANYNO]],J:L,3)</f>
        <v>Mid Atlantic</v>
      </c>
      <c r="C56" t="s">
        <v>713</v>
      </c>
      <c r="D56">
        <v>8</v>
      </c>
      <c r="E56">
        <v>4</v>
      </c>
    </row>
    <row r="57" spans="1:5" x14ac:dyDescent="0.3">
      <c r="A57" s="16" t="str">
        <f>VLOOKUP(Table_Query_from_CMSFIL[[#This Row],[COMPANYNO]],$J$1:$K$39,2)</f>
        <v>Dragados USA</v>
      </c>
      <c r="B57" s="18" t="str">
        <f>VLOOKUP(Table_Query_from_CMSFIL[[#This Row],[COMPANYNO]],J:L,3)</f>
        <v>Mid Atlantic</v>
      </c>
      <c r="C57" t="s">
        <v>787</v>
      </c>
      <c r="D57">
        <v>8</v>
      </c>
      <c r="E57">
        <v>301</v>
      </c>
    </row>
    <row r="58" spans="1:5" x14ac:dyDescent="0.3">
      <c r="A58" s="16" t="str">
        <f>VLOOKUP(Table_Query_from_CMSFIL[[#This Row],[COMPANYNO]],$J$1:$K$39,2)</f>
        <v>Dragados USA</v>
      </c>
      <c r="B58" s="18" t="str">
        <f>VLOOKUP(Table_Query_from_CMSFIL[[#This Row],[COMPANYNO]],J:L,3)</f>
        <v>Mid Atlantic</v>
      </c>
      <c r="C58" t="s">
        <v>120</v>
      </c>
      <c r="D58">
        <v>8</v>
      </c>
      <c r="E58">
        <v>501</v>
      </c>
    </row>
    <row r="59" spans="1:5" x14ac:dyDescent="0.3">
      <c r="A59" s="13" t="str">
        <f>VLOOKUP(Table_Query_from_CMSFIL[[#This Row],[COMPANYNO]],$J$1:$K$39,2)</f>
        <v>Dragados USA</v>
      </c>
      <c r="B59" s="18" t="str">
        <f>VLOOKUP(Table_Query_from_CMSFIL[[#This Row],[COMPANYNO]],J:L,3)</f>
        <v>Mid Atlantic</v>
      </c>
      <c r="C59" t="s">
        <v>179</v>
      </c>
      <c r="D59">
        <v>8</v>
      </c>
      <c r="E59">
        <v>701</v>
      </c>
    </row>
    <row r="60" spans="1:5" x14ac:dyDescent="0.3">
      <c r="A60" s="16" t="str">
        <f>VLOOKUP(Table_Query_from_CMSFIL[[#This Row],[COMPANYNO]],$J$1:$K$39,2)</f>
        <v>Dragados USA</v>
      </c>
      <c r="B60" s="18" t="str">
        <f>VLOOKUP(Table_Query_from_CMSFIL[[#This Row],[COMPANYNO]],J:L,3)</f>
        <v>Mid Atlantic</v>
      </c>
      <c r="C60" t="s">
        <v>260</v>
      </c>
      <c r="D60">
        <v>8</v>
      </c>
      <c r="E60">
        <v>702</v>
      </c>
    </row>
    <row r="61" spans="1:5" x14ac:dyDescent="0.3">
      <c r="A61" s="13" t="str">
        <f>VLOOKUP(Table_Query_from_CMSFIL[[#This Row],[COMPANYNO]],$J$1:$K$39,2)</f>
        <v>Dragados USA</v>
      </c>
      <c r="B61" s="18" t="str">
        <f>VLOOKUP(Table_Query_from_CMSFIL[[#This Row],[COMPANYNO]],J:L,3)</f>
        <v>Mid Atlantic</v>
      </c>
      <c r="C61" t="s">
        <v>773</v>
      </c>
      <c r="D61">
        <v>8</v>
      </c>
      <c r="E61">
        <v>502</v>
      </c>
    </row>
    <row r="62" spans="1:5" x14ac:dyDescent="0.3">
      <c r="A62" s="16" t="str">
        <f>VLOOKUP(Table_Query_from_CMSFIL[[#This Row],[COMPANYNO]],$J$1:$K$39,2)</f>
        <v>Dragados USA</v>
      </c>
      <c r="B62" s="18" t="str">
        <f>VLOOKUP(Table_Query_from_CMSFIL[[#This Row],[COMPANYNO]],J:L,3)</f>
        <v>Mid Atlantic</v>
      </c>
      <c r="C62" t="s">
        <v>134</v>
      </c>
      <c r="D62">
        <v>8</v>
      </c>
      <c r="E62">
        <v>302</v>
      </c>
    </row>
    <row r="63" spans="1:5" x14ac:dyDescent="0.3">
      <c r="A63" s="13" t="str">
        <f>VLOOKUP(Table_Query_from_CMSFIL[[#This Row],[COMPANYNO]],$J$1:$K$39,2)</f>
        <v>Dragados Canada</v>
      </c>
      <c r="B63" s="18" t="str">
        <f>VLOOKUP(Table_Query_from_CMSFIL[[#This Row],[COMPANYNO]],J:L,3)</f>
        <v>East Canada</v>
      </c>
      <c r="C63" t="s">
        <v>137</v>
      </c>
      <c r="D63">
        <v>9</v>
      </c>
      <c r="E63">
        <v>301</v>
      </c>
    </row>
    <row r="64" spans="1:5" x14ac:dyDescent="0.3">
      <c r="A64" s="16" t="str">
        <f>VLOOKUP(Table_Query_from_CMSFIL[[#This Row],[COMPANYNO]],$J$1:$K$39,2)</f>
        <v>Dragados Canada</v>
      </c>
      <c r="B64" s="18" t="str">
        <f>VLOOKUP(Table_Query_from_CMSFIL[[#This Row],[COMPANYNO]],J:L,3)</f>
        <v>East Canada</v>
      </c>
      <c r="C64" t="s">
        <v>138</v>
      </c>
      <c r="D64">
        <v>9</v>
      </c>
      <c r="E64">
        <v>501</v>
      </c>
    </row>
    <row r="65" spans="1:5" x14ac:dyDescent="0.3">
      <c r="A65" s="13" t="str">
        <f>VLOOKUP(Table_Query_from_CMSFIL[[#This Row],[COMPANYNO]],$J$1:$K$39,2)</f>
        <v>Dragados Canada</v>
      </c>
      <c r="B65" s="18" t="str">
        <f>VLOOKUP(Table_Query_from_CMSFIL[[#This Row],[COMPANYNO]],J:L,3)</f>
        <v>East Canada</v>
      </c>
      <c r="C65" t="s">
        <v>139</v>
      </c>
      <c r="D65">
        <v>9</v>
      </c>
      <c r="E65">
        <v>1</v>
      </c>
    </row>
    <row r="66" spans="1:5" x14ac:dyDescent="0.3">
      <c r="A66" s="16" t="str">
        <f>VLOOKUP(Table_Query_from_CMSFIL[[#This Row],[COMPANYNO]],$J$1:$K$39,2)</f>
        <v>Dragados Canada</v>
      </c>
      <c r="B66" s="18" t="str">
        <f>VLOOKUP(Table_Query_from_CMSFIL[[#This Row],[COMPANYNO]],J:L,3)</f>
        <v>East Canada</v>
      </c>
      <c r="C66" t="s">
        <v>140</v>
      </c>
      <c r="D66">
        <v>9</v>
      </c>
      <c r="E66">
        <v>302</v>
      </c>
    </row>
    <row r="67" spans="1:5" x14ac:dyDescent="0.3">
      <c r="A67" s="13" t="str">
        <f>VLOOKUP(Table_Query_from_CMSFIL[[#This Row],[COMPANYNO]],$J$1:$K$39,2)</f>
        <v>Dragados Canada</v>
      </c>
      <c r="B67" s="18" t="str">
        <f>VLOOKUP(Table_Query_from_CMSFIL[[#This Row],[COMPANYNO]],J:L,3)</f>
        <v>East Canada</v>
      </c>
      <c r="C67" t="s">
        <v>141</v>
      </c>
      <c r="D67">
        <v>9</v>
      </c>
      <c r="E67">
        <v>502</v>
      </c>
    </row>
    <row r="68" spans="1:5" x14ac:dyDescent="0.3">
      <c r="A68" s="16" t="str">
        <f>VLOOKUP(Table_Query_from_CMSFIL[[#This Row],[COMPANYNO]],$J$1:$K$39,2)</f>
        <v>Dragados Canada</v>
      </c>
      <c r="B68" s="18" t="str">
        <f>VLOOKUP(Table_Query_from_CMSFIL[[#This Row],[COMPANYNO]],J:L,3)</f>
        <v>East Canada</v>
      </c>
      <c r="C68" t="s">
        <v>146</v>
      </c>
      <c r="D68">
        <v>9</v>
      </c>
      <c r="E68">
        <v>2</v>
      </c>
    </row>
    <row r="69" spans="1:5" x14ac:dyDescent="0.3">
      <c r="A69" s="13" t="str">
        <f>VLOOKUP(Table_Query_from_CMSFIL[[#This Row],[COMPANYNO]],$J$1:$K$39,2)</f>
        <v>Dragados Canada</v>
      </c>
      <c r="B69" s="18" t="str">
        <f>VLOOKUP(Table_Query_from_CMSFIL[[#This Row],[COMPANYNO]],J:L,3)</f>
        <v>East Canada</v>
      </c>
      <c r="C69" t="s">
        <v>147</v>
      </c>
      <c r="D69">
        <v>9</v>
      </c>
      <c r="E69">
        <v>303</v>
      </c>
    </row>
    <row r="70" spans="1:5" x14ac:dyDescent="0.3">
      <c r="A70" s="16" t="str">
        <f>VLOOKUP(Table_Query_from_CMSFIL[[#This Row],[COMPANYNO]],$J$1:$K$39,2)</f>
        <v>Dragados Canada</v>
      </c>
      <c r="B70" s="18" t="str">
        <f>VLOOKUP(Table_Query_from_CMSFIL[[#This Row],[COMPANYNO]],J:L,3)</f>
        <v>East Canada</v>
      </c>
      <c r="C70" t="s">
        <v>148</v>
      </c>
      <c r="D70">
        <v>9</v>
      </c>
      <c r="E70">
        <v>503</v>
      </c>
    </row>
    <row r="71" spans="1:5" x14ac:dyDescent="0.3">
      <c r="A71" s="13" t="str">
        <f>VLOOKUP(Table_Query_from_CMSFIL[[#This Row],[COMPANYNO]],$J$1:$K$39,2)</f>
        <v>Dragados Canada</v>
      </c>
      <c r="B71" s="18" t="str">
        <f>VLOOKUP(Table_Query_from_CMSFIL[[#This Row],[COMPANYNO]],J:L,3)</f>
        <v>East Canada</v>
      </c>
      <c r="C71" t="s">
        <v>149</v>
      </c>
      <c r="D71">
        <v>9</v>
      </c>
      <c r="E71">
        <v>304</v>
      </c>
    </row>
    <row r="72" spans="1:5" x14ac:dyDescent="0.3">
      <c r="A72" s="16" t="str">
        <f>VLOOKUP(Table_Query_from_CMSFIL[[#This Row],[COMPANYNO]],$J$1:$K$39,2)</f>
        <v>Dragados Canada</v>
      </c>
      <c r="B72" s="18" t="str">
        <f>VLOOKUP(Table_Query_from_CMSFIL[[#This Row],[COMPANYNO]],J:L,3)</f>
        <v>East Canada</v>
      </c>
      <c r="C72" t="s">
        <v>150</v>
      </c>
      <c r="D72">
        <v>9</v>
      </c>
      <c r="E72">
        <v>504</v>
      </c>
    </row>
    <row r="73" spans="1:5" x14ac:dyDescent="0.3">
      <c r="A73" s="13" t="str">
        <f>VLOOKUP(Table_Query_from_CMSFIL[[#This Row],[COMPANYNO]],$J$1:$K$39,2)</f>
        <v>Dragados Canada</v>
      </c>
      <c r="B73" s="18" t="str">
        <f>VLOOKUP(Table_Query_from_CMSFIL[[#This Row],[COMPANYNO]],J:L,3)</f>
        <v>East Canada</v>
      </c>
      <c r="C73" t="s">
        <v>361</v>
      </c>
      <c r="D73">
        <v>9</v>
      </c>
      <c r="E73">
        <v>305</v>
      </c>
    </row>
    <row r="74" spans="1:5" x14ac:dyDescent="0.3">
      <c r="A74" s="16" t="str">
        <f>VLOOKUP(Table_Query_from_CMSFIL[[#This Row],[COMPANYNO]],$J$1:$K$39,2)</f>
        <v>Dragados Canada</v>
      </c>
      <c r="B74" s="18" t="str">
        <f>VLOOKUP(Table_Query_from_CMSFIL[[#This Row],[COMPANYNO]],J:L,3)</f>
        <v>East Canada</v>
      </c>
      <c r="C74" t="s">
        <v>362</v>
      </c>
      <c r="D74">
        <v>9</v>
      </c>
      <c r="E74">
        <v>505</v>
      </c>
    </row>
    <row r="75" spans="1:5" x14ac:dyDescent="0.3">
      <c r="A75" s="13" t="str">
        <f>VLOOKUP(Table_Query_from_CMSFIL[[#This Row],[COMPANYNO]],$J$1:$K$39,2)</f>
        <v>Dragados Canada</v>
      </c>
      <c r="B75" s="18" t="str">
        <f>VLOOKUP(Table_Query_from_CMSFIL[[#This Row],[COMPANYNO]],J:L,3)</f>
        <v>East Canada</v>
      </c>
      <c r="C75" t="s">
        <v>376</v>
      </c>
      <c r="D75">
        <v>9</v>
      </c>
      <c r="E75">
        <v>306</v>
      </c>
    </row>
    <row r="76" spans="1:5" x14ac:dyDescent="0.3">
      <c r="A76" s="16" t="str">
        <f>VLOOKUP(Table_Query_from_CMSFIL[[#This Row],[COMPANYNO]],$J$1:$K$39,2)</f>
        <v>Dragados Canada</v>
      </c>
      <c r="B76" s="18" t="str">
        <f>VLOOKUP(Table_Query_from_CMSFIL[[#This Row],[COMPANYNO]],J:L,3)</f>
        <v>East Canada</v>
      </c>
      <c r="C76" t="s">
        <v>695</v>
      </c>
      <c r="D76">
        <v>9</v>
      </c>
      <c r="E76">
        <v>506</v>
      </c>
    </row>
    <row r="77" spans="1:5" x14ac:dyDescent="0.3">
      <c r="A77" s="13" t="str">
        <f>VLOOKUP(Table_Query_from_CMSFIL[[#This Row],[COMPANYNO]],$J$1:$K$39,2)</f>
        <v>Dragados Canada</v>
      </c>
      <c r="B77" s="18" t="str">
        <f>VLOOKUP(Table_Query_from_CMSFIL[[#This Row],[COMPANYNO]],J:L,3)</f>
        <v>East Canada</v>
      </c>
      <c r="C77" t="s">
        <v>697</v>
      </c>
      <c r="D77">
        <v>9</v>
      </c>
      <c r="E77">
        <v>706</v>
      </c>
    </row>
    <row r="78" spans="1:5" x14ac:dyDescent="0.3">
      <c r="A78" s="16" t="str">
        <f>VLOOKUP(Table_Query_from_CMSFIL[[#This Row],[COMPANYNO]],$J$1:$K$39,2)</f>
        <v>Dragados Canada</v>
      </c>
      <c r="B78" s="18" t="str">
        <f>VLOOKUP(Table_Query_from_CMSFIL[[#This Row],[COMPANYNO]],J:L,3)</f>
        <v>East Canada</v>
      </c>
      <c r="C78" t="s">
        <v>127</v>
      </c>
      <c r="D78">
        <v>9</v>
      </c>
      <c r="E78">
        <v>307</v>
      </c>
    </row>
    <row r="79" spans="1:5" x14ac:dyDescent="0.3">
      <c r="A79" s="13" t="str">
        <f>VLOOKUP(Table_Query_from_CMSFIL[[#This Row],[COMPANYNO]],$J$1:$K$39,2)</f>
        <v>Dragados Canada</v>
      </c>
      <c r="B79" s="18" t="str">
        <f>VLOOKUP(Table_Query_from_CMSFIL[[#This Row],[COMPANYNO]],J:L,3)</f>
        <v>East Canada</v>
      </c>
      <c r="C79" t="s">
        <v>129</v>
      </c>
      <c r="D79">
        <v>9</v>
      </c>
      <c r="E79">
        <v>507</v>
      </c>
    </row>
    <row r="80" spans="1:5" x14ac:dyDescent="0.3">
      <c r="A80" s="16" t="str">
        <f>VLOOKUP(Table_Query_from_CMSFIL[[#This Row],[COMPANYNO]],$J$1:$K$39,2)</f>
        <v>Dragados Canada</v>
      </c>
      <c r="B80" s="18" t="str">
        <f>VLOOKUP(Table_Query_from_CMSFIL[[#This Row],[COMPANYNO]],J:L,3)</f>
        <v>East Canada</v>
      </c>
      <c r="C80" t="s">
        <v>158</v>
      </c>
      <c r="D80">
        <v>9</v>
      </c>
      <c r="E80">
        <v>707</v>
      </c>
    </row>
    <row r="81" spans="1:5" x14ac:dyDescent="0.3">
      <c r="A81" s="13" t="str">
        <f>VLOOKUP(Table_Query_from_CMSFIL[[#This Row],[COMPANYNO]],$J$1:$K$39,2)</f>
        <v>Dragados Canada</v>
      </c>
      <c r="B81" s="18" t="str">
        <f>VLOOKUP(Table_Query_from_CMSFIL[[#This Row],[COMPANYNO]],J:L,3)</f>
        <v>East Canada</v>
      </c>
      <c r="C81" t="s">
        <v>178</v>
      </c>
      <c r="D81">
        <v>9</v>
      </c>
      <c r="E81">
        <v>308</v>
      </c>
    </row>
    <row r="82" spans="1:5" x14ac:dyDescent="0.3">
      <c r="A82" s="16" t="str">
        <f>VLOOKUP(Table_Query_from_CMSFIL[[#This Row],[COMPANYNO]],$J$1:$K$39,2)</f>
        <v>Dragados Canada</v>
      </c>
      <c r="B82" s="18" t="str">
        <f>VLOOKUP(Table_Query_from_CMSFIL[[#This Row],[COMPANYNO]],J:L,3)</f>
        <v>East Canada</v>
      </c>
      <c r="C82" t="s">
        <v>344</v>
      </c>
      <c r="D82">
        <v>9</v>
      </c>
      <c r="E82">
        <v>508</v>
      </c>
    </row>
    <row r="83" spans="1:5" x14ac:dyDescent="0.3">
      <c r="A83" s="13" t="str">
        <f>VLOOKUP(Table_Query_from_CMSFIL[[#This Row],[COMPANYNO]],$J$1:$K$39,2)</f>
        <v>Dragados Canada</v>
      </c>
      <c r="B83" s="18" t="str">
        <f>VLOOKUP(Table_Query_from_CMSFIL[[#This Row],[COMPANYNO]],J:L,3)</f>
        <v>East Canada</v>
      </c>
      <c r="C83" t="s">
        <v>365</v>
      </c>
      <c r="D83">
        <v>9</v>
      </c>
      <c r="E83">
        <v>309</v>
      </c>
    </row>
    <row r="84" spans="1:5" x14ac:dyDescent="0.3">
      <c r="A84" s="16" t="str">
        <f>VLOOKUP(Table_Query_from_CMSFIL[[#This Row],[COMPANYNO]],$J$1:$K$39,2)</f>
        <v>Dragados Canada</v>
      </c>
      <c r="B84" s="18" t="str">
        <f>VLOOKUP(Table_Query_from_CMSFIL[[#This Row],[COMPANYNO]],J:L,3)</f>
        <v>East Canada</v>
      </c>
      <c r="C84" t="s">
        <v>366</v>
      </c>
      <c r="D84">
        <v>9</v>
      </c>
      <c r="E84">
        <v>509</v>
      </c>
    </row>
    <row r="85" spans="1:5" x14ac:dyDescent="0.3">
      <c r="A85" s="13" t="str">
        <f>VLOOKUP(Table_Query_from_CMSFIL[[#This Row],[COMPANYNO]],$J$1:$K$39,2)</f>
        <v>Dragados Canada</v>
      </c>
      <c r="B85" s="18" t="str">
        <f>VLOOKUP(Table_Query_from_CMSFIL[[#This Row],[COMPANYNO]],J:L,3)</f>
        <v>East Canada</v>
      </c>
      <c r="C85" t="s">
        <v>369</v>
      </c>
      <c r="D85">
        <v>9</v>
      </c>
      <c r="E85">
        <v>3</v>
      </c>
    </row>
    <row r="86" spans="1:5" x14ac:dyDescent="0.3">
      <c r="A86" s="16" t="str">
        <f>VLOOKUP(Table_Query_from_CMSFIL[[#This Row],[COMPANYNO]],$J$1:$K$39,2)</f>
        <v>Dragados Canada</v>
      </c>
      <c r="B86" s="18" t="str">
        <f>VLOOKUP(Table_Query_from_CMSFIL[[#This Row],[COMPANYNO]],J:L,3)</f>
        <v>East Canada</v>
      </c>
      <c r="C86" t="s">
        <v>417</v>
      </c>
      <c r="D86">
        <v>9</v>
      </c>
      <c r="E86">
        <v>310</v>
      </c>
    </row>
    <row r="87" spans="1:5" x14ac:dyDescent="0.3">
      <c r="A87" s="13" t="str">
        <f>VLOOKUP(Table_Query_from_CMSFIL[[#This Row],[COMPANYNO]],$J$1:$K$39,2)</f>
        <v>Dragados Canada</v>
      </c>
      <c r="B87" s="18" t="str">
        <f>VLOOKUP(Table_Query_from_CMSFIL[[#This Row],[COMPANYNO]],J:L,3)</f>
        <v>East Canada</v>
      </c>
      <c r="C87" t="s">
        <v>762</v>
      </c>
      <c r="D87">
        <v>9</v>
      </c>
      <c r="E87">
        <v>510</v>
      </c>
    </row>
    <row r="88" spans="1:5" x14ac:dyDescent="0.3">
      <c r="A88" s="16" t="str">
        <f>VLOOKUP(Table_Query_from_CMSFIL[[#This Row],[COMPANYNO]],$J$1:$K$39,2)</f>
        <v>Dragados Canada</v>
      </c>
      <c r="B88" s="18" t="str">
        <f>VLOOKUP(Table_Query_from_CMSFIL[[#This Row],[COMPANYNO]],J:L,3)</f>
        <v>East Canada</v>
      </c>
      <c r="C88" t="s">
        <v>763</v>
      </c>
      <c r="D88">
        <v>9</v>
      </c>
      <c r="E88">
        <v>710</v>
      </c>
    </row>
    <row r="89" spans="1:5" x14ac:dyDescent="0.3">
      <c r="A89" s="13" t="str">
        <f>VLOOKUP(Table_Query_from_CMSFIL[[#This Row],[COMPANYNO]],$J$1:$K$39,2)</f>
        <v>Dragados Canada</v>
      </c>
      <c r="B89" s="18" t="str">
        <f>VLOOKUP(Table_Query_from_CMSFIL[[#This Row],[COMPANYNO]],J:L,3)</f>
        <v>East Canada</v>
      </c>
      <c r="C89" t="s">
        <v>764</v>
      </c>
      <c r="D89">
        <v>9</v>
      </c>
      <c r="E89">
        <v>311</v>
      </c>
    </row>
    <row r="90" spans="1:5" x14ac:dyDescent="0.3">
      <c r="A90" s="16" t="str">
        <f>VLOOKUP(Table_Query_from_CMSFIL[[#This Row],[COMPANYNO]],$J$1:$K$39,2)</f>
        <v>Dragados Canada</v>
      </c>
      <c r="B90" s="18" t="str">
        <f>VLOOKUP(Table_Query_from_CMSFIL[[#This Row],[COMPANYNO]],J:L,3)</f>
        <v>East Canada</v>
      </c>
      <c r="C90" t="s">
        <v>131</v>
      </c>
      <c r="D90">
        <v>9</v>
      </c>
      <c r="E90">
        <v>511</v>
      </c>
    </row>
    <row r="91" spans="1:5" x14ac:dyDescent="0.3">
      <c r="A91" s="13" t="str">
        <f>VLOOKUP(Table_Query_from_CMSFIL[[#This Row],[COMPANYNO]],$J$1:$K$39,2)</f>
        <v>Dragados Canada</v>
      </c>
      <c r="B91" s="18" t="str">
        <f>VLOOKUP(Table_Query_from_CMSFIL[[#This Row],[COMPANYNO]],J:L,3)</f>
        <v>East Canada</v>
      </c>
      <c r="C91" t="s">
        <v>132</v>
      </c>
      <c r="D91">
        <v>9</v>
      </c>
      <c r="E91">
        <v>712</v>
      </c>
    </row>
    <row r="92" spans="1:5" x14ac:dyDescent="0.3">
      <c r="A92" s="16" t="str">
        <f>VLOOKUP(Table_Query_from_CMSFIL[[#This Row],[COMPANYNO]],$J$1:$K$39,2)</f>
        <v>Dragados Canada</v>
      </c>
      <c r="B92" s="18" t="str">
        <f>VLOOKUP(Table_Query_from_CMSFIL[[#This Row],[COMPANYNO]],J:L,3)</f>
        <v>East Canada</v>
      </c>
      <c r="C92" t="s">
        <v>163</v>
      </c>
      <c r="D92">
        <v>9</v>
      </c>
      <c r="E92">
        <v>312</v>
      </c>
    </row>
    <row r="93" spans="1:5" x14ac:dyDescent="0.3">
      <c r="A93" s="13" t="str">
        <f>VLOOKUP(Table_Query_from_CMSFIL[[#This Row],[COMPANYNO]],$J$1:$K$39,2)</f>
        <v>Dragados Canada</v>
      </c>
      <c r="B93" s="18" t="str">
        <f>VLOOKUP(Table_Query_from_CMSFIL[[#This Row],[COMPANYNO]],J:L,3)</f>
        <v>East Canada</v>
      </c>
      <c r="C93" t="s">
        <v>172</v>
      </c>
      <c r="D93">
        <v>9</v>
      </c>
      <c r="E93">
        <v>512</v>
      </c>
    </row>
    <row r="94" spans="1:5" x14ac:dyDescent="0.3">
      <c r="A94" s="16" t="str">
        <f>VLOOKUP(Table_Query_from_CMSFIL[[#This Row],[COMPANYNO]],$J$1:$K$39,2)</f>
        <v>Dragados Canada</v>
      </c>
      <c r="B94" s="18" t="str">
        <f>VLOOKUP(Table_Query_from_CMSFIL[[#This Row],[COMPANYNO]],J:L,3)</f>
        <v>East Canada</v>
      </c>
      <c r="C94" t="s">
        <v>130</v>
      </c>
      <c r="D94">
        <v>9</v>
      </c>
      <c r="E94">
        <v>313</v>
      </c>
    </row>
    <row r="95" spans="1:5" x14ac:dyDescent="0.3">
      <c r="A95" s="13" t="str">
        <f>VLOOKUP(Table_Query_from_CMSFIL[[#This Row],[COMPANYNO]],$J$1:$K$39,2)</f>
        <v>Dragados Canada</v>
      </c>
      <c r="B95" s="18" t="str">
        <f>VLOOKUP(Table_Query_from_CMSFIL[[#This Row],[COMPANYNO]],J:L,3)</f>
        <v>East Canada</v>
      </c>
      <c r="C95" t="s">
        <v>136</v>
      </c>
      <c r="D95">
        <v>9</v>
      </c>
      <c r="E95">
        <v>713</v>
      </c>
    </row>
    <row r="96" spans="1:5" x14ac:dyDescent="0.3">
      <c r="A96" s="16" t="str">
        <f>VLOOKUP(Table_Query_from_CMSFIL[[#This Row],[COMPANYNO]],$J$1:$K$39,2)</f>
        <v>Dragados Canada</v>
      </c>
      <c r="B96" s="18" t="str">
        <f>VLOOKUP(Table_Query_from_CMSFIL[[#This Row],[COMPANYNO]],J:L,3)</f>
        <v>East Canada</v>
      </c>
      <c r="C96" t="s">
        <v>159</v>
      </c>
      <c r="D96">
        <v>9</v>
      </c>
      <c r="E96">
        <v>513</v>
      </c>
    </row>
    <row r="97" spans="1:5" x14ac:dyDescent="0.3">
      <c r="A97" s="13" t="str">
        <f>VLOOKUP(Table_Query_from_CMSFIL[[#This Row],[COMPANYNO]],$J$1:$K$39,2)</f>
        <v>Dragados Canada</v>
      </c>
      <c r="B97" s="18" t="str">
        <f>VLOOKUP(Table_Query_from_CMSFIL[[#This Row],[COMPANYNO]],J:L,3)</f>
        <v>West canada</v>
      </c>
      <c r="C97" t="s">
        <v>161</v>
      </c>
      <c r="D97">
        <v>10</v>
      </c>
      <c r="E97">
        <v>301</v>
      </c>
    </row>
    <row r="98" spans="1:5" x14ac:dyDescent="0.3">
      <c r="A98" s="16" t="str">
        <f>VLOOKUP(Table_Query_from_CMSFIL[[#This Row],[COMPANYNO]],$J$1:$K$39,2)</f>
        <v>Dragados Canada</v>
      </c>
      <c r="B98" s="18" t="str">
        <f>VLOOKUP(Table_Query_from_CMSFIL[[#This Row],[COMPANYNO]],J:L,3)</f>
        <v>West canada</v>
      </c>
      <c r="C98" t="s">
        <v>173</v>
      </c>
      <c r="D98">
        <v>10</v>
      </c>
      <c r="E98">
        <v>501</v>
      </c>
    </row>
    <row r="99" spans="1:5" x14ac:dyDescent="0.3">
      <c r="A99" s="13" t="str">
        <f>VLOOKUP(Table_Query_from_CMSFIL[[#This Row],[COMPANYNO]],$J$1:$K$39,2)</f>
        <v>Dragados Canada</v>
      </c>
      <c r="B99" s="18" t="str">
        <f>VLOOKUP(Table_Query_from_CMSFIL[[#This Row],[COMPANYNO]],J:L,3)</f>
        <v>West canada</v>
      </c>
      <c r="C99" t="s">
        <v>352</v>
      </c>
      <c r="D99">
        <v>10</v>
      </c>
      <c r="E99">
        <v>1</v>
      </c>
    </row>
    <row r="100" spans="1:5" x14ac:dyDescent="0.3">
      <c r="A100" s="16" t="str">
        <f>VLOOKUP(Table_Query_from_CMSFIL[[#This Row],[COMPANYNO]],$J$1:$K$39,2)</f>
        <v>Dragados Canada</v>
      </c>
      <c r="B100" s="18" t="str">
        <f>VLOOKUP(Table_Query_from_CMSFIL[[#This Row],[COMPANYNO]],J:L,3)</f>
        <v>West canada</v>
      </c>
      <c r="C100" t="s">
        <v>126</v>
      </c>
      <c r="D100">
        <v>10</v>
      </c>
      <c r="E100">
        <v>302</v>
      </c>
    </row>
    <row r="101" spans="1:5" x14ac:dyDescent="0.3">
      <c r="A101" s="13" t="str">
        <f>VLOOKUP(Table_Query_from_CMSFIL[[#This Row],[COMPANYNO]],$J$1:$K$39,2)</f>
        <v>Dragados Canada</v>
      </c>
      <c r="B101" s="18" t="str">
        <f>VLOOKUP(Table_Query_from_CMSFIL[[#This Row],[COMPANYNO]],J:L,3)</f>
        <v>West canada</v>
      </c>
      <c r="C101" t="s">
        <v>143</v>
      </c>
      <c r="D101">
        <v>10</v>
      </c>
      <c r="E101">
        <v>502</v>
      </c>
    </row>
    <row r="102" spans="1:5" x14ac:dyDescent="0.3">
      <c r="A102" s="16" t="str">
        <f>VLOOKUP(Table_Query_from_CMSFIL[[#This Row],[COMPANYNO]],$J$1:$K$39,2)</f>
        <v>Dragados Canada</v>
      </c>
      <c r="B102" s="18" t="str">
        <f>VLOOKUP(Table_Query_from_CMSFIL[[#This Row],[COMPANYNO]],J:L,3)</f>
        <v>West canada</v>
      </c>
      <c r="C102" t="s">
        <v>151</v>
      </c>
      <c r="D102">
        <v>10</v>
      </c>
      <c r="E102">
        <v>303</v>
      </c>
    </row>
    <row r="103" spans="1:5" x14ac:dyDescent="0.3">
      <c r="A103" s="13" t="str">
        <f>VLOOKUP(Table_Query_from_CMSFIL[[#This Row],[COMPANYNO]],$J$1:$K$39,2)</f>
        <v>Dragados Canada</v>
      </c>
      <c r="B103" s="18" t="str">
        <f>VLOOKUP(Table_Query_from_CMSFIL[[#This Row],[COMPANYNO]],J:L,3)</f>
        <v>West canada</v>
      </c>
      <c r="C103" t="s">
        <v>160</v>
      </c>
      <c r="D103">
        <v>10</v>
      </c>
      <c r="E103">
        <v>503</v>
      </c>
    </row>
    <row r="104" spans="1:5" x14ac:dyDescent="0.3">
      <c r="A104" s="16" t="str">
        <f>VLOOKUP(Table_Query_from_CMSFIL[[#This Row],[COMPANYNO]],$J$1:$K$39,2)</f>
        <v>Dragados Canada</v>
      </c>
      <c r="B104" s="18" t="str">
        <f>VLOOKUP(Table_Query_from_CMSFIL[[#This Row],[COMPANYNO]],J:L,3)</f>
        <v>West canada</v>
      </c>
      <c r="C104" t="s">
        <v>171</v>
      </c>
      <c r="D104">
        <v>10</v>
      </c>
      <c r="E104">
        <v>304</v>
      </c>
    </row>
    <row r="105" spans="1:5" x14ac:dyDescent="0.3">
      <c r="A105" s="13" t="str">
        <f>VLOOKUP(Table_Query_from_CMSFIL[[#This Row],[COMPANYNO]],$J$1:$K$39,2)</f>
        <v>Dragados Canada</v>
      </c>
      <c r="B105" s="18" t="str">
        <f>VLOOKUP(Table_Query_from_CMSFIL[[#This Row],[COMPANYNO]],J:L,3)</f>
        <v>West canada</v>
      </c>
      <c r="C105" t="s">
        <v>256</v>
      </c>
      <c r="D105">
        <v>10</v>
      </c>
      <c r="E105">
        <v>504</v>
      </c>
    </row>
    <row r="106" spans="1:5" x14ac:dyDescent="0.3">
      <c r="A106" s="16" t="str">
        <f>VLOOKUP(Table_Query_from_CMSFIL[[#This Row],[COMPANYNO]],$J$1:$K$39,2)</f>
        <v>Dragados Canada</v>
      </c>
      <c r="B106" s="18" t="str">
        <f>VLOOKUP(Table_Query_from_CMSFIL[[#This Row],[COMPANYNO]],J:L,3)</f>
        <v>West canada</v>
      </c>
      <c r="C106" t="s">
        <v>135</v>
      </c>
      <c r="D106">
        <v>10</v>
      </c>
      <c r="E106">
        <v>704</v>
      </c>
    </row>
    <row r="107" spans="1:5" x14ac:dyDescent="0.3">
      <c r="A107" s="13" t="str">
        <f>VLOOKUP(Table_Query_from_CMSFIL[[#This Row],[COMPANYNO]],$J$1:$K$39,2)</f>
        <v>Dragados Canada</v>
      </c>
      <c r="B107" s="18" t="str">
        <f>VLOOKUP(Table_Query_from_CMSFIL[[#This Row],[COMPANYNO]],J:L,3)</f>
        <v>West canada</v>
      </c>
      <c r="C107" t="s">
        <v>142</v>
      </c>
      <c r="D107">
        <v>10</v>
      </c>
      <c r="E107">
        <v>305</v>
      </c>
    </row>
    <row r="108" spans="1:5" x14ac:dyDescent="0.3">
      <c r="A108" s="16" t="str">
        <f>VLOOKUP(Table_Query_from_CMSFIL[[#This Row],[COMPANYNO]],$J$1:$K$39,2)</f>
        <v>Dragados Canada</v>
      </c>
      <c r="B108" s="18" t="str">
        <f>VLOOKUP(Table_Query_from_CMSFIL[[#This Row],[COMPANYNO]],J:L,3)</f>
        <v>West canada</v>
      </c>
      <c r="C108" t="s">
        <v>166</v>
      </c>
      <c r="D108">
        <v>10</v>
      </c>
      <c r="E108">
        <v>505</v>
      </c>
    </row>
    <row r="109" spans="1:5" x14ac:dyDescent="0.3">
      <c r="A109" s="13" t="str">
        <f>VLOOKUP(Table_Query_from_CMSFIL[[#This Row],[COMPANYNO]],$J$1:$K$39,2)</f>
        <v>Dragados Canada</v>
      </c>
      <c r="B109" s="18" t="str">
        <f>VLOOKUP(Table_Query_from_CMSFIL[[#This Row],[COMPANYNO]],J:L,3)</f>
        <v>West canada</v>
      </c>
      <c r="C109" t="s">
        <v>167</v>
      </c>
      <c r="D109">
        <v>10</v>
      </c>
      <c r="E109">
        <v>999</v>
      </c>
    </row>
    <row r="110" spans="1:5" x14ac:dyDescent="0.3">
      <c r="A110" s="16" t="str">
        <f>VLOOKUP(Table_Query_from_CMSFIL[[#This Row],[COMPANYNO]],$J$1:$K$39,2)</f>
        <v>Dragados Canada</v>
      </c>
      <c r="B110" s="18" t="str">
        <f>VLOOKUP(Table_Query_from_CMSFIL[[#This Row],[COMPANYNO]],J:L,3)</f>
        <v>West canada</v>
      </c>
      <c r="C110" t="s">
        <v>170</v>
      </c>
      <c r="D110">
        <v>10</v>
      </c>
      <c r="E110">
        <v>306</v>
      </c>
    </row>
    <row r="111" spans="1:5" x14ac:dyDescent="0.3">
      <c r="A111" s="13" t="str">
        <f>VLOOKUP(Table_Query_from_CMSFIL[[#This Row],[COMPANYNO]],$J$1:$K$39,2)</f>
        <v>Dragados Canada</v>
      </c>
      <c r="B111" s="18" t="str">
        <f>VLOOKUP(Table_Query_from_CMSFIL[[#This Row],[COMPANYNO]],J:L,3)</f>
        <v>West canada</v>
      </c>
      <c r="C111" t="s">
        <v>252</v>
      </c>
      <c r="D111">
        <v>10</v>
      </c>
      <c r="E111">
        <v>506</v>
      </c>
    </row>
    <row r="112" spans="1:5" x14ac:dyDescent="0.3">
      <c r="A112" s="16" t="str">
        <f>VLOOKUP(Table_Query_from_CMSFIL[[#This Row],[COMPANYNO]],$J$1:$K$39,2)</f>
        <v>Dragados Canada</v>
      </c>
      <c r="B112" s="18" t="str">
        <f>VLOOKUP(Table_Query_from_CMSFIL[[#This Row],[COMPANYNO]],J:L,3)</f>
        <v>West canada</v>
      </c>
      <c r="C112" t="s">
        <v>253</v>
      </c>
      <c r="D112">
        <v>10</v>
      </c>
      <c r="E112">
        <v>706</v>
      </c>
    </row>
    <row r="113" spans="1:5" x14ac:dyDescent="0.3">
      <c r="A113" s="13" t="str">
        <f>VLOOKUP(Table_Query_from_CMSFIL[[#This Row],[COMPANYNO]],$J$1:$K$39,2)</f>
        <v>Dragados Canada</v>
      </c>
      <c r="B113" s="18" t="str">
        <f>VLOOKUP(Table_Query_from_CMSFIL[[#This Row],[COMPANYNO]],J:L,3)</f>
        <v>Central Canada</v>
      </c>
      <c r="C113" t="s">
        <v>254</v>
      </c>
      <c r="D113">
        <v>11</v>
      </c>
      <c r="E113">
        <v>301</v>
      </c>
    </row>
    <row r="114" spans="1:5" x14ac:dyDescent="0.3">
      <c r="A114" s="16" t="str">
        <f>VLOOKUP(Table_Query_from_CMSFIL[[#This Row],[COMPANYNO]],$J$1:$K$39,2)</f>
        <v>Dragados Canada</v>
      </c>
      <c r="B114" s="18" t="str">
        <f>VLOOKUP(Table_Query_from_CMSFIL[[#This Row],[COMPANYNO]],J:L,3)</f>
        <v>Central Canada</v>
      </c>
      <c r="C114" t="s">
        <v>423</v>
      </c>
      <c r="D114">
        <v>11</v>
      </c>
      <c r="E114">
        <v>501</v>
      </c>
    </row>
    <row r="115" spans="1:5" x14ac:dyDescent="0.3">
      <c r="A115" s="13" t="str">
        <f>VLOOKUP(Table_Query_from_CMSFIL[[#This Row],[COMPANYNO]],$J$1:$K$39,2)</f>
        <v>Other</v>
      </c>
      <c r="B115" s="18" t="str">
        <f>VLOOKUP(Table_Query_from_CMSFIL[[#This Row],[COMPANYNO]],J:L,3)</f>
        <v>Vias</v>
      </c>
      <c r="C115" t="s">
        <v>424</v>
      </c>
      <c r="D115">
        <v>12</v>
      </c>
      <c r="E115">
        <v>1</v>
      </c>
    </row>
    <row r="116" spans="1:5" x14ac:dyDescent="0.3">
      <c r="A116" s="16" t="str">
        <f>VLOOKUP(Table_Query_from_CMSFIL[[#This Row],[COMPANYNO]],$J$1:$K$39,2)</f>
        <v>Other</v>
      </c>
      <c r="B116" s="18" t="str">
        <f>VLOOKUP(Table_Query_from_CMSFIL[[#This Row],[COMPANYNO]],J:L,3)</f>
        <v>Vias</v>
      </c>
      <c r="C116" t="s">
        <v>459</v>
      </c>
      <c r="D116">
        <v>12</v>
      </c>
      <c r="E116">
        <v>2</v>
      </c>
    </row>
    <row r="117" spans="1:5" x14ac:dyDescent="0.3">
      <c r="A117" s="13" t="str">
        <f>VLOOKUP(Table_Query_from_CMSFIL[[#This Row],[COMPANYNO]],$J$1:$K$39,2)</f>
        <v>Other</v>
      </c>
      <c r="B117" s="18" t="str">
        <f>VLOOKUP(Table_Query_from_CMSFIL[[#This Row],[COMPANYNO]],J:L,3)</f>
        <v>Vias</v>
      </c>
      <c r="C117" t="s">
        <v>460</v>
      </c>
      <c r="D117">
        <v>12</v>
      </c>
      <c r="E117">
        <v>299</v>
      </c>
    </row>
    <row r="118" spans="1:5" x14ac:dyDescent="0.3">
      <c r="A118" s="16" t="str">
        <f>VLOOKUP(Table_Query_from_CMSFIL[[#This Row],[COMPANYNO]],$J$1:$K$39,2)</f>
        <v>Other</v>
      </c>
      <c r="B118" s="18" t="str">
        <f>VLOOKUP(Table_Query_from_CMSFIL[[#This Row],[COMPANYNO]],J:L,3)</f>
        <v>Vias</v>
      </c>
      <c r="C118" t="s">
        <v>461</v>
      </c>
      <c r="D118">
        <v>12</v>
      </c>
      <c r="E118">
        <v>3</v>
      </c>
    </row>
    <row r="119" spans="1:5" x14ac:dyDescent="0.3">
      <c r="A119" s="13" t="str">
        <f>VLOOKUP(Table_Query_from_CMSFIL[[#This Row],[COMPANYNO]],$J$1:$K$39,2)</f>
        <v>Other</v>
      </c>
      <c r="B119" s="18" t="str">
        <f>VLOOKUP(Table_Query_from_CMSFIL[[#This Row],[COMPANYNO]],J:L,3)</f>
        <v>Vias</v>
      </c>
      <c r="C119" t="s">
        <v>523</v>
      </c>
      <c r="D119">
        <v>12</v>
      </c>
      <c r="E119">
        <v>4</v>
      </c>
    </row>
    <row r="120" spans="1:5" x14ac:dyDescent="0.3">
      <c r="A120" s="16" t="str">
        <f>VLOOKUP(Table_Query_from_CMSFIL[[#This Row],[COMPANYNO]],$J$1:$K$39,2)</f>
        <v>Other</v>
      </c>
      <c r="B120" s="18" t="str">
        <f>VLOOKUP(Table_Query_from_CMSFIL[[#This Row],[COMPANYNO]],J:L,3)</f>
        <v>Vias</v>
      </c>
      <c r="C120" t="s">
        <v>524</v>
      </c>
      <c r="D120">
        <v>12</v>
      </c>
      <c r="E120">
        <v>5</v>
      </c>
    </row>
    <row r="121" spans="1:5" x14ac:dyDescent="0.3">
      <c r="A121" s="13" t="str">
        <f>VLOOKUP(Table_Query_from_CMSFIL[[#This Row],[COMPANYNO]],$J$1:$K$39,2)</f>
        <v>Dragados Canada</v>
      </c>
      <c r="B121" s="18" t="str">
        <f>VLOOKUP(Table_Query_from_CMSFIL[[#This Row],[COMPANYNO]],J:L,3)</f>
        <v>Payroll</v>
      </c>
      <c r="C121" t="s">
        <v>520</v>
      </c>
      <c r="D121">
        <v>13</v>
      </c>
      <c r="E121">
        <v>1</v>
      </c>
    </row>
    <row r="122" spans="1:5" x14ac:dyDescent="0.3">
      <c r="A122" s="13" t="str">
        <f>VLOOKUP(Table_Query_from_CMSFIL[[#This Row],[COMPANYNO]],$J$1:$K$39,2)</f>
        <v>Dragados Canada</v>
      </c>
      <c r="B122" s="18" t="str">
        <f>VLOOKUP(Table_Query_from_CMSFIL[[#This Row],[COMPANYNO]],J:L,3)</f>
        <v>Payroll</v>
      </c>
      <c r="C122" t="s">
        <v>397</v>
      </c>
      <c r="D122">
        <v>13</v>
      </c>
      <c r="E122">
        <v>2</v>
      </c>
    </row>
    <row r="123" spans="1:5" x14ac:dyDescent="0.3">
      <c r="A123" s="16" t="str">
        <f>VLOOKUP(Table_Query_from_CMSFIL[[#This Row],[COMPANYNO]],$J$1:$K$39,2)</f>
        <v>Dragados Canada</v>
      </c>
      <c r="B123" s="18" t="str">
        <f>VLOOKUP(Table_Query_from_CMSFIL[[#This Row],[COMPANYNO]],J:L,3)</f>
        <v>Payroll</v>
      </c>
      <c r="C123" t="s">
        <v>474</v>
      </c>
      <c r="D123">
        <v>13</v>
      </c>
      <c r="E123">
        <v>3</v>
      </c>
    </row>
    <row r="124" spans="1:5" x14ac:dyDescent="0.3">
      <c r="A124" s="13" t="str">
        <f>VLOOKUP(Table_Query_from_CMSFIL[[#This Row],[COMPANYNO]],$J$1:$K$39,2)</f>
        <v>Dragados USA</v>
      </c>
      <c r="B124" s="18" t="str">
        <f>VLOOKUP(Table_Query_from_CMSFIL[[#This Row],[COMPANYNO]],J:L,3)</f>
        <v>South California</v>
      </c>
      <c r="C124" t="s">
        <v>475</v>
      </c>
      <c r="D124">
        <v>20</v>
      </c>
      <c r="E124">
        <v>1</v>
      </c>
    </row>
    <row r="125" spans="1:5" x14ac:dyDescent="0.3">
      <c r="A125" s="16" t="str">
        <f>VLOOKUP(Table_Query_from_CMSFIL[[#This Row],[COMPANYNO]],$J$1:$K$39,2)</f>
        <v>Dragados USA</v>
      </c>
      <c r="B125" s="18" t="str">
        <f>VLOOKUP(Table_Query_from_CMSFIL[[#This Row],[COMPANYNO]],J:L,3)</f>
        <v>South California</v>
      </c>
      <c r="C125" t="s">
        <v>476</v>
      </c>
      <c r="D125">
        <v>20</v>
      </c>
      <c r="E125">
        <v>301</v>
      </c>
    </row>
    <row r="126" spans="1:5" x14ac:dyDescent="0.3">
      <c r="A126" s="13" t="str">
        <f>VLOOKUP(Table_Query_from_CMSFIL[[#This Row],[COMPANYNO]],$J$1:$K$39,2)</f>
        <v>Dragados USA</v>
      </c>
      <c r="B126" s="18" t="str">
        <f>VLOOKUP(Table_Query_from_CMSFIL[[#This Row],[COMPANYNO]],J:L,3)</f>
        <v>South California</v>
      </c>
      <c r="C126" t="s">
        <v>477</v>
      </c>
      <c r="D126">
        <v>20</v>
      </c>
      <c r="E126">
        <v>501</v>
      </c>
    </row>
    <row r="127" spans="1:5" x14ac:dyDescent="0.3">
      <c r="A127" s="16" t="str">
        <f>VLOOKUP(Table_Query_from_CMSFIL[[#This Row],[COMPANYNO]],$J$1:$K$39,2)</f>
        <v>Dragados USA</v>
      </c>
      <c r="B127" s="18" t="str">
        <f>VLOOKUP(Table_Query_from_CMSFIL[[#This Row],[COMPANYNO]],J:L,3)</f>
        <v>South California</v>
      </c>
      <c r="C127" t="s">
        <v>478</v>
      </c>
      <c r="D127">
        <v>20</v>
      </c>
      <c r="E127">
        <v>701</v>
      </c>
    </row>
    <row r="128" spans="1:5" x14ac:dyDescent="0.3">
      <c r="A128" s="13" t="str">
        <f>VLOOKUP(Table_Query_from_CMSFIL[[#This Row],[COMPANYNO]],$J$1:$K$39,2)</f>
        <v>Dragados USA</v>
      </c>
      <c r="B128" s="18" t="str">
        <f>VLOOKUP(Table_Query_from_CMSFIL[[#This Row],[COMPANYNO]],J:L,3)</f>
        <v>South California</v>
      </c>
      <c r="C128" t="s">
        <v>479</v>
      </c>
      <c r="D128">
        <v>20</v>
      </c>
      <c r="E128">
        <v>302</v>
      </c>
    </row>
    <row r="129" spans="1:5" x14ac:dyDescent="0.3">
      <c r="A129" s="16" t="str">
        <f>VLOOKUP(Table_Query_from_CMSFIL[[#This Row],[COMPANYNO]],$J$1:$K$39,2)</f>
        <v>Dragados USA</v>
      </c>
      <c r="B129" s="18" t="str">
        <f>VLOOKUP(Table_Query_from_CMSFIL[[#This Row],[COMPANYNO]],J:L,3)</f>
        <v>South California</v>
      </c>
      <c r="C129" t="s">
        <v>431</v>
      </c>
      <c r="D129">
        <v>20</v>
      </c>
      <c r="E129">
        <v>502</v>
      </c>
    </row>
    <row r="130" spans="1:5" x14ac:dyDescent="0.3">
      <c r="A130" s="13" t="str">
        <f>VLOOKUP(Table_Query_from_CMSFIL[[#This Row],[COMPANYNO]],$J$1:$K$39,2)</f>
        <v>Dragados USA</v>
      </c>
      <c r="B130" s="18" t="str">
        <f>VLOOKUP(Table_Query_from_CMSFIL[[#This Row],[COMPANYNO]],J:L,3)</f>
        <v>South California</v>
      </c>
      <c r="C130" t="s">
        <v>471</v>
      </c>
      <c r="D130">
        <v>20</v>
      </c>
      <c r="E130">
        <v>702</v>
      </c>
    </row>
    <row r="131" spans="1:5" x14ac:dyDescent="0.3">
      <c r="A131" s="16" t="str">
        <f>VLOOKUP(Table_Query_from_CMSFIL[[#This Row],[COMPANYNO]],$J$1:$K$39,2)</f>
        <v>Dragados USA</v>
      </c>
      <c r="B131" s="18" t="str">
        <f>VLOOKUP(Table_Query_from_CMSFIL[[#This Row],[COMPANYNO]],J:L,3)</f>
        <v>Texas</v>
      </c>
      <c r="C131" t="s">
        <v>472</v>
      </c>
      <c r="D131">
        <v>22</v>
      </c>
      <c r="E131">
        <v>1</v>
      </c>
    </row>
    <row r="132" spans="1:5" x14ac:dyDescent="0.3">
      <c r="A132" s="13" t="str">
        <f>VLOOKUP(Table_Query_from_CMSFIL[[#This Row],[COMPANYNO]],$J$1:$K$39,2)</f>
        <v>Dragados USA</v>
      </c>
      <c r="B132" s="18" t="str">
        <f>VLOOKUP(Table_Query_from_CMSFIL[[#This Row],[COMPANYNO]],J:L,3)</f>
        <v>Texas</v>
      </c>
      <c r="C132" t="s">
        <v>473</v>
      </c>
      <c r="D132">
        <v>22</v>
      </c>
      <c r="E132">
        <v>301</v>
      </c>
    </row>
    <row r="133" spans="1:5" x14ac:dyDescent="0.3">
      <c r="A133" s="16" t="str">
        <f>VLOOKUP(Table_Query_from_CMSFIL[[#This Row],[COMPANYNO]],$J$1:$K$39,2)</f>
        <v>Dragados USA</v>
      </c>
      <c r="B133" s="18" t="str">
        <f>VLOOKUP(Table_Query_from_CMSFIL[[#This Row],[COMPANYNO]],J:L,3)</f>
        <v>Texas</v>
      </c>
      <c r="C133" t="s">
        <v>707</v>
      </c>
      <c r="D133">
        <v>22</v>
      </c>
      <c r="E133">
        <v>501</v>
      </c>
    </row>
    <row r="134" spans="1:5" x14ac:dyDescent="0.3">
      <c r="A134" s="13" t="str">
        <f>VLOOKUP(Table_Query_from_CMSFIL[[#This Row],[COMPANYNO]],$J$1:$K$39,2)</f>
        <v>Dragados USA</v>
      </c>
      <c r="B134" s="18" t="str">
        <f>VLOOKUP(Table_Query_from_CMSFIL[[#This Row],[COMPANYNO]],J:L,3)</f>
        <v>Texas</v>
      </c>
      <c r="C134" t="s">
        <v>708</v>
      </c>
      <c r="D134">
        <v>22</v>
      </c>
      <c r="E134">
        <v>701</v>
      </c>
    </row>
    <row r="135" spans="1:5" x14ac:dyDescent="0.3">
      <c r="A135" s="16" t="str">
        <f>VLOOKUP(Table_Query_from_CMSFIL[[#This Row],[COMPANYNO]],$J$1:$K$39,2)</f>
        <v>Dragados USA</v>
      </c>
      <c r="B135" s="18" t="str">
        <f>VLOOKUP(Table_Query_from_CMSFIL[[#This Row],[COMPANYNO]],J:L,3)</f>
        <v>Texas</v>
      </c>
      <c r="C135" t="s">
        <v>734</v>
      </c>
      <c r="D135">
        <v>22</v>
      </c>
      <c r="E135">
        <v>502</v>
      </c>
    </row>
    <row r="136" spans="1:5" x14ac:dyDescent="0.3">
      <c r="A136" s="13" t="str">
        <f>VLOOKUP(Table_Query_from_CMSFIL[[#This Row],[COMPANYNO]],$J$1:$K$39,2)</f>
        <v>Dragados USA</v>
      </c>
      <c r="B136" s="18" t="str">
        <f>VLOOKUP(Table_Query_from_CMSFIL[[#This Row],[COMPANYNO]],J:L,3)</f>
        <v>Texas</v>
      </c>
      <c r="C136" t="s">
        <v>735</v>
      </c>
      <c r="D136">
        <v>22</v>
      </c>
      <c r="E136">
        <v>302</v>
      </c>
    </row>
    <row r="137" spans="1:5" x14ac:dyDescent="0.3">
      <c r="A137" s="16" t="str">
        <f>VLOOKUP(Table_Query_from_CMSFIL[[#This Row],[COMPANYNO]],$J$1:$K$39,2)</f>
        <v>Dragados USA</v>
      </c>
      <c r="B137" s="18" t="str">
        <f>VLOOKUP(Table_Query_from_CMSFIL[[#This Row],[COMPANYNO]],J:L,3)</f>
        <v>Texas</v>
      </c>
      <c r="C137" t="s">
        <v>788</v>
      </c>
      <c r="D137">
        <v>22</v>
      </c>
      <c r="E137">
        <v>503</v>
      </c>
    </row>
    <row r="138" spans="1:5" x14ac:dyDescent="0.3">
      <c r="A138" s="13" t="str">
        <f>VLOOKUP(Table_Query_from_CMSFIL[[#This Row],[COMPANYNO]],$J$1:$K$39,2)</f>
        <v>Dragados USA</v>
      </c>
      <c r="B138" s="18" t="str">
        <f>VLOOKUP(Table_Query_from_CMSFIL[[#This Row],[COMPANYNO]],J:L,3)</f>
        <v>Texas</v>
      </c>
      <c r="C138" t="s">
        <v>133</v>
      </c>
      <c r="D138">
        <v>22</v>
      </c>
      <c r="E138">
        <v>303</v>
      </c>
    </row>
    <row r="139" spans="1:5" x14ac:dyDescent="0.3">
      <c r="A139" s="16" t="str">
        <f>VLOOKUP(Table_Query_from_CMSFIL[[#This Row],[COMPANYNO]],$J$1:$K$39,2)</f>
        <v>Dragados USA</v>
      </c>
      <c r="B139" s="18" t="str">
        <f>VLOOKUP(Table_Query_from_CMSFIL[[#This Row],[COMPANYNO]],J:L,3)</f>
        <v>Texas</v>
      </c>
      <c r="C139" t="s">
        <v>742</v>
      </c>
      <c r="D139">
        <v>22</v>
      </c>
      <c r="E139">
        <v>2</v>
      </c>
    </row>
    <row r="140" spans="1:5" x14ac:dyDescent="0.3">
      <c r="A140" s="13" t="str">
        <f>VLOOKUP(Table_Query_from_CMSFIL[[#This Row],[COMPANYNO]],$J$1:$K$39,2)</f>
        <v>JF White</v>
      </c>
      <c r="B140" s="18" t="str">
        <f>VLOOKUP(Table_Query_from_CMSFIL[[#This Row],[COMPANYNO]],J:L,3)</f>
        <v>Boston</v>
      </c>
      <c r="C140" t="s">
        <v>743</v>
      </c>
      <c r="D140">
        <v>45</v>
      </c>
      <c r="E140">
        <v>1</v>
      </c>
    </row>
    <row r="141" spans="1:5" x14ac:dyDescent="0.3">
      <c r="A141" s="13" t="str">
        <f>VLOOKUP(Table_Query_from_CMSFIL[[#This Row],[COMPANYNO]],$J$1:$K$39,2)</f>
        <v>JF White</v>
      </c>
      <c r="B141" s="18" t="str">
        <f>VLOOKUP(Table_Query_from_CMSFIL[[#This Row],[COMPANYNO]],J:L,3)</f>
        <v>Boston</v>
      </c>
      <c r="C141" t="s">
        <v>558</v>
      </c>
      <c r="D141">
        <v>45</v>
      </c>
      <c r="E141">
        <v>2</v>
      </c>
    </row>
    <row r="142" spans="1:5" x14ac:dyDescent="0.3">
      <c r="A142" s="16" t="str">
        <f>VLOOKUP(Table_Query_from_CMSFIL[[#This Row],[COMPANYNO]],$J$1:$K$39,2)</f>
        <v>JF White</v>
      </c>
      <c r="B142" s="18" t="str">
        <f>VLOOKUP(Table_Query_from_CMSFIL[[#This Row],[COMPANYNO]],J:L,3)</f>
        <v>Boston</v>
      </c>
      <c r="C142" t="s">
        <v>559</v>
      </c>
      <c r="D142">
        <v>45</v>
      </c>
      <c r="E142">
        <v>3</v>
      </c>
    </row>
    <row r="143" spans="1:5" x14ac:dyDescent="0.3">
      <c r="A143" s="13" t="str">
        <f>VLOOKUP(Table_Query_from_CMSFIL[[#This Row],[COMPANYNO]],$J$1:$K$39,2)</f>
        <v>JF White</v>
      </c>
      <c r="B143" s="18" t="str">
        <f>VLOOKUP(Table_Query_from_CMSFIL[[#This Row],[COMPANYNO]],J:L,3)</f>
        <v>Boston</v>
      </c>
      <c r="C143" t="s">
        <v>560</v>
      </c>
      <c r="D143">
        <v>45</v>
      </c>
      <c r="E143">
        <v>4</v>
      </c>
    </row>
    <row r="144" spans="1:5" x14ac:dyDescent="0.3">
      <c r="A144" s="16" t="str">
        <f>VLOOKUP(Table_Query_from_CMSFIL[[#This Row],[COMPANYNO]],$J$1:$K$39,2)</f>
        <v>JF White</v>
      </c>
      <c r="B144" s="18" t="str">
        <f>VLOOKUP(Table_Query_from_CMSFIL[[#This Row],[COMPANYNO]],J:L,3)</f>
        <v>Boston</v>
      </c>
      <c r="C144" t="s">
        <v>561</v>
      </c>
      <c r="D144">
        <v>45</v>
      </c>
      <c r="E144">
        <v>5</v>
      </c>
    </row>
    <row r="145" spans="1:5" x14ac:dyDescent="0.3">
      <c r="A145" s="13" t="str">
        <f>VLOOKUP(Table_Query_from_CMSFIL[[#This Row],[COMPANYNO]],$J$1:$K$39,2)</f>
        <v>JF White</v>
      </c>
      <c r="B145" s="18" t="str">
        <f>VLOOKUP(Table_Query_from_CMSFIL[[#This Row],[COMPANYNO]],J:L,3)</f>
        <v>Boston</v>
      </c>
      <c r="C145" t="s">
        <v>562</v>
      </c>
      <c r="D145">
        <v>45</v>
      </c>
      <c r="E145">
        <v>6</v>
      </c>
    </row>
    <row r="146" spans="1:5" x14ac:dyDescent="0.3">
      <c r="A146" s="16" t="str">
        <f>VLOOKUP(Table_Query_from_CMSFIL[[#This Row],[COMPANYNO]],$J$1:$K$39,2)</f>
        <v>JF White</v>
      </c>
      <c r="B146" s="18" t="str">
        <f>VLOOKUP(Table_Query_from_CMSFIL[[#This Row],[COMPANYNO]],J:L,3)</f>
        <v>Boston</v>
      </c>
      <c r="C146" t="s">
        <v>563</v>
      </c>
      <c r="D146">
        <v>45</v>
      </c>
      <c r="E146">
        <v>7</v>
      </c>
    </row>
    <row r="147" spans="1:5" x14ac:dyDescent="0.3">
      <c r="A147" s="13" t="str">
        <f>VLOOKUP(Table_Query_from_CMSFIL[[#This Row],[COMPANYNO]],$J$1:$K$39,2)</f>
        <v>JF White</v>
      </c>
      <c r="B147" s="18" t="str">
        <f>VLOOKUP(Table_Query_from_CMSFIL[[#This Row],[COMPANYNO]],J:L,3)</f>
        <v>Boston</v>
      </c>
      <c r="C147" t="s">
        <v>564</v>
      </c>
      <c r="D147">
        <v>45</v>
      </c>
      <c r="E147">
        <v>8</v>
      </c>
    </row>
    <row r="148" spans="1:5" x14ac:dyDescent="0.3">
      <c r="A148" s="16" t="str">
        <f>VLOOKUP(Table_Query_from_CMSFIL[[#This Row],[COMPANYNO]],$J$1:$K$39,2)</f>
        <v>JF White</v>
      </c>
      <c r="B148" s="18" t="str">
        <f>VLOOKUP(Table_Query_from_CMSFIL[[#This Row],[COMPANYNO]],J:L,3)</f>
        <v>Boston</v>
      </c>
      <c r="C148" t="s">
        <v>565</v>
      </c>
      <c r="D148">
        <v>45</v>
      </c>
      <c r="E148">
        <v>9</v>
      </c>
    </row>
    <row r="149" spans="1:5" x14ac:dyDescent="0.3">
      <c r="A149" s="13" t="str">
        <f>VLOOKUP(Table_Query_from_CMSFIL[[#This Row],[COMPANYNO]],$J$1:$K$39,2)</f>
        <v>JF White</v>
      </c>
      <c r="B149" s="18" t="str">
        <f>VLOOKUP(Table_Query_from_CMSFIL[[#This Row],[COMPANYNO]],J:L,3)</f>
        <v>Boston</v>
      </c>
      <c r="C149" t="s">
        <v>566</v>
      </c>
      <c r="D149">
        <v>45</v>
      </c>
      <c r="E149">
        <v>10</v>
      </c>
    </row>
    <row r="150" spans="1:5" x14ac:dyDescent="0.3">
      <c r="A150" s="16" t="str">
        <f>VLOOKUP(Table_Query_from_CMSFIL[[#This Row],[COMPANYNO]],$J$1:$K$39,2)</f>
        <v>JF White</v>
      </c>
      <c r="B150" s="18" t="str">
        <f>VLOOKUP(Table_Query_from_CMSFIL[[#This Row],[COMPANYNO]],J:L,3)</f>
        <v>Boston</v>
      </c>
      <c r="C150" t="s">
        <v>567</v>
      </c>
      <c r="D150">
        <v>45</v>
      </c>
      <c r="E150">
        <v>11</v>
      </c>
    </row>
    <row r="151" spans="1:5" x14ac:dyDescent="0.3">
      <c r="A151" s="13" t="str">
        <f>VLOOKUP(Table_Query_from_CMSFIL[[#This Row],[COMPANYNO]],$J$1:$K$39,2)</f>
        <v>JF White</v>
      </c>
      <c r="B151" s="18" t="str">
        <f>VLOOKUP(Table_Query_from_CMSFIL[[#This Row],[COMPANYNO]],J:L,3)</f>
        <v>Boston</v>
      </c>
      <c r="C151" t="s">
        <v>568</v>
      </c>
      <c r="D151">
        <v>45</v>
      </c>
      <c r="E151">
        <v>12</v>
      </c>
    </row>
    <row r="152" spans="1:5" x14ac:dyDescent="0.3">
      <c r="A152" s="16" t="str">
        <f>VLOOKUP(Table_Query_from_CMSFIL[[#This Row],[COMPANYNO]],$J$1:$K$39,2)</f>
        <v>JF White</v>
      </c>
      <c r="B152" s="18" t="str">
        <f>VLOOKUP(Table_Query_from_CMSFIL[[#This Row],[COMPANYNO]],J:L,3)</f>
        <v>Boston</v>
      </c>
      <c r="C152" t="s">
        <v>569</v>
      </c>
      <c r="D152">
        <v>45</v>
      </c>
      <c r="E152">
        <v>13</v>
      </c>
    </row>
    <row r="153" spans="1:5" x14ac:dyDescent="0.3">
      <c r="A153" s="13" t="str">
        <f>VLOOKUP(Table_Query_from_CMSFIL[[#This Row],[COMPANYNO]],$J$1:$K$39,2)</f>
        <v>JF White</v>
      </c>
      <c r="B153" s="18" t="str">
        <f>VLOOKUP(Table_Query_from_CMSFIL[[#This Row],[COMPANYNO]],J:L,3)</f>
        <v>Boston</v>
      </c>
      <c r="C153" t="s">
        <v>570</v>
      </c>
      <c r="D153">
        <v>45</v>
      </c>
      <c r="E153">
        <v>14</v>
      </c>
    </row>
    <row r="154" spans="1:5" x14ac:dyDescent="0.3">
      <c r="A154" s="16" t="str">
        <f>VLOOKUP(Table_Query_from_CMSFIL[[#This Row],[COMPANYNO]],$J$1:$K$39,2)</f>
        <v>JF White</v>
      </c>
      <c r="B154" s="18" t="str">
        <f>VLOOKUP(Table_Query_from_CMSFIL[[#This Row],[COMPANYNO]],J:L,3)</f>
        <v>Boston</v>
      </c>
      <c r="C154" t="s">
        <v>571</v>
      </c>
      <c r="D154">
        <v>45</v>
      </c>
      <c r="E154">
        <v>15</v>
      </c>
    </row>
    <row r="155" spans="1:5" x14ac:dyDescent="0.3">
      <c r="A155" s="13" t="str">
        <f>VLOOKUP(Table_Query_from_CMSFIL[[#This Row],[COMPANYNO]],$J$1:$K$39,2)</f>
        <v>JF White</v>
      </c>
      <c r="B155" s="18" t="str">
        <f>VLOOKUP(Table_Query_from_CMSFIL[[#This Row],[COMPANYNO]],J:L,3)</f>
        <v>Boston</v>
      </c>
      <c r="C155" t="s">
        <v>572</v>
      </c>
      <c r="D155">
        <v>45</v>
      </c>
      <c r="E155">
        <v>16</v>
      </c>
    </row>
    <row r="156" spans="1:5" x14ac:dyDescent="0.3">
      <c r="A156" s="16" t="str">
        <f>VLOOKUP(Table_Query_from_CMSFIL[[#This Row],[COMPANYNO]],$J$1:$K$39,2)</f>
        <v>JF White</v>
      </c>
      <c r="B156" s="18" t="str">
        <f>VLOOKUP(Table_Query_from_CMSFIL[[#This Row],[COMPANYNO]],J:L,3)</f>
        <v>Boston</v>
      </c>
      <c r="C156" t="s">
        <v>573</v>
      </c>
      <c r="D156">
        <v>45</v>
      </c>
      <c r="E156">
        <v>17</v>
      </c>
    </row>
    <row r="157" spans="1:5" x14ac:dyDescent="0.3">
      <c r="A157" s="13" t="str">
        <f>VLOOKUP(Table_Query_from_CMSFIL[[#This Row],[COMPANYNO]],$J$1:$K$39,2)</f>
        <v>JF White</v>
      </c>
      <c r="B157" s="18" t="str">
        <f>VLOOKUP(Table_Query_from_CMSFIL[[#This Row],[COMPANYNO]],J:L,3)</f>
        <v>Boston</v>
      </c>
      <c r="C157" t="s">
        <v>574</v>
      </c>
      <c r="D157">
        <v>45</v>
      </c>
      <c r="E157">
        <v>18</v>
      </c>
    </row>
    <row r="158" spans="1:5" x14ac:dyDescent="0.3">
      <c r="A158" s="16" t="str">
        <f>VLOOKUP(Table_Query_from_CMSFIL[[#This Row],[COMPANYNO]],$J$1:$K$39,2)</f>
        <v>JF White</v>
      </c>
      <c r="B158" s="18" t="str">
        <f>VLOOKUP(Table_Query_from_CMSFIL[[#This Row],[COMPANYNO]],J:L,3)</f>
        <v>Boston</v>
      </c>
      <c r="C158" t="s">
        <v>575</v>
      </c>
      <c r="D158">
        <v>45</v>
      </c>
      <c r="E158">
        <v>19</v>
      </c>
    </row>
    <row r="159" spans="1:5" x14ac:dyDescent="0.3">
      <c r="A159" s="13" t="str">
        <f>VLOOKUP(Table_Query_from_CMSFIL[[#This Row],[COMPANYNO]],$J$1:$K$39,2)</f>
        <v>JF White</v>
      </c>
      <c r="B159" s="18" t="str">
        <f>VLOOKUP(Table_Query_from_CMSFIL[[#This Row],[COMPANYNO]],J:L,3)</f>
        <v>Boston</v>
      </c>
      <c r="C159" t="s">
        <v>576</v>
      </c>
      <c r="D159">
        <v>45</v>
      </c>
      <c r="E159">
        <v>20</v>
      </c>
    </row>
    <row r="160" spans="1:5" x14ac:dyDescent="0.3">
      <c r="A160" s="16" t="str">
        <f>VLOOKUP(Table_Query_from_CMSFIL[[#This Row],[COMPANYNO]],$J$1:$K$39,2)</f>
        <v>JF White</v>
      </c>
      <c r="B160" s="18" t="str">
        <f>VLOOKUP(Table_Query_from_CMSFIL[[#This Row],[COMPANYNO]],J:L,3)</f>
        <v>Boston</v>
      </c>
      <c r="C160" t="s">
        <v>577</v>
      </c>
      <c r="D160">
        <v>45</v>
      </c>
      <c r="E160">
        <v>21</v>
      </c>
    </row>
    <row r="161" spans="1:5" x14ac:dyDescent="0.3">
      <c r="A161" s="13" t="str">
        <f>VLOOKUP(Table_Query_from_CMSFIL[[#This Row],[COMPANYNO]],$J$1:$K$39,2)</f>
        <v>JF White</v>
      </c>
      <c r="B161" s="18" t="str">
        <f>VLOOKUP(Table_Query_from_CMSFIL[[#This Row],[COMPANYNO]],J:L,3)</f>
        <v>Boston</v>
      </c>
      <c r="C161" t="s">
        <v>578</v>
      </c>
      <c r="D161">
        <v>45</v>
      </c>
      <c r="E161">
        <v>22</v>
      </c>
    </row>
    <row r="162" spans="1:5" x14ac:dyDescent="0.3">
      <c r="A162" s="16" t="str">
        <f>VLOOKUP(Table_Query_from_CMSFIL[[#This Row],[COMPANYNO]],$J$1:$K$39,2)</f>
        <v>JF White</v>
      </c>
      <c r="B162" s="18" t="str">
        <f>VLOOKUP(Table_Query_from_CMSFIL[[#This Row],[COMPANYNO]],J:L,3)</f>
        <v>Boston</v>
      </c>
      <c r="C162" t="s">
        <v>579</v>
      </c>
      <c r="D162">
        <v>45</v>
      </c>
      <c r="E162">
        <v>80</v>
      </c>
    </row>
    <row r="163" spans="1:5" x14ac:dyDescent="0.3">
      <c r="A163" s="13" t="str">
        <f>VLOOKUP(Table_Query_from_CMSFIL[[#This Row],[COMPANYNO]],$J$1:$K$39,2)</f>
        <v>JF White</v>
      </c>
      <c r="B163" s="18" t="str">
        <f>VLOOKUP(Table_Query_from_CMSFIL[[#This Row],[COMPANYNO]],J:L,3)</f>
        <v>Boston</v>
      </c>
      <c r="C163" t="s">
        <v>580</v>
      </c>
      <c r="D163">
        <v>45</v>
      </c>
      <c r="E163">
        <v>81</v>
      </c>
    </row>
    <row r="164" spans="1:5" x14ac:dyDescent="0.3">
      <c r="A164" s="16" t="str">
        <f>VLOOKUP(Table_Query_from_CMSFIL[[#This Row],[COMPANYNO]],$J$1:$K$39,2)</f>
        <v>JF White</v>
      </c>
      <c r="B164" s="18" t="str">
        <f>VLOOKUP(Table_Query_from_CMSFIL[[#This Row],[COMPANYNO]],J:L,3)</f>
        <v>Boston</v>
      </c>
      <c r="C164" t="s">
        <v>581</v>
      </c>
      <c r="D164">
        <v>45</v>
      </c>
      <c r="E164">
        <v>23</v>
      </c>
    </row>
    <row r="165" spans="1:5" x14ac:dyDescent="0.3">
      <c r="A165" s="13" t="str">
        <f>VLOOKUP(Table_Query_from_CMSFIL[[#This Row],[COMPANYNO]],$J$1:$K$39,2)</f>
        <v>JF White</v>
      </c>
      <c r="B165" s="18" t="str">
        <f>VLOOKUP(Table_Query_from_CMSFIL[[#This Row],[COMPANYNO]],J:L,3)</f>
        <v>Boston</v>
      </c>
      <c r="C165" t="s">
        <v>582</v>
      </c>
      <c r="D165">
        <v>45</v>
      </c>
      <c r="E165">
        <v>24</v>
      </c>
    </row>
    <row r="166" spans="1:5" x14ac:dyDescent="0.3">
      <c r="A166" s="16" t="str">
        <f>VLOOKUP(Table_Query_from_CMSFIL[[#This Row],[COMPANYNO]],$J$1:$K$39,2)</f>
        <v>JF White</v>
      </c>
      <c r="B166" s="18" t="str">
        <f>VLOOKUP(Table_Query_from_CMSFIL[[#This Row],[COMPANYNO]],J:L,3)</f>
        <v>Boston</v>
      </c>
      <c r="C166" t="s">
        <v>583</v>
      </c>
      <c r="D166">
        <v>45</v>
      </c>
      <c r="E166">
        <v>26</v>
      </c>
    </row>
    <row r="167" spans="1:5" x14ac:dyDescent="0.3">
      <c r="A167" s="13" t="str">
        <f>VLOOKUP(Table_Query_from_CMSFIL[[#This Row],[COMPANYNO]],$J$1:$K$39,2)</f>
        <v>JF White</v>
      </c>
      <c r="B167" s="18" t="str">
        <f>VLOOKUP(Table_Query_from_CMSFIL[[#This Row],[COMPANYNO]],J:L,3)</f>
        <v>Boston</v>
      </c>
      <c r="C167" t="s">
        <v>585</v>
      </c>
      <c r="D167">
        <v>45</v>
      </c>
      <c r="E167">
        <v>27</v>
      </c>
    </row>
    <row r="168" spans="1:5" x14ac:dyDescent="0.3">
      <c r="A168" s="16" t="str">
        <f>VLOOKUP(Table_Query_from_CMSFIL[[#This Row],[COMPANYNO]],$J$1:$K$39,2)</f>
        <v>JF White</v>
      </c>
      <c r="B168" s="18" t="str">
        <f>VLOOKUP(Table_Query_from_CMSFIL[[#This Row],[COMPANYNO]],J:L,3)</f>
        <v>Boston</v>
      </c>
      <c r="C168" t="s">
        <v>586</v>
      </c>
      <c r="D168">
        <v>45</v>
      </c>
      <c r="E168">
        <v>28</v>
      </c>
    </row>
    <row r="169" spans="1:5" x14ac:dyDescent="0.3">
      <c r="A169" s="13" t="str">
        <f>VLOOKUP(Table_Query_from_CMSFIL[[#This Row],[COMPANYNO]],$J$1:$K$39,2)</f>
        <v>JF White</v>
      </c>
      <c r="B169" s="18" t="str">
        <f>VLOOKUP(Table_Query_from_CMSFIL[[#This Row],[COMPANYNO]],J:L,3)</f>
        <v>Boston</v>
      </c>
      <c r="C169" t="s">
        <v>587</v>
      </c>
      <c r="D169">
        <v>45</v>
      </c>
      <c r="E169">
        <v>29</v>
      </c>
    </row>
    <row r="170" spans="1:5" x14ac:dyDescent="0.3">
      <c r="A170" s="16" t="str">
        <f>VLOOKUP(Table_Query_from_CMSFIL[[#This Row],[COMPANYNO]],$J$1:$K$39,2)</f>
        <v>JF White</v>
      </c>
      <c r="B170" s="18" t="str">
        <f>VLOOKUP(Table_Query_from_CMSFIL[[#This Row],[COMPANYNO]],J:L,3)</f>
        <v>Boston</v>
      </c>
      <c r="C170" t="s">
        <v>588</v>
      </c>
      <c r="D170">
        <v>45</v>
      </c>
      <c r="E170">
        <v>30</v>
      </c>
    </row>
    <row r="171" spans="1:5" x14ac:dyDescent="0.3">
      <c r="A171" s="13" t="str">
        <f>VLOOKUP(Table_Query_from_CMSFIL[[#This Row],[COMPANYNO]],$J$1:$K$39,2)</f>
        <v>JF White</v>
      </c>
      <c r="B171" s="18" t="str">
        <f>VLOOKUP(Table_Query_from_CMSFIL[[#This Row],[COMPANYNO]],J:L,3)</f>
        <v>Boston</v>
      </c>
      <c r="C171" t="s">
        <v>589</v>
      </c>
      <c r="D171">
        <v>45</v>
      </c>
      <c r="E171">
        <v>31</v>
      </c>
    </row>
    <row r="172" spans="1:5" x14ac:dyDescent="0.3">
      <c r="A172" s="16" t="str">
        <f>VLOOKUP(Table_Query_from_CMSFIL[[#This Row],[COMPANYNO]],$J$1:$K$39,2)</f>
        <v>JF White</v>
      </c>
      <c r="B172" s="18" t="str">
        <f>VLOOKUP(Table_Query_from_CMSFIL[[#This Row],[COMPANYNO]],J:L,3)</f>
        <v>Boston</v>
      </c>
      <c r="C172" t="s">
        <v>590</v>
      </c>
      <c r="D172">
        <v>45</v>
      </c>
      <c r="E172">
        <v>32</v>
      </c>
    </row>
    <row r="173" spans="1:5" x14ac:dyDescent="0.3">
      <c r="A173" s="13" t="str">
        <f>VLOOKUP(Table_Query_from_CMSFIL[[#This Row],[COMPANYNO]],$J$1:$K$39,2)</f>
        <v>JF White</v>
      </c>
      <c r="B173" s="18" t="str">
        <f>VLOOKUP(Table_Query_from_CMSFIL[[#This Row],[COMPANYNO]],J:L,3)</f>
        <v>Boston</v>
      </c>
      <c r="C173" t="s">
        <v>591</v>
      </c>
      <c r="D173">
        <v>45</v>
      </c>
      <c r="E173">
        <v>101</v>
      </c>
    </row>
    <row r="174" spans="1:5" x14ac:dyDescent="0.3">
      <c r="A174" s="16" t="str">
        <f>VLOOKUP(Table_Query_from_CMSFIL[[#This Row],[COMPANYNO]],$J$1:$K$39,2)</f>
        <v>JF White</v>
      </c>
      <c r="B174" s="18" t="str">
        <f>VLOOKUP(Table_Query_from_CMSFIL[[#This Row],[COMPANYNO]],J:L,3)</f>
        <v>Boston</v>
      </c>
      <c r="C174" t="s">
        <v>593</v>
      </c>
      <c r="D174">
        <v>45</v>
      </c>
      <c r="E174">
        <v>102</v>
      </c>
    </row>
    <row r="175" spans="1:5" x14ac:dyDescent="0.3">
      <c r="A175" s="13" t="str">
        <f>VLOOKUP(Table_Query_from_CMSFIL[[#This Row],[COMPANYNO]],$J$1:$K$39,2)</f>
        <v>JF White</v>
      </c>
      <c r="B175" s="18" t="str">
        <f>VLOOKUP(Table_Query_from_CMSFIL[[#This Row],[COMPANYNO]],J:L,3)</f>
        <v>Boston</v>
      </c>
      <c r="C175" t="s">
        <v>594</v>
      </c>
      <c r="D175">
        <v>45</v>
      </c>
      <c r="E175">
        <v>103</v>
      </c>
    </row>
    <row r="176" spans="1:5" x14ac:dyDescent="0.3">
      <c r="A176" s="16" t="str">
        <f>VLOOKUP(Table_Query_from_CMSFIL[[#This Row],[COMPANYNO]],$J$1:$K$39,2)</f>
        <v>JF White</v>
      </c>
      <c r="B176" s="18" t="str">
        <f>VLOOKUP(Table_Query_from_CMSFIL[[#This Row],[COMPANYNO]],J:L,3)</f>
        <v>Boston</v>
      </c>
      <c r="C176" t="s">
        <v>595</v>
      </c>
      <c r="D176">
        <v>45</v>
      </c>
      <c r="E176">
        <v>104</v>
      </c>
    </row>
    <row r="177" spans="1:5" x14ac:dyDescent="0.3">
      <c r="A177" s="13" t="str">
        <f>VLOOKUP(Table_Query_from_CMSFIL[[#This Row],[COMPANYNO]],$J$1:$K$39,2)</f>
        <v>JF White</v>
      </c>
      <c r="B177" s="18" t="str">
        <f>VLOOKUP(Table_Query_from_CMSFIL[[#This Row],[COMPANYNO]],J:L,3)</f>
        <v>Boston</v>
      </c>
      <c r="C177" t="s">
        <v>596</v>
      </c>
      <c r="D177">
        <v>45</v>
      </c>
      <c r="E177">
        <v>105</v>
      </c>
    </row>
    <row r="178" spans="1:5" x14ac:dyDescent="0.3">
      <c r="A178" s="16" t="str">
        <f>VLOOKUP(Table_Query_from_CMSFIL[[#This Row],[COMPANYNO]],$J$1:$K$39,2)</f>
        <v>JF White</v>
      </c>
      <c r="B178" s="18" t="str">
        <f>VLOOKUP(Table_Query_from_CMSFIL[[#This Row],[COMPANYNO]],J:L,3)</f>
        <v>Boston</v>
      </c>
      <c r="C178" t="s">
        <v>597</v>
      </c>
      <c r="D178">
        <v>45</v>
      </c>
      <c r="E178">
        <v>106</v>
      </c>
    </row>
    <row r="179" spans="1:5" x14ac:dyDescent="0.3">
      <c r="A179" s="13" t="str">
        <f>VLOOKUP(Table_Query_from_CMSFIL[[#This Row],[COMPANYNO]],$J$1:$K$39,2)</f>
        <v>JF White</v>
      </c>
      <c r="B179" s="18" t="str">
        <f>VLOOKUP(Table_Query_from_CMSFIL[[#This Row],[COMPANYNO]],J:L,3)</f>
        <v>Boston</v>
      </c>
      <c r="C179" t="s">
        <v>598</v>
      </c>
      <c r="D179">
        <v>45</v>
      </c>
      <c r="E179">
        <v>107</v>
      </c>
    </row>
    <row r="180" spans="1:5" x14ac:dyDescent="0.3">
      <c r="A180" s="16" t="str">
        <f>VLOOKUP(Table_Query_from_CMSFIL[[#This Row],[COMPANYNO]],$J$1:$K$39,2)</f>
        <v>JF White</v>
      </c>
      <c r="B180" s="18" t="str">
        <f>VLOOKUP(Table_Query_from_CMSFIL[[#This Row],[COMPANYNO]],J:L,3)</f>
        <v>Boston</v>
      </c>
      <c r="C180" t="s">
        <v>599</v>
      </c>
      <c r="D180">
        <v>45</v>
      </c>
      <c r="E180">
        <v>108</v>
      </c>
    </row>
    <row r="181" spans="1:5" x14ac:dyDescent="0.3">
      <c r="A181" s="13" t="str">
        <f>VLOOKUP(Table_Query_from_CMSFIL[[#This Row],[COMPANYNO]],$J$1:$K$39,2)</f>
        <v>JF White</v>
      </c>
      <c r="B181" s="18" t="str">
        <f>VLOOKUP(Table_Query_from_CMSFIL[[#This Row],[COMPANYNO]],J:L,3)</f>
        <v>Boston</v>
      </c>
      <c r="C181" t="s">
        <v>600</v>
      </c>
      <c r="D181">
        <v>45</v>
      </c>
      <c r="E181">
        <v>109</v>
      </c>
    </row>
    <row r="182" spans="1:5" x14ac:dyDescent="0.3">
      <c r="A182" s="16" t="str">
        <f>VLOOKUP(Table_Query_from_CMSFIL[[#This Row],[COMPANYNO]],$J$1:$K$39,2)</f>
        <v>JF White</v>
      </c>
      <c r="B182" s="18" t="str">
        <f>VLOOKUP(Table_Query_from_CMSFIL[[#This Row],[COMPANYNO]],J:L,3)</f>
        <v>Boston</v>
      </c>
      <c r="C182" t="s">
        <v>601</v>
      </c>
      <c r="D182">
        <v>45</v>
      </c>
      <c r="E182">
        <v>110</v>
      </c>
    </row>
    <row r="183" spans="1:5" x14ac:dyDescent="0.3">
      <c r="A183" s="13" t="str">
        <f>VLOOKUP(Table_Query_from_CMSFIL[[#This Row],[COMPANYNO]],$J$1:$K$39,2)</f>
        <v>JF White</v>
      </c>
      <c r="B183" s="18" t="str">
        <f>VLOOKUP(Table_Query_from_CMSFIL[[#This Row],[COMPANYNO]],J:L,3)</f>
        <v>Boston</v>
      </c>
      <c r="C183" t="s">
        <v>602</v>
      </c>
      <c r="D183">
        <v>45</v>
      </c>
      <c r="E183">
        <v>111</v>
      </c>
    </row>
    <row r="184" spans="1:5" x14ac:dyDescent="0.3">
      <c r="A184" s="16" t="str">
        <f>VLOOKUP(Table_Query_from_CMSFIL[[#This Row],[COMPANYNO]],$J$1:$K$39,2)</f>
        <v>JF White</v>
      </c>
      <c r="B184" s="18" t="str">
        <f>VLOOKUP(Table_Query_from_CMSFIL[[#This Row],[COMPANYNO]],J:L,3)</f>
        <v>Boston</v>
      </c>
      <c r="C184" t="s">
        <v>603</v>
      </c>
      <c r="D184">
        <v>45</v>
      </c>
      <c r="E184">
        <v>180</v>
      </c>
    </row>
    <row r="185" spans="1:5" x14ac:dyDescent="0.3">
      <c r="A185" s="13" t="str">
        <f>VLOOKUP(Table_Query_from_CMSFIL[[#This Row],[COMPANYNO]],$J$1:$K$39,2)</f>
        <v>JF White</v>
      </c>
      <c r="B185" s="18" t="str">
        <f>VLOOKUP(Table_Query_from_CMSFIL[[#This Row],[COMPANYNO]],J:L,3)</f>
        <v>Boston</v>
      </c>
      <c r="C185" t="s">
        <v>604</v>
      </c>
      <c r="D185">
        <v>45</v>
      </c>
      <c r="E185">
        <v>181</v>
      </c>
    </row>
    <row r="186" spans="1:5" x14ac:dyDescent="0.3">
      <c r="A186" s="16" t="str">
        <f>VLOOKUP(Table_Query_from_CMSFIL[[#This Row],[COMPANYNO]],$J$1:$K$39,2)</f>
        <v>JF White</v>
      </c>
      <c r="B186" s="18" t="str">
        <f>VLOOKUP(Table_Query_from_CMSFIL[[#This Row],[COMPANYNO]],J:L,3)</f>
        <v>Boston</v>
      </c>
      <c r="C186" t="s">
        <v>605</v>
      </c>
      <c r="D186">
        <v>45</v>
      </c>
      <c r="E186">
        <v>201</v>
      </c>
    </row>
    <row r="187" spans="1:5" x14ac:dyDescent="0.3">
      <c r="A187" s="13" t="str">
        <f>VLOOKUP(Table_Query_from_CMSFIL[[#This Row],[COMPANYNO]],$J$1:$K$39,2)</f>
        <v>JF White</v>
      </c>
      <c r="B187" s="18" t="str">
        <f>VLOOKUP(Table_Query_from_CMSFIL[[#This Row],[COMPANYNO]],J:L,3)</f>
        <v>Boston</v>
      </c>
      <c r="C187" t="s">
        <v>606</v>
      </c>
      <c r="D187">
        <v>45</v>
      </c>
      <c r="E187">
        <v>202</v>
      </c>
    </row>
    <row r="188" spans="1:5" x14ac:dyDescent="0.3">
      <c r="A188" s="16" t="str">
        <f>VLOOKUP(Table_Query_from_CMSFIL[[#This Row],[COMPANYNO]],$J$1:$K$39,2)</f>
        <v>JF White</v>
      </c>
      <c r="B188" s="18" t="str">
        <f>VLOOKUP(Table_Query_from_CMSFIL[[#This Row],[COMPANYNO]],J:L,3)</f>
        <v>Boston</v>
      </c>
      <c r="C188" t="s">
        <v>607</v>
      </c>
      <c r="D188">
        <v>45</v>
      </c>
      <c r="E188">
        <v>203</v>
      </c>
    </row>
    <row r="189" spans="1:5" x14ac:dyDescent="0.3">
      <c r="A189" s="13" t="str">
        <f>VLOOKUP(Table_Query_from_CMSFIL[[#This Row],[COMPANYNO]],$J$1:$K$39,2)</f>
        <v>JF White</v>
      </c>
      <c r="B189" s="18" t="str">
        <f>VLOOKUP(Table_Query_from_CMSFIL[[#This Row],[COMPANYNO]],J:L,3)</f>
        <v>Boston</v>
      </c>
      <c r="C189" t="s">
        <v>608</v>
      </c>
      <c r="D189">
        <v>45</v>
      </c>
      <c r="E189">
        <v>204</v>
      </c>
    </row>
    <row r="190" spans="1:5" x14ac:dyDescent="0.3">
      <c r="A190" s="16" t="str">
        <f>VLOOKUP(Table_Query_from_CMSFIL[[#This Row],[COMPANYNO]],$J$1:$K$39,2)</f>
        <v>JF White</v>
      </c>
      <c r="B190" s="18" t="str">
        <f>VLOOKUP(Table_Query_from_CMSFIL[[#This Row],[COMPANYNO]],J:L,3)</f>
        <v>Boston</v>
      </c>
      <c r="C190" t="s">
        <v>609</v>
      </c>
      <c r="D190">
        <v>45</v>
      </c>
      <c r="E190">
        <v>205</v>
      </c>
    </row>
    <row r="191" spans="1:5" x14ac:dyDescent="0.3">
      <c r="A191" s="13" t="str">
        <f>VLOOKUP(Table_Query_from_CMSFIL[[#This Row],[COMPANYNO]],$J$1:$K$39,2)</f>
        <v>JF White</v>
      </c>
      <c r="B191" s="18" t="str">
        <f>VLOOKUP(Table_Query_from_CMSFIL[[#This Row],[COMPANYNO]],J:L,3)</f>
        <v>Boston</v>
      </c>
      <c r="C191" t="s">
        <v>610</v>
      </c>
      <c r="D191">
        <v>45</v>
      </c>
      <c r="E191">
        <v>206</v>
      </c>
    </row>
    <row r="192" spans="1:5" x14ac:dyDescent="0.3">
      <c r="A192" s="16" t="str">
        <f>VLOOKUP(Table_Query_from_CMSFIL[[#This Row],[COMPANYNO]],$J$1:$K$39,2)</f>
        <v>JF White</v>
      </c>
      <c r="B192" s="18" t="str">
        <f>VLOOKUP(Table_Query_from_CMSFIL[[#This Row],[COMPANYNO]],J:L,3)</f>
        <v>Boston</v>
      </c>
      <c r="C192" t="s">
        <v>611</v>
      </c>
      <c r="D192">
        <v>45</v>
      </c>
      <c r="E192">
        <v>207</v>
      </c>
    </row>
    <row r="193" spans="1:5" x14ac:dyDescent="0.3">
      <c r="A193" s="13" t="str">
        <f>VLOOKUP(Table_Query_from_CMSFIL[[#This Row],[COMPANYNO]],$J$1:$K$39,2)</f>
        <v>JF White</v>
      </c>
      <c r="B193" s="18" t="str">
        <f>VLOOKUP(Table_Query_from_CMSFIL[[#This Row],[COMPANYNO]],J:L,3)</f>
        <v>Boston</v>
      </c>
      <c r="C193" t="s">
        <v>612</v>
      </c>
      <c r="D193">
        <v>45</v>
      </c>
      <c r="E193">
        <v>208</v>
      </c>
    </row>
    <row r="194" spans="1:5" x14ac:dyDescent="0.3">
      <c r="A194" s="16" t="str">
        <f>VLOOKUP(Table_Query_from_CMSFIL[[#This Row],[COMPANYNO]],$J$1:$K$39,2)</f>
        <v>JF White</v>
      </c>
      <c r="B194" s="18" t="str">
        <f>VLOOKUP(Table_Query_from_CMSFIL[[#This Row],[COMPANYNO]],J:L,3)</f>
        <v>Boston</v>
      </c>
      <c r="C194" t="s">
        <v>613</v>
      </c>
      <c r="D194">
        <v>45</v>
      </c>
      <c r="E194">
        <v>209</v>
      </c>
    </row>
    <row r="195" spans="1:5" x14ac:dyDescent="0.3">
      <c r="A195" s="13" t="str">
        <f>VLOOKUP(Table_Query_from_CMSFIL[[#This Row],[COMPANYNO]],$J$1:$K$39,2)</f>
        <v>JF White</v>
      </c>
      <c r="B195" s="18" t="str">
        <f>VLOOKUP(Table_Query_from_CMSFIL[[#This Row],[COMPANYNO]],J:L,3)</f>
        <v>Boston</v>
      </c>
      <c r="C195" t="s">
        <v>614</v>
      </c>
      <c r="D195">
        <v>45</v>
      </c>
      <c r="E195">
        <v>210</v>
      </c>
    </row>
    <row r="196" spans="1:5" x14ac:dyDescent="0.3">
      <c r="A196" s="16" t="str">
        <f>VLOOKUP(Table_Query_from_CMSFIL[[#This Row],[COMPANYNO]],$J$1:$K$39,2)</f>
        <v>JF White</v>
      </c>
      <c r="B196" s="18" t="str">
        <f>VLOOKUP(Table_Query_from_CMSFIL[[#This Row],[COMPANYNO]],J:L,3)</f>
        <v>Boston</v>
      </c>
      <c r="C196" t="s">
        <v>615</v>
      </c>
      <c r="D196">
        <v>45</v>
      </c>
      <c r="E196">
        <v>211</v>
      </c>
    </row>
    <row r="197" spans="1:5" x14ac:dyDescent="0.3">
      <c r="A197" s="13" t="str">
        <f>VLOOKUP(Table_Query_from_CMSFIL[[#This Row],[COMPANYNO]],$J$1:$K$39,2)</f>
        <v>JF White</v>
      </c>
      <c r="B197" s="18" t="str">
        <f>VLOOKUP(Table_Query_from_CMSFIL[[#This Row],[COMPANYNO]],J:L,3)</f>
        <v>Boston</v>
      </c>
      <c r="C197" t="s">
        <v>616</v>
      </c>
      <c r="D197">
        <v>45</v>
      </c>
      <c r="E197">
        <v>212</v>
      </c>
    </row>
    <row r="198" spans="1:5" x14ac:dyDescent="0.3">
      <c r="A198" s="16" t="str">
        <f>VLOOKUP(Table_Query_from_CMSFIL[[#This Row],[COMPANYNO]],$J$1:$K$39,2)</f>
        <v>JF White</v>
      </c>
      <c r="B198" s="18" t="str">
        <f>VLOOKUP(Table_Query_from_CMSFIL[[#This Row],[COMPANYNO]],J:L,3)</f>
        <v>Boston</v>
      </c>
      <c r="C198" t="s">
        <v>617</v>
      </c>
      <c r="D198">
        <v>45</v>
      </c>
      <c r="E198">
        <v>213</v>
      </c>
    </row>
    <row r="199" spans="1:5" x14ac:dyDescent="0.3">
      <c r="A199" s="13" t="str">
        <f>VLOOKUP(Table_Query_from_CMSFIL[[#This Row],[COMPANYNO]],$J$1:$K$39,2)</f>
        <v>JF White</v>
      </c>
      <c r="B199" s="18" t="str">
        <f>VLOOKUP(Table_Query_from_CMSFIL[[#This Row],[COMPANYNO]],J:L,3)</f>
        <v>Boston</v>
      </c>
      <c r="C199" t="s">
        <v>618</v>
      </c>
      <c r="D199">
        <v>45</v>
      </c>
      <c r="E199">
        <v>33</v>
      </c>
    </row>
    <row r="200" spans="1:5" x14ac:dyDescent="0.3">
      <c r="A200" s="16" t="str">
        <f>VLOOKUP(Table_Query_from_CMSFIL[[#This Row],[COMPANYNO]],$J$1:$K$39,2)</f>
        <v>JF White</v>
      </c>
      <c r="B200" s="18" t="str">
        <f>VLOOKUP(Table_Query_from_CMSFIL[[#This Row],[COMPANYNO]],J:L,3)</f>
        <v>Boston</v>
      </c>
      <c r="C200" t="s">
        <v>619</v>
      </c>
      <c r="D200">
        <v>45</v>
      </c>
      <c r="E200">
        <v>260</v>
      </c>
    </row>
    <row r="201" spans="1:5" x14ac:dyDescent="0.3">
      <c r="A201" s="13" t="str">
        <f>VLOOKUP(Table_Query_from_CMSFIL[[#This Row],[COMPANYNO]],$J$1:$K$39,2)</f>
        <v>JF White</v>
      </c>
      <c r="B201" s="18" t="str">
        <f>VLOOKUP(Table_Query_from_CMSFIL[[#This Row],[COMPANYNO]],J:L,3)</f>
        <v>Boston</v>
      </c>
      <c r="C201" t="s">
        <v>620</v>
      </c>
      <c r="D201">
        <v>45</v>
      </c>
      <c r="E201">
        <v>270</v>
      </c>
    </row>
    <row r="202" spans="1:5" x14ac:dyDescent="0.3">
      <c r="A202" s="16" t="str">
        <f>VLOOKUP(Table_Query_from_CMSFIL[[#This Row],[COMPANYNO]],$J$1:$K$39,2)</f>
        <v>JF White</v>
      </c>
      <c r="B202" s="18" t="str">
        <f>VLOOKUP(Table_Query_from_CMSFIL[[#This Row],[COMPANYNO]],J:L,3)</f>
        <v>Boston</v>
      </c>
      <c r="C202" t="s">
        <v>621</v>
      </c>
      <c r="D202">
        <v>45</v>
      </c>
      <c r="E202">
        <v>271</v>
      </c>
    </row>
    <row r="203" spans="1:5" x14ac:dyDescent="0.3">
      <c r="A203" s="13" t="str">
        <f>VLOOKUP(Table_Query_from_CMSFIL[[#This Row],[COMPANYNO]],$J$1:$K$39,2)</f>
        <v>JF White</v>
      </c>
      <c r="B203" s="18" t="str">
        <f>VLOOKUP(Table_Query_from_CMSFIL[[#This Row],[COMPANYNO]],J:L,3)</f>
        <v>Boston</v>
      </c>
      <c r="C203" t="s">
        <v>622</v>
      </c>
      <c r="D203">
        <v>45</v>
      </c>
      <c r="E203">
        <v>280</v>
      </c>
    </row>
    <row r="204" spans="1:5" x14ac:dyDescent="0.3">
      <c r="A204" s="16" t="str">
        <f>VLOOKUP(Table_Query_from_CMSFIL[[#This Row],[COMPANYNO]],$J$1:$K$39,2)</f>
        <v>JF White</v>
      </c>
      <c r="B204" s="18" t="str">
        <f>VLOOKUP(Table_Query_from_CMSFIL[[#This Row],[COMPANYNO]],J:L,3)</f>
        <v>Boston</v>
      </c>
      <c r="C204" t="s">
        <v>623</v>
      </c>
      <c r="D204">
        <v>45</v>
      </c>
      <c r="E204">
        <v>281</v>
      </c>
    </row>
    <row r="205" spans="1:5" x14ac:dyDescent="0.3">
      <c r="A205" s="13" t="str">
        <f>VLOOKUP(Table_Query_from_CMSFIL[[#This Row],[COMPANYNO]],$J$1:$K$39,2)</f>
        <v>JF White</v>
      </c>
      <c r="B205" s="18" t="str">
        <f>VLOOKUP(Table_Query_from_CMSFIL[[#This Row],[COMPANYNO]],J:L,3)</f>
        <v>Boston</v>
      </c>
      <c r="C205" t="s">
        <v>624</v>
      </c>
      <c r="D205">
        <v>45</v>
      </c>
      <c r="E205">
        <v>901</v>
      </c>
    </row>
    <row r="206" spans="1:5" x14ac:dyDescent="0.3">
      <c r="A206" s="16" t="str">
        <f>VLOOKUP(Table_Query_from_CMSFIL[[#This Row],[COMPANYNO]],$J$1:$K$39,2)</f>
        <v>JF White</v>
      </c>
      <c r="B206" s="18" t="str">
        <f>VLOOKUP(Table_Query_from_CMSFIL[[#This Row],[COMPANYNO]],J:L,3)</f>
        <v>Boston</v>
      </c>
      <c r="C206" t="s">
        <v>625</v>
      </c>
      <c r="D206">
        <v>45</v>
      </c>
      <c r="E206">
        <v>299</v>
      </c>
    </row>
    <row r="207" spans="1:5" x14ac:dyDescent="0.3">
      <c r="A207" s="13" t="str">
        <f>VLOOKUP(Table_Query_from_CMSFIL[[#This Row],[COMPANYNO]],$J$1:$K$39,2)</f>
        <v>JF White</v>
      </c>
      <c r="B207" s="18" t="str">
        <f>VLOOKUP(Table_Query_from_CMSFIL[[#This Row],[COMPANYNO]],J:L,3)</f>
        <v>Boston</v>
      </c>
      <c r="C207" t="s">
        <v>626</v>
      </c>
      <c r="D207">
        <v>45</v>
      </c>
      <c r="E207">
        <v>34</v>
      </c>
    </row>
    <row r="208" spans="1:5" x14ac:dyDescent="0.3">
      <c r="A208" s="16" t="str">
        <f>VLOOKUP(Table_Query_from_CMSFIL[[#This Row],[COMPANYNO]],$J$1:$K$39,2)</f>
        <v>JF White</v>
      </c>
      <c r="B208" s="18" t="str">
        <f>VLOOKUP(Table_Query_from_CMSFIL[[#This Row],[COMPANYNO]],J:L,3)</f>
        <v>Boston</v>
      </c>
      <c r="C208" t="s">
        <v>627</v>
      </c>
      <c r="D208">
        <v>45</v>
      </c>
      <c r="E208">
        <v>35</v>
      </c>
    </row>
    <row r="209" spans="1:5" x14ac:dyDescent="0.3">
      <c r="A209" s="13" t="str">
        <f>VLOOKUP(Table_Query_from_CMSFIL[[#This Row],[COMPANYNO]],$J$1:$K$39,2)</f>
        <v>JF White</v>
      </c>
      <c r="B209" s="18" t="str">
        <f>VLOOKUP(Table_Query_from_CMSFIL[[#This Row],[COMPANYNO]],J:L,3)</f>
        <v>Boston</v>
      </c>
      <c r="C209" t="s">
        <v>628</v>
      </c>
      <c r="D209">
        <v>45</v>
      </c>
      <c r="E209">
        <v>112</v>
      </c>
    </row>
    <row r="210" spans="1:5" x14ac:dyDescent="0.3">
      <c r="A210" s="16" t="str">
        <f>VLOOKUP(Table_Query_from_CMSFIL[[#This Row],[COMPANYNO]],$J$1:$K$39,2)</f>
        <v>JF White</v>
      </c>
      <c r="B210" s="18" t="str">
        <f>VLOOKUP(Table_Query_from_CMSFIL[[#This Row],[COMPANYNO]],J:L,3)</f>
        <v>Boston</v>
      </c>
      <c r="C210" t="s">
        <v>629</v>
      </c>
      <c r="D210">
        <v>45</v>
      </c>
      <c r="E210">
        <v>261</v>
      </c>
    </row>
    <row r="211" spans="1:5" x14ac:dyDescent="0.3">
      <c r="A211" s="13" t="str">
        <f>VLOOKUP(Table_Query_from_CMSFIL[[#This Row],[COMPANYNO]],$J$1:$K$39,2)</f>
        <v>JF White</v>
      </c>
      <c r="B211" s="18" t="str">
        <f>VLOOKUP(Table_Query_from_CMSFIL[[#This Row],[COMPANYNO]],J:L,3)</f>
        <v>Boston</v>
      </c>
      <c r="C211" t="s">
        <v>630</v>
      </c>
      <c r="D211">
        <v>45</v>
      </c>
      <c r="E211">
        <v>272</v>
      </c>
    </row>
    <row r="212" spans="1:5" x14ac:dyDescent="0.3">
      <c r="A212" s="16" t="str">
        <f>VLOOKUP(Table_Query_from_CMSFIL[[#This Row],[COMPANYNO]],$J$1:$K$39,2)</f>
        <v>JF White</v>
      </c>
      <c r="B212" s="18" t="str">
        <f>VLOOKUP(Table_Query_from_CMSFIL[[#This Row],[COMPANYNO]],J:L,3)</f>
        <v>Boston</v>
      </c>
      <c r="C212" t="s">
        <v>631</v>
      </c>
      <c r="D212">
        <v>45</v>
      </c>
      <c r="E212">
        <v>902</v>
      </c>
    </row>
    <row r="213" spans="1:5" x14ac:dyDescent="0.3">
      <c r="A213" s="13" t="str">
        <f>VLOOKUP(Table_Query_from_CMSFIL[[#This Row],[COMPANYNO]],$J$1:$K$39,2)</f>
        <v>JF White</v>
      </c>
      <c r="B213" s="18" t="str">
        <f>VLOOKUP(Table_Query_from_CMSFIL[[#This Row],[COMPANYNO]],J:L,3)</f>
        <v>Boston</v>
      </c>
      <c r="C213" t="s">
        <v>632</v>
      </c>
      <c r="D213">
        <v>45</v>
      </c>
      <c r="E213">
        <v>999</v>
      </c>
    </row>
    <row r="214" spans="1:5" x14ac:dyDescent="0.3">
      <c r="A214" s="16" t="str">
        <f>VLOOKUP(Table_Query_from_CMSFIL[[#This Row],[COMPANYNO]],$J$1:$K$39,2)</f>
        <v>JF White</v>
      </c>
      <c r="B214" s="18" t="str">
        <f>VLOOKUP(Table_Query_from_CMSFIL[[#This Row],[COMPANYNO]],J:L,3)</f>
        <v>Boston</v>
      </c>
      <c r="C214" t="s">
        <v>633</v>
      </c>
      <c r="D214">
        <v>45</v>
      </c>
      <c r="E214">
        <v>701</v>
      </c>
    </row>
    <row r="215" spans="1:5" x14ac:dyDescent="0.3">
      <c r="A215" s="13" t="str">
        <f>VLOOKUP(Table_Query_from_CMSFIL[[#This Row],[COMPANYNO]],$J$1:$K$39,2)</f>
        <v>JF White</v>
      </c>
      <c r="B215" s="18" t="str">
        <f>VLOOKUP(Table_Query_from_CMSFIL[[#This Row],[COMPANYNO]],J:L,3)</f>
        <v>Boston</v>
      </c>
      <c r="C215" t="s">
        <v>634</v>
      </c>
      <c r="D215">
        <v>45</v>
      </c>
      <c r="E215">
        <v>702</v>
      </c>
    </row>
    <row r="216" spans="1:5" x14ac:dyDescent="0.3">
      <c r="A216" s="16" t="str">
        <f>VLOOKUP(Table_Query_from_CMSFIL[[#This Row],[COMPANYNO]],$J$1:$K$39,2)</f>
        <v>JF White</v>
      </c>
      <c r="B216" s="18" t="str">
        <f>VLOOKUP(Table_Query_from_CMSFIL[[#This Row],[COMPANYNO]],J:L,3)</f>
        <v>Boston</v>
      </c>
      <c r="C216" t="s">
        <v>635</v>
      </c>
      <c r="D216">
        <v>45</v>
      </c>
      <c r="E216">
        <v>703</v>
      </c>
    </row>
    <row r="217" spans="1:5" x14ac:dyDescent="0.3">
      <c r="A217" s="13" t="str">
        <f>VLOOKUP(Table_Query_from_CMSFIL[[#This Row],[COMPANYNO]],$J$1:$K$39,2)</f>
        <v>JF White</v>
      </c>
      <c r="B217" s="18" t="str">
        <f>VLOOKUP(Table_Query_from_CMSFIL[[#This Row],[COMPANYNO]],J:L,3)</f>
        <v>Boston</v>
      </c>
      <c r="C217" t="s">
        <v>636</v>
      </c>
      <c r="D217">
        <v>45</v>
      </c>
      <c r="E217">
        <v>704</v>
      </c>
    </row>
    <row r="218" spans="1:5" x14ac:dyDescent="0.3">
      <c r="A218" s="16" t="str">
        <f>VLOOKUP(Table_Query_from_CMSFIL[[#This Row],[COMPANYNO]],$J$1:$K$39,2)</f>
        <v>JF White</v>
      </c>
      <c r="B218" s="18" t="str">
        <f>VLOOKUP(Table_Query_from_CMSFIL[[#This Row],[COMPANYNO]],J:L,3)</f>
        <v>Boston</v>
      </c>
      <c r="C218" t="s">
        <v>637</v>
      </c>
      <c r="D218">
        <v>45</v>
      </c>
      <c r="E218">
        <v>705</v>
      </c>
    </row>
    <row r="219" spans="1:5" x14ac:dyDescent="0.3">
      <c r="A219" s="13" t="str">
        <f>VLOOKUP(Table_Query_from_CMSFIL[[#This Row],[COMPANYNO]],$J$1:$K$39,2)</f>
        <v>JF White</v>
      </c>
      <c r="B219" s="18" t="str">
        <f>VLOOKUP(Table_Query_from_CMSFIL[[#This Row],[COMPANYNO]],J:L,3)</f>
        <v>Boston</v>
      </c>
      <c r="C219" t="s">
        <v>638</v>
      </c>
      <c r="D219">
        <v>45</v>
      </c>
      <c r="E219">
        <v>706</v>
      </c>
    </row>
    <row r="220" spans="1:5" x14ac:dyDescent="0.3">
      <c r="A220" s="16" t="str">
        <f>VLOOKUP(Table_Query_from_CMSFIL[[#This Row],[COMPANYNO]],$J$1:$K$39,2)</f>
        <v>JF White</v>
      </c>
      <c r="B220" s="18" t="str">
        <f>VLOOKUP(Table_Query_from_CMSFIL[[#This Row],[COMPANYNO]],J:L,3)</f>
        <v>Boston</v>
      </c>
      <c r="C220" t="s">
        <v>639</v>
      </c>
      <c r="D220">
        <v>45</v>
      </c>
      <c r="E220">
        <v>707</v>
      </c>
    </row>
    <row r="221" spans="1:5" x14ac:dyDescent="0.3">
      <c r="A221" s="13" t="str">
        <f>VLOOKUP(Table_Query_from_CMSFIL[[#This Row],[COMPANYNO]],$J$1:$K$39,2)</f>
        <v>JF White</v>
      </c>
      <c r="B221" s="18" t="str">
        <f>VLOOKUP(Table_Query_from_CMSFIL[[#This Row],[COMPANYNO]],J:L,3)</f>
        <v>Boston</v>
      </c>
      <c r="C221" t="s">
        <v>640</v>
      </c>
      <c r="D221">
        <v>45</v>
      </c>
      <c r="E221">
        <v>708</v>
      </c>
    </row>
    <row r="222" spans="1:5" x14ac:dyDescent="0.3">
      <c r="A222" s="16" t="str">
        <f>VLOOKUP(Table_Query_from_CMSFIL[[#This Row],[COMPANYNO]],$J$1:$K$39,2)</f>
        <v>JF White</v>
      </c>
      <c r="B222" s="18" t="str">
        <f>VLOOKUP(Table_Query_from_CMSFIL[[#This Row],[COMPANYNO]],J:L,3)</f>
        <v>Boston</v>
      </c>
      <c r="C222" t="s">
        <v>641</v>
      </c>
      <c r="D222">
        <v>45</v>
      </c>
      <c r="E222">
        <v>709</v>
      </c>
    </row>
    <row r="223" spans="1:5" x14ac:dyDescent="0.3">
      <c r="A223" s="13" t="str">
        <f>VLOOKUP(Table_Query_from_CMSFIL[[#This Row],[COMPANYNO]],$J$1:$K$39,2)</f>
        <v>JF White</v>
      </c>
      <c r="B223" s="18" t="str">
        <f>VLOOKUP(Table_Query_from_CMSFIL[[#This Row],[COMPANYNO]],J:L,3)</f>
        <v>Boston</v>
      </c>
      <c r="C223" t="s">
        <v>642</v>
      </c>
      <c r="D223">
        <v>45</v>
      </c>
      <c r="E223">
        <v>301</v>
      </c>
    </row>
    <row r="224" spans="1:5" x14ac:dyDescent="0.3">
      <c r="A224" s="16" t="str">
        <f>VLOOKUP(Table_Query_from_CMSFIL[[#This Row],[COMPANYNO]],$J$1:$K$39,2)</f>
        <v>JF White</v>
      </c>
      <c r="B224" s="18" t="str">
        <f>VLOOKUP(Table_Query_from_CMSFIL[[#This Row],[COMPANYNO]],J:L,3)</f>
        <v>Boston</v>
      </c>
      <c r="C224" t="s">
        <v>643</v>
      </c>
      <c r="D224">
        <v>45</v>
      </c>
      <c r="E224">
        <v>501</v>
      </c>
    </row>
    <row r="225" spans="1:5" x14ac:dyDescent="0.3">
      <c r="A225" s="13" t="str">
        <f>VLOOKUP(Table_Query_from_CMSFIL[[#This Row],[COMPANYNO]],$J$1:$K$39,2)</f>
        <v>JF White</v>
      </c>
      <c r="B225" s="18" t="str">
        <f>VLOOKUP(Table_Query_from_CMSFIL[[#This Row],[COMPANYNO]],J:L,3)</f>
        <v>Boston</v>
      </c>
      <c r="C225" t="s">
        <v>644</v>
      </c>
      <c r="D225">
        <v>45</v>
      </c>
      <c r="E225">
        <v>302</v>
      </c>
    </row>
    <row r="226" spans="1:5" x14ac:dyDescent="0.3">
      <c r="A226" s="16" t="str">
        <f>VLOOKUP(Table_Query_from_CMSFIL[[#This Row],[COMPANYNO]],$J$1:$K$39,2)</f>
        <v>JF White</v>
      </c>
      <c r="B226" s="18" t="str">
        <f>VLOOKUP(Table_Query_from_CMSFIL[[#This Row],[COMPANYNO]],J:L,3)</f>
        <v>Boston</v>
      </c>
      <c r="C226" t="s">
        <v>645</v>
      </c>
      <c r="D226">
        <v>45</v>
      </c>
      <c r="E226">
        <v>502</v>
      </c>
    </row>
    <row r="227" spans="1:5" x14ac:dyDescent="0.3">
      <c r="A227" s="13" t="str">
        <f>VLOOKUP(Table_Query_from_CMSFIL[[#This Row],[COMPANYNO]],$J$1:$K$39,2)</f>
        <v>JF White</v>
      </c>
      <c r="B227" s="18" t="str">
        <f>VLOOKUP(Table_Query_from_CMSFIL[[#This Row],[COMPANYNO]],J:L,3)</f>
        <v>Boston</v>
      </c>
      <c r="C227" t="s">
        <v>646</v>
      </c>
      <c r="D227">
        <v>45</v>
      </c>
      <c r="E227">
        <v>303</v>
      </c>
    </row>
    <row r="228" spans="1:5" x14ac:dyDescent="0.3">
      <c r="A228" s="16" t="str">
        <f>VLOOKUP(Table_Query_from_CMSFIL[[#This Row],[COMPANYNO]],$J$1:$K$39,2)</f>
        <v>JF White</v>
      </c>
      <c r="B228" s="18" t="str">
        <f>VLOOKUP(Table_Query_from_CMSFIL[[#This Row],[COMPANYNO]],J:L,3)</f>
        <v>Boston</v>
      </c>
      <c r="C228" t="s">
        <v>647</v>
      </c>
      <c r="D228">
        <v>45</v>
      </c>
      <c r="E228">
        <v>503</v>
      </c>
    </row>
    <row r="229" spans="1:5" x14ac:dyDescent="0.3">
      <c r="A229" s="13" t="str">
        <f>VLOOKUP(Table_Query_from_CMSFIL[[#This Row],[COMPANYNO]],$J$1:$K$39,2)</f>
        <v>JF White</v>
      </c>
      <c r="B229" s="18" t="str">
        <f>VLOOKUP(Table_Query_from_CMSFIL[[#This Row],[COMPANYNO]],J:L,3)</f>
        <v>Boston</v>
      </c>
      <c r="C229" t="s">
        <v>648</v>
      </c>
      <c r="D229">
        <v>45</v>
      </c>
      <c r="E229">
        <v>304</v>
      </c>
    </row>
    <row r="230" spans="1:5" x14ac:dyDescent="0.3">
      <c r="A230" s="16" t="str">
        <f>VLOOKUP(Table_Query_from_CMSFIL[[#This Row],[COMPANYNO]],$J$1:$K$39,2)</f>
        <v>JF White</v>
      </c>
      <c r="B230" s="18" t="str">
        <f>VLOOKUP(Table_Query_from_CMSFIL[[#This Row],[COMPANYNO]],J:L,3)</f>
        <v>Boston</v>
      </c>
      <c r="C230" t="s">
        <v>649</v>
      </c>
      <c r="D230">
        <v>45</v>
      </c>
      <c r="E230">
        <v>504</v>
      </c>
    </row>
    <row r="231" spans="1:5" x14ac:dyDescent="0.3">
      <c r="A231" s="13" t="str">
        <f>VLOOKUP(Table_Query_from_CMSFIL[[#This Row],[COMPANYNO]],$J$1:$K$39,2)</f>
        <v>JF White</v>
      </c>
      <c r="B231" s="18" t="str">
        <f>VLOOKUP(Table_Query_from_CMSFIL[[#This Row],[COMPANYNO]],J:L,3)</f>
        <v>Boston</v>
      </c>
      <c r="C231" t="s">
        <v>650</v>
      </c>
      <c r="D231">
        <v>45</v>
      </c>
      <c r="E231">
        <v>305</v>
      </c>
    </row>
    <row r="232" spans="1:5" x14ac:dyDescent="0.3">
      <c r="A232" s="16" t="str">
        <f>VLOOKUP(Table_Query_from_CMSFIL[[#This Row],[COMPANYNO]],$J$1:$K$39,2)</f>
        <v>JF White</v>
      </c>
      <c r="B232" s="18" t="str">
        <f>VLOOKUP(Table_Query_from_CMSFIL[[#This Row],[COMPANYNO]],J:L,3)</f>
        <v>Boston</v>
      </c>
      <c r="C232" t="s">
        <v>651</v>
      </c>
      <c r="D232">
        <v>45</v>
      </c>
      <c r="E232">
        <v>505</v>
      </c>
    </row>
    <row r="233" spans="1:5" x14ac:dyDescent="0.3">
      <c r="A233" s="13" t="str">
        <f>VLOOKUP(Table_Query_from_CMSFIL[[#This Row],[COMPANYNO]],$J$1:$K$39,2)</f>
        <v>JF White</v>
      </c>
      <c r="B233" s="18" t="str">
        <f>VLOOKUP(Table_Query_from_CMSFIL[[#This Row],[COMPANYNO]],J:L,3)</f>
        <v>Boston</v>
      </c>
      <c r="C233" t="s">
        <v>652</v>
      </c>
      <c r="D233">
        <v>45</v>
      </c>
      <c r="E233">
        <v>306</v>
      </c>
    </row>
    <row r="234" spans="1:5" x14ac:dyDescent="0.3">
      <c r="A234" s="16" t="str">
        <f>VLOOKUP(Table_Query_from_CMSFIL[[#This Row],[COMPANYNO]],$J$1:$K$39,2)</f>
        <v>JF White</v>
      </c>
      <c r="B234" s="18" t="str">
        <f>VLOOKUP(Table_Query_from_CMSFIL[[#This Row],[COMPANYNO]],J:L,3)</f>
        <v>Boston</v>
      </c>
      <c r="C234" t="s">
        <v>653</v>
      </c>
      <c r="D234">
        <v>45</v>
      </c>
      <c r="E234">
        <v>506</v>
      </c>
    </row>
    <row r="235" spans="1:5" x14ac:dyDescent="0.3">
      <c r="A235" s="13" t="str">
        <f>VLOOKUP(Table_Query_from_CMSFIL[[#This Row],[COMPANYNO]],$J$1:$K$39,2)</f>
        <v>JF White</v>
      </c>
      <c r="B235" s="18" t="str">
        <f>VLOOKUP(Table_Query_from_CMSFIL[[#This Row],[COMPANYNO]],J:L,3)</f>
        <v>Boston</v>
      </c>
      <c r="C235" t="s">
        <v>654</v>
      </c>
      <c r="D235">
        <v>45</v>
      </c>
      <c r="E235">
        <v>307</v>
      </c>
    </row>
    <row r="236" spans="1:5" x14ac:dyDescent="0.3">
      <c r="A236" s="16" t="str">
        <f>VLOOKUP(Table_Query_from_CMSFIL[[#This Row],[COMPANYNO]],$J$1:$K$39,2)</f>
        <v>JF White</v>
      </c>
      <c r="B236" s="18" t="str">
        <f>VLOOKUP(Table_Query_from_CMSFIL[[#This Row],[COMPANYNO]],J:L,3)</f>
        <v>Boston</v>
      </c>
      <c r="C236" t="s">
        <v>655</v>
      </c>
      <c r="D236">
        <v>45</v>
      </c>
      <c r="E236">
        <v>507</v>
      </c>
    </row>
    <row r="237" spans="1:5" x14ac:dyDescent="0.3">
      <c r="A237" s="13" t="str">
        <f>VLOOKUP(Table_Query_from_CMSFIL[[#This Row],[COMPANYNO]],$J$1:$K$39,2)</f>
        <v>JF White</v>
      </c>
      <c r="B237" s="18" t="str">
        <f>VLOOKUP(Table_Query_from_CMSFIL[[#This Row],[COMPANYNO]],J:L,3)</f>
        <v>Boston</v>
      </c>
      <c r="C237" t="s">
        <v>656</v>
      </c>
      <c r="D237">
        <v>45</v>
      </c>
      <c r="E237">
        <v>308</v>
      </c>
    </row>
    <row r="238" spans="1:5" x14ac:dyDescent="0.3">
      <c r="A238" s="16" t="str">
        <f>VLOOKUP(Table_Query_from_CMSFIL[[#This Row],[COMPANYNO]],$J$1:$K$39,2)</f>
        <v>JF White</v>
      </c>
      <c r="B238" s="18" t="str">
        <f>VLOOKUP(Table_Query_from_CMSFIL[[#This Row],[COMPANYNO]],J:L,3)</f>
        <v>Boston</v>
      </c>
      <c r="C238" t="s">
        <v>657</v>
      </c>
      <c r="D238">
        <v>45</v>
      </c>
      <c r="E238">
        <v>508</v>
      </c>
    </row>
    <row r="239" spans="1:5" x14ac:dyDescent="0.3">
      <c r="A239" s="13" t="str">
        <f>VLOOKUP(Table_Query_from_CMSFIL[[#This Row],[COMPANYNO]],$J$1:$K$39,2)</f>
        <v>JF White</v>
      </c>
      <c r="B239" s="18" t="str">
        <f>VLOOKUP(Table_Query_from_CMSFIL[[#This Row],[COMPANYNO]],J:L,3)</f>
        <v>Boston</v>
      </c>
      <c r="C239" t="s">
        <v>657</v>
      </c>
      <c r="D239">
        <v>45</v>
      </c>
      <c r="E239">
        <v>309</v>
      </c>
    </row>
    <row r="240" spans="1:5" x14ac:dyDescent="0.3">
      <c r="A240" s="16" t="str">
        <f>VLOOKUP(Table_Query_from_CMSFIL[[#This Row],[COMPANYNO]],$J$1:$K$39,2)</f>
        <v>JF White</v>
      </c>
      <c r="B240" s="18" t="str">
        <f>VLOOKUP(Table_Query_from_CMSFIL[[#This Row],[COMPANYNO]],J:L,3)</f>
        <v>Boston</v>
      </c>
      <c r="C240" t="s">
        <v>658</v>
      </c>
      <c r="D240">
        <v>45</v>
      </c>
      <c r="E240">
        <v>509</v>
      </c>
    </row>
    <row r="241" spans="1:5" x14ac:dyDescent="0.3">
      <c r="A241" s="13" t="str">
        <f>VLOOKUP(Table_Query_from_CMSFIL[[#This Row],[COMPANYNO]],$J$1:$K$39,2)</f>
        <v>JF White</v>
      </c>
      <c r="B241" s="18" t="str">
        <f>VLOOKUP(Table_Query_from_CMSFIL[[#This Row],[COMPANYNO]],J:L,3)</f>
        <v>Boston</v>
      </c>
      <c r="C241" t="s">
        <v>659</v>
      </c>
      <c r="D241">
        <v>45</v>
      </c>
      <c r="E241">
        <v>310</v>
      </c>
    </row>
    <row r="242" spans="1:5" x14ac:dyDescent="0.3">
      <c r="A242" s="16" t="str">
        <f>VLOOKUP(Table_Query_from_CMSFIL[[#This Row],[COMPANYNO]],$J$1:$K$39,2)</f>
        <v>JF White</v>
      </c>
      <c r="B242" s="18" t="str">
        <f>VLOOKUP(Table_Query_from_CMSFIL[[#This Row],[COMPANYNO]],J:L,3)</f>
        <v>Boston</v>
      </c>
      <c r="C242" t="s">
        <v>660</v>
      </c>
      <c r="D242">
        <v>45</v>
      </c>
      <c r="E242">
        <v>510</v>
      </c>
    </row>
    <row r="243" spans="1:5" x14ac:dyDescent="0.3">
      <c r="A243" s="13" t="str">
        <f>VLOOKUP(Table_Query_from_CMSFIL[[#This Row],[COMPANYNO]],$J$1:$K$39,2)</f>
        <v>JF White</v>
      </c>
      <c r="B243" s="18" t="str">
        <f>VLOOKUP(Table_Query_from_CMSFIL[[#This Row],[COMPANYNO]],J:L,3)</f>
        <v>Boston</v>
      </c>
      <c r="C243" t="s">
        <v>661</v>
      </c>
      <c r="D243">
        <v>45</v>
      </c>
      <c r="E243">
        <v>311</v>
      </c>
    </row>
    <row r="244" spans="1:5" x14ac:dyDescent="0.3">
      <c r="A244" s="16" t="str">
        <f>VLOOKUP(Table_Query_from_CMSFIL[[#This Row],[COMPANYNO]],$J$1:$K$39,2)</f>
        <v>JF White</v>
      </c>
      <c r="B244" s="18" t="str">
        <f>VLOOKUP(Table_Query_from_CMSFIL[[#This Row],[COMPANYNO]],J:L,3)</f>
        <v>Boston</v>
      </c>
      <c r="C244" t="s">
        <v>662</v>
      </c>
      <c r="D244">
        <v>45</v>
      </c>
      <c r="E244">
        <v>511</v>
      </c>
    </row>
    <row r="245" spans="1:5" x14ac:dyDescent="0.3">
      <c r="A245" s="13" t="str">
        <f>VLOOKUP(Table_Query_from_CMSFIL[[#This Row],[COMPANYNO]],$J$1:$K$39,2)</f>
        <v>JF White</v>
      </c>
      <c r="B245" s="18" t="str">
        <f>VLOOKUP(Table_Query_from_CMSFIL[[#This Row],[COMPANYNO]],J:L,3)</f>
        <v>Boston</v>
      </c>
      <c r="C245" t="s">
        <v>663</v>
      </c>
      <c r="D245">
        <v>45</v>
      </c>
      <c r="E245">
        <v>712</v>
      </c>
    </row>
    <row r="246" spans="1:5" x14ac:dyDescent="0.3">
      <c r="A246" s="16" t="str">
        <f>VLOOKUP(Table_Query_from_CMSFIL[[#This Row],[COMPANYNO]],$J$1:$K$39,2)</f>
        <v>JF White</v>
      </c>
      <c r="B246" s="18" t="str">
        <f>VLOOKUP(Table_Query_from_CMSFIL[[#This Row],[COMPANYNO]],J:L,3)</f>
        <v>Boston</v>
      </c>
      <c r="C246" t="s">
        <v>664</v>
      </c>
      <c r="D246">
        <v>45</v>
      </c>
      <c r="E246">
        <v>312</v>
      </c>
    </row>
    <row r="247" spans="1:5" x14ac:dyDescent="0.3">
      <c r="A247" s="13" t="str">
        <f>VLOOKUP(Table_Query_from_CMSFIL[[#This Row],[COMPANYNO]],$J$1:$K$39,2)</f>
        <v>JF White</v>
      </c>
      <c r="B247" s="18" t="str">
        <f>VLOOKUP(Table_Query_from_CMSFIL[[#This Row],[COMPANYNO]],J:L,3)</f>
        <v>Boston</v>
      </c>
      <c r="C247" t="s">
        <v>664</v>
      </c>
      <c r="D247">
        <v>45</v>
      </c>
      <c r="E247">
        <v>512</v>
      </c>
    </row>
    <row r="248" spans="1:5" x14ac:dyDescent="0.3">
      <c r="A248" s="16" t="str">
        <f>VLOOKUP(Table_Query_from_CMSFIL[[#This Row],[COMPANYNO]],$J$1:$K$39,2)</f>
        <v>JF White</v>
      </c>
      <c r="B248" s="18" t="str">
        <f>VLOOKUP(Table_Query_from_CMSFIL[[#This Row],[COMPANYNO]],J:L,3)</f>
        <v>Boston</v>
      </c>
      <c r="C248" t="s">
        <v>664</v>
      </c>
      <c r="D248">
        <v>45</v>
      </c>
      <c r="E248">
        <v>113</v>
      </c>
    </row>
    <row r="249" spans="1:5" x14ac:dyDescent="0.3">
      <c r="A249" s="13" t="str">
        <f>VLOOKUP(Table_Query_from_CMSFIL[[#This Row],[COMPANYNO]],$J$1:$K$39,2)</f>
        <v>JF White</v>
      </c>
      <c r="B249" s="18" t="str">
        <f>VLOOKUP(Table_Query_from_CMSFIL[[#This Row],[COMPANYNO]],J:L,3)</f>
        <v>Boston</v>
      </c>
      <c r="C249" t="s">
        <v>668</v>
      </c>
      <c r="D249">
        <v>45</v>
      </c>
      <c r="E249">
        <v>36</v>
      </c>
    </row>
    <row r="250" spans="1:5" x14ac:dyDescent="0.3">
      <c r="A250" s="16" t="str">
        <f>VLOOKUP(Table_Query_from_CMSFIL[[#This Row],[COMPANYNO]],$J$1:$K$39,2)</f>
        <v>JF White</v>
      </c>
      <c r="B250" s="18" t="str">
        <f>VLOOKUP(Table_Query_from_CMSFIL[[#This Row],[COMPANYNO]],J:L,3)</f>
        <v>Boston</v>
      </c>
      <c r="C250" t="s">
        <v>669</v>
      </c>
      <c r="D250">
        <v>45</v>
      </c>
      <c r="E250">
        <v>710</v>
      </c>
    </row>
    <row r="251" spans="1:5" x14ac:dyDescent="0.3">
      <c r="A251" s="13" t="str">
        <f>VLOOKUP(Table_Query_from_CMSFIL[[#This Row],[COMPANYNO]],$J$1:$K$39,2)</f>
        <v>JF White</v>
      </c>
      <c r="B251" s="18" t="str">
        <f>VLOOKUP(Table_Query_from_CMSFIL[[#This Row],[COMPANYNO]],J:L,3)</f>
        <v>Boston</v>
      </c>
      <c r="C251" t="s">
        <v>661</v>
      </c>
      <c r="D251">
        <v>45</v>
      </c>
      <c r="E251">
        <v>750</v>
      </c>
    </row>
    <row r="252" spans="1:5" x14ac:dyDescent="0.3">
      <c r="A252" s="16" t="str">
        <f>VLOOKUP(Table_Query_from_CMSFIL[[#This Row],[COMPANYNO]],$J$1:$K$39,2)</f>
        <v>JF White</v>
      </c>
      <c r="B252" s="18" t="str">
        <f>VLOOKUP(Table_Query_from_CMSFIL[[#This Row],[COMPANYNO]],J:L,3)</f>
        <v>Boston</v>
      </c>
      <c r="C252" t="s">
        <v>670</v>
      </c>
      <c r="D252">
        <v>45</v>
      </c>
      <c r="E252">
        <v>350</v>
      </c>
    </row>
    <row r="253" spans="1:5" x14ac:dyDescent="0.3">
      <c r="A253" s="13" t="str">
        <f>VLOOKUP(Table_Query_from_CMSFIL[[#This Row],[COMPANYNO]],$J$1:$K$39,2)</f>
        <v>JF White</v>
      </c>
      <c r="B253" s="18" t="str">
        <f>VLOOKUP(Table_Query_from_CMSFIL[[#This Row],[COMPANYNO]],J:L,3)</f>
        <v>Boston</v>
      </c>
      <c r="C253" t="s">
        <v>671</v>
      </c>
      <c r="D253">
        <v>45</v>
      </c>
      <c r="E253">
        <v>550</v>
      </c>
    </row>
    <row r="254" spans="1:5" x14ac:dyDescent="0.3">
      <c r="A254" s="16" t="str">
        <f>VLOOKUP(Table_Query_from_CMSFIL[[#This Row],[COMPANYNO]],$J$1:$K$39,2)</f>
        <v>JF White</v>
      </c>
      <c r="B254" s="18" t="str">
        <f>VLOOKUP(Table_Query_from_CMSFIL[[#This Row],[COMPANYNO]],J:L,3)</f>
        <v>Boston</v>
      </c>
      <c r="C254" t="s">
        <v>676</v>
      </c>
      <c r="D254">
        <v>45</v>
      </c>
      <c r="E254">
        <v>214</v>
      </c>
    </row>
    <row r="255" spans="1:5" x14ac:dyDescent="0.3">
      <c r="A255" s="13" t="str">
        <f>VLOOKUP(Table_Query_from_CMSFIL[[#This Row],[COMPANYNO]],$J$1:$K$39,2)</f>
        <v>JF White</v>
      </c>
      <c r="B255" s="18" t="str">
        <f>VLOOKUP(Table_Query_from_CMSFIL[[#This Row],[COMPANYNO]],J:L,3)</f>
        <v>Boston</v>
      </c>
      <c r="C255" t="s">
        <v>677</v>
      </c>
      <c r="D255">
        <v>45</v>
      </c>
      <c r="E255">
        <v>215</v>
      </c>
    </row>
    <row r="256" spans="1:5" x14ac:dyDescent="0.3">
      <c r="A256" s="16" t="str">
        <f>VLOOKUP(Table_Query_from_CMSFIL[[#This Row],[COMPANYNO]],$J$1:$K$39,2)</f>
        <v>JF White</v>
      </c>
      <c r="B256" s="18" t="str">
        <f>VLOOKUP(Table_Query_from_CMSFIL[[#This Row],[COMPANYNO]],J:L,3)</f>
        <v>Boston</v>
      </c>
      <c r="C256" t="s">
        <v>682</v>
      </c>
      <c r="D256">
        <v>45</v>
      </c>
      <c r="E256">
        <v>37</v>
      </c>
    </row>
    <row r="257" spans="1:5" x14ac:dyDescent="0.3">
      <c r="A257" s="13" t="str">
        <f>VLOOKUP(Table_Query_from_CMSFIL[[#This Row],[COMPANYNO]],$J$1:$K$39,2)</f>
        <v>JF White</v>
      </c>
      <c r="B257" s="18" t="str">
        <f>VLOOKUP(Table_Query_from_CMSFIL[[#This Row],[COMPANYNO]],J:L,3)</f>
        <v>Boston</v>
      </c>
      <c r="C257" t="s">
        <v>687</v>
      </c>
      <c r="D257">
        <v>45</v>
      </c>
      <c r="E257">
        <v>38</v>
      </c>
    </row>
    <row r="258" spans="1:5" x14ac:dyDescent="0.3">
      <c r="A258" s="16" t="str">
        <f>VLOOKUP(Table_Query_from_CMSFIL[[#This Row],[COMPANYNO]],$J$1:$K$39,2)</f>
        <v>JF White</v>
      </c>
      <c r="B258" s="18" t="str">
        <f>VLOOKUP(Table_Query_from_CMSFIL[[#This Row],[COMPANYNO]],J:L,3)</f>
        <v>Boston</v>
      </c>
      <c r="C258" t="s">
        <v>689</v>
      </c>
      <c r="D258">
        <v>45</v>
      </c>
      <c r="E258">
        <v>39</v>
      </c>
    </row>
    <row r="259" spans="1:5" x14ac:dyDescent="0.3">
      <c r="A259" s="13" t="str">
        <f>VLOOKUP(Table_Query_from_CMSFIL[[#This Row],[COMPANYNO]],$J$1:$K$39,2)</f>
        <v>JF White</v>
      </c>
      <c r="B259" s="18" t="str">
        <f>VLOOKUP(Table_Query_from_CMSFIL[[#This Row],[COMPANYNO]],J:L,3)</f>
        <v>Boston</v>
      </c>
      <c r="C259" t="s">
        <v>690</v>
      </c>
      <c r="D259">
        <v>45</v>
      </c>
      <c r="E259">
        <v>40</v>
      </c>
    </row>
    <row r="260" spans="1:5" x14ac:dyDescent="0.3">
      <c r="A260" s="16" t="str">
        <f>VLOOKUP(Table_Query_from_CMSFIL[[#This Row],[COMPANYNO]],$J$1:$K$39,2)</f>
        <v>JF White</v>
      </c>
      <c r="B260" s="18" t="str">
        <f>VLOOKUP(Table_Query_from_CMSFIL[[#This Row],[COMPANYNO]],J:L,3)</f>
        <v>Boston</v>
      </c>
      <c r="C260" t="s">
        <v>692</v>
      </c>
      <c r="D260">
        <v>45</v>
      </c>
      <c r="E260">
        <v>216</v>
      </c>
    </row>
    <row r="261" spans="1:5" x14ac:dyDescent="0.3">
      <c r="A261" s="13" t="str">
        <f>VLOOKUP(Table_Query_from_CMSFIL[[#This Row],[COMPANYNO]],$J$1:$K$39,2)</f>
        <v>JF White</v>
      </c>
      <c r="B261" s="18" t="str">
        <f>VLOOKUP(Table_Query_from_CMSFIL[[#This Row],[COMPANYNO]],J:L,3)</f>
        <v>Boston</v>
      </c>
      <c r="C261" t="s">
        <v>698</v>
      </c>
      <c r="D261">
        <v>45</v>
      </c>
      <c r="E261">
        <v>41</v>
      </c>
    </row>
    <row r="262" spans="1:5" x14ac:dyDescent="0.3">
      <c r="A262" s="16" t="str">
        <f>VLOOKUP(Table_Query_from_CMSFIL[[#This Row],[COMPANYNO]],$J$1:$K$39,2)</f>
        <v>JF White</v>
      </c>
      <c r="B262" s="18" t="str">
        <f>VLOOKUP(Table_Query_from_CMSFIL[[#This Row],[COMPANYNO]],J:L,3)</f>
        <v>Boston</v>
      </c>
      <c r="C262" t="s">
        <v>703</v>
      </c>
      <c r="D262">
        <v>45</v>
      </c>
      <c r="E262">
        <v>182</v>
      </c>
    </row>
    <row r="263" spans="1:5" x14ac:dyDescent="0.3">
      <c r="A263" s="13" t="str">
        <f>VLOOKUP(Table_Query_from_CMSFIL[[#This Row],[COMPANYNO]],$J$1:$K$39,2)</f>
        <v>JF White</v>
      </c>
      <c r="B263" s="18" t="str">
        <f>VLOOKUP(Table_Query_from_CMSFIL[[#This Row],[COMPANYNO]],J:L,3)</f>
        <v>Boston</v>
      </c>
      <c r="C263" t="s">
        <v>704</v>
      </c>
      <c r="D263">
        <v>45</v>
      </c>
      <c r="E263">
        <v>217</v>
      </c>
    </row>
    <row r="264" spans="1:5" x14ac:dyDescent="0.3">
      <c r="A264" s="16" t="str">
        <f>VLOOKUP(Table_Query_from_CMSFIL[[#This Row],[COMPANYNO]],$J$1:$K$39,2)</f>
        <v>JF White</v>
      </c>
      <c r="B264" s="18" t="str">
        <f>VLOOKUP(Table_Query_from_CMSFIL[[#This Row],[COMPANYNO]],J:L,3)</f>
        <v>Boston</v>
      </c>
      <c r="C264" t="s">
        <v>705</v>
      </c>
      <c r="D264">
        <v>45</v>
      </c>
      <c r="E264">
        <v>42</v>
      </c>
    </row>
    <row r="265" spans="1:5" x14ac:dyDescent="0.3">
      <c r="A265" s="13" t="str">
        <f>VLOOKUP(Table_Query_from_CMSFIL[[#This Row],[COMPANYNO]],$J$1:$K$39,2)</f>
        <v>JF White</v>
      </c>
      <c r="B265" s="18" t="str">
        <f>VLOOKUP(Table_Query_from_CMSFIL[[#This Row],[COMPANYNO]],J:L,3)</f>
        <v>Boston</v>
      </c>
      <c r="C265" t="s">
        <v>711</v>
      </c>
      <c r="D265">
        <v>45</v>
      </c>
      <c r="E265">
        <v>43</v>
      </c>
    </row>
    <row r="266" spans="1:5" x14ac:dyDescent="0.3">
      <c r="A266" s="16" t="str">
        <f>VLOOKUP(Table_Query_from_CMSFIL[[#This Row],[COMPANYNO]],$J$1:$K$39,2)</f>
        <v>JF White</v>
      </c>
      <c r="B266" s="18" t="str">
        <f>VLOOKUP(Table_Query_from_CMSFIL[[#This Row],[COMPANYNO]],J:L,3)</f>
        <v>Boston</v>
      </c>
      <c r="C266" t="s">
        <v>712</v>
      </c>
      <c r="D266">
        <v>45</v>
      </c>
      <c r="E266">
        <v>44</v>
      </c>
    </row>
    <row r="267" spans="1:5" x14ac:dyDescent="0.3">
      <c r="A267" s="13" t="str">
        <f>VLOOKUP(Table_Query_from_CMSFIL[[#This Row],[COMPANYNO]],$J$1:$K$39,2)</f>
        <v>JF White</v>
      </c>
      <c r="B267" s="18" t="str">
        <f>VLOOKUP(Table_Query_from_CMSFIL[[#This Row],[COMPANYNO]],J:L,3)</f>
        <v>Boston</v>
      </c>
      <c r="C267" t="s">
        <v>719</v>
      </c>
      <c r="D267">
        <v>45</v>
      </c>
      <c r="E267">
        <v>45</v>
      </c>
    </row>
    <row r="268" spans="1:5" x14ac:dyDescent="0.3">
      <c r="A268" s="16" t="str">
        <f>VLOOKUP(Table_Query_from_CMSFIL[[#This Row],[COMPANYNO]],$J$1:$K$39,2)</f>
        <v>JF White</v>
      </c>
      <c r="B268" s="18" t="str">
        <f>VLOOKUP(Table_Query_from_CMSFIL[[#This Row],[COMPANYNO]],J:L,3)</f>
        <v>Boston</v>
      </c>
      <c r="C268" t="s">
        <v>720</v>
      </c>
      <c r="D268">
        <v>45</v>
      </c>
      <c r="E268">
        <v>46</v>
      </c>
    </row>
    <row r="269" spans="1:5" x14ac:dyDescent="0.3">
      <c r="A269" s="13" t="str">
        <f>VLOOKUP(Table_Query_from_CMSFIL[[#This Row],[COMPANYNO]],$J$1:$K$39,2)</f>
        <v>JF White</v>
      </c>
      <c r="B269" s="18" t="str">
        <f>VLOOKUP(Table_Query_from_CMSFIL[[#This Row],[COMPANYNO]],J:L,3)</f>
        <v>Boston</v>
      </c>
      <c r="C269" t="s">
        <v>724</v>
      </c>
      <c r="D269">
        <v>45</v>
      </c>
      <c r="E269">
        <v>990</v>
      </c>
    </row>
    <row r="270" spans="1:5" x14ac:dyDescent="0.3">
      <c r="A270" s="16" t="str">
        <f>VLOOKUP(Table_Query_from_CMSFIL[[#This Row],[COMPANYNO]],$J$1:$K$39,2)</f>
        <v>JF White</v>
      </c>
      <c r="B270" s="18" t="str">
        <f>VLOOKUP(Table_Query_from_CMSFIL[[#This Row],[COMPANYNO]],J:L,3)</f>
        <v>Boston</v>
      </c>
      <c r="C270" t="s">
        <v>736</v>
      </c>
      <c r="D270">
        <v>45</v>
      </c>
      <c r="E270">
        <v>218</v>
      </c>
    </row>
    <row r="271" spans="1:5" x14ac:dyDescent="0.3">
      <c r="A271" s="13" t="str">
        <f>VLOOKUP(Table_Query_from_CMSFIL[[#This Row],[COMPANYNO]],$J$1:$K$39,2)</f>
        <v>JF White</v>
      </c>
      <c r="B271" s="18" t="str">
        <f>VLOOKUP(Table_Query_from_CMSFIL[[#This Row],[COMPANYNO]],J:L,3)</f>
        <v>Boston</v>
      </c>
      <c r="C271" t="s">
        <v>738</v>
      </c>
      <c r="D271">
        <v>45</v>
      </c>
      <c r="E271">
        <v>47</v>
      </c>
    </row>
    <row r="272" spans="1:5" x14ac:dyDescent="0.3">
      <c r="A272" s="16" t="str">
        <f>VLOOKUP(Table_Query_from_CMSFIL[[#This Row],[COMPANYNO]],$J$1:$K$39,2)</f>
        <v>JF White</v>
      </c>
      <c r="B272" s="18" t="str">
        <f>VLOOKUP(Table_Query_from_CMSFIL[[#This Row],[COMPANYNO]],J:L,3)</f>
        <v>Boston</v>
      </c>
      <c r="C272" t="s">
        <v>740</v>
      </c>
      <c r="D272">
        <v>45</v>
      </c>
      <c r="E272">
        <v>48</v>
      </c>
    </row>
    <row r="273" spans="1:5" x14ac:dyDescent="0.3">
      <c r="A273" s="13" t="str">
        <f>VLOOKUP(Table_Query_from_CMSFIL[[#This Row],[COMPANYNO]],$J$1:$K$39,2)</f>
        <v>JF White</v>
      </c>
      <c r="B273" s="18" t="str">
        <f>VLOOKUP(Table_Query_from_CMSFIL[[#This Row],[COMPANYNO]],J:L,3)</f>
        <v>Boston</v>
      </c>
      <c r="C273" t="s">
        <v>741</v>
      </c>
      <c r="D273">
        <v>45</v>
      </c>
      <c r="E273">
        <v>114</v>
      </c>
    </row>
    <row r="274" spans="1:5" x14ac:dyDescent="0.3">
      <c r="A274" s="16" t="str">
        <f>VLOOKUP(Table_Query_from_CMSFIL[[#This Row],[COMPANYNO]],$J$1:$K$39,2)</f>
        <v>JF White</v>
      </c>
      <c r="B274" s="18" t="str">
        <f>VLOOKUP(Table_Query_from_CMSFIL[[#This Row],[COMPANYNO]],J:L,3)</f>
        <v>Boston</v>
      </c>
      <c r="C274" t="s">
        <v>745</v>
      </c>
      <c r="D274">
        <v>45</v>
      </c>
      <c r="E274">
        <v>219</v>
      </c>
    </row>
    <row r="275" spans="1:5" x14ac:dyDescent="0.3">
      <c r="A275" s="13" t="str">
        <f>VLOOKUP(Table_Query_from_CMSFIL[[#This Row],[COMPANYNO]],$J$1:$K$39,2)</f>
        <v>JF White</v>
      </c>
      <c r="B275" s="18" t="str">
        <f>VLOOKUP(Table_Query_from_CMSFIL[[#This Row],[COMPANYNO]],J:L,3)</f>
        <v>Boston</v>
      </c>
      <c r="C275" t="s">
        <v>746</v>
      </c>
      <c r="D275">
        <v>45</v>
      </c>
      <c r="E275">
        <v>220</v>
      </c>
    </row>
    <row r="276" spans="1:5" x14ac:dyDescent="0.3">
      <c r="A276" s="16" t="str">
        <f>VLOOKUP(Table_Query_from_CMSFIL[[#This Row],[COMPANYNO]],$J$1:$K$39,2)</f>
        <v>JF White</v>
      </c>
      <c r="B276" s="18" t="str">
        <f>VLOOKUP(Table_Query_from_CMSFIL[[#This Row],[COMPANYNO]],J:L,3)</f>
        <v>Boston</v>
      </c>
      <c r="C276" t="s">
        <v>747</v>
      </c>
      <c r="D276">
        <v>45</v>
      </c>
      <c r="E276">
        <v>49</v>
      </c>
    </row>
    <row r="277" spans="1:5" x14ac:dyDescent="0.3">
      <c r="A277" s="13" t="str">
        <f>VLOOKUP(Table_Query_from_CMSFIL[[#This Row],[COMPANYNO]],$J$1:$K$39,2)</f>
        <v>JF White</v>
      </c>
      <c r="B277" s="18" t="str">
        <f>VLOOKUP(Table_Query_from_CMSFIL[[#This Row],[COMPANYNO]],J:L,3)</f>
        <v>Boston</v>
      </c>
      <c r="C277" t="s">
        <v>748</v>
      </c>
      <c r="D277">
        <v>45</v>
      </c>
      <c r="E277">
        <v>50</v>
      </c>
    </row>
    <row r="278" spans="1:5" x14ac:dyDescent="0.3">
      <c r="A278" s="16" t="str">
        <f>VLOOKUP(Table_Query_from_CMSFIL[[#This Row],[COMPANYNO]],$J$1:$K$39,2)</f>
        <v>JF White</v>
      </c>
      <c r="B278" s="18" t="str">
        <f>VLOOKUP(Table_Query_from_CMSFIL[[#This Row],[COMPANYNO]],J:L,3)</f>
        <v>Boston</v>
      </c>
      <c r="C278" t="s">
        <v>749</v>
      </c>
      <c r="D278">
        <v>45</v>
      </c>
      <c r="E278">
        <v>51</v>
      </c>
    </row>
    <row r="279" spans="1:5" x14ac:dyDescent="0.3">
      <c r="A279" s="13" t="str">
        <f>VLOOKUP(Table_Query_from_CMSFIL[[#This Row],[COMPANYNO]],$J$1:$K$39,2)</f>
        <v>JF White</v>
      </c>
      <c r="B279" s="18" t="str">
        <f>VLOOKUP(Table_Query_from_CMSFIL[[#This Row],[COMPANYNO]],J:L,3)</f>
        <v>Boston</v>
      </c>
      <c r="C279" t="s">
        <v>750</v>
      </c>
      <c r="D279">
        <v>45</v>
      </c>
      <c r="E279">
        <v>52</v>
      </c>
    </row>
    <row r="280" spans="1:5" x14ac:dyDescent="0.3">
      <c r="A280" s="16" t="str">
        <f>VLOOKUP(Table_Query_from_CMSFIL[[#This Row],[COMPANYNO]],$J$1:$K$39,2)</f>
        <v>JF White</v>
      </c>
      <c r="B280" s="18" t="str">
        <f>VLOOKUP(Table_Query_from_CMSFIL[[#This Row],[COMPANYNO]],J:L,3)</f>
        <v>Boston</v>
      </c>
      <c r="C280" t="s">
        <v>767</v>
      </c>
      <c r="D280">
        <v>45</v>
      </c>
      <c r="E280">
        <v>53</v>
      </c>
    </row>
    <row r="281" spans="1:5" x14ac:dyDescent="0.3">
      <c r="A281" s="13" t="str">
        <f>VLOOKUP(Table_Query_from_CMSFIL[[#This Row],[COMPANYNO]],$J$1:$K$39,2)</f>
        <v>JF White</v>
      </c>
      <c r="B281" s="18" t="str">
        <f>VLOOKUP(Table_Query_from_CMSFIL[[#This Row],[COMPANYNO]],J:L,3)</f>
        <v>Boston</v>
      </c>
      <c r="C281" t="s">
        <v>768</v>
      </c>
      <c r="D281">
        <v>45</v>
      </c>
      <c r="E281">
        <v>221</v>
      </c>
    </row>
    <row r="282" spans="1:5" x14ac:dyDescent="0.3">
      <c r="A282" s="16" t="str">
        <f>VLOOKUP(Table_Query_from_CMSFIL[[#This Row],[COMPANYNO]],$J$1:$K$39,2)</f>
        <v>JF White</v>
      </c>
      <c r="B282" s="18" t="str">
        <f>VLOOKUP(Table_Query_from_CMSFIL[[#This Row],[COMPANYNO]],J:L,3)</f>
        <v>Boston</v>
      </c>
      <c r="C282" t="s">
        <v>774</v>
      </c>
      <c r="D282">
        <v>45</v>
      </c>
      <c r="E282">
        <v>222</v>
      </c>
    </row>
    <row r="283" spans="1:5" x14ac:dyDescent="0.3">
      <c r="A283" s="13" t="str">
        <f>VLOOKUP(Table_Query_from_CMSFIL[[#This Row],[COMPANYNO]],$J$1:$K$39,2)</f>
        <v>JF White</v>
      </c>
      <c r="B283" s="18" t="str">
        <f>VLOOKUP(Table_Query_from_CMSFIL[[#This Row],[COMPANYNO]],J:L,3)</f>
        <v>Boston</v>
      </c>
      <c r="C283" t="s">
        <v>775</v>
      </c>
      <c r="D283">
        <v>45</v>
      </c>
      <c r="E283">
        <v>223</v>
      </c>
    </row>
    <row r="284" spans="1:5" x14ac:dyDescent="0.3">
      <c r="A284" s="16" t="str">
        <f>VLOOKUP(Table_Query_from_CMSFIL[[#This Row],[COMPANYNO]],$J$1:$K$39,2)</f>
        <v>JF White</v>
      </c>
      <c r="B284" s="18" t="str">
        <f>VLOOKUP(Table_Query_from_CMSFIL[[#This Row],[COMPANYNO]],J:L,3)</f>
        <v>Boston</v>
      </c>
      <c r="C284" t="s">
        <v>780</v>
      </c>
      <c r="D284">
        <v>45</v>
      </c>
      <c r="E284">
        <v>54</v>
      </c>
    </row>
    <row r="285" spans="1:5" x14ac:dyDescent="0.3">
      <c r="A285" s="13" t="str">
        <f>VLOOKUP(Table_Query_from_CMSFIL[[#This Row],[COMPANYNO]],$J$1:$K$39,2)</f>
        <v>JF White</v>
      </c>
      <c r="B285" s="18" t="str">
        <f>VLOOKUP(Table_Query_from_CMSFIL[[#This Row],[COMPANYNO]],J:L,3)</f>
        <v>Boston</v>
      </c>
      <c r="C285" t="s">
        <v>783</v>
      </c>
      <c r="D285">
        <v>45</v>
      </c>
      <c r="E285">
        <v>225</v>
      </c>
    </row>
    <row r="286" spans="1:5" x14ac:dyDescent="0.3">
      <c r="A286" s="16" t="str">
        <f>VLOOKUP(Table_Query_from_CMSFIL[[#This Row],[COMPANYNO]],$J$1:$K$39,2)</f>
        <v>JF White</v>
      </c>
      <c r="B286" s="18" t="str">
        <f>VLOOKUP(Table_Query_from_CMSFIL[[#This Row],[COMPANYNO]],J:L,3)</f>
        <v>Boston</v>
      </c>
      <c r="C286" t="s">
        <v>785</v>
      </c>
      <c r="D286">
        <v>45</v>
      </c>
      <c r="E286">
        <v>224</v>
      </c>
    </row>
    <row r="287" spans="1:5" x14ac:dyDescent="0.3">
      <c r="A287" s="13" t="str">
        <f>VLOOKUP(Table_Query_from_CMSFIL[[#This Row],[COMPANYNO]],$J$1:$K$39,2)</f>
        <v>Prince</v>
      </c>
      <c r="B287" s="18" t="str">
        <f>VLOOKUP(Table_Query_from_CMSFIL[[#This Row],[COMPANYNO]],J:L,3)</f>
        <v>Tampa</v>
      </c>
      <c r="C287" t="s">
        <v>786</v>
      </c>
      <c r="D287">
        <v>50</v>
      </c>
      <c r="E287">
        <v>1</v>
      </c>
    </row>
    <row r="288" spans="1:5" x14ac:dyDescent="0.3">
      <c r="A288" s="16" t="str">
        <f>VLOOKUP(Table_Query_from_CMSFIL[[#This Row],[COMPANYNO]],$J$1:$K$39,2)</f>
        <v>Prince</v>
      </c>
      <c r="B288" s="18" t="str">
        <f>VLOOKUP(Table_Query_from_CMSFIL[[#This Row],[COMPANYNO]],J:L,3)</f>
        <v>Tampa</v>
      </c>
      <c r="C288" t="s">
        <v>462</v>
      </c>
      <c r="D288">
        <v>50</v>
      </c>
      <c r="E288">
        <v>2</v>
      </c>
    </row>
    <row r="289" spans="1:5" x14ac:dyDescent="0.3">
      <c r="A289" s="13" t="str">
        <f>VLOOKUP(Table_Query_from_CMSFIL[[#This Row],[COMPANYNO]],$J$1:$K$39,2)</f>
        <v>Prince</v>
      </c>
      <c r="B289" s="18" t="str">
        <f>VLOOKUP(Table_Query_from_CMSFIL[[#This Row],[COMPANYNO]],J:L,3)</f>
        <v>Tampa</v>
      </c>
      <c r="C289" t="s">
        <v>463</v>
      </c>
      <c r="D289">
        <v>50</v>
      </c>
      <c r="E289">
        <v>145</v>
      </c>
    </row>
    <row r="290" spans="1:5" x14ac:dyDescent="0.3">
      <c r="A290" s="16" t="str">
        <f>VLOOKUP(Table_Query_from_CMSFIL[[#This Row],[COMPANYNO]],$J$1:$K$39,2)</f>
        <v>Prince</v>
      </c>
      <c r="B290" s="18" t="str">
        <f>VLOOKUP(Table_Query_from_CMSFIL[[#This Row],[COMPANYNO]],J:L,3)</f>
        <v>Tampa</v>
      </c>
      <c r="C290" t="s">
        <v>510</v>
      </c>
      <c r="D290">
        <v>50</v>
      </c>
      <c r="E290">
        <v>132</v>
      </c>
    </row>
    <row r="291" spans="1:5" x14ac:dyDescent="0.3">
      <c r="A291" s="13" t="str">
        <f>VLOOKUP(Table_Query_from_CMSFIL[[#This Row],[COMPANYNO]],$J$1:$K$39,2)</f>
        <v>Prince</v>
      </c>
      <c r="B291" s="18" t="str">
        <f>VLOOKUP(Table_Query_from_CMSFIL[[#This Row],[COMPANYNO]],J:L,3)</f>
        <v>Tampa</v>
      </c>
      <c r="C291" t="s">
        <v>519</v>
      </c>
      <c r="D291">
        <v>50</v>
      </c>
      <c r="E291">
        <v>134</v>
      </c>
    </row>
    <row r="292" spans="1:5" x14ac:dyDescent="0.3">
      <c r="A292" s="16" t="str">
        <f>VLOOKUP(Table_Query_from_CMSFIL[[#This Row],[COMPANYNO]],$J$1:$K$39,2)</f>
        <v>Prince</v>
      </c>
      <c r="B292" s="18" t="str">
        <f>VLOOKUP(Table_Query_from_CMSFIL[[#This Row],[COMPANYNO]],J:L,3)</f>
        <v>Tampa</v>
      </c>
      <c r="C292" t="s">
        <v>547</v>
      </c>
      <c r="D292">
        <v>50</v>
      </c>
      <c r="E292">
        <v>136</v>
      </c>
    </row>
    <row r="293" spans="1:5" x14ac:dyDescent="0.3">
      <c r="A293" s="13" t="str">
        <f>VLOOKUP(Table_Query_from_CMSFIL[[#This Row],[COMPANYNO]],$J$1:$K$39,2)</f>
        <v>Prince</v>
      </c>
      <c r="B293" s="18" t="str">
        <f>VLOOKUP(Table_Query_from_CMSFIL[[#This Row],[COMPANYNO]],J:L,3)</f>
        <v>Tampa</v>
      </c>
      <c r="C293" t="s">
        <v>548</v>
      </c>
      <c r="D293">
        <v>50</v>
      </c>
      <c r="E293">
        <v>141</v>
      </c>
    </row>
    <row r="294" spans="1:5" x14ac:dyDescent="0.3">
      <c r="A294" s="13" t="str">
        <f>VLOOKUP(Table_Query_from_CMSFIL[[#This Row],[COMPANYNO]],$J$1:$K$39,2)</f>
        <v>Prince</v>
      </c>
      <c r="B294" s="18" t="str">
        <f>VLOOKUP(Table_Query_from_CMSFIL[[#This Row],[COMPANYNO]],J:L,3)</f>
        <v>Tampa</v>
      </c>
      <c r="C294" t="s">
        <v>169</v>
      </c>
      <c r="D294">
        <v>50</v>
      </c>
      <c r="E294">
        <v>142</v>
      </c>
    </row>
    <row r="295" spans="1:5" x14ac:dyDescent="0.3">
      <c r="A295" s="16" t="str">
        <f>VLOOKUP(Table_Query_from_CMSFIL[[#This Row],[COMPANYNO]],$J$1:$K$39,2)</f>
        <v>Prince</v>
      </c>
      <c r="B295" s="18" t="str">
        <f>VLOOKUP(Table_Query_from_CMSFIL[[#This Row],[COMPANYNO]],J:L,3)</f>
        <v>Tampa</v>
      </c>
      <c r="C295" t="s">
        <v>421</v>
      </c>
      <c r="D295">
        <v>50</v>
      </c>
      <c r="E295">
        <v>105</v>
      </c>
    </row>
    <row r="296" spans="1:5" x14ac:dyDescent="0.3">
      <c r="A296" s="13" t="str">
        <f>VLOOKUP(Table_Query_from_CMSFIL[[#This Row],[COMPANYNO]],$J$1:$K$39,2)</f>
        <v>Prince</v>
      </c>
      <c r="B296" s="18" t="str">
        <f>VLOOKUP(Table_Query_from_CMSFIL[[#This Row],[COMPANYNO]],J:L,3)</f>
        <v>Tampa</v>
      </c>
      <c r="C296" t="s">
        <v>491</v>
      </c>
      <c r="D296">
        <v>50</v>
      </c>
      <c r="E296">
        <v>114</v>
      </c>
    </row>
    <row r="297" spans="1:5" x14ac:dyDescent="0.3">
      <c r="A297" s="16" t="str">
        <f>VLOOKUP(Table_Query_from_CMSFIL[[#This Row],[COMPANYNO]],$J$1:$K$39,2)</f>
        <v>Prince</v>
      </c>
      <c r="B297" s="18" t="str">
        <f>VLOOKUP(Table_Query_from_CMSFIL[[#This Row],[COMPANYNO]],J:L,3)</f>
        <v>Tampa</v>
      </c>
      <c r="C297" t="s">
        <v>174</v>
      </c>
      <c r="D297">
        <v>50</v>
      </c>
      <c r="E297">
        <v>121</v>
      </c>
    </row>
    <row r="298" spans="1:5" x14ac:dyDescent="0.3">
      <c r="A298" s="16" t="str">
        <f>VLOOKUP(Table_Query_from_CMSFIL[[#This Row],[COMPANYNO]],$J$1:$K$39,2)</f>
        <v>Prince</v>
      </c>
      <c r="B298" s="18" t="str">
        <f>VLOOKUP(Table_Query_from_CMSFIL[[#This Row],[COMPANYNO]],J:L,3)</f>
        <v>Tampa</v>
      </c>
      <c r="C298" t="s">
        <v>259</v>
      </c>
      <c r="D298">
        <v>50</v>
      </c>
      <c r="E298">
        <v>122</v>
      </c>
    </row>
    <row r="299" spans="1:5" x14ac:dyDescent="0.3">
      <c r="A299" s="16" t="str">
        <f>VLOOKUP(Table_Query_from_CMSFIL[[#This Row],[COMPANYNO]],$J$1:$K$39,2)</f>
        <v>Prince</v>
      </c>
      <c r="B299" s="18" t="str">
        <f>VLOOKUP(Table_Query_from_CMSFIL[[#This Row],[COMPANYNO]],J:L,3)</f>
        <v>Tampa</v>
      </c>
      <c r="C299" t="s">
        <v>168</v>
      </c>
      <c r="D299">
        <v>50</v>
      </c>
      <c r="E299">
        <v>133</v>
      </c>
    </row>
    <row r="300" spans="1:5" x14ac:dyDescent="0.3">
      <c r="A300" s="13" t="str">
        <f>VLOOKUP(Table_Query_from_CMSFIL[[#This Row],[COMPANYNO]],$J$1:$K$39,2)</f>
        <v>Prince</v>
      </c>
      <c r="B300" s="18" t="str">
        <f>VLOOKUP(Table_Query_from_CMSFIL[[#This Row],[COMPANYNO]],J:L,3)</f>
        <v>Tampa</v>
      </c>
      <c r="C300" t="s">
        <v>177</v>
      </c>
      <c r="D300">
        <v>50</v>
      </c>
      <c r="E300">
        <v>135</v>
      </c>
    </row>
    <row r="301" spans="1:5" x14ac:dyDescent="0.3">
      <c r="A301" s="16" t="str">
        <f>VLOOKUP(Table_Query_from_CMSFIL[[#This Row],[COMPANYNO]],$J$1:$K$39,2)</f>
        <v>Prince</v>
      </c>
      <c r="B301" s="18" t="str">
        <f>VLOOKUP(Table_Query_from_CMSFIL[[#This Row],[COMPANYNO]],J:L,3)</f>
        <v>Tampa</v>
      </c>
      <c r="C301" t="s">
        <v>175</v>
      </c>
      <c r="D301">
        <v>50</v>
      </c>
      <c r="E301">
        <v>143</v>
      </c>
    </row>
    <row r="302" spans="1:5" x14ac:dyDescent="0.3">
      <c r="A302" s="13" t="str">
        <f>VLOOKUP(Table_Query_from_CMSFIL[[#This Row],[COMPANYNO]],$J$1:$K$39,2)</f>
        <v>Prince</v>
      </c>
      <c r="B302" s="18" t="str">
        <f>VLOOKUP(Table_Query_from_CMSFIL[[#This Row],[COMPANYNO]],J:L,3)</f>
        <v>Tampa</v>
      </c>
      <c r="C302" t="s">
        <v>349</v>
      </c>
      <c r="D302">
        <v>50</v>
      </c>
      <c r="E302">
        <v>144</v>
      </c>
    </row>
    <row r="303" spans="1:5" x14ac:dyDescent="0.3">
      <c r="A303" s="16" t="str">
        <f>VLOOKUP(Table_Query_from_CMSFIL[[#This Row],[COMPANYNO]],$J$1:$K$39,2)</f>
        <v>Prince</v>
      </c>
      <c r="B303" s="18" t="str">
        <f>VLOOKUP(Table_Query_from_CMSFIL[[#This Row],[COMPANYNO]],J:L,3)</f>
        <v>Tampa</v>
      </c>
      <c r="C303" t="s">
        <v>176</v>
      </c>
      <c r="D303">
        <v>50</v>
      </c>
      <c r="E303">
        <v>104</v>
      </c>
    </row>
    <row r="304" spans="1:5" x14ac:dyDescent="0.3">
      <c r="A304" s="13" t="str">
        <f>VLOOKUP(Table_Query_from_CMSFIL[[#This Row],[COMPANYNO]],$J$1:$K$39,2)</f>
        <v>Prince</v>
      </c>
      <c r="B304" s="18" t="str">
        <f>VLOOKUP(Table_Query_from_CMSFIL[[#This Row],[COMPANYNO]],J:L,3)</f>
        <v>Tampa</v>
      </c>
      <c r="C304" t="s">
        <v>340</v>
      </c>
      <c r="D304">
        <v>50</v>
      </c>
      <c r="E304">
        <v>299</v>
      </c>
    </row>
    <row r="305" spans="1:5" x14ac:dyDescent="0.3">
      <c r="A305" s="16" t="str">
        <f>VLOOKUP(Table_Query_from_CMSFIL[[#This Row],[COMPANYNO]],$J$1:$K$39,2)</f>
        <v>Prince</v>
      </c>
      <c r="B305" s="18" t="str">
        <f>VLOOKUP(Table_Query_from_CMSFIL[[#This Row],[COMPANYNO]],J:L,3)</f>
        <v>Tampa</v>
      </c>
      <c r="C305" t="s">
        <v>714</v>
      </c>
      <c r="D305">
        <v>50</v>
      </c>
      <c r="E305">
        <v>3</v>
      </c>
    </row>
    <row r="306" spans="1:5" x14ac:dyDescent="0.3">
      <c r="A306" s="13" t="str">
        <f>VLOOKUP(Table_Query_from_CMSFIL[[#This Row],[COMPANYNO]],$J$1:$K$39,2)</f>
        <v>Prince</v>
      </c>
      <c r="B306" s="18" t="str">
        <f>VLOOKUP(Table_Query_from_CMSFIL[[#This Row],[COMPANYNO]],J:L,3)</f>
        <v>Tampa</v>
      </c>
      <c r="C306" t="s">
        <v>715</v>
      </c>
      <c r="D306">
        <v>50</v>
      </c>
      <c r="E306">
        <v>4</v>
      </c>
    </row>
    <row r="307" spans="1:5" x14ac:dyDescent="0.3">
      <c r="A307" s="16" t="str">
        <f>VLOOKUP(Table_Query_from_CMSFIL[[#This Row],[COMPANYNO]],$J$1:$K$39,2)</f>
        <v>Prince</v>
      </c>
      <c r="B307" s="18" t="str">
        <f>VLOOKUP(Table_Query_from_CMSFIL[[#This Row],[COMPANYNO]],J:L,3)</f>
        <v>Tampa</v>
      </c>
      <c r="C307" t="s">
        <v>716</v>
      </c>
      <c r="D307">
        <v>50</v>
      </c>
      <c r="E307">
        <v>5</v>
      </c>
    </row>
    <row r="308" spans="1:5" x14ac:dyDescent="0.3">
      <c r="A308" s="13" t="str">
        <f>VLOOKUP(Table_Query_from_CMSFIL[[#This Row],[COMPANYNO]],$J$1:$K$39,2)</f>
        <v>Prince</v>
      </c>
      <c r="B308" s="18" t="str">
        <f>VLOOKUP(Table_Query_from_CMSFIL[[#This Row],[COMPANYNO]],J:L,3)</f>
        <v>Tampa</v>
      </c>
      <c r="C308" t="s">
        <v>717</v>
      </c>
      <c r="D308">
        <v>50</v>
      </c>
      <c r="E308">
        <v>6</v>
      </c>
    </row>
    <row r="309" spans="1:5" x14ac:dyDescent="0.3">
      <c r="A309" s="16" t="str">
        <f>VLOOKUP(Table_Query_from_CMSFIL[[#This Row],[COMPANYNO]],$J$1:$K$39,2)</f>
        <v>Prince</v>
      </c>
      <c r="B309" s="18" t="str">
        <f>VLOOKUP(Table_Query_from_CMSFIL[[#This Row],[COMPANYNO]],J:L,3)</f>
        <v>Tampa</v>
      </c>
      <c r="C309" t="s">
        <v>718</v>
      </c>
      <c r="D309">
        <v>50</v>
      </c>
      <c r="E309">
        <v>7</v>
      </c>
    </row>
    <row r="310" spans="1:5" x14ac:dyDescent="0.3">
      <c r="A310" s="13" t="str">
        <f>VLOOKUP(Table_Query_from_CMSFIL[[#This Row],[COMPANYNO]],$J$1:$K$39,2)</f>
        <v>Prince</v>
      </c>
      <c r="B310" s="18" t="str">
        <f>VLOOKUP(Table_Query_from_CMSFIL[[#This Row],[COMPANYNO]],J:L,3)</f>
        <v>Tampa</v>
      </c>
      <c r="C310" t="s">
        <v>723</v>
      </c>
      <c r="D310">
        <v>50</v>
      </c>
      <c r="E310">
        <v>8</v>
      </c>
    </row>
    <row r="311" spans="1:5" x14ac:dyDescent="0.3">
      <c r="A311" s="16" t="str">
        <f>VLOOKUP(Table_Query_from_CMSFIL[[#This Row],[COMPANYNO]],$J$1:$K$39,2)</f>
        <v>Prince</v>
      </c>
      <c r="B311" s="18" t="str">
        <f>VLOOKUP(Table_Query_from_CMSFIL[[#This Row],[COMPANYNO]],J:L,3)</f>
        <v>Tampa</v>
      </c>
      <c r="C311" t="s">
        <v>702</v>
      </c>
      <c r="D311">
        <v>50</v>
      </c>
      <c r="E311">
        <v>9</v>
      </c>
    </row>
    <row r="312" spans="1:5" x14ac:dyDescent="0.3">
      <c r="A312" s="13" t="str">
        <f>VLOOKUP(Table_Query_from_CMSFIL[[#This Row],[COMPANYNO]],$J$1:$K$39,2)</f>
        <v>Prince</v>
      </c>
      <c r="B312" s="18" t="str">
        <f>VLOOKUP(Table_Query_from_CMSFIL[[#This Row],[COMPANYNO]],J:L,3)</f>
        <v>Tampa</v>
      </c>
      <c r="C312" t="s">
        <v>119</v>
      </c>
      <c r="D312">
        <v>50</v>
      </c>
      <c r="E312">
        <v>10</v>
      </c>
    </row>
    <row r="313" spans="1:5" x14ac:dyDescent="0.3">
      <c r="A313" s="16" t="str">
        <f>VLOOKUP(Table_Query_from_CMSFIL[[#This Row],[COMPANYNO]],$J$1:$K$39,2)</f>
        <v>Prince</v>
      </c>
      <c r="B313" s="18" t="str">
        <f>VLOOKUP(Table_Query_from_CMSFIL[[#This Row],[COMPANYNO]],J:L,3)</f>
        <v>Tampa</v>
      </c>
      <c r="C313" t="s">
        <v>121</v>
      </c>
      <c r="D313">
        <v>50</v>
      </c>
      <c r="E313">
        <v>11</v>
      </c>
    </row>
    <row r="314" spans="1:5" x14ac:dyDescent="0.3">
      <c r="A314" s="13" t="str">
        <f>VLOOKUP(Table_Query_from_CMSFIL[[#This Row],[COMPANYNO]],$J$1:$K$39,2)</f>
        <v>Prince</v>
      </c>
      <c r="B314" s="18" t="str">
        <f>VLOOKUP(Table_Query_from_CMSFIL[[#This Row],[COMPANYNO]],J:L,3)</f>
        <v>Tampa</v>
      </c>
      <c r="C314" t="s">
        <v>122</v>
      </c>
      <c r="D314">
        <v>50</v>
      </c>
      <c r="E314">
        <v>12</v>
      </c>
    </row>
    <row r="315" spans="1:5" x14ac:dyDescent="0.3">
      <c r="A315" s="16" t="str">
        <f>VLOOKUP(Table_Query_from_CMSFIL[[#This Row],[COMPANYNO]],$J$1:$K$39,2)</f>
        <v>Prince</v>
      </c>
      <c r="B315" s="18" t="str">
        <f>VLOOKUP(Table_Query_from_CMSFIL[[#This Row],[COMPANYNO]],J:L,3)</f>
        <v>Tampa</v>
      </c>
      <c r="C315" t="s">
        <v>123</v>
      </c>
      <c r="D315">
        <v>50</v>
      </c>
      <c r="E315">
        <v>13</v>
      </c>
    </row>
    <row r="316" spans="1:5" x14ac:dyDescent="0.3">
      <c r="A316" s="13" t="str">
        <f>VLOOKUP(Table_Query_from_CMSFIL[[#This Row],[COMPANYNO]],$J$1:$K$39,2)</f>
        <v>Prince</v>
      </c>
      <c r="B316" s="18" t="str">
        <f>VLOOKUP(Table_Query_from_CMSFIL[[#This Row],[COMPANYNO]],J:L,3)</f>
        <v>Tampa</v>
      </c>
      <c r="C316" t="s">
        <v>124</v>
      </c>
      <c r="D316">
        <v>50</v>
      </c>
      <c r="E316">
        <v>14</v>
      </c>
    </row>
    <row r="317" spans="1:5" x14ac:dyDescent="0.3">
      <c r="A317" s="16" t="str">
        <f>VLOOKUP(Table_Query_from_CMSFIL[[#This Row],[COMPANYNO]],$J$1:$K$39,2)</f>
        <v>Prince</v>
      </c>
      <c r="B317" s="18" t="str">
        <f>VLOOKUP(Table_Query_from_CMSFIL[[#This Row],[COMPANYNO]],J:L,3)</f>
        <v>Tampa</v>
      </c>
      <c r="C317" t="s">
        <v>125</v>
      </c>
      <c r="D317">
        <v>50</v>
      </c>
      <c r="E317">
        <v>15</v>
      </c>
    </row>
    <row r="318" spans="1:5" x14ac:dyDescent="0.3">
      <c r="A318" s="13" t="str">
        <f>VLOOKUP(Table_Query_from_CMSFIL[[#This Row],[COMPANYNO]],$J$1:$K$39,2)</f>
        <v>Prince</v>
      </c>
      <c r="B318" s="18" t="str">
        <f>VLOOKUP(Table_Query_from_CMSFIL[[#This Row],[COMPANYNO]],J:L,3)</f>
        <v>Tampa</v>
      </c>
      <c r="C318" t="s">
        <v>128</v>
      </c>
      <c r="D318">
        <v>50</v>
      </c>
      <c r="E318">
        <v>16</v>
      </c>
    </row>
    <row r="319" spans="1:5" x14ac:dyDescent="0.3">
      <c r="A319" s="16" t="str">
        <f>VLOOKUP(Table_Query_from_CMSFIL[[#This Row],[COMPANYNO]],$J$1:$K$39,2)</f>
        <v>Prince</v>
      </c>
      <c r="B319" s="18" t="str">
        <f>VLOOKUP(Table_Query_from_CMSFIL[[#This Row],[COMPANYNO]],J:L,3)</f>
        <v>Tampa</v>
      </c>
      <c r="C319" t="s">
        <v>144</v>
      </c>
      <c r="D319">
        <v>50</v>
      </c>
      <c r="E319">
        <v>17</v>
      </c>
    </row>
    <row r="320" spans="1:5" x14ac:dyDescent="0.3">
      <c r="A320" s="13" t="str">
        <f>VLOOKUP(Table_Query_from_CMSFIL[[#This Row],[COMPANYNO]],$J$1:$K$39,2)</f>
        <v>Prince</v>
      </c>
      <c r="B320" s="18" t="str">
        <f>VLOOKUP(Table_Query_from_CMSFIL[[#This Row],[COMPANYNO]],J:L,3)</f>
        <v>Tampa</v>
      </c>
      <c r="C320" t="s">
        <v>145</v>
      </c>
      <c r="D320">
        <v>50</v>
      </c>
      <c r="E320">
        <v>18</v>
      </c>
    </row>
    <row r="321" spans="1:5" x14ac:dyDescent="0.3">
      <c r="A321" s="16" t="str">
        <f>VLOOKUP(Table_Query_from_CMSFIL[[#This Row],[COMPANYNO]],$J$1:$K$39,2)</f>
        <v>Prince</v>
      </c>
      <c r="B321" s="18" t="str">
        <f>VLOOKUP(Table_Query_from_CMSFIL[[#This Row],[COMPANYNO]],J:L,3)</f>
        <v>Tampa</v>
      </c>
      <c r="C321" t="s">
        <v>367</v>
      </c>
      <c r="D321">
        <v>50</v>
      </c>
      <c r="E321">
        <v>19</v>
      </c>
    </row>
    <row r="322" spans="1:5" x14ac:dyDescent="0.3">
      <c r="A322" s="13" t="str">
        <f>VLOOKUP(Table_Query_from_CMSFIL[[#This Row],[COMPANYNO]],$J$1:$K$39,2)</f>
        <v>Prince</v>
      </c>
      <c r="B322" s="18" t="str">
        <f>VLOOKUP(Table_Query_from_CMSFIL[[#This Row],[COMPANYNO]],J:L,3)</f>
        <v>Tampa</v>
      </c>
      <c r="C322" t="s">
        <v>180</v>
      </c>
      <c r="D322">
        <v>50</v>
      </c>
      <c r="E322">
        <v>20</v>
      </c>
    </row>
    <row r="323" spans="1:5" x14ac:dyDescent="0.3">
      <c r="A323" s="16" t="str">
        <f>VLOOKUP(Table_Query_from_CMSFIL[[#This Row],[COMPANYNO]],$J$1:$K$39,2)</f>
        <v>Prince</v>
      </c>
      <c r="B323" s="18" t="str">
        <f>VLOOKUP(Table_Query_from_CMSFIL[[#This Row],[COMPANYNO]],J:L,3)</f>
        <v>Tampa</v>
      </c>
      <c r="C323" t="s">
        <v>181</v>
      </c>
      <c r="D323">
        <v>50</v>
      </c>
      <c r="E323">
        <v>21</v>
      </c>
    </row>
    <row r="324" spans="1:5" x14ac:dyDescent="0.3">
      <c r="A324" s="13" t="str">
        <f>VLOOKUP(Table_Query_from_CMSFIL[[#This Row],[COMPANYNO]],$J$1:$K$39,2)</f>
        <v>Prince</v>
      </c>
      <c r="B324" s="18" t="str">
        <f>VLOOKUP(Table_Query_from_CMSFIL[[#This Row],[COMPANYNO]],J:L,3)</f>
        <v>Tampa</v>
      </c>
      <c r="C324" t="s">
        <v>182</v>
      </c>
      <c r="D324">
        <v>50</v>
      </c>
      <c r="E324">
        <v>301</v>
      </c>
    </row>
    <row r="325" spans="1:5" x14ac:dyDescent="0.3">
      <c r="A325" s="16" t="str">
        <f>VLOOKUP(Table_Query_from_CMSFIL[[#This Row],[COMPANYNO]],$J$1:$K$39,2)</f>
        <v>Prince</v>
      </c>
      <c r="B325" s="18" t="str">
        <f>VLOOKUP(Table_Query_from_CMSFIL[[#This Row],[COMPANYNO]],J:L,3)</f>
        <v>Tampa</v>
      </c>
      <c r="C325" t="s">
        <v>183</v>
      </c>
      <c r="D325">
        <v>50</v>
      </c>
      <c r="E325">
        <v>501</v>
      </c>
    </row>
    <row r="326" spans="1:5" x14ac:dyDescent="0.3">
      <c r="A326" s="13" t="str">
        <f>VLOOKUP(Table_Query_from_CMSFIL[[#This Row],[COMPANYNO]],$J$1:$K$39,2)</f>
        <v>Prince</v>
      </c>
      <c r="B326" s="18" t="str">
        <f>VLOOKUP(Table_Query_from_CMSFIL[[#This Row],[COMPANYNO]],J:L,3)</f>
        <v>Tampa</v>
      </c>
      <c r="C326" t="s">
        <v>184</v>
      </c>
      <c r="D326">
        <v>50</v>
      </c>
      <c r="E326">
        <v>22</v>
      </c>
    </row>
    <row r="327" spans="1:5" x14ac:dyDescent="0.3">
      <c r="A327" s="16" t="str">
        <f>VLOOKUP(Table_Query_from_CMSFIL[[#This Row],[COMPANYNO]],$J$1:$K$39,2)</f>
        <v>Prince</v>
      </c>
      <c r="B327" s="18" t="str">
        <f>VLOOKUP(Table_Query_from_CMSFIL[[#This Row],[COMPANYNO]],J:L,3)</f>
        <v>Tampa</v>
      </c>
      <c r="C327" t="s">
        <v>185</v>
      </c>
      <c r="D327">
        <v>50</v>
      </c>
      <c r="E327">
        <v>999</v>
      </c>
    </row>
    <row r="328" spans="1:5" x14ac:dyDescent="0.3">
      <c r="A328" s="13" t="str">
        <f>VLOOKUP(Table_Query_from_CMSFIL[[#This Row],[COMPANYNO]],$J$1:$K$39,2)</f>
        <v>Pulice</v>
      </c>
      <c r="B328" s="18" t="str">
        <f>VLOOKUP(Table_Query_from_CMSFIL[[#This Row],[COMPANYNO]],J:L,3)</f>
        <v>Arizona</v>
      </c>
      <c r="C328" t="s">
        <v>186</v>
      </c>
      <c r="D328">
        <v>60</v>
      </c>
      <c r="E328">
        <v>1</v>
      </c>
    </row>
    <row r="329" spans="1:5" x14ac:dyDescent="0.3">
      <c r="A329" s="16" t="str">
        <f>VLOOKUP(Table_Query_from_CMSFIL[[#This Row],[COMPANYNO]],$J$1:$K$39,2)</f>
        <v>Pulice</v>
      </c>
      <c r="B329" s="18" t="str">
        <f>VLOOKUP(Table_Query_from_CMSFIL[[#This Row],[COMPANYNO]],J:L,3)</f>
        <v>Arizona</v>
      </c>
      <c r="C329" t="s">
        <v>187</v>
      </c>
      <c r="D329">
        <v>60</v>
      </c>
      <c r="E329">
        <v>2</v>
      </c>
    </row>
    <row r="330" spans="1:5" x14ac:dyDescent="0.3">
      <c r="A330" s="13" t="str">
        <f>VLOOKUP(Table_Query_from_CMSFIL[[#This Row],[COMPANYNO]],$J$1:$K$39,2)</f>
        <v>Pulice</v>
      </c>
      <c r="B330" s="18" t="str">
        <f>VLOOKUP(Table_Query_from_CMSFIL[[#This Row],[COMPANYNO]],J:L,3)</f>
        <v>Arizona</v>
      </c>
      <c r="C330" t="s">
        <v>188</v>
      </c>
      <c r="D330">
        <v>60</v>
      </c>
      <c r="E330">
        <v>3</v>
      </c>
    </row>
    <row r="331" spans="1:5" x14ac:dyDescent="0.3">
      <c r="A331" s="16" t="str">
        <f>VLOOKUP(Table_Query_from_CMSFIL[[#This Row],[COMPANYNO]],$J$1:$K$39,2)</f>
        <v>Pulice</v>
      </c>
      <c r="B331" s="18" t="str">
        <f>VLOOKUP(Table_Query_from_CMSFIL[[#This Row],[COMPANYNO]],J:L,3)</f>
        <v>Arizona</v>
      </c>
      <c r="C331" t="s">
        <v>189</v>
      </c>
      <c r="D331">
        <v>60</v>
      </c>
      <c r="E331">
        <v>4</v>
      </c>
    </row>
    <row r="332" spans="1:5" x14ac:dyDescent="0.3">
      <c r="A332" s="13" t="str">
        <f>VLOOKUP(Table_Query_from_CMSFIL[[#This Row],[COMPANYNO]],$J$1:$K$39,2)</f>
        <v>Pulice</v>
      </c>
      <c r="B332" s="18" t="str">
        <f>VLOOKUP(Table_Query_from_CMSFIL[[#This Row],[COMPANYNO]],J:L,3)</f>
        <v>Arizona</v>
      </c>
      <c r="C332" t="s">
        <v>190</v>
      </c>
      <c r="D332">
        <v>60</v>
      </c>
      <c r="E332">
        <v>5</v>
      </c>
    </row>
    <row r="333" spans="1:5" x14ac:dyDescent="0.3">
      <c r="A333" s="16" t="str">
        <f>VLOOKUP(Table_Query_from_CMSFIL[[#This Row],[COMPANYNO]],$J$1:$K$39,2)</f>
        <v>Pulice</v>
      </c>
      <c r="B333" s="18" t="str">
        <f>VLOOKUP(Table_Query_from_CMSFIL[[#This Row],[COMPANYNO]],J:L,3)</f>
        <v>Arizona</v>
      </c>
      <c r="C333" t="s">
        <v>191</v>
      </c>
      <c r="D333">
        <v>60</v>
      </c>
      <c r="E333">
        <v>6</v>
      </c>
    </row>
    <row r="334" spans="1:5" x14ac:dyDescent="0.3">
      <c r="A334" s="13" t="str">
        <f>VLOOKUP(Table_Query_from_CMSFIL[[#This Row],[COMPANYNO]],$J$1:$K$39,2)</f>
        <v>Pulice</v>
      </c>
      <c r="B334" s="18" t="str">
        <f>VLOOKUP(Table_Query_from_CMSFIL[[#This Row],[COMPANYNO]],J:L,3)</f>
        <v>Arizona</v>
      </c>
      <c r="C334" t="s">
        <v>192</v>
      </c>
      <c r="D334">
        <v>60</v>
      </c>
      <c r="E334">
        <v>7</v>
      </c>
    </row>
    <row r="335" spans="1:5" x14ac:dyDescent="0.3">
      <c r="A335" s="16" t="str">
        <f>VLOOKUP(Table_Query_from_CMSFIL[[#This Row],[COMPANYNO]],$J$1:$K$39,2)</f>
        <v>Pulice</v>
      </c>
      <c r="B335" s="18" t="str">
        <f>VLOOKUP(Table_Query_from_CMSFIL[[#This Row],[COMPANYNO]],J:L,3)</f>
        <v>Arizona</v>
      </c>
      <c r="C335" t="s">
        <v>193</v>
      </c>
      <c r="D335">
        <v>60</v>
      </c>
      <c r="E335">
        <v>8</v>
      </c>
    </row>
    <row r="336" spans="1:5" x14ac:dyDescent="0.3">
      <c r="A336" s="13" t="str">
        <f>VLOOKUP(Table_Query_from_CMSFIL[[#This Row],[COMPANYNO]],$J$1:$K$39,2)</f>
        <v>Pulice</v>
      </c>
      <c r="B336" s="18" t="str">
        <f>VLOOKUP(Table_Query_from_CMSFIL[[#This Row],[COMPANYNO]],J:L,3)</f>
        <v>Arizona</v>
      </c>
      <c r="C336" t="s">
        <v>194</v>
      </c>
      <c r="D336">
        <v>60</v>
      </c>
      <c r="E336">
        <v>9</v>
      </c>
    </row>
    <row r="337" spans="1:5" x14ac:dyDescent="0.3">
      <c r="A337" s="16" t="str">
        <f>VLOOKUP(Table_Query_from_CMSFIL[[#This Row],[COMPANYNO]],$J$1:$K$39,2)</f>
        <v>Pulice</v>
      </c>
      <c r="B337" s="18" t="str">
        <f>VLOOKUP(Table_Query_from_CMSFIL[[#This Row],[COMPANYNO]],J:L,3)</f>
        <v>Arizona</v>
      </c>
      <c r="C337" t="s">
        <v>195</v>
      </c>
      <c r="D337">
        <v>60</v>
      </c>
      <c r="E337">
        <v>10</v>
      </c>
    </row>
    <row r="338" spans="1:5" x14ac:dyDescent="0.3">
      <c r="A338" s="13" t="str">
        <f>VLOOKUP(Table_Query_from_CMSFIL[[#This Row],[COMPANYNO]],$J$1:$K$39,2)</f>
        <v>Pulice</v>
      </c>
      <c r="B338" s="18" t="str">
        <f>VLOOKUP(Table_Query_from_CMSFIL[[#This Row],[COMPANYNO]],J:L,3)</f>
        <v>Arizona</v>
      </c>
      <c r="C338" t="s">
        <v>196</v>
      </c>
      <c r="D338">
        <v>60</v>
      </c>
      <c r="E338">
        <v>299</v>
      </c>
    </row>
    <row r="339" spans="1:5" x14ac:dyDescent="0.3">
      <c r="A339" s="16" t="str">
        <f>VLOOKUP(Table_Query_from_CMSFIL[[#This Row],[COMPANYNO]],$J$1:$K$39,2)</f>
        <v>Pulice</v>
      </c>
      <c r="B339" s="18" t="str">
        <f>VLOOKUP(Table_Query_from_CMSFIL[[#This Row],[COMPANYNO]],J:L,3)</f>
        <v>Arizona</v>
      </c>
      <c r="C339" t="s">
        <v>197</v>
      </c>
      <c r="D339">
        <v>60</v>
      </c>
      <c r="E339">
        <v>301</v>
      </c>
    </row>
    <row r="340" spans="1:5" x14ac:dyDescent="0.3">
      <c r="A340" s="13" t="str">
        <f>VLOOKUP(Table_Query_from_CMSFIL[[#This Row],[COMPANYNO]],$J$1:$K$39,2)</f>
        <v>Pulice</v>
      </c>
      <c r="B340" s="18" t="str">
        <f>VLOOKUP(Table_Query_from_CMSFIL[[#This Row],[COMPANYNO]],J:L,3)</f>
        <v>Arizona</v>
      </c>
      <c r="C340" t="s">
        <v>198</v>
      </c>
      <c r="D340">
        <v>60</v>
      </c>
      <c r="E340">
        <v>501</v>
      </c>
    </row>
    <row r="341" spans="1:5" x14ac:dyDescent="0.3">
      <c r="A341" s="16" t="str">
        <f>VLOOKUP(Table_Query_from_CMSFIL[[#This Row],[COMPANYNO]],$J$1:$K$39,2)</f>
        <v>Pulice</v>
      </c>
      <c r="B341" s="18" t="str">
        <f>VLOOKUP(Table_Query_from_CMSFIL[[#This Row],[COMPANYNO]],J:L,3)</f>
        <v>Arizona</v>
      </c>
      <c r="C341" t="s">
        <v>199</v>
      </c>
      <c r="D341">
        <v>60</v>
      </c>
      <c r="E341">
        <v>701</v>
      </c>
    </row>
    <row r="342" spans="1:5" x14ac:dyDescent="0.3">
      <c r="A342" s="13" t="str">
        <f>VLOOKUP(Table_Query_from_CMSFIL[[#This Row],[COMPANYNO]],$J$1:$K$39,2)</f>
        <v>Pulice</v>
      </c>
      <c r="B342" s="18" t="str">
        <f>VLOOKUP(Table_Query_from_CMSFIL[[#This Row],[COMPANYNO]],J:L,3)</f>
        <v>Arizona</v>
      </c>
      <c r="C342" t="s">
        <v>200</v>
      </c>
      <c r="D342">
        <v>60</v>
      </c>
      <c r="E342">
        <v>302</v>
      </c>
    </row>
    <row r="343" spans="1:5" x14ac:dyDescent="0.3">
      <c r="A343" s="16" t="str">
        <f>VLOOKUP(Table_Query_from_CMSFIL[[#This Row],[COMPANYNO]],$J$1:$K$39,2)</f>
        <v>Pulice</v>
      </c>
      <c r="B343" s="18" t="str">
        <f>VLOOKUP(Table_Query_from_CMSFIL[[#This Row],[COMPANYNO]],J:L,3)</f>
        <v>Arizona</v>
      </c>
      <c r="C343" t="s">
        <v>201</v>
      </c>
      <c r="D343">
        <v>60</v>
      </c>
      <c r="E343">
        <v>502</v>
      </c>
    </row>
    <row r="344" spans="1:5" x14ac:dyDescent="0.3">
      <c r="A344" s="13" t="str">
        <f>VLOOKUP(Table_Query_from_CMSFIL[[#This Row],[COMPANYNO]],$J$1:$K$39,2)</f>
        <v>Pulice</v>
      </c>
      <c r="B344" s="18" t="str">
        <f>VLOOKUP(Table_Query_from_CMSFIL[[#This Row],[COMPANYNO]],J:L,3)</f>
        <v>Arizona</v>
      </c>
      <c r="C344" t="s">
        <v>202</v>
      </c>
      <c r="D344">
        <v>60</v>
      </c>
      <c r="E344">
        <v>702</v>
      </c>
    </row>
    <row r="345" spans="1:5" x14ac:dyDescent="0.3">
      <c r="A345" s="16" t="str">
        <f>VLOOKUP(Table_Query_from_CMSFIL[[#This Row],[COMPANYNO]],$J$1:$K$39,2)</f>
        <v>Pulice</v>
      </c>
      <c r="B345" s="18" t="str">
        <f>VLOOKUP(Table_Query_from_CMSFIL[[#This Row],[COMPANYNO]],J:L,3)</f>
        <v>Arizona</v>
      </c>
      <c r="C345" t="s">
        <v>203</v>
      </c>
      <c r="D345">
        <v>60</v>
      </c>
      <c r="E345">
        <v>303</v>
      </c>
    </row>
    <row r="346" spans="1:5" x14ac:dyDescent="0.3">
      <c r="A346" s="13" t="str">
        <f>VLOOKUP(Table_Query_from_CMSFIL[[#This Row],[COMPANYNO]],$J$1:$K$39,2)</f>
        <v>Pulice</v>
      </c>
      <c r="B346" s="18" t="str">
        <f>VLOOKUP(Table_Query_from_CMSFIL[[#This Row],[COMPANYNO]],J:L,3)</f>
        <v>Arizona</v>
      </c>
      <c r="C346" t="s">
        <v>204</v>
      </c>
      <c r="D346">
        <v>60</v>
      </c>
      <c r="E346">
        <v>503</v>
      </c>
    </row>
    <row r="347" spans="1:5" x14ac:dyDescent="0.3">
      <c r="A347" s="16" t="str">
        <f>VLOOKUP(Table_Query_from_CMSFIL[[#This Row],[COMPANYNO]],$J$1:$K$39,2)</f>
        <v>Pulice</v>
      </c>
      <c r="B347" s="18" t="str">
        <f>VLOOKUP(Table_Query_from_CMSFIL[[#This Row],[COMPANYNO]],J:L,3)</f>
        <v>Arizona</v>
      </c>
      <c r="C347" t="s">
        <v>205</v>
      </c>
      <c r="D347">
        <v>60</v>
      </c>
      <c r="E347">
        <v>703</v>
      </c>
    </row>
    <row r="348" spans="1:5" x14ac:dyDescent="0.3">
      <c r="A348" s="13" t="str">
        <f>VLOOKUP(Table_Query_from_CMSFIL[[#This Row],[COMPANYNO]],$J$1:$K$39,2)</f>
        <v>Pulice</v>
      </c>
      <c r="B348" s="18" t="str">
        <f>VLOOKUP(Table_Query_from_CMSFIL[[#This Row],[COMPANYNO]],J:L,3)</f>
        <v>Arizona</v>
      </c>
      <c r="C348" t="s">
        <v>206</v>
      </c>
      <c r="D348">
        <v>60</v>
      </c>
      <c r="E348">
        <v>11</v>
      </c>
    </row>
    <row r="349" spans="1:5" x14ac:dyDescent="0.3">
      <c r="A349" s="16" t="str">
        <f>VLOOKUP(Table_Query_from_CMSFIL[[#This Row],[COMPANYNO]],$J$1:$K$39,2)</f>
        <v>Pulice</v>
      </c>
      <c r="B349" s="18" t="str">
        <f>VLOOKUP(Table_Query_from_CMSFIL[[#This Row],[COMPANYNO]],J:L,3)</f>
        <v>Arizona</v>
      </c>
      <c r="C349" t="s">
        <v>207</v>
      </c>
      <c r="D349">
        <v>60</v>
      </c>
      <c r="E349">
        <v>999</v>
      </c>
    </row>
    <row r="350" spans="1:5" x14ac:dyDescent="0.3">
      <c r="A350" s="13" t="str">
        <f>VLOOKUP(Table_Query_from_CMSFIL[[#This Row],[COMPANYNO]],$J$1:$K$39,2)</f>
        <v>Pulice</v>
      </c>
      <c r="B350" s="18" t="str">
        <f>VLOOKUP(Table_Query_from_CMSFIL[[#This Row],[COMPANYNO]],J:L,3)</f>
        <v>Arizona</v>
      </c>
      <c r="C350" t="s">
        <v>208</v>
      </c>
      <c r="D350">
        <v>60</v>
      </c>
      <c r="E350">
        <v>12</v>
      </c>
    </row>
    <row r="351" spans="1:5" x14ac:dyDescent="0.3">
      <c r="A351" s="16" t="str">
        <f>VLOOKUP(Table_Query_from_CMSFIL[[#This Row],[COMPANYNO]],$J$1:$K$39,2)</f>
        <v>Pulice</v>
      </c>
      <c r="B351" s="18" t="str">
        <f>VLOOKUP(Table_Query_from_CMSFIL[[#This Row],[COMPANYNO]],J:L,3)</f>
        <v>Arizona</v>
      </c>
      <c r="C351" t="s">
        <v>209</v>
      </c>
      <c r="D351">
        <v>60</v>
      </c>
      <c r="E351">
        <v>13</v>
      </c>
    </row>
    <row r="352" spans="1:5" x14ac:dyDescent="0.3">
      <c r="A352" s="13" t="str">
        <f>VLOOKUP(Table_Query_from_CMSFIL[[#This Row],[COMPANYNO]],$J$1:$K$39,2)</f>
        <v>Pulice</v>
      </c>
      <c r="B352" s="18" t="str">
        <f>VLOOKUP(Table_Query_from_CMSFIL[[#This Row],[COMPANYNO]],J:L,3)</f>
        <v>Arizona</v>
      </c>
      <c r="C352" t="s">
        <v>210</v>
      </c>
      <c r="D352">
        <v>60</v>
      </c>
      <c r="E352">
        <v>14</v>
      </c>
    </row>
    <row r="353" spans="1:5" x14ac:dyDescent="0.3">
      <c r="A353" s="16" t="str">
        <f>VLOOKUP(Table_Query_from_CMSFIL[[#This Row],[COMPANYNO]],$J$1:$K$39,2)</f>
        <v>Pulice</v>
      </c>
      <c r="B353" s="18" t="str">
        <f>VLOOKUP(Table_Query_from_CMSFIL[[#This Row],[COMPANYNO]],J:L,3)</f>
        <v>Arizona</v>
      </c>
      <c r="C353" t="s">
        <v>211</v>
      </c>
      <c r="D353">
        <v>60</v>
      </c>
      <c r="E353">
        <v>15</v>
      </c>
    </row>
    <row r="354" spans="1:5" x14ac:dyDescent="0.3">
      <c r="A354" s="13" t="str">
        <f>VLOOKUP(Table_Query_from_CMSFIL[[#This Row],[COMPANYNO]],$J$1:$K$39,2)</f>
        <v>Pulice</v>
      </c>
      <c r="B354" s="18" t="str">
        <f>VLOOKUP(Table_Query_from_CMSFIL[[#This Row],[COMPANYNO]],J:L,3)</f>
        <v>Arizona</v>
      </c>
      <c r="C354" t="s">
        <v>212</v>
      </c>
      <c r="D354">
        <v>60</v>
      </c>
      <c r="E354">
        <v>16</v>
      </c>
    </row>
    <row r="355" spans="1:5" x14ac:dyDescent="0.3">
      <c r="A355" s="16" t="str">
        <f>VLOOKUP(Table_Query_from_CMSFIL[[#This Row],[COMPANYNO]],$J$1:$K$39,2)</f>
        <v>Pulice</v>
      </c>
      <c r="B355" s="18" t="str">
        <f>VLOOKUP(Table_Query_from_CMSFIL[[#This Row],[COMPANYNO]],J:L,3)</f>
        <v>Arizona</v>
      </c>
      <c r="C355" t="s">
        <v>213</v>
      </c>
      <c r="D355">
        <v>60</v>
      </c>
      <c r="E355">
        <v>17</v>
      </c>
    </row>
    <row r="356" spans="1:5" x14ac:dyDescent="0.3">
      <c r="A356" s="13" t="str">
        <f>VLOOKUP(Table_Query_from_CMSFIL[[#This Row],[COMPANYNO]],$J$1:$K$39,2)</f>
        <v>Pulice</v>
      </c>
      <c r="B356" s="18" t="str">
        <f>VLOOKUP(Table_Query_from_CMSFIL[[#This Row],[COMPANYNO]],J:L,3)</f>
        <v>Arizona</v>
      </c>
      <c r="C356" t="s">
        <v>214</v>
      </c>
      <c r="D356">
        <v>60</v>
      </c>
      <c r="E356">
        <v>18</v>
      </c>
    </row>
    <row r="357" spans="1:5" x14ac:dyDescent="0.3">
      <c r="A357" s="16" t="str">
        <f>VLOOKUP(Table_Query_from_CMSFIL[[#This Row],[COMPANYNO]],$J$1:$K$39,2)</f>
        <v>Pulice</v>
      </c>
      <c r="B357" s="18" t="str">
        <f>VLOOKUP(Table_Query_from_CMSFIL[[#This Row],[COMPANYNO]],J:L,3)</f>
        <v>Arizona</v>
      </c>
      <c r="C357" t="s">
        <v>215</v>
      </c>
      <c r="D357">
        <v>60</v>
      </c>
      <c r="E357">
        <v>19</v>
      </c>
    </row>
    <row r="358" spans="1:5" x14ac:dyDescent="0.3">
      <c r="A358" s="13" t="str">
        <f>VLOOKUP(Table_Query_from_CMSFIL[[#This Row],[COMPANYNO]],$J$1:$K$39,2)</f>
        <v>Pulice</v>
      </c>
      <c r="B358" s="18" t="str">
        <f>VLOOKUP(Table_Query_from_CMSFIL[[#This Row],[COMPANYNO]],J:L,3)</f>
        <v>Arizona</v>
      </c>
      <c r="C358" t="s">
        <v>216</v>
      </c>
      <c r="D358">
        <v>60</v>
      </c>
      <c r="E358">
        <v>20</v>
      </c>
    </row>
    <row r="359" spans="1:5" x14ac:dyDescent="0.3">
      <c r="A359" s="16" t="str">
        <f>VLOOKUP(Table_Query_from_CMSFIL[[#This Row],[COMPANYNO]],$J$1:$K$39,2)</f>
        <v>Pulice</v>
      </c>
      <c r="B359" s="18" t="str">
        <f>VLOOKUP(Table_Query_from_CMSFIL[[#This Row],[COMPANYNO]],J:L,3)</f>
        <v>Arizona</v>
      </c>
      <c r="C359" t="s">
        <v>217</v>
      </c>
      <c r="D359">
        <v>60</v>
      </c>
      <c r="E359">
        <v>21</v>
      </c>
    </row>
    <row r="360" spans="1:5" x14ac:dyDescent="0.3">
      <c r="A360" s="13" t="str">
        <f>VLOOKUP(Table_Query_from_CMSFIL[[#This Row],[COMPANYNO]],$J$1:$K$39,2)</f>
        <v>Pulice</v>
      </c>
      <c r="B360" s="18" t="str">
        <f>VLOOKUP(Table_Query_from_CMSFIL[[#This Row],[COMPANYNO]],J:L,3)</f>
        <v>Arizona</v>
      </c>
      <c r="C360" t="s">
        <v>218</v>
      </c>
      <c r="D360">
        <v>60</v>
      </c>
      <c r="E360">
        <v>22</v>
      </c>
    </row>
    <row r="361" spans="1:5" x14ac:dyDescent="0.3">
      <c r="A361" s="16" t="str">
        <f>VLOOKUP(Table_Query_from_CMSFIL[[#This Row],[COMPANYNO]],$J$1:$K$39,2)</f>
        <v>Pulice</v>
      </c>
      <c r="B361" s="18" t="str">
        <f>VLOOKUP(Table_Query_from_CMSFIL[[#This Row],[COMPANYNO]],J:L,3)</f>
        <v>Arizona</v>
      </c>
      <c r="C361" t="s">
        <v>219</v>
      </c>
      <c r="D361">
        <v>60</v>
      </c>
      <c r="E361">
        <v>23</v>
      </c>
    </row>
    <row r="362" spans="1:5" x14ac:dyDescent="0.3">
      <c r="A362" s="13" t="str">
        <f>VLOOKUP(Table_Query_from_CMSFIL[[#This Row],[COMPANYNO]],$J$1:$K$39,2)</f>
        <v>Pulice</v>
      </c>
      <c r="B362" s="18" t="str">
        <f>VLOOKUP(Table_Query_from_CMSFIL[[#This Row],[COMPANYNO]],J:L,3)</f>
        <v>Arizona</v>
      </c>
      <c r="C362" t="s">
        <v>220</v>
      </c>
      <c r="D362">
        <v>60</v>
      </c>
      <c r="E362">
        <v>24</v>
      </c>
    </row>
    <row r="363" spans="1:5" x14ac:dyDescent="0.3">
      <c r="A363" s="16" t="str">
        <f>VLOOKUP(Table_Query_from_CMSFIL[[#This Row],[COMPANYNO]],$J$1:$K$39,2)</f>
        <v>Pulice</v>
      </c>
      <c r="B363" s="18" t="str">
        <f>VLOOKUP(Table_Query_from_CMSFIL[[#This Row],[COMPANYNO]],J:L,3)</f>
        <v>Arizona</v>
      </c>
      <c r="C363" t="s">
        <v>221</v>
      </c>
      <c r="D363">
        <v>60</v>
      </c>
      <c r="E363">
        <v>25</v>
      </c>
    </row>
    <row r="364" spans="1:5" x14ac:dyDescent="0.3">
      <c r="A364" s="13" t="str">
        <f>VLOOKUP(Table_Query_from_CMSFIL[[#This Row],[COMPANYNO]],$J$1:$K$39,2)</f>
        <v>Pulice</v>
      </c>
      <c r="B364" s="18" t="str">
        <f>VLOOKUP(Table_Query_from_CMSFIL[[#This Row],[COMPANYNO]],J:L,3)</f>
        <v>Arizona</v>
      </c>
      <c r="C364" t="s">
        <v>222</v>
      </c>
      <c r="D364">
        <v>60</v>
      </c>
      <c r="E364">
        <v>26</v>
      </c>
    </row>
    <row r="365" spans="1:5" x14ac:dyDescent="0.3">
      <c r="A365" s="16" t="str">
        <f>VLOOKUP(Table_Query_from_CMSFIL[[#This Row],[COMPANYNO]],$J$1:$K$39,2)</f>
        <v>Pulice</v>
      </c>
      <c r="B365" s="18" t="str">
        <f>VLOOKUP(Table_Query_from_CMSFIL[[#This Row],[COMPANYNO]],J:L,3)</f>
        <v>Arizona</v>
      </c>
      <c r="C365" t="s">
        <v>223</v>
      </c>
      <c r="D365">
        <v>60</v>
      </c>
      <c r="E365">
        <v>27</v>
      </c>
    </row>
    <row r="366" spans="1:5" x14ac:dyDescent="0.3">
      <c r="A366" s="13" t="str">
        <f>VLOOKUP(Table_Query_from_CMSFIL[[#This Row],[COMPANYNO]],$J$1:$K$39,2)</f>
        <v>Pulice</v>
      </c>
      <c r="B366" s="18" t="str">
        <f>VLOOKUP(Table_Query_from_CMSFIL[[#This Row],[COMPANYNO]],J:L,3)</f>
        <v>Arizona</v>
      </c>
      <c r="C366" t="s">
        <v>224</v>
      </c>
      <c r="D366">
        <v>60</v>
      </c>
      <c r="E366">
        <v>28</v>
      </c>
    </row>
    <row r="367" spans="1:5" x14ac:dyDescent="0.3">
      <c r="A367" s="16" t="str">
        <f>VLOOKUP(Table_Query_from_CMSFIL[[#This Row],[COMPANYNO]],$J$1:$K$39,2)</f>
        <v>Pulice</v>
      </c>
      <c r="B367" s="18" t="str">
        <f>VLOOKUP(Table_Query_from_CMSFIL[[#This Row],[COMPANYNO]],J:L,3)</f>
        <v>Arizona</v>
      </c>
      <c r="C367" t="s">
        <v>225</v>
      </c>
      <c r="D367">
        <v>60</v>
      </c>
      <c r="E367">
        <v>29</v>
      </c>
    </row>
    <row r="368" spans="1:5" x14ac:dyDescent="0.3">
      <c r="A368" s="13" t="str">
        <f>VLOOKUP(Table_Query_from_CMSFIL[[#This Row],[COMPANYNO]],$J$1:$K$39,2)</f>
        <v>Pulice</v>
      </c>
      <c r="B368" s="18" t="str">
        <f>VLOOKUP(Table_Query_from_CMSFIL[[#This Row],[COMPANYNO]],J:L,3)</f>
        <v>Arizona</v>
      </c>
      <c r="C368" t="s">
        <v>226</v>
      </c>
      <c r="D368">
        <v>60</v>
      </c>
      <c r="E368">
        <v>30</v>
      </c>
    </row>
    <row r="369" spans="1:5" x14ac:dyDescent="0.3">
      <c r="A369" s="16" t="str">
        <f>VLOOKUP(Table_Query_from_CMSFIL[[#This Row],[COMPANYNO]],$J$1:$K$39,2)</f>
        <v>Pulice</v>
      </c>
      <c r="B369" s="18" t="str">
        <f>VLOOKUP(Table_Query_from_CMSFIL[[#This Row],[COMPANYNO]],J:L,3)</f>
        <v>Arizona</v>
      </c>
      <c r="C369" t="s">
        <v>227</v>
      </c>
      <c r="D369">
        <v>60</v>
      </c>
      <c r="E369">
        <v>31</v>
      </c>
    </row>
    <row r="370" spans="1:5" x14ac:dyDescent="0.3">
      <c r="A370" s="13" t="str">
        <f>VLOOKUP(Table_Query_from_CMSFIL[[#This Row],[COMPANYNO]],$J$1:$K$39,2)</f>
        <v>Pulice</v>
      </c>
      <c r="B370" s="18" t="str">
        <f>VLOOKUP(Table_Query_from_CMSFIL[[#This Row],[COMPANYNO]],J:L,3)</f>
        <v>Arizona</v>
      </c>
      <c r="C370" t="s">
        <v>228</v>
      </c>
      <c r="D370">
        <v>60</v>
      </c>
      <c r="E370">
        <v>32</v>
      </c>
    </row>
    <row r="371" spans="1:5" x14ac:dyDescent="0.3">
      <c r="A371" s="16" t="str">
        <f>VLOOKUP(Table_Query_from_CMSFIL[[#This Row],[COMPANYNO]],$J$1:$K$39,2)</f>
        <v>Pulice</v>
      </c>
      <c r="B371" s="18" t="str">
        <f>VLOOKUP(Table_Query_from_CMSFIL[[#This Row],[COMPANYNO]],J:L,3)</f>
        <v>Arizona</v>
      </c>
      <c r="C371" t="s">
        <v>229</v>
      </c>
      <c r="D371">
        <v>60</v>
      </c>
      <c r="E371">
        <v>33</v>
      </c>
    </row>
    <row r="372" spans="1:5" x14ac:dyDescent="0.3">
      <c r="A372" s="13" t="str">
        <f>VLOOKUP(Table_Query_from_CMSFIL[[#This Row],[COMPANYNO]],$J$1:$K$39,2)</f>
        <v>Pulice</v>
      </c>
      <c r="B372" s="18" t="str">
        <f>VLOOKUP(Table_Query_from_CMSFIL[[#This Row],[COMPANYNO]],J:L,3)</f>
        <v>California</v>
      </c>
      <c r="C372" t="s">
        <v>230</v>
      </c>
      <c r="D372">
        <v>61</v>
      </c>
      <c r="E372">
        <v>1</v>
      </c>
    </row>
    <row r="373" spans="1:5" x14ac:dyDescent="0.3">
      <c r="A373" s="16" t="str">
        <f>VLOOKUP(Table_Query_from_CMSFIL[[#This Row],[COMPANYNO]],$J$1:$K$39,2)</f>
        <v>Pulice</v>
      </c>
      <c r="B373" s="18" t="str">
        <f>VLOOKUP(Table_Query_from_CMSFIL[[#This Row],[COMPANYNO]],J:L,3)</f>
        <v>California</v>
      </c>
      <c r="C373" t="s">
        <v>231</v>
      </c>
      <c r="D373">
        <v>61</v>
      </c>
      <c r="E373">
        <v>2</v>
      </c>
    </row>
    <row r="374" spans="1:5" x14ac:dyDescent="0.3">
      <c r="A374" s="13" t="str">
        <f>VLOOKUP(Table_Query_from_CMSFIL[[#This Row],[COMPANYNO]],$J$1:$K$39,2)</f>
        <v>Pulice</v>
      </c>
      <c r="B374" s="18" t="str">
        <f>VLOOKUP(Table_Query_from_CMSFIL[[#This Row],[COMPANYNO]],J:L,3)</f>
        <v>California</v>
      </c>
      <c r="C374" t="s">
        <v>232</v>
      </c>
      <c r="D374">
        <v>61</v>
      </c>
      <c r="E374">
        <v>3</v>
      </c>
    </row>
    <row r="375" spans="1:5" x14ac:dyDescent="0.3">
      <c r="A375" s="16" t="str">
        <f>VLOOKUP(Table_Query_from_CMSFIL[[#This Row],[COMPANYNO]],$J$1:$K$39,2)</f>
        <v>Pulice</v>
      </c>
      <c r="B375" s="18" t="str">
        <f>VLOOKUP(Table_Query_from_CMSFIL[[#This Row],[COMPANYNO]],J:L,3)</f>
        <v>California</v>
      </c>
      <c r="C375" t="s">
        <v>233</v>
      </c>
      <c r="D375">
        <v>61</v>
      </c>
      <c r="E375">
        <v>4</v>
      </c>
    </row>
    <row r="376" spans="1:5" x14ac:dyDescent="0.3">
      <c r="A376" s="13" t="str">
        <f>VLOOKUP(Table_Query_from_CMSFIL[[#This Row],[COMPANYNO]],$J$1:$K$39,2)</f>
        <v>Pulice</v>
      </c>
      <c r="B376" s="18" t="str">
        <f>VLOOKUP(Table_Query_from_CMSFIL[[#This Row],[COMPANYNO]],J:L,3)</f>
        <v>California</v>
      </c>
      <c r="C376" t="s">
        <v>234</v>
      </c>
      <c r="D376">
        <v>61</v>
      </c>
      <c r="E376">
        <v>301</v>
      </c>
    </row>
    <row r="377" spans="1:5" x14ac:dyDescent="0.3">
      <c r="A377" s="16" t="str">
        <f>VLOOKUP(Table_Query_from_CMSFIL[[#This Row],[COMPANYNO]],$J$1:$K$39,2)</f>
        <v>Pulice</v>
      </c>
      <c r="B377" s="18" t="str">
        <f>VLOOKUP(Table_Query_from_CMSFIL[[#This Row],[COMPANYNO]],J:L,3)</f>
        <v>California</v>
      </c>
      <c r="C377" t="s">
        <v>235</v>
      </c>
      <c r="D377">
        <v>61</v>
      </c>
      <c r="E377">
        <v>501</v>
      </c>
    </row>
    <row r="378" spans="1:5" x14ac:dyDescent="0.3">
      <c r="A378" s="13" t="str">
        <f>VLOOKUP(Table_Query_from_CMSFIL[[#This Row],[COMPANYNO]],$J$1:$K$39,2)</f>
        <v>Pulice</v>
      </c>
      <c r="B378" s="18" t="str">
        <f>VLOOKUP(Table_Query_from_CMSFIL[[#This Row],[COMPANYNO]],J:L,3)</f>
        <v>California</v>
      </c>
      <c r="C378" t="s">
        <v>236</v>
      </c>
      <c r="D378">
        <v>61</v>
      </c>
      <c r="E378">
        <v>701</v>
      </c>
    </row>
    <row r="379" spans="1:5" x14ac:dyDescent="0.3">
      <c r="A379" s="16" t="str">
        <f>VLOOKUP(Table_Query_from_CMSFIL[[#This Row],[COMPANYNO]],$J$1:$K$39,2)</f>
        <v>Pulice</v>
      </c>
      <c r="B379" s="18" t="str">
        <f>VLOOKUP(Table_Query_from_CMSFIL[[#This Row],[COMPANYNO]],J:L,3)</f>
        <v>California</v>
      </c>
      <c r="C379" t="s">
        <v>237</v>
      </c>
      <c r="D379">
        <v>61</v>
      </c>
      <c r="E379">
        <v>5</v>
      </c>
    </row>
    <row r="380" spans="1:5" x14ac:dyDescent="0.3">
      <c r="A380" s="13" t="str">
        <f>VLOOKUP(Table_Query_from_CMSFIL[[#This Row],[COMPANYNO]],$J$1:$K$39,2)</f>
        <v>Pulice</v>
      </c>
      <c r="B380" s="18" t="str">
        <f>VLOOKUP(Table_Query_from_CMSFIL[[#This Row],[COMPANYNO]],J:L,3)</f>
        <v>California</v>
      </c>
      <c r="C380" t="s">
        <v>238</v>
      </c>
      <c r="D380">
        <v>61</v>
      </c>
      <c r="E380">
        <v>6</v>
      </c>
    </row>
    <row r="381" spans="1:5" x14ac:dyDescent="0.3">
      <c r="A381" s="16" t="str">
        <f>VLOOKUP(Table_Query_from_CMSFIL[[#This Row],[COMPANYNO]],$J$1:$K$39,2)</f>
        <v>Pulice</v>
      </c>
      <c r="B381" s="18" t="str">
        <f>VLOOKUP(Table_Query_from_CMSFIL[[#This Row],[COMPANYNO]],J:L,3)</f>
        <v>California</v>
      </c>
      <c r="C381" t="s">
        <v>239</v>
      </c>
      <c r="D381">
        <v>61</v>
      </c>
      <c r="E381">
        <v>7</v>
      </c>
    </row>
    <row r="382" spans="1:5" x14ac:dyDescent="0.3">
      <c r="A382" s="13" t="str">
        <f>VLOOKUP(Table_Query_from_CMSFIL[[#This Row],[COMPANYNO]],$J$1:$K$39,2)</f>
        <v>Pulice</v>
      </c>
      <c r="B382" s="18" t="str">
        <f>VLOOKUP(Table_Query_from_CMSFIL[[#This Row],[COMPANYNO]],J:L,3)</f>
        <v>California</v>
      </c>
      <c r="C382" t="s">
        <v>240</v>
      </c>
      <c r="D382">
        <v>61</v>
      </c>
      <c r="E382">
        <v>10</v>
      </c>
    </row>
    <row r="383" spans="1:5" x14ac:dyDescent="0.3">
      <c r="A383" s="16" t="str">
        <f>VLOOKUP(Table_Query_from_CMSFIL[[#This Row],[COMPANYNO]],$J$1:$K$39,2)</f>
        <v>Pulice</v>
      </c>
      <c r="B383" s="18" t="str">
        <f>VLOOKUP(Table_Query_from_CMSFIL[[#This Row],[COMPANYNO]],J:L,3)</f>
        <v>California</v>
      </c>
      <c r="C383" t="s">
        <v>241</v>
      </c>
      <c r="D383">
        <v>61</v>
      </c>
      <c r="E383">
        <v>8</v>
      </c>
    </row>
    <row r="384" spans="1:5" x14ac:dyDescent="0.3">
      <c r="A384" s="13" t="str">
        <f>VLOOKUP(Table_Query_from_CMSFIL[[#This Row],[COMPANYNO]],$J$1:$K$39,2)</f>
        <v>Pulice</v>
      </c>
      <c r="B384" s="18" t="str">
        <f>VLOOKUP(Table_Query_from_CMSFIL[[#This Row],[COMPANYNO]],J:L,3)</f>
        <v>California</v>
      </c>
      <c r="C384" t="s">
        <v>242</v>
      </c>
      <c r="D384">
        <v>61</v>
      </c>
      <c r="E384">
        <v>9</v>
      </c>
    </row>
    <row r="385" spans="1:5" x14ac:dyDescent="0.3">
      <c r="A385" s="16" t="str">
        <f>VLOOKUP(Table_Query_from_CMSFIL[[#This Row],[COMPANYNO]],$J$1:$K$39,2)</f>
        <v>Pulice</v>
      </c>
      <c r="B385" s="18" t="str">
        <f>VLOOKUP(Table_Query_from_CMSFIL[[#This Row],[COMPANYNO]],J:L,3)</f>
        <v>California</v>
      </c>
      <c r="C385" t="s">
        <v>243</v>
      </c>
      <c r="D385">
        <v>61</v>
      </c>
      <c r="E385">
        <v>11</v>
      </c>
    </row>
    <row r="386" spans="1:5" x14ac:dyDescent="0.3">
      <c r="A386" s="13" t="str">
        <f>VLOOKUP(Table_Query_from_CMSFIL[[#This Row],[COMPANYNO]],$J$1:$K$39,2)</f>
        <v>Pulice</v>
      </c>
      <c r="B386" s="18" t="str">
        <f>VLOOKUP(Table_Query_from_CMSFIL[[#This Row],[COMPANYNO]],J:L,3)</f>
        <v>California</v>
      </c>
      <c r="C386" t="s">
        <v>244</v>
      </c>
      <c r="D386">
        <v>61</v>
      </c>
      <c r="E386">
        <v>12</v>
      </c>
    </row>
    <row r="387" spans="1:5" x14ac:dyDescent="0.3">
      <c r="A387" s="16" t="str">
        <f>VLOOKUP(Table_Query_from_CMSFIL[[#This Row],[COMPANYNO]],$J$1:$K$39,2)</f>
        <v>Pulice</v>
      </c>
      <c r="B387" s="18" t="str">
        <f>VLOOKUP(Table_Query_from_CMSFIL[[#This Row],[COMPANYNO]],J:L,3)</f>
        <v>California</v>
      </c>
      <c r="C387" t="s">
        <v>245</v>
      </c>
      <c r="D387">
        <v>61</v>
      </c>
      <c r="E387">
        <v>13</v>
      </c>
    </row>
    <row r="388" spans="1:5" x14ac:dyDescent="0.3">
      <c r="A388" s="13" t="str">
        <f>VLOOKUP(Table_Query_from_CMSFIL[[#This Row],[COMPANYNO]],$J$1:$K$39,2)</f>
        <v>Pulice</v>
      </c>
      <c r="B388" s="18" t="str">
        <f>VLOOKUP(Table_Query_from_CMSFIL[[#This Row],[COMPANYNO]],J:L,3)</f>
        <v>California</v>
      </c>
      <c r="C388" t="s">
        <v>246</v>
      </c>
      <c r="D388">
        <v>61</v>
      </c>
      <c r="E388">
        <v>14</v>
      </c>
    </row>
    <row r="389" spans="1:5" x14ac:dyDescent="0.3">
      <c r="A389" s="16" t="str">
        <f>VLOOKUP(Table_Query_from_CMSFIL[[#This Row],[COMPANYNO]],$J$1:$K$39,2)</f>
        <v>Pulice</v>
      </c>
      <c r="B389" s="18" t="str">
        <f>VLOOKUP(Table_Query_from_CMSFIL[[#This Row],[COMPANYNO]],J:L,3)</f>
        <v>California</v>
      </c>
      <c r="C389" t="s">
        <v>247</v>
      </c>
      <c r="D389">
        <v>61</v>
      </c>
      <c r="E389">
        <v>15</v>
      </c>
    </row>
    <row r="390" spans="1:5" x14ac:dyDescent="0.3">
      <c r="A390" s="13" t="str">
        <f>VLOOKUP(Table_Query_from_CMSFIL[[#This Row],[COMPANYNO]],$J$1:$K$39,2)</f>
        <v>Pulice</v>
      </c>
      <c r="B390" s="18" t="str">
        <f>VLOOKUP(Table_Query_from_CMSFIL[[#This Row],[COMPANYNO]],J:L,3)</f>
        <v>Texas</v>
      </c>
      <c r="C390" t="s">
        <v>248</v>
      </c>
      <c r="D390">
        <v>62</v>
      </c>
      <c r="E390">
        <v>1</v>
      </c>
    </row>
    <row r="391" spans="1:5" x14ac:dyDescent="0.3">
      <c r="A391" s="16" t="str">
        <f>VLOOKUP(Table_Query_from_CMSFIL[[#This Row],[COMPANYNO]],$J$1:$K$39,2)</f>
        <v>Pulice</v>
      </c>
      <c r="B391" s="18" t="str">
        <f>VLOOKUP(Table_Query_from_CMSFIL[[#This Row],[COMPANYNO]],J:L,3)</f>
        <v>Texas</v>
      </c>
      <c r="C391" t="s">
        <v>251</v>
      </c>
      <c r="D391">
        <v>62</v>
      </c>
      <c r="E391">
        <v>301</v>
      </c>
    </row>
    <row r="392" spans="1:5" x14ac:dyDescent="0.3">
      <c r="A392" s="13" t="str">
        <f>VLOOKUP(Table_Query_from_CMSFIL[[#This Row],[COMPANYNO]],$J$1:$K$39,2)</f>
        <v>Pulice</v>
      </c>
      <c r="B392" s="18" t="str">
        <f>VLOOKUP(Table_Query_from_CMSFIL[[#This Row],[COMPANYNO]],J:L,3)</f>
        <v>Texas</v>
      </c>
      <c r="C392" t="s">
        <v>255</v>
      </c>
      <c r="D392">
        <v>62</v>
      </c>
      <c r="E392">
        <v>501</v>
      </c>
    </row>
    <row r="393" spans="1:5" x14ac:dyDescent="0.3">
      <c r="A393" s="16" t="str">
        <f>VLOOKUP(Table_Query_from_CMSFIL[[#This Row],[COMPANYNO]],$J$1:$K$39,2)</f>
        <v>Pulice</v>
      </c>
      <c r="B393" s="18" t="str">
        <f>VLOOKUP(Table_Query_from_CMSFIL[[#This Row],[COMPANYNO]],J:L,3)</f>
        <v>Texas</v>
      </c>
      <c r="C393" t="s">
        <v>261</v>
      </c>
      <c r="D393">
        <v>62</v>
      </c>
      <c r="E393">
        <v>2</v>
      </c>
    </row>
    <row r="394" spans="1:5" x14ac:dyDescent="0.3">
      <c r="A394" s="13" t="str">
        <f>VLOOKUP(Table_Query_from_CMSFIL[[#This Row],[COMPANYNO]],$J$1:$K$39,2)</f>
        <v>Pulice</v>
      </c>
      <c r="B394" s="18" t="str">
        <f>VLOOKUP(Table_Query_from_CMSFIL[[#This Row],[COMPANYNO]],J:L,3)</f>
        <v>Texas</v>
      </c>
      <c r="C394" t="s">
        <v>262</v>
      </c>
      <c r="D394">
        <v>62</v>
      </c>
      <c r="E394">
        <v>3</v>
      </c>
    </row>
    <row r="395" spans="1:5" x14ac:dyDescent="0.3">
      <c r="A395" s="16" t="str">
        <f>VLOOKUP(Table_Query_from_CMSFIL[[#This Row],[COMPANYNO]],$J$1:$K$39,2)</f>
        <v>Pulice</v>
      </c>
      <c r="B395" s="18" t="str">
        <f>VLOOKUP(Table_Query_from_CMSFIL[[#This Row],[COMPANYNO]],J:L,3)</f>
        <v>Texas</v>
      </c>
      <c r="C395" t="s">
        <v>264</v>
      </c>
      <c r="D395">
        <v>62</v>
      </c>
      <c r="E395">
        <v>4</v>
      </c>
    </row>
    <row r="396" spans="1:5" x14ac:dyDescent="0.3">
      <c r="A396" s="13" t="str">
        <f>VLOOKUP(Table_Query_from_CMSFIL[[#This Row],[COMPANYNO]],$J$1:$K$39,2)</f>
        <v>Pulice</v>
      </c>
      <c r="B396" s="18" t="str">
        <f>VLOOKUP(Table_Query_from_CMSFIL[[#This Row],[COMPANYNO]],J:L,3)</f>
        <v>Texas</v>
      </c>
      <c r="C396" t="s">
        <v>288</v>
      </c>
      <c r="D396">
        <v>62</v>
      </c>
      <c r="E396">
        <v>6</v>
      </c>
    </row>
    <row r="397" spans="1:5" x14ac:dyDescent="0.3">
      <c r="A397" s="16" t="str">
        <f>VLOOKUP(Table_Query_from_CMSFIL[[#This Row],[COMPANYNO]],$J$1:$K$39,2)</f>
        <v>Pulice</v>
      </c>
      <c r="B397" s="18" t="str">
        <f>VLOOKUP(Table_Query_from_CMSFIL[[#This Row],[COMPANYNO]],J:L,3)</f>
        <v>Texas</v>
      </c>
      <c r="C397" t="s">
        <v>289</v>
      </c>
      <c r="D397">
        <v>62</v>
      </c>
      <c r="E397">
        <v>5</v>
      </c>
    </row>
    <row r="398" spans="1:5" x14ac:dyDescent="0.3">
      <c r="A398" s="13" t="str">
        <f>VLOOKUP(Table_Query_from_CMSFIL[[#This Row],[COMPANYNO]],$J$1:$K$39,2)</f>
        <v>Pulice</v>
      </c>
      <c r="B398" s="18" t="str">
        <f>VLOOKUP(Table_Query_from_CMSFIL[[#This Row],[COMPANYNO]],J:L,3)</f>
        <v>Texas</v>
      </c>
      <c r="C398" t="s">
        <v>290</v>
      </c>
      <c r="D398">
        <v>62</v>
      </c>
      <c r="E398">
        <v>7</v>
      </c>
    </row>
    <row r="399" spans="1:5" x14ac:dyDescent="0.3">
      <c r="A399" s="16" t="str">
        <f>VLOOKUP(Table_Query_from_CMSFIL[[#This Row],[COMPANYNO]],$J$1:$K$39,2)</f>
        <v>Pulice</v>
      </c>
      <c r="B399" s="18" t="str">
        <f>VLOOKUP(Table_Query_from_CMSFIL[[#This Row],[COMPANYNO]],J:L,3)</f>
        <v>Texas</v>
      </c>
      <c r="C399" t="s">
        <v>342</v>
      </c>
      <c r="D399">
        <v>62</v>
      </c>
      <c r="E399">
        <v>999</v>
      </c>
    </row>
    <row r="400" spans="1:5" x14ac:dyDescent="0.3">
      <c r="A400" s="13" t="str">
        <f>VLOOKUP(Table_Query_from_CMSFIL[[#This Row],[COMPANYNO]],$J$1:$K$39,2)</f>
        <v>Pulice</v>
      </c>
      <c r="B400" s="18" t="str">
        <f>VLOOKUP(Table_Query_from_CMSFIL[[#This Row],[COMPANYNO]],J:L,3)</f>
        <v>Texas</v>
      </c>
      <c r="C400" t="s">
        <v>343</v>
      </c>
      <c r="D400">
        <v>62</v>
      </c>
      <c r="E400">
        <v>8</v>
      </c>
    </row>
    <row r="401" spans="1:5" x14ac:dyDescent="0.3">
      <c r="A401" s="16" t="str">
        <f>VLOOKUP(Table_Query_from_CMSFIL[[#This Row],[COMPANYNO]],$J$1:$K$39,2)</f>
        <v>Pulice</v>
      </c>
      <c r="B401" s="18" t="str">
        <f>VLOOKUP(Table_Query_from_CMSFIL[[#This Row],[COMPANYNO]],J:L,3)</f>
        <v>Texas</v>
      </c>
      <c r="C401" t="s">
        <v>350</v>
      </c>
      <c r="D401">
        <v>62</v>
      </c>
      <c r="E401">
        <v>9</v>
      </c>
    </row>
    <row r="402" spans="1:5" x14ac:dyDescent="0.3">
      <c r="A402" s="13" t="str">
        <f>VLOOKUP(Table_Query_from_CMSFIL[[#This Row],[COMPANYNO]],$J$1:$K$39,2)</f>
        <v>Pulice</v>
      </c>
      <c r="B402" s="18" t="str">
        <f>VLOOKUP(Table_Query_from_CMSFIL[[#This Row],[COMPANYNO]],J:L,3)</f>
        <v>Texas</v>
      </c>
      <c r="C402" t="s">
        <v>351</v>
      </c>
      <c r="D402">
        <v>62</v>
      </c>
      <c r="E402">
        <v>10</v>
      </c>
    </row>
    <row r="403" spans="1:5" x14ac:dyDescent="0.3">
      <c r="A403" s="16" t="str">
        <f>VLOOKUP(Table_Query_from_CMSFIL[[#This Row],[COMPANYNO]],$J$1:$K$39,2)</f>
        <v>Pulice</v>
      </c>
      <c r="B403" s="18" t="str">
        <f>VLOOKUP(Table_Query_from_CMSFIL[[#This Row],[COMPANYNO]],J:L,3)</f>
        <v>McNeil</v>
      </c>
      <c r="C403" t="s">
        <v>353</v>
      </c>
      <c r="D403">
        <v>65</v>
      </c>
      <c r="E403">
        <v>1</v>
      </c>
    </row>
    <row r="404" spans="1:5" x14ac:dyDescent="0.3">
      <c r="A404" s="13" t="str">
        <f>VLOOKUP(Table_Query_from_CMSFIL[[#This Row],[COMPANYNO]],$J$1:$K$39,2)</f>
        <v>Pulice</v>
      </c>
      <c r="B404" s="18" t="str">
        <f>VLOOKUP(Table_Query_from_CMSFIL[[#This Row],[COMPANYNO]],J:L,3)</f>
        <v>McNeil</v>
      </c>
      <c r="C404" t="s">
        <v>354</v>
      </c>
      <c r="D404">
        <v>65</v>
      </c>
      <c r="E404">
        <v>299</v>
      </c>
    </row>
    <row r="405" spans="1:5" x14ac:dyDescent="0.3">
      <c r="A405" s="16" t="str">
        <f>VLOOKUP(Table_Query_from_CMSFIL[[#This Row],[COMPANYNO]],$J$1:$K$39,2)</f>
        <v>Pulice</v>
      </c>
      <c r="B405" s="18" t="str">
        <f>VLOOKUP(Table_Query_from_CMSFIL[[#This Row],[COMPANYNO]],J:L,3)</f>
        <v>McNeil</v>
      </c>
      <c r="C405" t="s">
        <v>363</v>
      </c>
      <c r="D405">
        <v>65</v>
      </c>
      <c r="E405">
        <v>2</v>
      </c>
    </row>
    <row r="406" spans="1:5" x14ac:dyDescent="0.3">
      <c r="A406" s="13" t="str">
        <f>VLOOKUP(Table_Query_from_CMSFIL[[#This Row],[COMPANYNO]],$J$1:$K$39,2)</f>
        <v>Pulice</v>
      </c>
      <c r="B406" s="18" t="str">
        <f>VLOOKUP(Table_Query_from_CMSFIL[[#This Row],[COMPANYNO]],J:L,3)</f>
        <v>McNeil</v>
      </c>
      <c r="C406" t="s">
        <v>364</v>
      </c>
      <c r="D406">
        <v>65</v>
      </c>
      <c r="E406">
        <v>3</v>
      </c>
    </row>
    <row r="407" spans="1:5" x14ac:dyDescent="0.3">
      <c r="A407" s="16" t="str">
        <f>VLOOKUP(Table_Query_from_CMSFIL[[#This Row],[COMPANYNO]],$J$1:$K$39,2)</f>
        <v>Pulice</v>
      </c>
      <c r="B407" s="18" t="str">
        <f>VLOOKUP(Table_Query_from_CMSFIL[[#This Row],[COMPANYNO]],J:L,3)</f>
        <v>McNeil</v>
      </c>
      <c r="C407" t="s">
        <v>368</v>
      </c>
      <c r="D407">
        <v>65</v>
      </c>
      <c r="E407">
        <v>4</v>
      </c>
    </row>
    <row r="408" spans="1:5" x14ac:dyDescent="0.3">
      <c r="A408" s="13" t="str">
        <f>VLOOKUP(Table_Query_from_CMSFIL[[#This Row],[COMPANYNO]],$J$1:$K$39,2)</f>
        <v>Pulice</v>
      </c>
      <c r="B408" s="18" t="str">
        <f>VLOOKUP(Table_Query_from_CMSFIL[[#This Row],[COMPANYNO]],J:L,3)</f>
        <v>McNeil</v>
      </c>
      <c r="C408" t="s">
        <v>370</v>
      </c>
      <c r="D408">
        <v>65</v>
      </c>
      <c r="E408">
        <v>5</v>
      </c>
    </row>
    <row r="409" spans="1:5" x14ac:dyDescent="0.3">
      <c r="A409" s="16" t="str">
        <f>VLOOKUP(Table_Query_from_CMSFIL[[#This Row],[COMPANYNO]],$J$1:$K$39,2)</f>
        <v>Pulice</v>
      </c>
      <c r="B409" s="18" t="str">
        <f>VLOOKUP(Table_Query_from_CMSFIL[[#This Row],[COMPANYNO]],J:L,3)</f>
        <v>McNeil</v>
      </c>
      <c r="C409" t="s">
        <v>371</v>
      </c>
      <c r="D409">
        <v>65</v>
      </c>
      <c r="E409">
        <v>6</v>
      </c>
    </row>
    <row r="410" spans="1:5" x14ac:dyDescent="0.3">
      <c r="A410" s="13" t="str">
        <f>VLOOKUP(Table_Query_from_CMSFIL[[#This Row],[COMPANYNO]],$J$1:$K$39,2)</f>
        <v>Pulice</v>
      </c>
      <c r="B410" s="18" t="str">
        <f>VLOOKUP(Table_Query_from_CMSFIL[[#This Row],[COMPANYNO]],J:L,3)</f>
        <v>McNeil</v>
      </c>
      <c r="C410" t="s">
        <v>372</v>
      </c>
      <c r="D410">
        <v>65</v>
      </c>
      <c r="E410">
        <v>7</v>
      </c>
    </row>
    <row r="411" spans="1:5" x14ac:dyDescent="0.3">
      <c r="A411" s="16" t="str">
        <f>VLOOKUP(Table_Query_from_CMSFIL[[#This Row],[COMPANYNO]],$J$1:$K$39,2)</f>
        <v>Pulice</v>
      </c>
      <c r="B411" s="18" t="str">
        <f>VLOOKUP(Table_Query_from_CMSFIL[[#This Row],[COMPANYNO]],J:L,3)</f>
        <v>McNeil</v>
      </c>
      <c r="C411" t="s">
        <v>373</v>
      </c>
      <c r="D411">
        <v>65</v>
      </c>
      <c r="E411">
        <v>8</v>
      </c>
    </row>
    <row r="412" spans="1:5" x14ac:dyDescent="0.3">
      <c r="A412" s="13" t="str">
        <f>VLOOKUP(Table_Query_from_CMSFIL[[#This Row],[COMPANYNO]],$J$1:$K$39,2)</f>
        <v>Pulice</v>
      </c>
      <c r="B412" s="18" t="str">
        <f>VLOOKUP(Table_Query_from_CMSFIL[[#This Row],[COMPANYNO]],J:L,3)</f>
        <v>Roadway</v>
      </c>
      <c r="C412" t="s">
        <v>374</v>
      </c>
      <c r="D412">
        <v>68</v>
      </c>
      <c r="E412">
        <v>1</v>
      </c>
    </row>
    <row r="413" spans="1:5" x14ac:dyDescent="0.3">
      <c r="A413" s="16" t="str">
        <f>VLOOKUP(Table_Query_from_CMSFIL[[#This Row],[COMPANYNO]],$J$1:$K$39,2)</f>
        <v>Pulice</v>
      </c>
      <c r="B413" s="18" t="str">
        <f>VLOOKUP(Table_Query_from_CMSFIL[[#This Row],[COMPANYNO]],J:L,3)</f>
        <v>Roadway</v>
      </c>
      <c r="C413" t="s">
        <v>375</v>
      </c>
      <c r="D413">
        <v>68</v>
      </c>
      <c r="E413">
        <v>299</v>
      </c>
    </row>
    <row r="414" spans="1:5" x14ac:dyDescent="0.3">
      <c r="A414" s="13" t="str">
        <f>VLOOKUP(Table_Query_from_CMSFIL[[#This Row],[COMPANYNO]],$J$1:$K$39,2)</f>
        <v>Pulice</v>
      </c>
      <c r="B414" s="18" t="str">
        <f>VLOOKUP(Table_Query_from_CMSFIL[[#This Row],[COMPANYNO]],J:L,3)</f>
        <v>Roadway</v>
      </c>
      <c r="C414" t="s">
        <v>377</v>
      </c>
      <c r="D414">
        <v>68</v>
      </c>
      <c r="E414">
        <v>2</v>
      </c>
    </row>
    <row r="415" spans="1:5" x14ac:dyDescent="0.3">
      <c r="A415" s="16" t="str">
        <f>VLOOKUP(Table_Query_from_CMSFIL[[#This Row],[COMPANYNO]],$J$1:$K$39,2)</f>
        <v>Pulice</v>
      </c>
      <c r="B415" s="18" t="str">
        <f>VLOOKUP(Table_Query_from_CMSFIL[[#This Row],[COMPANYNO]],J:L,3)</f>
        <v>Roadway</v>
      </c>
      <c r="C415" t="s">
        <v>378</v>
      </c>
      <c r="D415">
        <v>68</v>
      </c>
      <c r="E415">
        <v>3</v>
      </c>
    </row>
    <row r="416" spans="1:5" x14ac:dyDescent="0.3">
      <c r="A416" s="13" t="str">
        <f>VLOOKUP(Table_Query_from_CMSFIL[[#This Row],[COMPANYNO]],$J$1:$K$39,2)</f>
        <v>Other</v>
      </c>
      <c r="B416" s="18" t="str">
        <f>VLOOKUP(Table_Query_from_CMSFIL[[#This Row],[COMPANYNO]],J:L,3)</f>
        <v>Vias</v>
      </c>
      <c r="C416" t="s">
        <v>396</v>
      </c>
      <c r="D416">
        <v>70</v>
      </c>
      <c r="E416">
        <v>1</v>
      </c>
    </row>
    <row r="417" spans="1:5" x14ac:dyDescent="0.3">
      <c r="A417" s="16" t="str">
        <f>VLOOKUP(Table_Query_from_CMSFIL[[#This Row],[COMPANYNO]],$J$1:$K$39,2)</f>
        <v>Other</v>
      </c>
      <c r="B417" s="18" t="str">
        <f>VLOOKUP(Table_Query_from_CMSFIL[[#This Row],[COMPANYNO]],J:L,3)</f>
        <v>Vias</v>
      </c>
      <c r="C417" t="s">
        <v>415</v>
      </c>
      <c r="D417">
        <v>70</v>
      </c>
      <c r="E417">
        <v>2</v>
      </c>
    </row>
    <row r="418" spans="1:5" x14ac:dyDescent="0.3">
      <c r="A418" s="13" t="str">
        <f>VLOOKUP(Table_Query_from_CMSFIL[[#This Row],[COMPANYNO]],$J$1:$K$39,2)</f>
        <v>Other</v>
      </c>
      <c r="B418" s="18" t="str">
        <f>VLOOKUP(Table_Query_from_CMSFIL[[#This Row],[COMPANYNO]],J:L,3)</f>
        <v>Vias</v>
      </c>
      <c r="C418" t="s">
        <v>416</v>
      </c>
      <c r="D418">
        <v>70</v>
      </c>
      <c r="E418">
        <v>3</v>
      </c>
    </row>
    <row r="419" spans="1:5" x14ac:dyDescent="0.3">
      <c r="A419" s="16" t="str">
        <f>VLOOKUP(Table_Query_from_CMSFIL[[#This Row],[COMPANYNO]],$J$1:$K$39,2)</f>
        <v>Other</v>
      </c>
      <c r="B419" s="18" t="str">
        <f>VLOOKUP(Table_Query_from_CMSFIL[[#This Row],[COMPANYNO]],J:L,3)</f>
        <v>Vias</v>
      </c>
      <c r="C419" t="s">
        <v>427</v>
      </c>
      <c r="D419">
        <v>71</v>
      </c>
      <c r="E419">
        <v>1</v>
      </c>
    </row>
    <row r="420" spans="1:5" x14ac:dyDescent="0.3">
      <c r="A420" s="13" t="str">
        <f>VLOOKUP(Table_Query_from_CMSFIL[[#This Row],[COMPANYNO]],$J$1:$K$39,2)</f>
        <v>Picone</v>
      </c>
      <c r="B420" s="18" t="str">
        <f>VLOOKUP(Table_Query_from_CMSFIL[[#This Row],[COMPANYNO]],J:L,3)</f>
        <v>Long Island City</v>
      </c>
      <c r="C420" t="s">
        <v>428</v>
      </c>
      <c r="D420">
        <v>75</v>
      </c>
      <c r="E420">
        <v>1</v>
      </c>
    </row>
    <row r="421" spans="1:5" x14ac:dyDescent="0.3">
      <c r="A421" s="16" t="str">
        <f>VLOOKUP(Table_Query_from_CMSFIL[[#This Row],[COMPANYNO]],$J$1:$K$39,2)</f>
        <v>Picone</v>
      </c>
      <c r="B421" s="18" t="str">
        <f>VLOOKUP(Table_Query_from_CMSFIL[[#This Row],[COMPANYNO]],J:L,3)</f>
        <v>Long Island City</v>
      </c>
      <c r="C421" t="s">
        <v>432</v>
      </c>
      <c r="D421">
        <v>75</v>
      </c>
      <c r="E421">
        <v>3</v>
      </c>
    </row>
    <row r="422" spans="1:5" x14ac:dyDescent="0.3">
      <c r="A422" s="13" t="str">
        <f>VLOOKUP(Table_Query_from_CMSFIL[[#This Row],[COMPANYNO]],$J$1:$K$39,2)</f>
        <v>Picone</v>
      </c>
      <c r="B422" s="18" t="str">
        <f>VLOOKUP(Table_Query_from_CMSFIL[[#This Row],[COMPANYNO]],J:L,3)</f>
        <v>Long Island City</v>
      </c>
      <c r="C422" t="s">
        <v>457</v>
      </c>
      <c r="D422">
        <v>75</v>
      </c>
      <c r="E422">
        <v>296</v>
      </c>
    </row>
    <row r="423" spans="1:5" x14ac:dyDescent="0.3">
      <c r="A423" s="16" t="str">
        <f>VLOOKUP(Table_Query_from_CMSFIL[[#This Row],[COMPANYNO]],$J$1:$K$39,2)</f>
        <v>Picone</v>
      </c>
      <c r="B423" s="18" t="str">
        <f>VLOOKUP(Table_Query_from_CMSFIL[[#This Row],[COMPANYNO]],J:L,3)</f>
        <v>Long Island City</v>
      </c>
      <c r="C423" t="s">
        <v>458</v>
      </c>
      <c r="D423">
        <v>75</v>
      </c>
      <c r="E423">
        <v>297</v>
      </c>
    </row>
    <row r="424" spans="1:5" x14ac:dyDescent="0.3">
      <c r="A424" s="13" t="str">
        <f>VLOOKUP(Table_Query_from_CMSFIL[[#This Row],[COMPANYNO]],$J$1:$K$39,2)</f>
        <v>Picone</v>
      </c>
      <c r="B424" s="18" t="str">
        <f>VLOOKUP(Table_Query_from_CMSFIL[[#This Row],[COMPANYNO]],J:L,3)</f>
        <v>Long Island City</v>
      </c>
      <c r="C424" t="s">
        <v>465</v>
      </c>
      <c r="D424">
        <v>75</v>
      </c>
      <c r="E424">
        <v>2</v>
      </c>
    </row>
    <row r="425" spans="1:5" x14ac:dyDescent="0.3">
      <c r="A425" s="16" t="str">
        <f>VLOOKUP(Table_Query_from_CMSFIL[[#This Row],[COMPANYNO]],$J$1:$K$39,2)</f>
        <v>Picone</v>
      </c>
      <c r="B425" s="18" t="str">
        <f>VLOOKUP(Table_Query_from_CMSFIL[[#This Row],[COMPANYNO]],J:L,3)</f>
        <v>Long Island City</v>
      </c>
      <c r="C425" t="s">
        <v>481</v>
      </c>
      <c r="D425">
        <v>75</v>
      </c>
      <c r="E425">
        <v>4</v>
      </c>
    </row>
    <row r="426" spans="1:5" x14ac:dyDescent="0.3">
      <c r="A426" s="13" t="str">
        <f>VLOOKUP(Table_Query_from_CMSFIL[[#This Row],[COMPANYNO]],$J$1:$K$39,2)</f>
        <v>Picone</v>
      </c>
      <c r="B426" s="18" t="str">
        <f>VLOOKUP(Table_Query_from_CMSFIL[[#This Row],[COMPANYNO]],J:L,3)</f>
        <v>Long Island City</v>
      </c>
      <c r="C426" t="s">
        <v>482</v>
      </c>
      <c r="D426">
        <v>75</v>
      </c>
      <c r="E426">
        <v>5</v>
      </c>
    </row>
    <row r="427" spans="1:5" x14ac:dyDescent="0.3">
      <c r="A427" s="16" t="str">
        <f>VLOOKUP(Table_Query_from_CMSFIL[[#This Row],[COMPANYNO]],$J$1:$K$39,2)</f>
        <v>Picone</v>
      </c>
      <c r="B427" s="18" t="str">
        <f>VLOOKUP(Table_Query_from_CMSFIL[[#This Row],[COMPANYNO]],J:L,3)</f>
        <v>Long Island City</v>
      </c>
      <c r="C427" t="s">
        <v>483</v>
      </c>
      <c r="D427">
        <v>75</v>
      </c>
      <c r="E427">
        <v>6</v>
      </c>
    </row>
    <row r="428" spans="1:5" x14ac:dyDescent="0.3">
      <c r="A428" s="13" t="str">
        <f>VLOOKUP(Table_Query_from_CMSFIL[[#This Row],[COMPANYNO]],$J$1:$K$39,2)</f>
        <v>Picone</v>
      </c>
      <c r="B428" s="18" t="str">
        <f>VLOOKUP(Table_Query_from_CMSFIL[[#This Row],[COMPANYNO]],J:L,3)</f>
        <v>Long Island City</v>
      </c>
      <c r="C428" t="s">
        <v>484</v>
      </c>
      <c r="D428">
        <v>75</v>
      </c>
      <c r="E428">
        <v>7</v>
      </c>
    </row>
    <row r="429" spans="1:5" x14ac:dyDescent="0.3">
      <c r="A429" s="16" t="str">
        <f>VLOOKUP(Table_Query_from_CMSFIL[[#This Row],[COMPANYNO]],$J$1:$K$39,2)</f>
        <v>Picone</v>
      </c>
      <c r="B429" s="18" t="str">
        <f>VLOOKUP(Table_Query_from_CMSFIL[[#This Row],[COMPANYNO]],J:L,3)</f>
        <v>Long Island City</v>
      </c>
      <c r="C429" t="s">
        <v>485</v>
      </c>
      <c r="D429">
        <v>75</v>
      </c>
      <c r="E429">
        <v>8</v>
      </c>
    </row>
    <row r="430" spans="1:5" x14ac:dyDescent="0.3">
      <c r="A430" s="13" t="str">
        <f>VLOOKUP(Table_Query_from_CMSFIL[[#This Row],[COMPANYNO]],$J$1:$K$39,2)</f>
        <v>Picone</v>
      </c>
      <c r="B430" s="18" t="str">
        <f>VLOOKUP(Table_Query_from_CMSFIL[[#This Row],[COMPANYNO]],J:L,3)</f>
        <v>Long Island City</v>
      </c>
      <c r="C430" t="s">
        <v>498</v>
      </c>
      <c r="D430">
        <v>75</v>
      </c>
      <c r="E430">
        <v>9</v>
      </c>
    </row>
    <row r="431" spans="1:5" x14ac:dyDescent="0.3">
      <c r="A431" s="16" t="str">
        <f>VLOOKUP(Table_Query_from_CMSFIL[[#This Row],[COMPANYNO]],$J$1:$K$39,2)</f>
        <v>Picone</v>
      </c>
      <c r="B431" s="18" t="str">
        <f>VLOOKUP(Table_Query_from_CMSFIL[[#This Row],[COMPANYNO]],J:L,3)</f>
        <v>Long Island City</v>
      </c>
      <c r="C431" t="s">
        <v>499</v>
      </c>
      <c r="D431">
        <v>75</v>
      </c>
      <c r="E431">
        <v>10</v>
      </c>
    </row>
    <row r="432" spans="1:5" x14ac:dyDescent="0.3">
      <c r="A432" s="13" t="str">
        <f>VLOOKUP(Table_Query_from_CMSFIL[[#This Row],[COMPANYNO]],$J$1:$K$39,2)</f>
        <v>Picone</v>
      </c>
      <c r="B432" s="18" t="str">
        <f>VLOOKUP(Table_Query_from_CMSFIL[[#This Row],[COMPANYNO]],J:L,3)</f>
        <v>Long Island City</v>
      </c>
      <c r="C432" t="s">
        <v>500</v>
      </c>
      <c r="D432">
        <v>75</v>
      </c>
      <c r="E432">
        <v>11</v>
      </c>
    </row>
    <row r="433" spans="1:5" x14ac:dyDescent="0.3">
      <c r="A433" s="16" t="str">
        <f>VLOOKUP(Table_Query_from_CMSFIL[[#This Row],[COMPANYNO]],$J$1:$K$39,2)</f>
        <v>Picone</v>
      </c>
      <c r="B433" s="18" t="str">
        <f>VLOOKUP(Table_Query_from_CMSFIL[[#This Row],[COMPANYNO]],J:L,3)</f>
        <v>Long Island City</v>
      </c>
      <c r="C433" t="s">
        <v>502</v>
      </c>
      <c r="D433">
        <v>75</v>
      </c>
      <c r="E433">
        <v>12</v>
      </c>
    </row>
    <row r="434" spans="1:5" x14ac:dyDescent="0.3">
      <c r="A434" s="13" t="str">
        <f>VLOOKUP(Table_Query_from_CMSFIL[[#This Row],[COMPANYNO]],$J$1:$K$39,2)</f>
        <v>Picone</v>
      </c>
      <c r="B434" s="18" t="str">
        <f>VLOOKUP(Table_Query_from_CMSFIL[[#This Row],[COMPANYNO]],J:L,3)</f>
        <v>Long Island City</v>
      </c>
      <c r="C434" t="s">
        <v>504</v>
      </c>
      <c r="D434">
        <v>75</v>
      </c>
      <c r="E434">
        <v>13</v>
      </c>
    </row>
    <row r="435" spans="1:5" x14ac:dyDescent="0.3">
      <c r="A435" s="16" t="str">
        <f>VLOOKUP(Table_Query_from_CMSFIL[[#This Row],[COMPANYNO]],$J$1:$K$39,2)</f>
        <v>Picone</v>
      </c>
      <c r="B435" s="18" t="str">
        <f>VLOOKUP(Table_Query_from_CMSFIL[[#This Row],[COMPANYNO]],J:L,3)</f>
        <v>Long Island City</v>
      </c>
      <c r="C435" t="s">
        <v>511</v>
      </c>
      <c r="D435">
        <v>75</v>
      </c>
      <c r="E435">
        <v>14</v>
      </c>
    </row>
    <row r="436" spans="1:5" x14ac:dyDescent="0.3">
      <c r="A436" s="13" t="str">
        <f>VLOOKUP(Table_Query_from_CMSFIL[[#This Row],[COMPANYNO]],$J$1:$K$39,2)</f>
        <v>Picone</v>
      </c>
      <c r="B436" s="18" t="str">
        <f>VLOOKUP(Table_Query_from_CMSFIL[[#This Row],[COMPANYNO]],J:L,3)</f>
        <v>Long Island City</v>
      </c>
      <c r="C436" t="s">
        <v>512</v>
      </c>
      <c r="D436">
        <v>75</v>
      </c>
      <c r="E436">
        <v>15</v>
      </c>
    </row>
    <row r="437" spans="1:5" x14ac:dyDescent="0.3">
      <c r="A437" s="16" t="str">
        <f>VLOOKUP(Table_Query_from_CMSFIL[[#This Row],[COMPANYNO]],$J$1:$K$39,2)</f>
        <v>Picone</v>
      </c>
      <c r="B437" s="18" t="str">
        <f>VLOOKUP(Table_Query_from_CMSFIL[[#This Row],[COMPANYNO]],J:L,3)</f>
        <v>Long Island City</v>
      </c>
      <c r="C437" t="s">
        <v>540</v>
      </c>
      <c r="D437">
        <v>75</v>
      </c>
      <c r="E437">
        <v>16</v>
      </c>
    </row>
    <row r="438" spans="1:5" x14ac:dyDescent="0.3">
      <c r="A438" s="13" t="str">
        <f>VLOOKUP(Table_Query_from_CMSFIL[[#This Row],[COMPANYNO]],$J$1:$K$39,2)</f>
        <v>Picone</v>
      </c>
      <c r="B438" s="18" t="str">
        <f>VLOOKUP(Table_Query_from_CMSFIL[[#This Row],[COMPANYNO]],J:L,3)</f>
        <v>Long Island City</v>
      </c>
      <c r="C438" t="s">
        <v>667</v>
      </c>
      <c r="D438">
        <v>75</v>
      </c>
      <c r="E438">
        <v>17</v>
      </c>
    </row>
    <row r="439" spans="1:5" x14ac:dyDescent="0.3">
      <c r="A439" s="16" t="str">
        <f>VLOOKUP(Table_Query_from_CMSFIL[[#This Row],[COMPANYNO]],$J$1:$K$39,2)</f>
        <v>Picone</v>
      </c>
      <c r="B439" s="18" t="str">
        <f>VLOOKUP(Table_Query_from_CMSFIL[[#This Row],[COMPANYNO]],J:L,3)</f>
        <v>Long Island City</v>
      </c>
      <c r="C439" t="s">
        <v>695</v>
      </c>
      <c r="D439">
        <v>75</v>
      </c>
      <c r="E439">
        <v>18</v>
      </c>
    </row>
    <row r="440" spans="1:5" x14ac:dyDescent="0.3">
      <c r="A440" s="13" t="str">
        <f>VLOOKUP(Table_Query_from_CMSFIL[[#This Row],[COMPANYNO]],$J$1:$K$39,2)</f>
        <v>Picone</v>
      </c>
      <c r="B440" s="18" t="str">
        <f>VLOOKUP(Table_Query_from_CMSFIL[[#This Row],[COMPANYNO]],J:L,3)</f>
        <v>Long Island City</v>
      </c>
      <c r="C440" t="s">
        <v>695</v>
      </c>
      <c r="D440">
        <v>75</v>
      </c>
      <c r="E440">
        <v>19</v>
      </c>
    </row>
    <row r="441" spans="1:5" x14ac:dyDescent="0.3">
      <c r="A441" s="16" t="str">
        <f>VLOOKUP(Table_Query_from_CMSFIL[[#This Row],[COMPANYNO]],$J$1:$K$39,2)</f>
        <v>Picone</v>
      </c>
      <c r="B441" s="18" t="str">
        <f>VLOOKUP(Table_Query_from_CMSFIL[[#This Row],[COMPANYNO]],J:L,3)</f>
        <v>Long Island City</v>
      </c>
      <c r="C441" t="s">
        <v>696</v>
      </c>
      <c r="D441">
        <v>75</v>
      </c>
      <c r="E441">
        <v>26</v>
      </c>
    </row>
    <row r="442" spans="1:5" x14ac:dyDescent="0.3">
      <c r="A442" s="13" t="str">
        <f>VLOOKUP(Table_Query_from_CMSFIL[[#This Row],[COMPANYNO]],$J$1:$K$39,2)</f>
        <v>Picone</v>
      </c>
      <c r="B442" s="18" t="str">
        <f>VLOOKUP(Table_Query_from_CMSFIL[[#This Row],[COMPANYNO]],J:L,3)</f>
        <v>Long Island City</v>
      </c>
      <c r="C442" t="s">
        <v>733</v>
      </c>
      <c r="D442">
        <v>75</v>
      </c>
      <c r="E442">
        <v>27</v>
      </c>
    </row>
    <row r="443" spans="1:5" x14ac:dyDescent="0.3">
      <c r="A443" s="16" t="str">
        <f>VLOOKUP(Table_Query_from_CMSFIL[[#This Row],[COMPANYNO]],$J$1:$K$39,2)</f>
        <v>Picone</v>
      </c>
      <c r="B443" s="18" t="str">
        <f>VLOOKUP(Table_Query_from_CMSFIL[[#This Row],[COMPANYNO]],J:L,3)</f>
        <v>Long Island City</v>
      </c>
      <c r="C443" t="s">
        <v>739</v>
      </c>
      <c r="D443">
        <v>75</v>
      </c>
      <c r="E443">
        <v>298</v>
      </c>
    </row>
    <row r="444" spans="1:5" x14ac:dyDescent="0.3">
      <c r="A444" s="13" t="str">
        <f>VLOOKUP(Table_Query_from_CMSFIL[[#This Row],[COMPANYNO]],$J$1:$K$39,2)</f>
        <v>Picone</v>
      </c>
      <c r="B444" s="18" t="str">
        <f>VLOOKUP(Table_Query_from_CMSFIL[[#This Row],[COMPANYNO]],J:L,3)</f>
        <v>Long Island City</v>
      </c>
      <c r="C444" t="s">
        <v>744</v>
      </c>
      <c r="D444">
        <v>75</v>
      </c>
      <c r="E444">
        <v>251</v>
      </c>
    </row>
    <row r="445" spans="1:5" x14ac:dyDescent="0.3">
      <c r="A445" s="16" t="str">
        <f>VLOOKUP(Table_Query_from_CMSFIL[[#This Row],[COMPANYNO]],$J$1:$K$39,2)</f>
        <v>Picone</v>
      </c>
      <c r="B445" s="18" t="str">
        <f>VLOOKUP(Table_Query_from_CMSFIL[[#This Row],[COMPANYNO]],J:L,3)</f>
        <v>Long Island City</v>
      </c>
      <c r="C445" t="s">
        <v>751</v>
      </c>
      <c r="D445">
        <v>75</v>
      </c>
      <c r="E445">
        <v>252</v>
      </c>
    </row>
    <row r="446" spans="1:5" x14ac:dyDescent="0.3">
      <c r="A446" s="16" t="str">
        <f>VLOOKUP(Table_Query_from_CMSFIL[[#This Row],[COMPANYNO]],$J$1:$K$39,2)</f>
        <v>Picone</v>
      </c>
      <c r="B446" s="18" t="str">
        <f>VLOOKUP(Table_Query_from_CMSFIL[[#This Row],[COMPANYNO]],J:L,3)</f>
        <v>Long Island City</v>
      </c>
      <c r="C446" t="s">
        <v>439</v>
      </c>
      <c r="D446">
        <v>75</v>
      </c>
      <c r="E446">
        <v>253</v>
      </c>
    </row>
    <row r="447" spans="1:5" x14ac:dyDescent="0.3">
      <c r="A447" s="13" t="str">
        <f>VLOOKUP(Table_Query_from_CMSFIL[[#This Row],[COMPANYNO]],$J$1:$K$39,2)</f>
        <v>Picone</v>
      </c>
      <c r="B447" s="18" t="str">
        <f>VLOOKUP(Table_Query_from_CMSFIL[[#This Row],[COMPANYNO]],J:L,3)</f>
        <v>Long Island City</v>
      </c>
      <c r="C447" t="s">
        <v>440</v>
      </c>
      <c r="D447">
        <v>75</v>
      </c>
      <c r="E447">
        <v>254</v>
      </c>
    </row>
    <row r="448" spans="1:5" x14ac:dyDescent="0.3">
      <c r="A448" s="16" t="str">
        <f>VLOOKUP(Table_Query_from_CMSFIL[[#This Row],[COMPANYNO]],$J$1:$K$39,2)</f>
        <v>Picone</v>
      </c>
      <c r="B448" s="18" t="str">
        <f>VLOOKUP(Table_Query_from_CMSFIL[[#This Row],[COMPANYNO]],J:L,3)</f>
        <v>Long Island City</v>
      </c>
      <c r="C448" t="s">
        <v>441</v>
      </c>
      <c r="D448">
        <v>75</v>
      </c>
      <c r="E448">
        <v>255</v>
      </c>
    </row>
    <row r="449" spans="1:5" x14ac:dyDescent="0.3">
      <c r="A449" s="13" t="str">
        <f>VLOOKUP(Table_Query_from_CMSFIL[[#This Row],[COMPANYNO]],$J$1:$K$39,2)</f>
        <v>Picone</v>
      </c>
      <c r="B449" s="18" t="str">
        <f>VLOOKUP(Table_Query_from_CMSFIL[[#This Row],[COMPANYNO]],J:L,3)</f>
        <v>Long Island City</v>
      </c>
      <c r="C449" t="s">
        <v>442</v>
      </c>
      <c r="D449">
        <v>75</v>
      </c>
      <c r="E449">
        <v>256</v>
      </c>
    </row>
    <row r="450" spans="1:5" x14ac:dyDescent="0.3">
      <c r="A450" s="16" t="str">
        <f>VLOOKUP(Table_Query_from_CMSFIL[[#This Row],[COMPANYNO]],$J$1:$K$39,2)</f>
        <v>Picone</v>
      </c>
      <c r="B450" s="18" t="str">
        <f>VLOOKUP(Table_Query_from_CMSFIL[[#This Row],[COMPANYNO]],J:L,3)</f>
        <v>Long Island City</v>
      </c>
      <c r="C450" t="s">
        <v>443</v>
      </c>
      <c r="D450">
        <v>75</v>
      </c>
      <c r="E450">
        <v>299</v>
      </c>
    </row>
    <row r="451" spans="1:5" x14ac:dyDescent="0.3">
      <c r="A451" s="13" t="str">
        <f>VLOOKUP(Table_Query_from_CMSFIL[[#This Row],[COMPANYNO]],$J$1:$K$39,2)</f>
        <v>Picone</v>
      </c>
      <c r="B451" s="18" t="str">
        <f>VLOOKUP(Table_Query_from_CMSFIL[[#This Row],[COMPANYNO]],J:L,3)</f>
        <v>Long Island City</v>
      </c>
      <c r="C451" t="s">
        <v>444</v>
      </c>
      <c r="D451">
        <v>75</v>
      </c>
      <c r="E451">
        <v>701</v>
      </c>
    </row>
    <row r="452" spans="1:5" x14ac:dyDescent="0.3">
      <c r="A452" s="16" t="str">
        <f>VLOOKUP(Table_Query_from_CMSFIL[[#This Row],[COMPANYNO]],$J$1:$K$39,2)</f>
        <v>Picone</v>
      </c>
      <c r="B452" s="18" t="str">
        <f>VLOOKUP(Table_Query_from_CMSFIL[[#This Row],[COMPANYNO]],J:L,3)</f>
        <v>Long Island City</v>
      </c>
      <c r="C452" t="s">
        <v>445</v>
      </c>
      <c r="D452">
        <v>75</v>
      </c>
      <c r="E452">
        <v>702</v>
      </c>
    </row>
    <row r="453" spans="1:5" x14ac:dyDescent="0.3">
      <c r="A453" s="13" t="str">
        <f>VLOOKUP(Table_Query_from_CMSFIL[[#This Row],[COMPANYNO]],$J$1:$K$39,2)</f>
        <v>Picone</v>
      </c>
      <c r="B453" s="18" t="str">
        <f>VLOOKUP(Table_Query_from_CMSFIL[[#This Row],[COMPANYNO]],J:L,3)</f>
        <v>Long Island City</v>
      </c>
      <c r="C453" t="s">
        <v>446</v>
      </c>
      <c r="D453">
        <v>75</v>
      </c>
      <c r="E453">
        <v>703</v>
      </c>
    </row>
    <row r="454" spans="1:5" x14ac:dyDescent="0.3">
      <c r="A454" s="16" t="str">
        <f>VLOOKUP(Table_Query_from_CMSFIL[[#This Row],[COMPANYNO]],$J$1:$K$39,2)</f>
        <v>Picone</v>
      </c>
      <c r="B454" s="18" t="str">
        <f>VLOOKUP(Table_Query_from_CMSFIL[[#This Row],[COMPANYNO]],J:L,3)</f>
        <v>Long Island City</v>
      </c>
      <c r="C454" t="s">
        <v>447</v>
      </c>
      <c r="D454">
        <v>75</v>
      </c>
      <c r="E454">
        <v>713</v>
      </c>
    </row>
    <row r="455" spans="1:5" x14ac:dyDescent="0.3">
      <c r="A455" s="13" t="str">
        <f>VLOOKUP(Table_Query_from_CMSFIL[[#This Row],[COMPANYNO]],$J$1:$K$39,2)</f>
        <v>Picone</v>
      </c>
      <c r="B455" s="18" t="str">
        <f>VLOOKUP(Table_Query_from_CMSFIL[[#This Row],[COMPANYNO]],J:L,3)</f>
        <v>Long Island City</v>
      </c>
      <c r="C455" t="s">
        <v>448</v>
      </c>
      <c r="D455">
        <v>75</v>
      </c>
      <c r="E455">
        <v>714</v>
      </c>
    </row>
    <row r="456" spans="1:5" x14ac:dyDescent="0.3">
      <c r="A456" s="16" t="str">
        <f>VLOOKUP(Table_Query_from_CMSFIL[[#This Row],[COMPANYNO]],$J$1:$K$39,2)</f>
        <v>Picone</v>
      </c>
      <c r="B456" s="18" t="str">
        <f>VLOOKUP(Table_Query_from_CMSFIL[[#This Row],[COMPANYNO]],J:L,3)</f>
        <v>Long Island City</v>
      </c>
      <c r="C456" t="s">
        <v>449</v>
      </c>
      <c r="D456">
        <v>75</v>
      </c>
      <c r="E456">
        <v>301</v>
      </c>
    </row>
    <row r="457" spans="1:5" x14ac:dyDescent="0.3">
      <c r="A457" s="13" t="str">
        <f>VLOOKUP(Table_Query_from_CMSFIL[[#This Row],[COMPANYNO]],$J$1:$K$39,2)</f>
        <v>Picone</v>
      </c>
      <c r="B457" s="18" t="str">
        <f>VLOOKUP(Table_Query_from_CMSFIL[[#This Row],[COMPANYNO]],J:L,3)</f>
        <v>Long Island City</v>
      </c>
      <c r="C457" t="s">
        <v>450</v>
      </c>
      <c r="D457">
        <v>75</v>
      </c>
      <c r="E457">
        <v>302</v>
      </c>
    </row>
    <row r="458" spans="1:5" x14ac:dyDescent="0.3">
      <c r="A458" s="16" t="str">
        <f>VLOOKUP(Table_Query_from_CMSFIL[[#This Row],[COMPANYNO]],$J$1:$K$39,2)</f>
        <v>Picone</v>
      </c>
      <c r="B458" s="18" t="str">
        <f>VLOOKUP(Table_Query_from_CMSFIL[[#This Row],[COMPANYNO]],J:L,3)</f>
        <v>Long Island City</v>
      </c>
      <c r="C458" t="s">
        <v>451</v>
      </c>
      <c r="D458">
        <v>75</v>
      </c>
      <c r="E458">
        <v>303</v>
      </c>
    </row>
    <row r="459" spans="1:5" x14ac:dyDescent="0.3">
      <c r="A459" s="13" t="str">
        <f>VLOOKUP(Table_Query_from_CMSFIL[[#This Row],[COMPANYNO]],$J$1:$K$39,2)</f>
        <v>Picone</v>
      </c>
      <c r="B459" s="18" t="str">
        <f>VLOOKUP(Table_Query_from_CMSFIL[[#This Row],[COMPANYNO]],J:L,3)</f>
        <v>Long Island City</v>
      </c>
      <c r="C459" t="s">
        <v>452</v>
      </c>
      <c r="D459">
        <v>75</v>
      </c>
      <c r="E459">
        <v>304</v>
      </c>
    </row>
    <row r="460" spans="1:5" x14ac:dyDescent="0.3">
      <c r="A460" s="16" t="str">
        <f>VLOOKUP(Table_Query_from_CMSFIL[[#This Row],[COMPANYNO]],$J$1:$K$39,2)</f>
        <v>Picone</v>
      </c>
      <c r="B460" s="18" t="str">
        <f>VLOOKUP(Table_Query_from_CMSFIL[[#This Row],[COMPANYNO]],J:L,3)</f>
        <v>Long Island City</v>
      </c>
      <c r="C460" t="s">
        <v>453</v>
      </c>
      <c r="D460">
        <v>75</v>
      </c>
      <c r="E460">
        <v>305</v>
      </c>
    </row>
    <row r="461" spans="1:5" x14ac:dyDescent="0.3">
      <c r="A461" s="13" t="str">
        <f>VLOOKUP(Table_Query_from_CMSFIL[[#This Row],[COMPANYNO]],$J$1:$K$39,2)</f>
        <v>Picone</v>
      </c>
      <c r="B461" s="18" t="str">
        <f>VLOOKUP(Table_Query_from_CMSFIL[[#This Row],[COMPANYNO]],J:L,3)</f>
        <v>Long Island City</v>
      </c>
      <c r="C461" t="s">
        <v>454</v>
      </c>
      <c r="D461">
        <v>75</v>
      </c>
      <c r="E461">
        <v>306</v>
      </c>
    </row>
    <row r="462" spans="1:5" x14ac:dyDescent="0.3">
      <c r="A462" s="16" t="str">
        <f>VLOOKUP(Table_Query_from_CMSFIL[[#This Row],[COMPANYNO]],$J$1:$K$39,2)</f>
        <v>Picone</v>
      </c>
      <c r="B462" s="18" t="str">
        <f>VLOOKUP(Table_Query_from_CMSFIL[[#This Row],[COMPANYNO]],J:L,3)</f>
        <v>Long Island City</v>
      </c>
      <c r="C462" t="s">
        <v>455</v>
      </c>
      <c r="D462">
        <v>75</v>
      </c>
      <c r="E462">
        <v>307</v>
      </c>
    </row>
    <row r="463" spans="1:5" x14ac:dyDescent="0.3">
      <c r="A463" s="13" t="str">
        <f>VLOOKUP(Table_Query_from_CMSFIL[[#This Row],[COMPANYNO]],$J$1:$K$39,2)</f>
        <v>Picone</v>
      </c>
      <c r="B463" s="18" t="str">
        <f>VLOOKUP(Table_Query_from_CMSFIL[[#This Row],[COMPANYNO]],J:L,3)</f>
        <v>Long Island City</v>
      </c>
      <c r="C463" t="s">
        <v>456</v>
      </c>
      <c r="D463">
        <v>75</v>
      </c>
      <c r="E463">
        <v>308</v>
      </c>
    </row>
    <row r="464" spans="1:5" x14ac:dyDescent="0.3">
      <c r="A464" s="16" t="str">
        <f>VLOOKUP(Table_Query_from_CMSFIL[[#This Row],[COMPANYNO]],$J$1:$K$39,2)</f>
        <v>Picone</v>
      </c>
      <c r="B464" s="18" t="str">
        <f>VLOOKUP(Table_Query_from_CMSFIL[[#This Row],[COMPANYNO]],J:L,3)</f>
        <v>Long Island City</v>
      </c>
      <c r="C464" t="s">
        <v>466</v>
      </c>
      <c r="D464">
        <v>75</v>
      </c>
      <c r="E464">
        <v>309</v>
      </c>
    </row>
    <row r="465" spans="1:5" x14ac:dyDescent="0.3">
      <c r="A465" s="13" t="str">
        <f>VLOOKUP(Table_Query_from_CMSFIL[[#This Row],[COMPANYNO]],$J$1:$K$39,2)</f>
        <v>Picone</v>
      </c>
      <c r="B465" s="18" t="str">
        <f>VLOOKUP(Table_Query_from_CMSFIL[[#This Row],[COMPANYNO]],J:L,3)</f>
        <v>Long Island City</v>
      </c>
      <c r="C465" t="s">
        <v>467</v>
      </c>
      <c r="D465">
        <v>75</v>
      </c>
      <c r="E465">
        <v>310</v>
      </c>
    </row>
    <row r="466" spans="1:5" x14ac:dyDescent="0.3">
      <c r="A466" s="16" t="str">
        <f>VLOOKUP(Table_Query_from_CMSFIL[[#This Row],[COMPANYNO]],$J$1:$K$39,2)</f>
        <v>Picone</v>
      </c>
      <c r="B466" s="18" t="str">
        <f>VLOOKUP(Table_Query_from_CMSFIL[[#This Row],[COMPANYNO]],J:L,3)</f>
        <v>Long Island City</v>
      </c>
      <c r="C466" t="s">
        <v>468</v>
      </c>
      <c r="D466">
        <v>75</v>
      </c>
      <c r="E466">
        <v>311</v>
      </c>
    </row>
    <row r="467" spans="1:5" x14ac:dyDescent="0.3">
      <c r="A467" s="13" t="str">
        <f>VLOOKUP(Table_Query_from_CMSFIL[[#This Row],[COMPANYNO]],$J$1:$K$39,2)</f>
        <v>Picone</v>
      </c>
      <c r="B467" s="18" t="str">
        <f>VLOOKUP(Table_Query_from_CMSFIL[[#This Row],[COMPANYNO]],J:L,3)</f>
        <v>Long Island City</v>
      </c>
      <c r="C467" t="s">
        <v>486</v>
      </c>
      <c r="D467">
        <v>75</v>
      </c>
      <c r="E467">
        <v>312</v>
      </c>
    </row>
    <row r="468" spans="1:5" x14ac:dyDescent="0.3">
      <c r="A468" s="16" t="str">
        <f>VLOOKUP(Table_Query_from_CMSFIL[[#This Row],[COMPANYNO]],$J$1:$K$39,2)</f>
        <v>Picone</v>
      </c>
      <c r="B468" s="18" t="str">
        <f>VLOOKUP(Table_Query_from_CMSFIL[[#This Row],[COMPANYNO]],J:L,3)</f>
        <v>Long Island City</v>
      </c>
      <c r="C468" t="s">
        <v>494</v>
      </c>
      <c r="D468">
        <v>75</v>
      </c>
      <c r="E468">
        <v>313</v>
      </c>
    </row>
    <row r="469" spans="1:5" x14ac:dyDescent="0.3">
      <c r="A469" s="13" t="str">
        <f>VLOOKUP(Table_Query_from_CMSFIL[[#This Row],[COMPANYNO]],$J$1:$K$39,2)</f>
        <v>Picone</v>
      </c>
      <c r="B469" s="18" t="str">
        <f>VLOOKUP(Table_Query_from_CMSFIL[[#This Row],[COMPANYNO]],J:L,3)</f>
        <v>Long Island City</v>
      </c>
      <c r="C469" t="s">
        <v>506</v>
      </c>
      <c r="D469">
        <v>75</v>
      </c>
      <c r="E469">
        <v>314</v>
      </c>
    </row>
    <row r="470" spans="1:5" x14ac:dyDescent="0.3">
      <c r="A470" s="16" t="str">
        <f>VLOOKUP(Table_Query_from_CMSFIL[[#This Row],[COMPANYNO]],$J$1:$K$39,2)</f>
        <v>Picone</v>
      </c>
      <c r="B470" s="18" t="str">
        <f>VLOOKUP(Table_Query_from_CMSFIL[[#This Row],[COMPANYNO]],J:L,3)</f>
        <v>Long Island City</v>
      </c>
      <c r="C470" t="s">
        <v>507</v>
      </c>
      <c r="D470">
        <v>75</v>
      </c>
      <c r="E470">
        <v>501</v>
      </c>
    </row>
    <row r="471" spans="1:5" x14ac:dyDescent="0.3">
      <c r="A471" s="13" t="str">
        <f>VLOOKUP(Table_Query_from_CMSFIL[[#This Row],[COMPANYNO]],$J$1:$K$39,2)</f>
        <v>Picone</v>
      </c>
      <c r="B471" s="18" t="str">
        <f>VLOOKUP(Table_Query_from_CMSFIL[[#This Row],[COMPANYNO]],J:L,3)</f>
        <v>Long Island City</v>
      </c>
      <c r="C471" t="s">
        <v>508</v>
      </c>
      <c r="D471">
        <v>75</v>
      </c>
      <c r="E471">
        <v>502</v>
      </c>
    </row>
    <row r="472" spans="1:5" x14ac:dyDescent="0.3">
      <c r="A472" s="16" t="str">
        <f>VLOOKUP(Table_Query_from_CMSFIL[[#This Row],[COMPANYNO]],$J$1:$K$39,2)</f>
        <v>Picone</v>
      </c>
      <c r="B472" s="18" t="str">
        <f>VLOOKUP(Table_Query_from_CMSFIL[[#This Row],[COMPANYNO]],J:L,3)</f>
        <v>Long Island City</v>
      </c>
      <c r="C472" t="s">
        <v>518</v>
      </c>
      <c r="D472">
        <v>75</v>
      </c>
      <c r="E472">
        <v>503</v>
      </c>
    </row>
    <row r="473" spans="1:5" x14ac:dyDescent="0.3">
      <c r="A473" s="13" t="str">
        <f>VLOOKUP(Table_Query_from_CMSFIL[[#This Row],[COMPANYNO]],$J$1:$K$39,2)</f>
        <v>Picone</v>
      </c>
      <c r="B473" s="18" t="str">
        <f>VLOOKUP(Table_Query_from_CMSFIL[[#This Row],[COMPANYNO]],J:L,3)</f>
        <v>Long Island City</v>
      </c>
      <c r="C473" t="s">
        <v>522</v>
      </c>
      <c r="D473">
        <v>75</v>
      </c>
      <c r="E473">
        <v>504</v>
      </c>
    </row>
    <row r="474" spans="1:5" x14ac:dyDescent="0.3">
      <c r="A474" s="16" t="str">
        <f>VLOOKUP(Table_Query_from_CMSFIL[[#This Row],[COMPANYNO]],$J$1:$K$39,2)</f>
        <v>Picone</v>
      </c>
      <c r="B474" s="18" t="str">
        <f>VLOOKUP(Table_Query_from_CMSFIL[[#This Row],[COMPANYNO]],J:L,3)</f>
        <v>Long Island City</v>
      </c>
      <c r="C474" t="s">
        <v>529</v>
      </c>
      <c r="D474">
        <v>75</v>
      </c>
      <c r="E474">
        <v>505</v>
      </c>
    </row>
    <row r="475" spans="1:5" x14ac:dyDescent="0.3">
      <c r="A475" s="13" t="str">
        <f>VLOOKUP(Table_Query_from_CMSFIL[[#This Row],[COMPANYNO]],$J$1:$K$39,2)</f>
        <v>Picone</v>
      </c>
      <c r="B475" s="18" t="str">
        <f>VLOOKUP(Table_Query_from_CMSFIL[[#This Row],[COMPANYNO]],J:L,3)</f>
        <v>Long Island City</v>
      </c>
      <c r="C475" t="s">
        <v>549</v>
      </c>
      <c r="D475">
        <v>75</v>
      </c>
      <c r="E475">
        <v>506</v>
      </c>
    </row>
    <row r="476" spans="1:5" x14ac:dyDescent="0.3">
      <c r="A476" s="16" t="str">
        <f>VLOOKUP(Table_Query_from_CMSFIL[[#This Row],[COMPANYNO]],$J$1:$K$39,2)</f>
        <v>Picone</v>
      </c>
      <c r="B476" s="18" t="str">
        <f>VLOOKUP(Table_Query_from_CMSFIL[[#This Row],[COMPANYNO]],J:L,3)</f>
        <v>Long Island City</v>
      </c>
      <c r="C476" t="s">
        <v>557</v>
      </c>
      <c r="D476">
        <v>75</v>
      </c>
      <c r="E476">
        <v>507</v>
      </c>
    </row>
    <row r="477" spans="1:5" x14ac:dyDescent="0.3">
      <c r="A477" s="13" t="str">
        <f>VLOOKUP(Table_Query_from_CMSFIL[[#This Row],[COMPANYNO]],$J$1:$K$39,2)</f>
        <v>Picone</v>
      </c>
      <c r="B477" s="18" t="str">
        <f>VLOOKUP(Table_Query_from_CMSFIL[[#This Row],[COMPANYNO]],J:L,3)</f>
        <v>Long Island City</v>
      </c>
      <c r="C477" t="s">
        <v>686</v>
      </c>
      <c r="D477">
        <v>75</v>
      </c>
      <c r="E477">
        <v>508</v>
      </c>
    </row>
    <row r="478" spans="1:5" x14ac:dyDescent="0.3">
      <c r="A478" s="16" t="str">
        <f>VLOOKUP(Table_Query_from_CMSFIL[[#This Row],[COMPANYNO]],$J$1:$K$39,2)</f>
        <v>Picone</v>
      </c>
      <c r="B478" s="18" t="str">
        <f>VLOOKUP(Table_Query_from_CMSFIL[[#This Row],[COMPANYNO]],J:L,3)</f>
        <v>Long Island City</v>
      </c>
      <c r="C478" t="s">
        <v>694</v>
      </c>
      <c r="D478">
        <v>75</v>
      </c>
      <c r="E478">
        <v>509</v>
      </c>
    </row>
    <row r="479" spans="1:5" x14ac:dyDescent="0.3">
      <c r="A479" s="13" t="str">
        <f>VLOOKUP(Table_Query_from_CMSFIL[[#This Row],[COMPANYNO]],$J$1:$K$39,2)</f>
        <v>Picone</v>
      </c>
      <c r="B479" s="18" t="str">
        <f>VLOOKUP(Table_Query_from_CMSFIL[[#This Row],[COMPANYNO]],J:L,3)</f>
        <v>Long Island City</v>
      </c>
      <c r="C479" t="s">
        <v>737</v>
      </c>
      <c r="D479">
        <v>75</v>
      </c>
      <c r="E479">
        <v>510</v>
      </c>
    </row>
    <row r="480" spans="1:5" x14ac:dyDescent="0.3">
      <c r="A480" s="16" t="str">
        <f>VLOOKUP(Table_Query_from_CMSFIL[[#This Row],[COMPANYNO]],$J$1:$K$39,2)</f>
        <v>Picone</v>
      </c>
      <c r="B480" s="18" t="str">
        <f>VLOOKUP(Table_Query_from_CMSFIL[[#This Row],[COMPANYNO]],J:L,3)</f>
        <v>Long Island City</v>
      </c>
      <c r="C480" t="s">
        <v>753</v>
      </c>
      <c r="D480">
        <v>75</v>
      </c>
      <c r="E480">
        <v>511</v>
      </c>
    </row>
    <row r="481" spans="1:5" x14ac:dyDescent="0.3">
      <c r="A481" s="13" t="str">
        <f>VLOOKUP(Table_Query_from_CMSFIL[[#This Row],[COMPANYNO]],$J$1:$K$39,2)</f>
        <v>Picone</v>
      </c>
      <c r="B481" s="18" t="str">
        <f>VLOOKUP(Table_Query_from_CMSFIL[[#This Row],[COMPANYNO]],J:L,3)</f>
        <v>Long Island City</v>
      </c>
      <c r="C481" t="s">
        <v>755</v>
      </c>
      <c r="D481">
        <v>75</v>
      </c>
      <c r="E481">
        <v>512</v>
      </c>
    </row>
    <row r="482" spans="1:5" x14ac:dyDescent="0.3">
      <c r="A482" s="16" t="str">
        <f>VLOOKUP(Table_Query_from_CMSFIL[[#This Row],[COMPANYNO]],$J$1:$K$39,2)</f>
        <v>Picone</v>
      </c>
      <c r="B482" s="18" t="str">
        <f>VLOOKUP(Table_Query_from_CMSFIL[[#This Row],[COMPANYNO]],J:L,3)</f>
        <v>Long Island City</v>
      </c>
      <c r="C482" t="s">
        <v>756</v>
      </c>
      <c r="D482">
        <v>75</v>
      </c>
      <c r="E482">
        <v>513</v>
      </c>
    </row>
    <row r="483" spans="1:5" x14ac:dyDescent="0.3">
      <c r="A483" s="13" t="str">
        <f>VLOOKUP(Table_Query_from_CMSFIL[[#This Row],[COMPANYNO]],$J$1:$K$39,2)</f>
        <v>Picone</v>
      </c>
      <c r="B483" s="18" t="str">
        <f>VLOOKUP(Table_Query_from_CMSFIL[[#This Row],[COMPANYNO]],J:L,3)</f>
        <v>Long Island City</v>
      </c>
      <c r="C483" t="s">
        <v>762</v>
      </c>
      <c r="D483">
        <v>75</v>
      </c>
      <c r="E483">
        <v>514</v>
      </c>
    </row>
    <row r="484" spans="1:5" x14ac:dyDescent="0.3">
      <c r="A484" s="16" t="str">
        <f>VLOOKUP(Table_Query_from_CMSFIL[[#This Row],[COMPANYNO]],$J$1:$K$39,2)</f>
        <v>Picone</v>
      </c>
      <c r="B484" s="18" t="str">
        <f>VLOOKUP(Table_Query_from_CMSFIL[[#This Row],[COMPANYNO]],J:L,3)</f>
        <v>Long Island City</v>
      </c>
      <c r="C484" t="s">
        <v>764</v>
      </c>
      <c r="D484">
        <v>75</v>
      </c>
      <c r="E484">
        <v>901</v>
      </c>
    </row>
    <row r="485" spans="1:5" x14ac:dyDescent="0.3">
      <c r="A485" s="13" t="str">
        <f>VLOOKUP(Table_Query_from_CMSFIL[[#This Row],[COMPANYNO]],$J$1:$K$39,2)</f>
        <v>Picone</v>
      </c>
      <c r="B485" s="18" t="str">
        <f>VLOOKUP(Table_Query_from_CMSFIL[[#This Row],[COMPANYNO]],J:L,3)</f>
        <v>Long Island City</v>
      </c>
      <c r="C485" t="s">
        <v>776</v>
      </c>
      <c r="D485">
        <v>75</v>
      </c>
      <c r="E485">
        <v>902</v>
      </c>
    </row>
    <row r="486" spans="1:5" x14ac:dyDescent="0.3">
      <c r="A486" s="16" t="str">
        <f>VLOOKUP(Table_Query_from_CMSFIL[[#This Row],[COMPANYNO]],$J$1:$K$39,2)</f>
        <v>Picone</v>
      </c>
      <c r="B486" s="18" t="str">
        <f>VLOOKUP(Table_Query_from_CMSFIL[[#This Row],[COMPANYNO]],J:L,3)</f>
        <v>Long Island City</v>
      </c>
      <c r="C486" t="s">
        <v>784</v>
      </c>
      <c r="D486">
        <v>75</v>
      </c>
      <c r="E486">
        <v>903</v>
      </c>
    </row>
    <row r="487" spans="1:5" x14ac:dyDescent="0.3">
      <c r="A487" s="13" t="str">
        <f>VLOOKUP(Table_Query_from_CMSFIL[[#This Row],[COMPANYNO]],$J$1:$K$39,2)</f>
        <v>Picone</v>
      </c>
      <c r="B487" s="18" t="str">
        <f>VLOOKUP(Table_Query_from_CMSFIL[[#This Row],[COMPANYNO]],J:L,3)</f>
        <v>Long Island City</v>
      </c>
      <c r="C487" t="s">
        <v>379</v>
      </c>
      <c r="D487">
        <v>75</v>
      </c>
      <c r="E487">
        <v>250</v>
      </c>
    </row>
    <row r="488" spans="1:5" x14ac:dyDescent="0.3">
      <c r="A488" s="16" t="str">
        <f>VLOOKUP(Table_Query_from_CMSFIL[[#This Row],[COMPANYNO]],$J$1:$K$39,2)</f>
        <v>Picone</v>
      </c>
      <c r="B488" s="18" t="str">
        <f>VLOOKUP(Table_Query_from_CMSFIL[[#This Row],[COMPANYNO]],J:L,3)</f>
        <v>Long Island City</v>
      </c>
      <c r="C488" t="s">
        <v>380</v>
      </c>
      <c r="D488">
        <v>75</v>
      </c>
      <c r="E488">
        <v>0</v>
      </c>
    </row>
    <row r="489" spans="1:5" x14ac:dyDescent="0.3">
      <c r="A489" s="13" t="str">
        <f>VLOOKUP(Table_Query_from_CMSFIL[[#This Row],[COMPANYNO]],$J$1:$K$39,2)</f>
        <v>Picone</v>
      </c>
      <c r="B489" s="18" t="str">
        <f>VLOOKUP(Table_Query_from_CMSFIL[[#This Row],[COMPANYNO]],J:L,3)</f>
        <v>Long Island City</v>
      </c>
      <c r="C489" t="s">
        <v>381</v>
      </c>
      <c r="D489">
        <v>75</v>
      </c>
      <c r="E489">
        <v>999</v>
      </c>
    </row>
    <row r="490" spans="1:5" x14ac:dyDescent="0.3">
      <c r="A490" s="16" t="str">
        <f>VLOOKUP(Table_Query_from_CMSFIL[[#This Row],[COMPANYNO]],$J$1:$K$39,2)</f>
        <v>Picone</v>
      </c>
      <c r="B490" s="18" t="str">
        <f>VLOOKUP(Table_Query_from_CMSFIL[[#This Row],[COMPANYNO]],J:L,3)</f>
        <v>Long Island City</v>
      </c>
      <c r="C490" t="s">
        <v>382</v>
      </c>
      <c r="D490">
        <v>75</v>
      </c>
      <c r="E490">
        <v>28</v>
      </c>
    </row>
    <row r="491" spans="1:5" x14ac:dyDescent="0.3">
      <c r="A491" s="13" t="str">
        <f>VLOOKUP(Table_Query_from_CMSFIL[[#This Row],[COMPANYNO]],$J$1:$K$39,2)</f>
        <v>Picone</v>
      </c>
      <c r="B491" s="18" t="str">
        <f>VLOOKUP(Table_Query_from_CMSFIL[[#This Row],[COMPANYNO]],J:L,3)</f>
        <v>Long Island City</v>
      </c>
      <c r="C491" t="s">
        <v>383</v>
      </c>
      <c r="D491">
        <v>75</v>
      </c>
      <c r="E491">
        <v>315</v>
      </c>
    </row>
    <row r="492" spans="1:5" x14ac:dyDescent="0.3">
      <c r="A492" s="16" t="str">
        <f>VLOOKUP(Table_Query_from_CMSFIL[[#This Row],[COMPANYNO]],$J$1:$K$39,2)</f>
        <v>Picone</v>
      </c>
      <c r="B492" s="18" t="str">
        <f>VLOOKUP(Table_Query_from_CMSFIL[[#This Row],[COMPANYNO]],J:L,3)</f>
        <v>Long Island City</v>
      </c>
      <c r="C492" t="s">
        <v>384</v>
      </c>
      <c r="D492">
        <v>75</v>
      </c>
      <c r="E492">
        <v>515</v>
      </c>
    </row>
    <row r="493" spans="1:5" x14ac:dyDescent="0.3">
      <c r="A493" s="13" t="str">
        <f>VLOOKUP(Table_Query_from_CMSFIL[[#This Row],[COMPANYNO]],$J$1:$K$39,2)</f>
        <v>Picone</v>
      </c>
      <c r="B493" s="18" t="str">
        <f>VLOOKUP(Table_Query_from_CMSFIL[[#This Row],[COMPANYNO]],J:L,3)</f>
        <v>Long Island City</v>
      </c>
      <c r="C493" t="s">
        <v>385</v>
      </c>
      <c r="D493">
        <v>75</v>
      </c>
      <c r="E493">
        <v>29</v>
      </c>
    </row>
    <row r="494" spans="1:5" x14ac:dyDescent="0.3">
      <c r="A494" s="16" t="str">
        <f>VLOOKUP(Table_Query_from_CMSFIL[[#This Row],[COMPANYNO]],$J$1:$K$39,2)</f>
        <v>Picone</v>
      </c>
      <c r="B494" s="18" t="str">
        <f>VLOOKUP(Table_Query_from_CMSFIL[[#This Row],[COMPANYNO]],J:L,3)</f>
        <v>Long Island City</v>
      </c>
      <c r="C494" t="s">
        <v>386</v>
      </c>
      <c r="D494">
        <v>75</v>
      </c>
      <c r="E494">
        <v>716</v>
      </c>
    </row>
    <row r="495" spans="1:5" x14ac:dyDescent="0.3">
      <c r="A495" s="13" t="str">
        <f>VLOOKUP(Table_Query_from_CMSFIL[[#This Row],[COMPANYNO]],$J$1:$K$39,2)</f>
        <v>Picone</v>
      </c>
      <c r="B495" s="18" t="str">
        <f>VLOOKUP(Table_Query_from_CMSFIL[[#This Row],[COMPANYNO]],J:L,3)</f>
        <v>Long Island City</v>
      </c>
      <c r="C495" t="s">
        <v>387</v>
      </c>
      <c r="D495">
        <v>75</v>
      </c>
      <c r="E495">
        <v>316</v>
      </c>
    </row>
    <row r="496" spans="1:5" x14ac:dyDescent="0.3">
      <c r="A496" s="16" t="str">
        <f>VLOOKUP(Table_Query_from_CMSFIL[[#This Row],[COMPANYNO]],$J$1:$K$39,2)</f>
        <v>Picone</v>
      </c>
      <c r="B496" s="18" t="str">
        <f>VLOOKUP(Table_Query_from_CMSFIL[[#This Row],[COMPANYNO]],J:L,3)</f>
        <v>Long Island City</v>
      </c>
      <c r="C496" t="s">
        <v>388</v>
      </c>
      <c r="D496">
        <v>75</v>
      </c>
      <c r="E496">
        <v>516</v>
      </c>
    </row>
    <row r="497" spans="1:5" x14ac:dyDescent="0.3">
      <c r="A497" s="13" t="str">
        <f>VLOOKUP(Table_Query_from_CMSFIL[[#This Row],[COMPANYNO]],$J$1:$K$39,2)</f>
        <v>Picone</v>
      </c>
      <c r="B497" s="18" t="str">
        <f>VLOOKUP(Table_Query_from_CMSFIL[[#This Row],[COMPANYNO]],J:L,3)</f>
        <v>Long Island City</v>
      </c>
      <c r="C497" t="s">
        <v>389</v>
      </c>
      <c r="D497">
        <v>75</v>
      </c>
      <c r="E497">
        <v>317</v>
      </c>
    </row>
    <row r="498" spans="1:5" x14ac:dyDescent="0.3">
      <c r="A498" s="16" t="str">
        <f>VLOOKUP(Table_Query_from_CMSFIL[[#This Row],[COMPANYNO]],$J$1:$K$39,2)</f>
        <v>Picone</v>
      </c>
      <c r="B498" s="18" t="str">
        <f>VLOOKUP(Table_Query_from_CMSFIL[[#This Row],[COMPANYNO]],J:L,3)</f>
        <v>Long Island City</v>
      </c>
      <c r="C498" t="s">
        <v>390</v>
      </c>
      <c r="D498">
        <v>75</v>
      </c>
      <c r="E498">
        <v>517</v>
      </c>
    </row>
    <row r="499" spans="1:5" x14ac:dyDescent="0.3">
      <c r="A499" s="13" t="str">
        <f>VLOOKUP(Table_Query_from_CMSFIL[[#This Row],[COMPANYNO]],$J$1:$K$39,2)</f>
        <v>Picone</v>
      </c>
      <c r="B499" s="18" t="str">
        <f>VLOOKUP(Table_Query_from_CMSFIL[[#This Row],[COMPANYNO]],J:L,3)</f>
        <v>Long Island City</v>
      </c>
      <c r="C499" t="s">
        <v>391</v>
      </c>
      <c r="D499">
        <v>75</v>
      </c>
      <c r="E499">
        <v>32</v>
      </c>
    </row>
    <row r="500" spans="1:5" x14ac:dyDescent="0.3">
      <c r="A500" s="16" t="str">
        <f>VLOOKUP(Table_Query_from_CMSFIL[[#This Row],[COMPANYNO]],$J$1:$K$39,2)</f>
        <v>Picone</v>
      </c>
      <c r="B500" s="18" t="str">
        <f>VLOOKUP(Table_Query_from_CMSFIL[[#This Row],[COMPANYNO]],J:L,3)</f>
        <v>Long Island City</v>
      </c>
      <c r="C500" t="s">
        <v>392</v>
      </c>
      <c r="D500">
        <v>75</v>
      </c>
      <c r="E500">
        <v>33</v>
      </c>
    </row>
    <row r="501" spans="1:5" x14ac:dyDescent="0.3">
      <c r="A501" s="13" t="str">
        <f>VLOOKUP(Table_Query_from_CMSFIL[[#This Row],[COMPANYNO]],$J$1:$K$39,2)</f>
        <v>Picone</v>
      </c>
      <c r="B501" s="18" t="str">
        <f>VLOOKUP(Table_Query_from_CMSFIL[[#This Row],[COMPANYNO]],J:L,3)</f>
        <v>Long Island City</v>
      </c>
      <c r="C501" t="s">
        <v>393</v>
      </c>
      <c r="D501">
        <v>75</v>
      </c>
      <c r="E501">
        <v>30</v>
      </c>
    </row>
    <row r="502" spans="1:5" x14ac:dyDescent="0.3">
      <c r="A502" s="16" t="str">
        <f>VLOOKUP(Table_Query_from_CMSFIL[[#This Row],[COMPANYNO]],$J$1:$K$39,2)</f>
        <v>Picone</v>
      </c>
      <c r="B502" s="18" t="str">
        <f>VLOOKUP(Table_Query_from_CMSFIL[[#This Row],[COMPANYNO]],J:L,3)</f>
        <v>Long Island City</v>
      </c>
      <c r="C502" t="s">
        <v>394</v>
      </c>
      <c r="D502">
        <v>75</v>
      </c>
      <c r="E502">
        <v>34</v>
      </c>
    </row>
    <row r="503" spans="1:5" x14ac:dyDescent="0.3">
      <c r="A503" s="13" t="str">
        <f>VLOOKUP(Table_Query_from_CMSFIL[[#This Row],[COMPANYNO]],$J$1:$K$39,2)</f>
        <v>Picone</v>
      </c>
      <c r="B503" s="18" t="str">
        <f>VLOOKUP(Table_Query_from_CMSFIL[[#This Row],[COMPANYNO]],J:L,3)</f>
        <v>Long Island City</v>
      </c>
      <c r="C503" t="s">
        <v>395</v>
      </c>
      <c r="D503">
        <v>75</v>
      </c>
      <c r="E503">
        <v>318</v>
      </c>
    </row>
    <row r="504" spans="1:5" x14ac:dyDescent="0.3">
      <c r="A504" s="16" t="str">
        <f>VLOOKUP(Table_Query_from_CMSFIL[[#This Row],[COMPANYNO]],$J$1:$K$39,2)</f>
        <v>Picone</v>
      </c>
      <c r="B504" s="18" t="str">
        <f>VLOOKUP(Table_Query_from_CMSFIL[[#This Row],[COMPANYNO]],J:L,3)</f>
        <v>Long Island City</v>
      </c>
      <c r="C504" t="s">
        <v>418</v>
      </c>
      <c r="D504">
        <v>75</v>
      </c>
      <c r="E504">
        <v>518</v>
      </c>
    </row>
    <row r="505" spans="1:5" x14ac:dyDescent="0.3">
      <c r="A505" s="13" t="str">
        <f>VLOOKUP(Table_Query_from_CMSFIL[[#This Row],[COMPANYNO]],$J$1:$K$39,2)</f>
        <v>Picone</v>
      </c>
      <c r="B505" s="18" t="str">
        <f>VLOOKUP(Table_Query_from_CMSFIL[[#This Row],[COMPANYNO]],J:L,3)</f>
        <v>Long Island City</v>
      </c>
      <c r="C505" t="s">
        <v>419</v>
      </c>
      <c r="D505">
        <v>75</v>
      </c>
      <c r="E505">
        <v>35</v>
      </c>
    </row>
    <row r="506" spans="1:5" x14ac:dyDescent="0.3">
      <c r="A506" s="16" t="str">
        <f>VLOOKUP(Table_Query_from_CMSFIL[[#This Row],[COMPANYNO]],$J$1:$K$39,2)</f>
        <v>Picone</v>
      </c>
      <c r="B506" s="18" t="str">
        <f>VLOOKUP(Table_Query_from_CMSFIL[[#This Row],[COMPANYNO]],J:L,3)</f>
        <v>Long Island City</v>
      </c>
      <c r="C506" t="s">
        <v>420</v>
      </c>
      <c r="D506">
        <v>75</v>
      </c>
      <c r="E506">
        <v>720</v>
      </c>
    </row>
    <row r="507" spans="1:5" x14ac:dyDescent="0.3">
      <c r="A507" s="13" t="str">
        <f>VLOOKUP(Table_Query_from_CMSFIL[[#This Row],[COMPANYNO]],$J$1:$K$39,2)</f>
        <v>Picone</v>
      </c>
      <c r="B507" s="18" t="str">
        <f>VLOOKUP(Table_Query_from_CMSFIL[[#This Row],[COMPANYNO]],J:L,3)</f>
        <v>Long Island City</v>
      </c>
      <c r="C507" t="s">
        <v>496</v>
      </c>
      <c r="D507">
        <v>75</v>
      </c>
      <c r="E507">
        <v>520</v>
      </c>
    </row>
    <row r="508" spans="1:5" x14ac:dyDescent="0.3">
      <c r="A508" s="16" t="str">
        <f>VLOOKUP(Table_Query_from_CMSFIL[[#This Row],[COMPANYNO]],$J$1:$K$39,2)</f>
        <v>Picone</v>
      </c>
      <c r="B508" s="18" t="str">
        <f>VLOOKUP(Table_Query_from_CMSFIL[[#This Row],[COMPANYNO]],J:L,3)</f>
        <v>Long Island City</v>
      </c>
      <c r="C508" t="s">
        <v>497</v>
      </c>
      <c r="D508">
        <v>75</v>
      </c>
      <c r="E508">
        <v>320</v>
      </c>
    </row>
    <row r="509" spans="1:5" x14ac:dyDescent="0.3">
      <c r="A509" s="13" t="str">
        <f>VLOOKUP(Table_Query_from_CMSFIL[[#This Row],[COMPANYNO]],$J$1:$K$39,2)</f>
        <v>Picone</v>
      </c>
      <c r="B509" s="18" t="str">
        <f>VLOOKUP(Table_Query_from_CMSFIL[[#This Row],[COMPANYNO]],J:L,3)</f>
        <v>Long Island City</v>
      </c>
      <c r="C509" t="s">
        <v>514</v>
      </c>
      <c r="D509">
        <v>75</v>
      </c>
      <c r="E509">
        <v>719</v>
      </c>
    </row>
    <row r="510" spans="1:5" x14ac:dyDescent="0.3">
      <c r="A510" s="16" t="str">
        <f>VLOOKUP(Table_Query_from_CMSFIL[[#This Row],[COMPANYNO]],$J$1:$K$39,2)</f>
        <v>Picone</v>
      </c>
      <c r="B510" s="18" t="str">
        <f>VLOOKUP(Table_Query_from_CMSFIL[[#This Row],[COMPANYNO]],J:L,3)</f>
        <v>Long Island City</v>
      </c>
      <c r="C510" t="s">
        <v>527</v>
      </c>
      <c r="D510">
        <v>75</v>
      </c>
      <c r="E510">
        <v>519</v>
      </c>
    </row>
    <row r="511" spans="1:5" x14ac:dyDescent="0.3">
      <c r="A511" s="13" t="str">
        <f>VLOOKUP(Table_Query_from_CMSFIL[[#This Row],[COMPANYNO]],$J$1:$K$39,2)</f>
        <v>Picone</v>
      </c>
      <c r="B511" s="18" t="str">
        <f>VLOOKUP(Table_Query_from_CMSFIL[[#This Row],[COMPANYNO]],J:L,3)</f>
        <v>Long Island City</v>
      </c>
      <c r="C511" t="s">
        <v>528</v>
      </c>
      <c r="D511">
        <v>75</v>
      </c>
      <c r="E511">
        <v>319</v>
      </c>
    </row>
    <row r="512" spans="1:5" x14ac:dyDescent="0.3">
      <c r="A512" s="16" t="str">
        <f>VLOOKUP(Table_Query_from_CMSFIL[[#This Row],[COMPANYNO]],$J$1:$K$39,2)</f>
        <v>Picone</v>
      </c>
      <c r="B512" s="18" t="str">
        <f>VLOOKUP(Table_Query_from_CMSFIL[[#This Row],[COMPANYNO]],J:L,3)</f>
        <v>Long Island City</v>
      </c>
      <c r="C512" t="s">
        <v>530</v>
      </c>
      <c r="D512">
        <v>75</v>
      </c>
      <c r="E512">
        <v>38</v>
      </c>
    </row>
    <row r="513" spans="1:5" x14ac:dyDescent="0.3">
      <c r="A513" s="13" t="str">
        <f>VLOOKUP(Table_Query_from_CMSFIL[[#This Row],[COMPANYNO]],$J$1:$K$39,2)</f>
        <v>Picone</v>
      </c>
      <c r="B513" s="18" t="str">
        <f>VLOOKUP(Table_Query_from_CMSFIL[[#This Row],[COMPANYNO]],J:L,3)</f>
        <v>Long Island City</v>
      </c>
      <c r="C513" t="s">
        <v>531</v>
      </c>
      <c r="D513">
        <v>75</v>
      </c>
      <c r="E513">
        <v>36</v>
      </c>
    </row>
    <row r="514" spans="1:5" x14ac:dyDescent="0.3">
      <c r="A514" s="16" t="str">
        <f>VLOOKUP(Table_Query_from_CMSFIL[[#This Row],[COMPANYNO]],$J$1:$K$39,2)</f>
        <v>Picone</v>
      </c>
      <c r="B514" s="18" t="str">
        <f>VLOOKUP(Table_Query_from_CMSFIL[[#This Row],[COMPANYNO]],J:L,3)</f>
        <v>Long Island City</v>
      </c>
      <c r="C514" t="s">
        <v>535</v>
      </c>
      <c r="D514">
        <v>75</v>
      </c>
      <c r="E514">
        <v>37</v>
      </c>
    </row>
    <row r="515" spans="1:5" x14ac:dyDescent="0.3">
      <c r="A515" s="13" t="str">
        <f>VLOOKUP(Table_Query_from_CMSFIL[[#This Row],[COMPANYNO]],$J$1:$K$39,2)</f>
        <v>Picone</v>
      </c>
      <c r="B515" s="18" t="str">
        <f>VLOOKUP(Table_Query_from_CMSFIL[[#This Row],[COMPANYNO]],J:L,3)</f>
        <v>Long Island City</v>
      </c>
      <c r="C515" t="s">
        <v>539</v>
      </c>
      <c r="D515">
        <v>75</v>
      </c>
      <c r="E515">
        <v>39</v>
      </c>
    </row>
    <row r="516" spans="1:5" x14ac:dyDescent="0.3">
      <c r="A516" s="16" t="str">
        <f>VLOOKUP(Table_Query_from_CMSFIL[[#This Row],[COMPANYNO]],$J$1:$K$39,2)</f>
        <v>Picone</v>
      </c>
      <c r="B516" s="18" t="str">
        <f>VLOOKUP(Table_Query_from_CMSFIL[[#This Row],[COMPANYNO]],J:L,3)</f>
        <v>Long Island City</v>
      </c>
      <c r="C516" t="s">
        <v>544</v>
      </c>
      <c r="D516">
        <v>75</v>
      </c>
      <c r="E516">
        <v>40</v>
      </c>
    </row>
    <row r="517" spans="1:5" x14ac:dyDescent="0.3">
      <c r="A517" s="13" t="str">
        <f>VLOOKUP(Table_Query_from_CMSFIL[[#This Row],[COMPANYNO]],$J$1:$K$39,2)</f>
        <v>Picone</v>
      </c>
      <c r="B517" s="18" t="str">
        <f>VLOOKUP(Table_Query_from_CMSFIL[[#This Row],[COMPANYNO]],J:L,3)</f>
        <v>Long Island City</v>
      </c>
      <c r="C517" t="s">
        <v>545</v>
      </c>
      <c r="D517">
        <v>75</v>
      </c>
      <c r="E517">
        <v>41</v>
      </c>
    </row>
    <row r="518" spans="1:5" x14ac:dyDescent="0.3">
      <c r="A518" s="16" t="str">
        <f>VLOOKUP(Table_Query_from_CMSFIL[[#This Row],[COMPANYNO]],$J$1:$K$39,2)</f>
        <v>Picone</v>
      </c>
      <c r="B518" s="18" t="str">
        <f>VLOOKUP(Table_Query_from_CMSFIL[[#This Row],[COMPANYNO]],J:L,3)</f>
        <v>Long Island City</v>
      </c>
      <c r="C518" t="s">
        <v>546</v>
      </c>
      <c r="D518">
        <v>75</v>
      </c>
      <c r="E518">
        <v>42</v>
      </c>
    </row>
    <row r="519" spans="1:5" x14ac:dyDescent="0.3">
      <c r="A519" s="13" t="str">
        <f>VLOOKUP(Table_Query_from_CMSFIL[[#This Row],[COMPANYNO]],$J$1:$K$39,2)</f>
        <v>Picone</v>
      </c>
      <c r="B519" s="18" t="str">
        <f>VLOOKUP(Table_Query_from_CMSFIL[[#This Row],[COMPANYNO]],J:L,3)</f>
        <v>Long Island City</v>
      </c>
      <c r="C519" t="s">
        <v>550</v>
      </c>
      <c r="D519">
        <v>75</v>
      </c>
      <c r="E519">
        <v>43</v>
      </c>
    </row>
    <row r="520" spans="1:5" x14ac:dyDescent="0.3">
      <c r="A520" s="16" t="str">
        <f>VLOOKUP(Table_Query_from_CMSFIL[[#This Row],[COMPANYNO]],$J$1:$K$39,2)</f>
        <v>Picone</v>
      </c>
      <c r="B520" s="18" t="str">
        <f>VLOOKUP(Table_Query_from_CMSFIL[[#This Row],[COMPANYNO]],J:L,3)</f>
        <v>Long Island City</v>
      </c>
      <c r="C520" t="s">
        <v>592</v>
      </c>
      <c r="D520">
        <v>75</v>
      </c>
      <c r="E520">
        <v>321</v>
      </c>
    </row>
    <row r="521" spans="1:5" x14ac:dyDescent="0.3">
      <c r="A521" s="13" t="str">
        <f>VLOOKUP(Table_Query_from_CMSFIL[[#This Row],[COMPANYNO]],$J$1:$K$39,2)</f>
        <v>Picone</v>
      </c>
      <c r="B521" s="18" t="str">
        <f>VLOOKUP(Table_Query_from_CMSFIL[[#This Row],[COMPANYNO]],J:L,3)</f>
        <v>Long Island City</v>
      </c>
      <c r="C521" t="s">
        <v>688</v>
      </c>
      <c r="D521">
        <v>75</v>
      </c>
      <c r="E521">
        <v>521</v>
      </c>
    </row>
    <row r="522" spans="1:5" x14ac:dyDescent="0.3">
      <c r="A522" s="16" t="str">
        <f>VLOOKUP(Table_Query_from_CMSFIL[[#This Row],[COMPANYNO]],$J$1:$K$39,2)</f>
        <v>Picone</v>
      </c>
      <c r="B522" s="18" t="str">
        <f>VLOOKUP(Table_Query_from_CMSFIL[[#This Row],[COMPANYNO]],J:L,3)</f>
        <v>Long Island City</v>
      </c>
      <c r="C522" t="s">
        <v>693</v>
      </c>
      <c r="D522">
        <v>75</v>
      </c>
      <c r="E522">
        <v>44</v>
      </c>
    </row>
    <row r="523" spans="1:5" x14ac:dyDescent="0.3">
      <c r="A523" s="13" t="str">
        <f>VLOOKUP(Table_Query_from_CMSFIL[[#This Row],[COMPANYNO]],$J$1:$K$39,2)</f>
        <v>Picone</v>
      </c>
      <c r="B523" s="18" t="str">
        <f>VLOOKUP(Table_Query_from_CMSFIL[[#This Row],[COMPANYNO]],J:L,3)</f>
        <v>Long Island City</v>
      </c>
      <c r="C523" t="s">
        <v>706</v>
      </c>
      <c r="D523">
        <v>75</v>
      </c>
      <c r="E523">
        <v>322</v>
      </c>
    </row>
    <row r="524" spans="1:5" x14ac:dyDescent="0.3">
      <c r="A524" s="16" t="str">
        <f>VLOOKUP(Table_Query_from_CMSFIL[[#This Row],[COMPANYNO]],$J$1:$K$39,2)</f>
        <v>Picone</v>
      </c>
      <c r="B524" s="18" t="str">
        <f>VLOOKUP(Table_Query_from_CMSFIL[[#This Row],[COMPANYNO]],J:L,3)</f>
        <v>Long Island City</v>
      </c>
      <c r="C524" t="s">
        <v>709</v>
      </c>
      <c r="D524">
        <v>75</v>
      </c>
      <c r="E524">
        <v>522</v>
      </c>
    </row>
    <row r="525" spans="1:5" x14ac:dyDescent="0.3">
      <c r="A525" s="13" t="str">
        <f>VLOOKUP(Table_Query_from_CMSFIL[[#This Row],[COMPANYNO]],$J$1:$K$39,2)</f>
        <v>Picone</v>
      </c>
      <c r="B525" s="18" t="str">
        <f>VLOOKUP(Table_Query_from_CMSFIL[[#This Row],[COMPANYNO]],J:L,3)</f>
        <v>Long Island City</v>
      </c>
      <c r="C525" t="s">
        <v>710</v>
      </c>
      <c r="D525">
        <v>75</v>
      </c>
      <c r="E525">
        <v>323</v>
      </c>
    </row>
    <row r="526" spans="1:5" x14ac:dyDescent="0.3">
      <c r="A526" s="16" t="str">
        <f>VLOOKUP(Table_Query_from_CMSFIL[[#This Row],[COMPANYNO]],$J$1:$K$39,2)</f>
        <v>Picone</v>
      </c>
      <c r="B526" s="18" t="str">
        <f>VLOOKUP(Table_Query_from_CMSFIL[[#This Row],[COMPANYNO]],J:L,3)</f>
        <v>Long Island City</v>
      </c>
      <c r="C526" t="s">
        <v>730</v>
      </c>
      <c r="D526">
        <v>75</v>
      </c>
      <c r="E526">
        <v>523</v>
      </c>
    </row>
    <row r="527" spans="1:5" x14ac:dyDescent="0.3">
      <c r="A527" s="13" t="str">
        <f>VLOOKUP(Table_Query_from_CMSFIL[[#This Row],[COMPANYNO]],$J$1:$K$39,2)</f>
        <v>Picone</v>
      </c>
      <c r="B527" s="18" t="str">
        <f>VLOOKUP(Table_Query_from_CMSFIL[[#This Row],[COMPANYNO]],J:L,3)</f>
        <v>Long Island City</v>
      </c>
      <c r="C527" t="s">
        <v>731</v>
      </c>
      <c r="D527">
        <v>75</v>
      </c>
      <c r="E527">
        <v>723</v>
      </c>
    </row>
    <row r="528" spans="1:5" x14ac:dyDescent="0.3">
      <c r="A528" s="16" t="str">
        <f>VLOOKUP(Table_Query_from_CMSFIL[[#This Row],[COMPANYNO]],$J$1:$K$39,2)</f>
        <v>Picone</v>
      </c>
      <c r="B528" s="18" t="str">
        <f>VLOOKUP(Table_Query_from_CMSFIL[[#This Row],[COMPANYNO]],J:L,3)</f>
        <v>Long Island City</v>
      </c>
      <c r="C528" t="s">
        <v>765</v>
      </c>
      <c r="D528">
        <v>75</v>
      </c>
      <c r="E528">
        <v>45</v>
      </c>
    </row>
    <row r="529" spans="1:5" x14ac:dyDescent="0.3">
      <c r="A529" s="13" t="str">
        <f>VLOOKUP(Table_Query_from_CMSFIL[[#This Row],[COMPANYNO]],$J$1:$K$39,2)</f>
        <v>Picone</v>
      </c>
      <c r="B529" s="18" t="str">
        <f>VLOOKUP(Table_Query_from_CMSFIL[[#This Row],[COMPANYNO]],J:L,3)</f>
        <v>Long Island City</v>
      </c>
      <c r="C529" t="s">
        <v>766</v>
      </c>
      <c r="D529">
        <v>75</v>
      </c>
      <c r="E529">
        <v>46</v>
      </c>
    </row>
    <row r="530" spans="1:5" x14ac:dyDescent="0.3">
      <c r="A530" s="16" t="str">
        <f>VLOOKUP(Table_Query_from_CMSFIL[[#This Row],[COMPANYNO]],$J$1:$K$39,2)</f>
        <v>Picone</v>
      </c>
      <c r="B530" s="18" t="str">
        <f>VLOOKUP(Table_Query_from_CMSFIL[[#This Row],[COMPANYNO]],J:L,3)</f>
        <v>Long Island City</v>
      </c>
      <c r="C530" t="s">
        <v>772</v>
      </c>
      <c r="D530">
        <v>75</v>
      </c>
      <c r="E530">
        <v>47</v>
      </c>
    </row>
    <row r="531" spans="1:5" x14ac:dyDescent="0.3">
      <c r="A531" s="13" t="str">
        <f>VLOOKUP(Table_Query_from_CMSFIL[[#This Row],[COMPANYNO]],$J$1:$K$39,2)</f>
        <v>Picone</v>
      </c>
      <c r="B531" s="18" t="str">
        <f>VLOOKUP(Table_Query_from_CMSFIL[[#This Row],[COMPANYNO]],J:L,3)</f>
        <v>Long Island City</v>
      </c>
      <c r="C531" t="s">
        <v>402</v>
      </c>
      <c r="D531">
        <v>75</v>
      </c>
      <c r="E531">
        <v>324</v>
      </c>
    </row>
    <row r="532" spans="1:5" x14ac:dyDescent="0.3">
      <c r="A532" s="16" t="str">
        <f>VLOOKUP(Table_Query_from_CMSFIL[[#This Row],[COMPANYNO]],$J$1:$K$39,2)</f>
        <v>Picone</v>
      </c>
      <c r="B532" s="18" t="str">
        <f>VLOOKUP(Table_Query_from_CMSFIL[[#This Row],[COMPANYNO]],J:L,3)</f>
        <v>Long Island City</v>
      </c>
      <c r="C532" t="s">
        <v>403</v>
      </c>
      <c r="D532">
        <v>75</v>
      </c>
      <c r="E532">
        <v>524</v>
      </c>
    </row>
    <row r="533" spans="1:5" x14ac:dyDescent="0.3">
      <c r="A533" s="13" t="str">
        <f>VLOOKUP(Table_Query_from_CMSFIL[[#This Row],[COMPANYNO]],$J$1:$K$39,2)</f>
        <v>Picone</v>
      </c>
      <c r="B533" s="18" t="str">
        <f>VLOOKUP(Table_Query_from_CMSFIL[[#This Row],[COMPANYNO]],J:L,3)</f>
        <v>Long Island City</v>
      </c>
      <c r="C533" t="s">
        <v>404</v>
      </c>
      <c r="D533">
        <v>75</v>
      </c>
      <c r="E533">
        <v>48</v>
      </c>
    </row>
    <row r="534" spans="1:5" x14ac:dyDescent="0.3">
      <c r="A534" s="16" t="str">
        <f>VLOOKUP(Table_Query_from_CMSFIL[[#This Row],[COMPANYNO]],$J$1:$K$39,2)</f>
        <v>Picone</v>
      </c>
      <c r="B534" s="18" t="str">
        <f>VLOOKUP(Table_Query_from_CMSFIL[[#This Row],[COMPANYNO]],J:L,3)</f>
        <v>Long Island City</v>
      </c>
      <c r="C534" t="s">
        <v>411</v>
      </c>
      <c r="D534">
        <v>75</v>
      </c>
      <c r="E534">
        <v>49</v>
      </c>
    </row>
    <row r="535" spans="1:5" x14ac:dyDescent="0.3">
      <c r="A535" s="13" t="str">
        <f>VLOOKUP(Table_Query_from_CMSFIL[[#This Row],[COMPANYNO]],$J$1:$K$39,2)</f>
        <v>Picone</v>
      </c>
      <c r="B535" s="18" t="str">
        <f>VLOOKUP(Table_Query_from_CMSFIL[[#This Row],[COMPANYNO]],J:L,3)</f>
        <v>Long Island City</v>
      </c>
      <c r="C535" t="s">
        <v>412</v>
      </c>
      <c r="D535">
        <v>75</v>
      </c>
      <c r="E535">
        <v>50</v>
      </c>
    </row>
    <row r="536" spans="1:5" x14ac:dyDescent="0.3">
      <c r="A536" s="16" t="str">
        <f>VLOOKUP(Table_Query_from_CMSFIL[[#This Row],[COMPANYNO]],$J$1:$K$39,2)</f>
        <v>Picone</v>
      </c>
      <c r="B536" s="18" t="str">
        <f>VLOOKUP(Table_Query_from_CMSFIL[[#This Row],[COMPANYNO]],J:L,3)</f>
        <v>Long Island City</v>
      </c>
      <c r="C536" t="s">
        <v>413</v>
      </c>
      <c r="D536">
        <v>75</v>
      </c>
      <c r="E536">
        <v>51</v>
      </c>
    </row>
    <row r="537" spans="1:5" x14ac:dyDescent="0.3">
      <c r="A537" s="13" t="str">
        <f>VLOOKUP(Table_Query_from_CMSFIL[[#This Row],[COMPANYNO]],$J$1:$K$39,2)</f>
        <v>Picone</v>
      </c>
      <c r="B537" s="18" t="str">
        <f>VLOOKUP(Table_Query_from_CMSFIL[[#This Row],[COMPANYNO]],J:L,3)</f>
        <v>Long Island City</v>
      </c>
      <c r="C537" t="s">
        <v>414</v>
      </c>
      <c r="D537">
        <v>75</v>
      </c>
      <c r="E537">
        <v>725</v>
      </c>
    </row>
    <row r="538" spans="1:5" x14ac:dyDescent="0.3">
      <c r="A538" s="16" t="str">
        <f>VLOOKUP(Table_Query_from_CMSFIL[[#This Row],[COMPANYNO]],$J$1:$K$39,2)</f>
        <v>Picone</v>
      </c>
      <c r="B538" s="18" t="str">
        <f>VLOOKUP(Table_Query_from_CMSFIL[[#This Row],[COMPANYNO]],J:L,3)</f>
        <v>Long Island City</v>
      </c>
      <c r="C538" t="s">
        <v>422</v>
      </c>
      <c r="D538">
        <v>75</v>
      </c>
      <c r="E538">
        <v>525</v>
      </c>
    </row>
    <row r="539" spans="1:5" x14ac:dyDescent="0.3">
      <c r="A539" s="13" t="str">
        <f>VLOOKUP(Table_Query_from_CMSFIL[[#This Row],[COMPANYNO]],$J$1:$K$39,2)</f>
        <v>Picone</v>
      </c>
      <c r="B539" s="18" t="str">
        <f>VLOOKUP(Table_Query_from_CMSFIL[[#This Row],[COMPANYNO]],J:L,3)</f>
        <v>Long Island City</v>
      </c>
      <c r="C539" t="s">
        <v>480</v>
      </c>
      <c r="D539">
        <v>75</v>
      </c>
      <c r="E539">
        <v>325</v>
      </c>
    </row>
    <row r="540" spans="1:5" x14ac:dyDescent="0.3">
      <c r="A540" s="16" t="str">
        <f>VLOOKUP(Table_Query_from_CMSFIL[[#This Row],[COMPANYNO]],$J$1:$K$39,2)</f>
        <v>Picone</v>
      </c>
      <c r="B540" s="18" t="str">
        <f>VLOOKUP(Table_Query_from_CMSFIL[[#This Row],[COMPANYNO]],J:L,3)</f>
        <v>Long Island City</v>
      </c>
      <c r="C540" t="s">
        <v>495</v>
      </c>
      <c r="D540">
        <v>75</v>
      </c>
      <c r="E540">
        <v>526</v>
      </c>
    </row>
    <row r="541" spans="1:5" x14ac:dyDescent="0.3">
      <c r="A541" s="13" t="str">
        <f>VLOOKUP(Table_Query_from_CMSFIL[[#This Row],[COMPANYNO]],$J$1:$K$39,2)</f>
        <v>Picone</v>
      </c>
      <c r="B541" s="18" t="str">
        <f>VLOOKUP(Table_Query_from_CMSFIL[[#This Row],[COMPANYNO]],J:L,3)</f>
        <v>Long Island City</v>
      </c>
      <c r="C541" t="s">
        <v>536</v>
      </c>
      <c r="D541">
        <v>75</v>
      </c>
      <c r="E541">
        <v>326</v>
      </c>
    </row>
    <row r="542" spans="1:5" x14ac:dyDescent="0.3">
      <c r="A542" s="16" t="str">
        <f>VLOOKUP(Table_Query_from_CMSFIL[[#This Row],[COMPANYNO]],$J$1:$K$39,2)</f>
        <v>Picone</v>
      </c>
      <c r="B542" s="18" t="str">
        <f>VLOOKUP(Table_Query_from_CMSFIL[[#This Row],[COMPANYNO]],J:L,3)</f>
        <v>Long Island City</v>
      </c>
      <c r="C542" t="s">
        <v>537</v>
      </c>
      <c r="D542">
        <v>75</v>
      </c>
      <c r="E542">
        <v>995</v>
      </c>
    </row>
    <row r="543" spans="1:5" x14ac:dyDescent="0.3">
      <c r="A543" s="13" t="str">
        <f>VLOOKUP(Table_Query_from_CMSFIL[[#This Row],[COMPANYNO]],$J$1:$K$39,2)</f>
        <v>Picone</v>
      </c>
      <c r="B543" s="18" t="str">
        <f>VLOOKUP(Table_Query_from_CMSFIL[[#This Row],[COMPANYNO]],J:L,3)</f>
        <v>Long Island City</v>
      </c>
      <c r="C543" t="s">
        <v>538</v>
      </c>
      <c r="D543">
        <v>75</v>
      </c>
      <c r="E543">
        <v>52</v>
      </c>
    </row>
    <row r="544" spans="1:5" x14ac:dyDescent="0.3">
      <c r="A544" s="16" t="str">
        <f>VLOOKUP(Table_Query_from_CMSFIL[[#This Row],[COMPANYNO]],$J$1:$K$39,2)</f>
        <v>Schiavone</v>
      </c>
      <c r="B544" s="18" t="str">
        <f>VLOOKUP(Table_Query_from_CMSFIL[[#This Row],[COMPANYNO]],J:L,3)</f>
        <v>New Jersey</v>
      </c>
      <c r="C544" t="s">
        <v>551</v>
      </c>
      <c r="D544">
        <v>80</v>
      </c>
      <c r="E544">
        <v>13</v>
      </c>
    </row>
    <row r="545" spans="1:5" x14ac:dyDescent="0.3">
      <c r="A545" s="13" t="str">
        <f>VLOOKUP(Table_Query_from_CMSFIL[[#This Row],[COMPANYNO]],$J$1:$K$39,2)</f>
        <v>Schiavone</v>
      </c>
      <c r="B545" s="18" t="str">
        <f>VLOOKUP(Table_Query_from_CMSFIL[[#This Row],[COMPANYNO]],J:L,3)</f>
        <v>New Jersey</v>
      </c>
      <c r="C545" t="s">
        <v>675</v>
      </c>
      <c r="D545">
        <v>80</v>
      </c>
      <c r="E545">
        <v>1</v>
      </c>
    </row>
    <row r="546" spans="1:5" x14ac:dyDescent="0.3">
      <c r="A546" s="16" t="str">
        <f>VLOOKUP(Table_Query_from_CMSFIL[[#This Row],[COMPANYNO]],$J$1:$K$39,2)</f>
        <v>Schiavone</v>
      </c>
      <c r="B546" s="18" t="str">
        <f>VLOOKUP(Table_Query_from_CMSFIL[[#This Row],[COMPANYNO]],J:L,3)</f>
        <v>New Jersey</v>
      </c>
      <c r="C546" t="s">
        <v>701</v>
      </c>
      <c r="D546">
        <v>80</v>
      </c>
      <c r="E546">
        <v>2</v>
      </c>
    </row>
    <row r="547" spans="1:5" x14ac:dyDescent="0.3">
      <c r="A547" s="13" t="str">
        <f>VLOOKUP(Table_Query_from_CMSFIL[[#This Row],[COMPANYNO]],$J$1:$K$39,2)</f>
        <v>Schiavone</v>
      </c>
      <c r="B547" s="18" t="str">
        <f>VLOOKUP(Table_Query_from_CMSFIL[[#This Row],[COMPANYNO]],J:L,3)</f>
        <v>New Jersey</v>
      </c>
      <c r="C547" t="s">
        <v>754</v>
      </c>
      <c r="D547">
        <v>80</v>
      </c>
      <c r="E547">
        <v>701</v>
      </c>
    </row>
    <row r="548" spans="1:5" x14ac:dyDescent="0.3">
      <c r="A548" s="16" t="str">
        <f>VLOOKUP(Table_Query_from_CMSFIL[[#This Row],[COMPANYNO]],$J$1:$K$39,2)</f>
        <v>Schiavone</v>
      </c>
      <c r="B548" s="18" t="str">
        <f>VLOOKUP(Table_Query_from_CMSFIL[[#This Row],[COMPANYNO]],J:L,3)</f>
        <v>New Jersey</v>
      </c>
      <c r="C548" t="s">
        <v>771</v>
      </c>
      <c r="D548">
        <v>80</v>
      </c>
      <c r="E548">
        <v>3</v>
      </c>
    </row>
    <row r="549" spans="1:5" x14ac:dyDescent="0.3">
      <c r="A549" s="13" t="str">
        <f>VLOOKUP(Table_Query_from_CMSFIL[[#This Row],[COMPANYNO]],$J$1:$K$39,2)</f>
        <v>Schiavone</v>
      </c>
      <c r="B549" s="18" t="str">
        <f>VLOOKUP(Table_Query_from_CMSFIL[[#This Row],[COMPANYNO]],J:L,3)</f>
        <v>New Jersey</v>
      </c>
      <c r="C549" t="s">
        <v>464</v>
      </c>
      <c r="D549">
        <v>80</v>
      </c>
      <c r="E549">
        <v>4</v>
      </c>
    </row>
    <row r="550" spans="1:5" x14ac:dyDescent="0.3">
      <c r="A550" s="16" t="str">
        <f>VLOOKUP(Table_Query_from_CMSFIL[[#This Row],[COMPANYNO]],$J$1:$K$39,2)</f>
        <v>Schiavone</v>
      </c>
      <c r="B550" s="18" t="str">
        <f>VLOOKUP(Table_Query_from_CMSFIL[[#This Row],[COMPANYNO]],J:L,3)</f>
        <v>New Jersey</v>
      </c>
      <c r="C550" t="s">
        <v>492</v>
      </c>
      <c r="D550">
        <v>80</v>
      </c>
      <c r="E550">
        <v>702</v>
      </c>
    </row>
    <row r="551" spans="1:5" x14ac:dyDescent="0.3">
      <c r="A551" s="13" t="str">
        <f>VLOOKUP(Table_Query_from_CMSFIL[[#This Row],[COMPANYNO]],$J$1:$K$39,2)</f>
        <v>Schiavone</v>
      </c>
      <c r="B551" s="18" t="str">
        <f>VLOOKUP(Table_Query_from_CMSFIL[[#This Row],[COMPANYNO]],J:L,3)</f>
        <v>New Jersey</v>
      </c>
      <c r="C551" t="s">
        <v>493</v>
      </c>
      <c r="D551">
        <v>80</v>
      </c>
      <c r="E551">
        <v>710</v>
      </c>
    </row>
    <row r="552" spans="1:5" x14ac:dyDescent="0.3">
      <c r="A552" s="16" t="str">
        <f>VLOOKUP(Table_Query_from_CMSFIL[[#This Row],[COMPANYNO]],$J$1:$K$39,2)</f>
        <v>Schiavone</v>
      </c>
      <c r="B552" s="18" t="str">
        <f>VLOOKUP(Table_Query_from_CMSFIL[[#This Row],[COMPANYNO]],J:L,3)</f>
        <v>New Jersey</v>
      </c>
      <c r="C552" t="s">
        <v>503</v>
      </c>
      <c r="D552">
        <v>80</v>
      </c>
      <c r="E552">
        <v>709</v>
      </c>
    </row>
    <row r="553" spans="1:5" x14ac:dyDescent="0.3">
      <c r="A553" s="13" t="str">
        <f>VLOOKUP(Table_Query_from_CMSFIL[[#This Row],[COMPANYNO]],$J$1:$K$39,2)</f>
        <v>Schiavone</v>
      </c>
      <c r="B553" s="18" t="str">
        <f>VLOOKUP(Table_Query_from_CMSFIL[[#This Row],[COMPANYNO]],J:L,3)</f>
        <v>New Jersey</v>
      </c>
      <c r="C553" t="s">
        <v>505</v>
      </c>
      <c r="D553">
        <v>80</v>
      </c>
      <c r="E553">
        <v>711</v>
      </c>
    </row>
    <row r="554" spans="1:5" x14ac:dyDescent="0.3">
      <c r="A554" s="16" t="str">
        <f>VLOOKUP(Table_Query_from_CMSFIL[[#This Row],[COMPANYNO]],$J$1:$K$39,2)</f>
        <v>Schiavone</v>
      </c>
      <c r="B554" s="18" t="str">
        <f>VLOOKUP(Table_Query_from_CMSFIL[[#This Row],[COMPANYNO]],J:L,3)</f>
        <v>New Jersey</v>
      </c>
      <c r="C554" t="s">
        <v>513</v>
      </c>
      <c r="D554">
        <v>80</v>
      </c>
      <c r="E554">
        <v>712</v>
      </c>
    </row>
    <row r="555" spans="1:5" x14ac:dyDescent="0.3">
      <c r="A555" s="13" t="str">
        <f>VLOOKUP(Table_Query_from_CMSFIL[[#This Row],[COMPANYNO]],$J$1:$K$39,2)</f>
        <v>Schiavone</v>
      </c>
      <c r="B555" s="18" t="str">
        <f>VLOOKUP(Table_Query_from_CMSFIL[[#This Row],[COMPANYNO]],J:L,3)</f>
        <v>New Jersey</v>
      </c>
      <c r="C555" t="s">
        <v>532</v>
      </c>
      <c r="D555">
        <v>80</v>
      </c>
      <c r="E555">
        <v>713</v>
      </c>
    </row>
    <row r="556" spans="1:5" x14ac:dyDescent="0.3">
      <c r="A556" s="16" t="str">
        <f>VLOOKUP(Table_Query_from_CMSFIL[[#This Row],[COMPANYNO]],$J$1:$K$39,2)</f>
        <v>Schiavone</v>
      </c>
      <c r="B556" s="18" t="str">
        <f>VLOOKUP(Table_Query_from_CMSFIL[[#This Row],[COMPANYNO]],J:L,3)</f>
        <v>New Jersey</v>
      </c>
      <c r="C556" t="s">
        <v>533</v>
      </c>
      <c r="D556">
        <v>80</v>
      </c>
      <c r="E556">
        <v>715</v>
      </c>
    </row>
    <row r="557" spans="1:5" x14ac:dyDescent="0.3">
      <c r="A557" s="13" t="str">
        <f>VLOOKUP(Table_Query_from_CMSFIL[[#This Row],[COMPANYNO]],$J$1:$K$39,2)</f>
        <v>Schiavone</v>
      </c>
      <c r="B557" s="18" t="str">
        <f>VLOOKUP(Table_Query_from_CMSFIL[[#This Row],[COMPANYNO]],J:L,3)</f>
        <v>New Jersey</v>
      </c>
      <c r="C557" t="s">
        <v>534</v>
      </c>
      <c r="D557">
        <v>80</v>
      </c>
      <c r="E557">
        <v>703</v>
      </c>
    </row>
    <row r="558" spans="1:5" x14ac:dyDescent="0.3">
      <c r="A558" s="16" t="str">
        <f>VLOOKUP(Table_Query_from_CMSFIL[[#This Row],[COMPANYNO]],$J$1:$K$39,2)</f>
        <v>Schiavone</v>
      </c>
      <c r="B558" s="18" t="str">
        <f>VLOOKUP(Table_Query_from_CMSFIL[[#This Row],[COMPANYNO]],J:L,3)</f>
        <v>New Jersey</v>
      </c>
      <c r="C558" t="s">
        <v>555</v>
      </c>
      <c r="D558">
        <v>80</v>
      </c>
      <c r="E558">
        <v>720</v>
      </c>
    </row>
    <row r="559" spans="1:5" x14ac:dyDescent="0.3">
      <c r="A559" s="13" t="str">
        <f>VLOOKUP(Table_Query_from_CMSFIL[[#This Row],[COMPANYNO]],$J$1:$K$39,2)</f>
        <v>Schiavone</v>
      </c>
      <c r="B559" s="18" t="str">
        <f>VLOOKUP(Table_Query_from_CMSFIL[[#This Row],[COMPANYNO]],J:L,3)</f>
        <v>New Jersey</v>
      </c>
      <c r="C559" t="s">
        <v>556</v>
      </c>
      <c r="D559">
        <v>80</v>
      </c>
      <c r="E559">
        <v>721</v>
      </c>
    </row>
    <row r="560" spans="1:5" x14ac:dyDescent="0.3">
      <c r="A560" s="16" t="str">
        <f>VLOOKUP(Table_Query_from_CMSFIL[[#This Row],[COMPANYNO]],$J$1:$K$39,2)</f>
        <v>Schiavone</v>
      </c>
      <c r="B560" s="18" t="str">
        <f>VLOOKUP(Table_Query_from_CMSFIL[[#This Row],[COMPANYNO]],J:L,3)</f>
        <v>New Jersey</v>
      </c>
      <c r="C560" t="s">
        <v>584</v>
      </c>
      <c r="D560">
        <v>80</v>
      </c>
      <c r="E560">
        <v>722</v>
      </c>
    </row>
    <row r="561" spans="1:5" x14ac:dyDescent="0.3">
      <c r="A561" s="13" t="str">
        <f>VLOOKUP(Table_Query_from_CMSFIL[[#This Row],[COMPANYNO]],$J$1:$K$39,2)</f>
        <v>Schiavone</v>
      </c>
      <c r="B561" s="18" t="str">
        <f>VLOOKUP(Table_Query_from_CMSFIL[[#This Row],[COMPANYNO]],J:L,3)</f>
        <v>New Jersey</v>
      </c>
      <c r="C561" t="s">
        <v>691</v>
      </c>
      <c r="D561">
        <v>80</v>
      </c>
      <c r="E561">
        <v>724</v>
      </c>
    </row>
    <row r="562" spans="1:5" x14ac:dyDescent="0.3">
      <c r="A562" s="16" t="str">
        <f>VLOOKUP(Table_Query_from_CMSFIL[[#This Row],[COMPANYNO]],$J$1:$K$39,2)</f>
        <v>Schiavone</v>
      </c>
      <c r="B562" s="18" t="str">
        <f>VLOOKUP(Table_Query_from_CMSFIL[[#This Row],[COMPANYNO]],J:L,3)</f>
        <v>New Jersey</v>
      </c>
      <c r="C562" t="s">
        <v>398</v>
      </c>
      <c r="D562">
        <v>80</v>
      </c>
      <c r="E562">
        <v>727</v>
      </c>
    </row>
    <row r="563" spans="1:5" x14ac:dyDescent="0.3">
      <c r="A563" s="13" t="str">
        <f>VLOOKUP(Table_Query_from_CMSFIL[[#This Row],[COMPANYNO]],$J$1:$K$39,2)</f>
        <v>Schiavone</v>
      </c>
      <c r="B563" s="18" t="str">
        <f>VLOOKUP(Table_Query_from_CMSFIL[[#This Row],[COMPANYNO]],J:L,3)</f>
        <v>New Jersey</v>
      </c>
      <c r="C563" t="s">
        <v>400</v>
      </c>
      <c r="D563">
        <v>80</v>
      </c>
      <c r="E563">
        <v>901</v>
      </c>
    </row>
    <row r="564" spans="1:5" x14ac:dyDescent="0.3">
      <c r="A564" s="16" t="str">
        <f>VLOOKUP(Table_Query_from_CMSFIL[[#This Row],[COMPANYNO]],$J$1:$K$39,2)</f>
        <v>Schiavone</v>
      </c>
      <c r="B564" s="18" t="str">
        <f>VLOOKUP(Table_Query_from_CMSFIL[[#This Row],[COMPANYNO]],J:L,3)</f>
        <v>New Jersey</v>
      </c>
      <c r="C564" t="s">
        <v>405</v>
      </c>
      <c r="D564">
        <v>80</v>
      </c>
      <c r="E564">
        <v>902</v>
      </c>
    </row>
    <row r="565" spans="1:5" x14ac:dyDescent="0.3">
      <c r="A565" s="13" t="str">
        <f>VLOOKUP(Table_Query_from_CMSFIL[[#This Row],[COMPANYNO]],$J$1:$K$39,2)</f>
        <v>Schiavone</v>
      </c>
      <c r="B565" s="18" t="str">
        <f>VLOOKUP(Table_Query_from_CMSFIL[[#This Row],[COMPANYNO]],J:L,3)</f>
        <v>New Jersey</v>
      </c>
      <c r="C565" t="s">
        <v>406</v>
      </c>
      <c r="D565">
        <v>80</v>
      </c>
      <c r="E565">
        <v>501</v>
      </c>
    </row>
    <row r="566" spans="1:5" x14ac:dyDescent="0.3">
      <c r="A566" s="16" t="str">
        <f>VLOOKUP(Table_Query_from_CMSFIL[[#This Row],[COMPANYNO]],$J$1:$K$39,2)</f>
        <v>Schiavone</v>
      </c>
      <c r="B566" s="18" t="str">
        <f>VLOOKUP(Table_Query_from_CMSFIL[[#This Row],[COMPANYNO]],J:L,3)</f>
        <v>New Jersey</v>
      </c>
      <c r="C566" t="s">
        <v>683</v>
      </c>
      <c r="D566">
        <v>80</v>
      </c>
      <c r="E566">
        <v>502</v>
      </c>
    </row>
    <row r="567" spans="1:5" x14ac:dyDescent="0.3">
      <c r="A567" s="13" t="str">
        <f>VLOOKUP(Table_Query_from_CMSFIL[[#This Row],[COMPANYNO]],$J$1:$K$39,2)</f>
        <v>Schiavone</v>
      </c>
      <c r="B567" s="18" t="str">
        <f>VLOOKUP(Table_Query_from_CMSFIL[[#This Row],[COMPANYNO]],J:L,3)</f>
        <v>New Jersey</v>
      </c>
      <c r="C567" t="s">
        <v>684</v>
      </c>
      <c r="D567">
        <v>80</v>
      </c>
      <c r="E567">
        <v>510</v>
      </c>
    </row>
    <row r="568" spans="1:5" x14ac:dyDescent="0.3">
      <c r="A568" s="16" t="str">
        <f>VLOOKUP(Table_Query_from_CMSFIL[[#This Row],[COMPANYNO]],$J$1:$K$39,2)</f>
        <v>Schiavone</v>
      </c>
      <c r="B568" s="18" t="str">
        <f>VLOOKUP(Table_Query_from_CMSFIL[[#This Row],[COMPANYNO]],J:L,3)</f>
        <v>New Jersey</v>
      </c>
      <c r="C568" t="s">
        <v>685</v>
      </c>
      <c r="D568">
        <v>80</v>
      </c>
      <c r="E568">
        <v>509</v>
      </c>
    </row>
    <row r="569" spans="1:5" x14ac:dyDescent="0.3">
      <c r="A569" s="13" t="str">
        <f>VLOOKUP(Table_Query_from_CMSFIL[[#This Row],[COMPANYNO]],$J$1:$K$39,2)</f>
        <v>Schiavone</v>
      </c>
      <c r="B569" s="18" t="str">
        <f>VLOOKUP(Table_Query_from_CMSFIL[[#This Row],[COMPANYNO]],J:L,3)</f>
        <v>New Jersey</v>
      </c>
      <c r="C569" t="s">
        <v>725</v>
      </c>
      <c r="D569">
        <v>80</v>
      </c>
      <c r="E569">
        <v>511</v>
      </c>
    </row>
    <row r="570" spans="1:5" x14ac:dyDescent="0.3">
      <c r="A570" s="16" t="str">
        <f>VLOOKUP(Table_Query_from_CMSFIL[[#This Row],[COMPANYNO]],$J$1:$K$39,2)</f>
        <v>Schiavone</v>
      </c>
      <c r="B570" s="18" t="str">
        <f>VLOOKUP(Table_Query_from_CMSFIL[[#This Row],[COMPANYNO]],J:L,3)</f>
        <v>New Jersey</v>
      </c>
      <c r="C570" t="s">
        <v>781</v>
      </c>
      <c r="D570">
        <v>80</v>
      </c>
      <c r="E570">
        <v>512</v>
      </c>
    </row>
    <row r="571" spans="1:5" x14ac:dyDescent="0.3">
      <c r="A571" s="13" t="str">
        <f>VLOOKUP(Table_Query_from_CMSFIL[[#This Row],[COMPANYNO]],$J$1:$K$39,2)</f>
        <v>Schiavone</v>
      </c>
      <c r="B571" s="18" t="str">
        <f>VLOOKUP(Table_Query_from_CMSFIL[[#This Row],[COMPANYNO]],J:L,3)</f>
        <v>New Jersey</v>
      </c>
      <c r="C571" t="s">
        <v>399</v>
      </c>
      <c r="D571">
        <v>80</v>
      </c>
      <c r="E571">
        <v>513</v>
      </c>
    </row>
    <row r="572" spans="1:5" x14ac:dyDescent="0.3">
      <c r="A572" s="16" t="str">
        <f>VLOOKUP(Table_Query_from_CMSFIL[[#This Row],[COMPANYNO]],$J$1:$K$39,2)</f>
        <v>Schiavone</v>
      </c>
      <c r="B572" s="18" t="str">
        <f>VLOOKUP(Table_Query_from_CMSFIL[[#This Row],[COMPANYNO]],J:L,3)</f>
        <v>New Jersey</v>
      </c>
      <c r="C572" t="s">
        <v>401</v>
      </c>
      <c r="D572">
        <v>80</v>
      </c>
      <c r="E572">
        <v>515</v>
      </c>
    </row>
    <row r="573" spans="1:5" x14ac:dyDescent="0.3">
      <c r="A573" s="13" t="str">
        <f>VLOOKUP(Table_Query_from_CMSFIL[[#This Row],[COMPANYNO]],$J$1:$K$39,2)</f>
        <v>Schiavone</v>
      </c>
      <c r="B573" s="18" t="str">
        <f>VLOOKUP(Table_Query_from_CMSFIL[[#This Row],[COMPANYNO]],J:L,3)</f>
        <v>New Jersey</v>
      </c>
      <c r="C573" t="s">
        <v>407</v>
      </c>
      <c r="D573">
        <v>80</v>
      </c>
      <c r="E573">
        <v>503</v>
      </c>
    </row>
    <row r="574" spans="1:5" x14ac:dyDescent="0.3">
      <c r="A574" s="16" t="str">
        <f>VLOOKUP(Table_Query_from_CMSFIL[[#This Row],[COMPANYNO]],$J$1:$K$39,2)</f>
        <v>Schiavone</v>
      </c>
      <c r="B574" s="18" t="str">
        <f>VLOOKUP(Table_Query_from_CMSFIL[[#This Row],[COMPANYNO]],J:L,3)</f>
        <v>New Jersey</v>
      </c>
      <c r="C574" t="s">
        <v>408</v>
      </c>
      <c r="D574">
        <v>80</v>
      </c>
      <c r="E574">
        <v>520</v>
      </c>
    </row>
    <row r="575" spans="1:5" x14ac:dyDescent="0.3">
      <c r="A575" s="16" t="str">
        <f>VLOOKUP(Table_Query_from_CMSFIL[[#This Row],[COMPANYNO]],$J$1:$K$39,2)</f>
        <v>Schiavone</v>
      </c>
      <c r="B575" s="18" t="str">
        <f>VLOOKUP(Table_Query_from_CMSFIL[[#This Row],[COMPANYNO]],J:L,3)</f>
        <v>New Jersey</v>
      </c>
      <c r="C575" t="s">
        <v>509</v>
      </c>
      <c r="D575">
        <v>80</v>
      </c>
      <c r="E575">
        <v>521</v>
      </c>
    </row>
    <row r="576" spans="1:5" x14ac:dyDescent="0.3">
      <c r="A576" s="13" t="str">
        <f>VLOOKUP(Table_Query_from_CMSFIL[[#This Row],[COMPANYNO]],$J$1:$K$39,2)</f>
        <v>Schiavone</v>
      </c>
      <c r="B576" s="18" t="str">
        <f>VLOOKUP(Table_Query_from_CMSFIL[[#This Row],[COMPANYNO]],J:L,3)</f>
        <v>New Jersey</v>
      </c>
      <c r="C576" t="s">
        <v>525</v>
      </c>
      <c r="D576">
        <v>80</v>
      </c>
      <c r="E576">
        <v>522</v>
      </c>
    </row>
    <row r="577" spans="1:5" x14ac:dyDescent="0.3">
      <c r="A577" s="16" t="str">
        <f>VLOOKUP(Table_Query_from_CMSFIL[[#This Row],[COMPANYNO]],$J$1:$K$39,2)</f>
        <v>Schiavone</v>
      </c>
      <c r="B577" s="18" t="str">
        <f>VLOOKUP(Table_Query_from_CMSFIL[[#This Row],[COMPANYNO]],J:L,3)</f>
        <v>New Jersey</v>
      </c>
      <c r="C577" t="s">
        <v>526</v>
      </c>
      <c r="D577">
        <v>80</v>
      </c>
      <c r="E577">
        <v>524</v>
      </c>
    </row>
    <row r="578" spans="1:5" x14ac:dyDescent="0.3">
      <c r="A578" s="13" t="str">
        <f>VLOOKUP(Table_Query_from_CMSFIL[[#This Row],[COMPANYNO]],$J$1:$K$39,2)</f>
        <v>Schiavone</v>
      </c>
      <c r="B578" s="18" t="str">
        <f>VLOOKUP(Table_Query_from_CMSFIL[[#This Row],[COMPANYNO]],J:L,3)</f>
        <v>New Jersey</v>
      </c>
      <c r="C578" t="s">
        <v>757</v>
      </c>
      <c r="D578">
        <v>80</v>
      </c>
      <c r="E578">
        <v>527</v>
      </c>
    </row>
    <row r="579" spans="1:5" x14ac:dyDescent="0.3">
      <c r="A579" s="13" t="str">
        <f>VLOOKUP(Table_Query_from_CMSFIL[[#This Row],[COMPANYNO]],$J$1:$K$39,2)</f>
        <v>Schiavone</v>
      </c>
      <c r="B579" s="18" t="str">
        <f>VLOOKUP(Table_Query_from_CMSFIL[[#This Row],[COMPANYNO]],J:L,3)</f>
        <v>New Jersey</v>
      </c>
      <c r="C579" t="s">
        <v>263</v>
      </c>
      <c r="D579">
        <v>80</v>
      </c>
      <c r="E579">
        <v>504</v>
      </c>
    </row>
    <row r="580" spans="1:5" x14ac:dyDescent="0.3">
      <c r="A580" s="16" t="str">
        <f>VLOOKUP(Table_Query_from_CMSFIL[[#This Row],[COMPANYNO]],$J$1:$K$39,2)</f>
        <v>Schiavone</v>
      </c>
      <c r="B580" s="18" t="str">
        <f>VLOOKUP(Table_Query_from_CMSFIL[[#This Row],[COMPANYNO]],J:L,3)</f>
        <v>New Jersey</v>
      </c>
      <c r="C580" t="s">
        <v>268</v>
      </c>
      <c r="D580">
        <v>80</v>
      </c>
      <c r="E580">
        <v>514</v>
      </c>
    </row>
    <row r="581" spans="1:5" x14ac:dyDescent="0.3">
      <c r="A581" s="13" t="str">
        <f>VLOOKUP(Table_Query_from_CMSFIL[[#This Row],[COMPANYNO]],$J$1:$K$39,2)</f>
        <v>Schiavone</v>
      </c>
      <c r="B581" s="18" t="str">
        <f>VLOOKUP(Table_Query_from_CMSFIL[[#This Row],[COMPANYNO]],J:L,3)</f>
        <v>New Jersey</v>
      </c>
      <c r="C581" t="s">
        <v>269</v>
      </c>
      <c r="D581">
        <v>80</v>
      </c>
      <c r="E581">
        <v>516</v>
      </c>
    </row>
    <row r="582" spans="1:5" x14ac:dyDescent="0.3">
      <c r="A582" s="16" t="str">
        <f>VLOOKUP(Table_Query_from_CMSFIL[[#This Row],[COMPANYNO]],$J$1:$K$39,2)</f>
        <v>Schiavone</v>
      </c>
      <c r="B582" s="18" t="str">
        <f>VLOOKUP(Table_Query_from_CMSFIL[[#This Row],[COMPANYNO]],J:L,3)</f>
        <v>New Jersey</v>
      </c>
      <c r="C582" t="s">
        <v>270</v>
      </c>
      <c r="D582">
        <v>80</v>
      </c>
      <c r="E582">
        <v>517</v>
      </c>
    </row>
    <row r="583" spans="1:5" x14ac:dyDescent="0.3">
      <c r="A583" s="13" t="str">
        <f>VLOOKUP(Table_Query_from_CMSFIL[[#This Row],[COMPANYNO]],$J$1:$K$39,2)</f>
        <v>Schiavone</v>
      </c>
      <c r="B583" s="18" t="str">
        <f>VLOOKUP(Table_Query_from_CMSFIL[[#This Row],[COMPANYNO]],J:L,3)</f>
        <v>New Jersey</v>
      </c>
      <c r="C583" t="s">
        <v>271</v>
      </c>
      <c r="D583">
        <v>80</v>
      </c>
      <c r="E583">
        <v>518</v>
      </c>
    </row>
    <row r="584" spans="1:5" x14ac:dyDescent="0.3">
      <c r="A584" s="16" t="str">
        <f>VLOOKUP(Table_Query_from_CMSFIL[[#This Row],[COMPANYNO]],$J$1:$K$39,2)</f>
        <v>Schiavone</v>
      </c>
      <c r="B584" s="18" t="str">
        <f>VLOOKUP(Table_Query_from_CMSFIL[[#This Row],[COMPANYNO]],J:L,3)</f>
        <v>New Jersey</v>
      </c>
      <c r="C584" t="s">
        <v>272</v>
      </c>
      <c r="D584">
        <v>80</v>
      </c>
      <c r="E584">
        <v>519</v>
      </c>
    </row>
    <row r="585" spans="1:5" x14ac:dyDescent="0.3">
      <c r="A585" s="13" t="str">
        <f>VLOOKUP(Table_Query_from_CMSFIL[[#This Row],[COMPANYNO]],$J$1:$K$39,2)</f>
        <v>Schiavone</v>
      </c>
      <c r="B585" s="18" t="str">
        <f>VLOOKUP(Table_Query_from_CMSFIL[[#This Row],[COMPANYNO]],J:L,3)</f>
        <v>New Jersey</v>
      </c>
      <c r="C585" t="s">
        <v>273</v>
      </c>
      <c r="D585">
        <v>80</v>
      </c>
      <c r="E585">
        <v>523</v>
      </c>
    </row>
    <row r="586" spans="1:5" x14ac:dyDescent="0.3">
      <c r="A586" s="16" t="str">
        <f>VLOOKUP(Table_Query_from_CMSFIL[[#This Row],[COMPANYNO]],$J$1:$K$39,2)</f>
        <v>Schiavone</v>
      </c>
      <c r="B586" s="18" t="str">
        <f>VLOOKUP(Table_Query_from_CMSFIL[[#This Row],[COMPANYNO]],J:L,3)</f>
        <v>New Jersey</v>
      </c>
      <c r="C586" t="s">
        <v>274</v>
      </c>
      <c r="D586">
        <v>80</v>
      </c>
      <c r="E586">
        <v>525</v>
      </c>
    </row>
    <row r="587" spans="1:5" x14ac:dyDescent="0.3">
      <c r="A587" s="13" t="str">
        <f>VLOOKUP(Table_Query_from_CMSFIL[[#This Row],[COMPANYNO]],$J$1:$K$39,2)</f>
        <v>Schiavone</v>
      </c>
      <c r="B587" s="18" t="str">
        <f>VLOOKUP(Table_Query_from_CMSFIL[[#This Row],[COMPANYNO]],J:L,3)</f>
        <v>New Jersey</v>
      </c>
      <c r="C587" t="s">
        <v>275</v>
      </c>
      <c r="D587">
        <v>80</v>
      </c>
      <c r="E587">
        <v>7</v>
      </c>
    </row>
    <row r="588" spans="1:5" x14ac:dyDescent="0.3">
      <c r="A588" s="16" t="str">
        <f>VLOOKUP(Table_Query_from_CMSFIL[[#This Row],[COMPANYNO]],$J$1:$K$39,2)</f>
        <v>Schiavone</v>
      </c>
      <c r="B588" s="18" t="str">
        <f>VLOOKUP(Table_Query_from_CMSFIL[[#This Row],[COMPANYNO]],J:L,3)</f>
        <v>New Jersey</v>
      </c>
      <c r="C588" t="s">
        <v>276</v>
      </c>
      <c r="D588">
        <v>80</v>
      </c>
      <c r="E588">
        <v>301</v>
      </c>
    </row>
    <row r="589" spans="1:5" x14ac:dyDescent="0.3">
      <c r="A589" s="13" t="str">
        <f>VLOOKUP(Table_Query_from_CMSFIL[[#This Row],[COMPANYNO]],$J$1:$K$39,2)</f>
        <v>Schiavone</v>
      </c>
      <c r="B589" s="18" t="str">
        <f>VLOOKUP(Table_Query_from_CMSFIL[[#This Row],[COMPANYNO]],J:L,3)</f>
        <v>New Jersey</v>
      </c>
      <c r="C589" t="s">
        <v>277</v>
      </c>
      <c r="D589">
        <v>80</v>
      </c>
      <c r="E589">
        <v>302</v>
      </c>
    </row>
    <row r="590" spans="1:5" x14ac:dyDescent="0.3">
      <c r="A590" s="16" t="str">
        <f>VLOOKUP(Table_Query_from_CMSFIL[[#This Row],[COMPANYNO]],$J$1:$K$39,2)</f>
        <v>Schiavone</v>
      </c>
      <c r="B590" s="18" t="str">
        <f>VLOOKUP(Table_Query_from_CMSFIL[[#This Row],[COMPANYNO]],J:L,3)</f>
        <v>New Jersey</v>
      </c>
      <c r="C590" t="s">
        <v>278</v>
      </c>
      <c r="D590">
        <v>80</v>
      </c>
      <c r="E590">
        <v>303</v>
      </c>
    </row>
    <row r="591" spans="1:5" x14ac:dyDescent="0.3">
      <c r="A591" s="13" t="str">
        <f>VLOOKUP(Table_Query_from_CMSFIL[[#This Row],[COMPANYNO]],$J$1:$K$39,2)</f>
        <v>Schiavone</v>
      </c>
      <c r="B591" s="18" t="str">
        <f>VLOOKUP(Table_Query_from_CMSFIL[[#This Row],[COMPANYNO]],J:L,3)</f>
        <v>New Jersey</v>
      </c>
      <c r="C591" t="s">
        <v>279</v>
      </c>
      <c r="D591">
        <v>80</v>
      </c>
      <c r="E591">
        <v>304</v>
      </c>
    </row>
    <row r="592" spans="1:5" x14ac:dyDescent="0.3">
      <c r="A592" s="16" t="str">
        <f>VLOOKUP(Table_Query_from_CMSFIL[[#This Row],[COMPANYNO]],$J$1:$K$39,2)</f>
        <v>Schiavone</v>
      </c>
      <c r="B592" s="18" t="str">
        <f>VLOOKUP(Table_Query_from_CMSFIL[[#This Row],[COMPANYNO]],J:L,3)</f>
        <v>New Jersey</v>
      </c>
      <c r="C592" t="s">
        <v>280</v>
      </c>
      <c r="D592">
        <v>80</v>
      </c>
      <c r="E592">
        <v>309</v>
      </c>
    </row>
    <row r="593" spans="1:5" x14ac:dyDescent="0.3">
      <c r="A593" s="13" t="str">
        <f>VLOOKUP(Table_Query_from_CMSFIL[[#This Row],[COMPANYNO]],$J$1:$K$39,2)</f>
        <v>Schiavone</v>
      </c>
      <c r="B593" s="18" t="str">
        <f>VLOOKUP(Table_Query_from_CMSFIL[[#This Row],[COMPANYNO]],J:L,3)</f>
        <v>New Jersey</v>
      </c>
      <c r="C593" t="s">
        <v>281</v>
      </c>
      <c r="D593">
        <v>80</v>
      </c>
      <c r="E593">
        <v>310</v>
      </c>
    </row>
    <row r="594" spans="1:5" x14ac:dyDescent="0.3">
      <c r="A594" s="16" t="str">
        <f>VLOOKUP(Table_Query_from_CMSFIL[[#This Row],[COMPANYNO]],$J$1:$K$39,2)</f>
        <v>Schiavone</v>
      </c>
      <c r="B594" s="18" t="str">
        <f>VLOOKUP(Table_Query_from_CMSFIL[[#This Row],[COMPANYNO]],J:L,3)</f>
        <v>New Jersey</v>
      </c>
      <c r="C594" t="s">
        <v>282</v>
      </c>
      <c r="D594">
        <v>80</v>
      </c>
      <c r="E594">
        <v>311</v>
      </c>
    </row>
    <row r="595" spans="1:5" x14ac:dyDescent="0.3">
      <c r="A595" s="13" t="str">
        <f>VLOOKUP(Table_Query_from_CMSFIL[[#This Row],[COMPANYNO]],$J$1:$K$39,2)</f>
        <v>Schiavone</v>
      </c>
      <c r="B595" s="18" t="str">
        <f>VLOOKUP(Table_Query_from_CMSFIL[[#This Row],[COMPANYNO]],J:L,3)</f>
        <v>New Jersey</v>
      </c>
      <c r="C595" t="s">
        <v>283</v>
      </c>
      <c r="D595">
        <v>80</v>
      </c>
      <c r="E595">
        <v>312</v>
      </c>
    </row>
    <row r="596" spans="1:5" x14ac:dyDescent="0.3">
      <c r="A596" s="16" t="str">
        <f>VLOOKUP(Table_Query_from_CMSFIL[[#This Row],[COMPANYNO]],$J$1:$K$39,2)</f>
        <v>Schiavone</v>
      </c>
      <c r="B596" s="18" t="str">
        <f>VLOOKUP(Table_Query_from_CMSFIL[[#This Row],[COMPANYNO]],J:L,3)</f>
        <v>New Jersey</v>
      </c>
      <c r="C596" t="s">
        <v>284</v>
      </c>
      <c r="D596">
        <v>80</v>
      </c>
      <c r="E596">
        <v>313</v>
      </c>
    </row>
    <row r="597" spans="1:5" x14ac:dyDescent="0.3">
      <c r="A597" s="13" t="str">
        <f>VLOOKUP(Table_Query_from_CMSFIL[[#This Row],[COMPANYNO]],$J$1:$K$39,2)</f>
        <v>Schiavone</v>
      </c>
      <c r="B597" s="18" t="str">
        <f>VLOOKUP(Table_Query_from_CMSFIL[[#This Row],[COMPANYNO]],J:L,3)</f>
        <v>New Jersey</v>
      </c>
      <c r="C597" t="s">
        <v>285</v>
      </c>
      <c r="D597">
        <v>80</v>
      </c>
      <c r="E597">
        <v>314</v>
      </c>
    </row>
    <row r="598" spans="1:5" x14ac:dyDescent="0.3">
      <c r="A598" s="16" t="str">
        <f>VLOOKUP(Table_Query_from_CMSFIL[[#This Row],[COMPANYNO]],$J$1:$K$39,2)</f>
        <v>Schiavone</v>
      </c>
      <c r="B598" s="18" t="str">
        <f>VLOOKUP(Table_Query_from_CMSFIL[[#This Row],[COMPANYNO]],J:L,3)</f>
        <v>New Jersey</v>
      </c>
      <c r="C598" t="s">
        <v>286</v>
      </c>
      <c r="D598">
        <v>80</v>
      </c>
      <c r="E598">
        <v>315</v>
      </c>
    </row>
    <row r="599" spans="1:5" x14ac:dyDescent="0.3">
      <c r="A599" s="13" t="str">
        <f>VLOOKUP(Table_Query_from_CMSFIL[[#This Row],[COMPANYNO]],$J$1:$K$39,2)</f>
        <v>Schiavone</v>
      </c>
      <c r="B599" s="18" t="str">
        <f>VLOOKUP(Table_Query_from_CMSFIL[[#This Row],[COMPANYNO]],J:L,3)</f>
        <v>New Jersey</v>
      </c>
      <c r="C599" t="s">
        <v>287</v>
      </c>
      <c r="D599">
        <v>80</v>
      </c>
      <c r="E599">
        <v>316</v>
      </c>
    </row>
    <row r="600" spans="1:5" x14ac:dyDescent="0.3">
      <c r="A600" s="16" t="str">
        <f>VLOOKUP(Table_Query_from_CMSFIL[[#This Row],[COMPANYNO]],$J$1:$K$39,2)</f>
        <v>Schiavone</v>
      </c>
      <c r="B600" s="18" t="str">
        <f>VLOOKUP(Table_Query_from_CMSFIL[[#This Row],[COMPANYNO]],J:L,3)</f>
        <v>New Jersey</v>
      </c>
      <c r="C600" t="s">
        <v>291</v>
      </c>
      <c r="D600">
        <v>80</v>
      </c>
      <c r="E600">
        <v>317</v>
      </c>
    </row>
    <row r="601" spans="1:5" x14ac:dyDescent="0.3">
      <c r="A601" s="13" t="str">
        <f>VLOOKUP(Table_Query_from_CMSFIL[[#This Row],[COMPANYNO]],$J$1:$K$39,2)</f>
        <v>Schiavone</v>
      </c>
      <c r="B601" s="18" t="str">
        <f>VLOOKUP(Table_Query_from_CMSFIL[[#This Row],[COMPANYNO]],J:L,3)</f>
        <v>New Jersey</v>
      </c>
      <c r="C601" t="s">
        <v>292</v>
      </c>
      <c r="D601">
        <v>80</v>
      </c>
      <c r="E601">
        <v>318</v>
      </c>
    </row>
    <row r="602" spans="1:5" x14ac:dyDescent="0.3">
      <c r="A602" s="16" t="str">
        <f>VLOOKUP(Table_Query_from_CMSFIL[[#This Row],[COMPANYNO]],$J$1:$K$39,2)</f>
        <v>Schiavone</v>
      </c>
      <c r="B602" s="18" t="str">
        <f>VLOOKUP(Table_Query_from_CMSFIL[[#This Row],[COMPANYNO]],J:L,3)</f>
        <v>New Jersey</v>
      </c>
      <c r="C602" t="s">
        <v>293</v>
      </c>
      <c r="D602">
        <v>80</v>
      </c>
      <c r="E602">
        <v>319</v>
      </c>
    </row>
    <row r="603" spans="1:5" x14ac:dyDescent="0.3">
      <c r="A603" s="13" t="str">
        <f>VLOOKUP(Table_Query_from_CMSFIL[[#This Row],[COMPANYNO]],$J$1:$K$39,2)</f>
        <v>Schiavone</v>
      </c>
      <c r="B603" s="18" t="str">
        <f>VLOOKUP(Table_Query_from_CMSFIL[[#This Row],[COMPANYNO]],J:L,3)</f>
        <v>New Jersey</v>
      </c>
      <c r="C603" t="s">
        <v>294</v>
      </c>
      <c r="D603">
        <v>80</v>
      </c>
      <c r="E603">
        <v>320</v>
      </c>
    </row>
    <row r="604" spans="1:5" x14ac:dyDescent="0.3">
      <c r="A604" s="16" t="str">
        <f>VLOOKUP(Table_Query_from_CMSFIL[[#This Row],[COMPANYNO]],$J$1:$K$39,2)</f>
        <v>Schiavone</v>
      </c>
      <c r="B604" s="18" t="str">
        <f>VLOOKUP(Table_Query_from_CMSFIL[[#This Row],[COMPANYNO]],J:L,3)</f>
        <v>New Jersey</v>
      </c>
      <c r="C604" t="s">
        <v>295</v>
      </c>
      <c r="D604">
        <v>80</v>
      </c>
      <c r="E604">
        <v>321</v>
      </c>
    </row>
    <row r="605" spans="1:5" x14ac:dyDescent="0.3">
      <c r="A605" s="13" t="str">
        <f>VLOOKUP(Table_Query_from_CMSFIL[[#This Row],[COMPANYNO]],$J$1:$K$39,2)</f>
        <v>Schiavone</v>
      </c>
      <c r="B605" s="18" t="str">
        <f>VLOOKUP(Table_Query_from_CMSFIL[[#This Row],[COMPANYNO]],J:L,3)</f>
        <v>New Jersey</v>
      </c>
      <c r="C605" t="s">
        <v>296</v>
      </c>
      <c r="D605">
        <v>80</v>
      </c>
      <c r="E605">
        <v>322</v>
      </c>
    </row>
    <row r="606" spans="1:5" x14ac:dyDescent="0.3">
      <c r="A606" s="16" t="str">
        <f>VLOOKUP(Table_Query_from_CMSFIL[[#This Row],[COMPANYNO]],$J$1:$K$39,2)</f>
        <v>Schiavone</v>
      </c>
      <c r="B606" s="18" t="str">
        <f>VLOOKUP(Table_Query_from_CMSFIL[[#This Row],[COMPANYNO]],J:L,3)</f>
        <v>New Jersey</v>
      </c>
      <c r="C606" t="s">
        <v>297</v>
      </c>
      <c r="D606">
        <v>80</v>
      </c>
      <c r="E606">
        <v>323</v>
      </c>
    </row>
    <row r="607" spans="1:5" x14ac:dyDescent="0.3">
      <c r="A607" s="13" t="str">
        <f>VLOOKUP(Table_Query_from_CMSFIL[[#This Row],[COMPANYNO]],$J$1:$K$39,2)</f>
        <v>Schiavone</v>
      </c>
      <c r="B607" s="18" t="str">
        <f>VLOOKUP(Table_Query_from_CMSFIL[[#This Row],[COMPANYNO]],J:L,3)</f>
        <v>New Jersey</v>
      </c>
      <c r="C607" t="s">
        <v>298</v>
      </c>
      <c r="D607">
        <v>80</v>
      </c>
      <c r="E607">
        <v>324</v>
      </c>
    </row>
    <row r="608" spans="1:5" x14ac:dyDescent="0.3">
      <c r="A608" s="16" t="str">
        <f>VLOOKUP(Table_Query_from_CMSFIL[[#This Row],[COMPANYNO]],$J$1:$K$39,2)</f>
        <v>Schiavone</v>
      </c>
      <c r="B608" s="18" t="str">
        <f>VLOOKUP(Table_Query_from_CMSFIL[[#This Row],[COMPANYNO]],J:L,3)</f>
        <v>New Jersey</v>
      </c>
      <c r="C608" t="s">
        <v>299</v>
      </c>
      <c r="D608">
        <v>80</v>
      </c>
      <c r="E608">
        <v>325</v>
      </c>
    </row>
    <row r="609" spans="1:5" x14ac:dyDescent="0.3">
      <c r="A609" s="13" t="str">
        <f>VLOOKUP(Table_Query_from_CMSFIL[[#This Row],[COMPANYNO]],$J$1:$K$39,2)</f>
        <v>Schiavone</v>
      </c>
      <c r="B609" s="18" t="str">
        <f>VLOOKUP(Table_Query_from_CMSFIL[[#This Row],[COMPANYNO]],J:L,3)</f>
        <v>New Jersey</v>
      </c>
      <c r="C609" t="s">
        <v>300</v>
      </c>
      <c r="D609">
        <v>80</v>
      </c>
      <c r="E609">
        <v>327</v>
      </c>
    </row>
    <row r="610" spans="1:5" x14ac:dyDescent="0.3">
      <c r="A610" s="16" t="str">
        <f>VLOOKUP(Table_Query_from_CMSFIL[[#This Row],[COMPANYNO]],$J$1:$K$39,2)</f>
        <v>Schiavone</v>
      </c>
      <c r="B610" s="18" t="str">
        <f>VLOOKUP(Table_Query_from_CMSFIL[[#This Row],[COMPANYNO]],J:L,3)</f>
        <v>New Jersey</v>
      </c>
      <c r="C610" t="s">
        <v>301</v>
      </c>
      <c r="D610">
        <v>80</v>
      </c>
      <c r="E610">
        <v>998</v>
      </c>
    </row>
    <row r="611" spans="1:5" x14ac:dyDescent="0.3">
      <c r="A611" s="13" t="str">
        <f>VLOOKUP(Table_Query_from_CMSFIL[[#This Row],[COMPANYNO]],$J$1:$K$39,2)</f>
        <v>Schiavone</v>
      </c>
      <c r="B611" s="18" t="str">
        <f>VLOOKUP(Table_Query_from_CMSFIL[[#This Row],[COMPANYNO]],J:L,3)</f>
        <v>New Jersey</v>
      </c>
      <c r="C611" t="s">
        <v>302</v>
      </c>
      <c r="D611">
        <v>80</v>
      </c>
      <c r="E611">
        <v>999</v>
      </c>
    </row>
    <row r="612" spans="1:5" x14ac:dyDescent="0.3">
      <c r="A612" s="16" t="str">
        <f>VLOOKUP(Table_Query_from_CMSFIL[[#This Row],[COMPANYNO]],$J$1:$K$39,2)</f>
        <v>Schiavone</v>
      </c>
      <c r="B612" s="18" t="str">
        <f>VLOOKUP(Table_Query_from_CMSFIL[[#This Row],[COMPANYNO]],J:L,3)</f>
        <v>New Jersey</v>
      </c>
      <c r="C612" t="s">
        <v>303</v>
      </c>
      <c r="D612">
        <v>80</v>
      </c>
      <c r="E612">
        <v>799</v>
      </c>
    </row>
    <row r="613" spans="1:5" x14ac:dyDescent="0.3">
      <c r="A613" s="13" t="str">
        <f>VLOOKUP(Table_Query_from_CMSFIL[[#This Row],[COMPANYNO]],$J$1:$K$39,2)</f>
        <v>Schiavone</v>
      </c>
      <c r="B613" s="18" t="str">
        <f>VLOOKUP(Table_Query_from_CMSFIL[[#This Row],[COMPANYNO]],J:L,3)</f>
        <v>New Jersey</v>
      </c>
      <c r="C613" t="s">
        <v>304</v>
      </c>
      <c r="D613">
        <v>80</v>
      </c>
      <c r="E613">
        <v>6</v>
      </c>
    </row>
    <row r="614" spans="1:5" x14ac:dyDescent="0.3">
      <c r="A614" s="16" t="str">
        <f>VLOOKUP(Table_Query_from_CMSFIL[[#This Row],[COMPANYNO]],$J$1:$K$39,2)</f>
        <v>Schiavone</v>
      </c>
      <c r="B614" s="18" t="str">
        <f>VLOOKUP(Table_Query_from_CMSFIL[[#This Row],[COMPANYNO]],J:L,3)</f>
        <v>New Jersey</v>
      </c>
      <c r="C614" t="s">
        <v>305</v>
      </c>
      <c r="D614">
        <v>80</v>
      </c>
      <c r="E614">
        <v>8</v>
      </c>
    </row>
    <row r="615" spans="1:5" x14ac:dyDescent="0.3">
      <c r="A615" s="13" t="str">
        <f>VLOOKUP(Table_Query_from_CMSFIL[[#This Row],[COMPANYNO]],$J$1:$K$39,2)</f>
        <v>Schiavone</v>
      </c>
      <c r="B615" s="18" t="str">
        <f>VLOOKUP(Table_Query_from_CMSFIL[[#This Row],[COMPANYNO]],J:L,3)</f>
        <v>New Jersey</v>
      </c>
      <c r="C615" t="s">
        <v>306</v>
      </c>
      <c r="D615">
        <v>80</v>
      </c>
      <c r="E615">
        <v>333</v>
      </c>
    </row>
    <row r="616" spans="1:5" x14ac:dyDescent="0.3">
      <c r="A616" s="16" t="str">
        <f>VLOOKUP(Table_Query_from_CMSFIL[[#This Row],[COMPANYNO]],$J$1:$K$39,2)</f>
        <v>Schiavone</v>
      </c>
      <c r="B616" s="18" t="str">
        <f>VLOOKUP(Table_Query_from_CMSFIL[[#This Row],[COMPANYNO]],J:L,3)</f>
        <v>New Jersey</v>
      </c>
      <c r="C616" t="s">
        <v>307</v>
      </c>
      <c r="D616">
        <v>80</v>
      </c>
      <c r="E616">
        <v>533</v>
      </c>
    </row>
    <row r="617" spans="1:5" x14ac:dyDescent="0.3">
      <c r="A617" s="13" t="str">
        <f>VLOOKUP(Table_Query_from_CMSFIL[[#This Row],[COMPANYNO]],$J$1:$K$39,2)</f>
        <v>Schiavone</v>
      </c>
      <c r="B617" s="18" t="str">
        <f>VLOOKUP(Table_Query_from_CMSFIL[[#This Row],[COMPANYNO]],J:L,3)</f>
        <v>New Jersey</v>
      </c>
      <c r="C617" t="s">
        <v>308</v>
      </c>
      <c r="D617">
        <v>80</v>
      </c>
      <c r="E617">
        <v>733</v>
      </c>
    </row>
    <row r="618" spans="1:5" x14ac:dyDescent="0.3">
      <c r="A618" s="16" t="str">
        <f>VLOOKUP(Table_Query_from_CMSFIL[[#This Row],[COMPANYNO]],$J$1:$K$39,2)</f>
        <v>Schiavone</v>
      </c>
      <c r="B618" s="18" t="str">
        <f>VLOOKUP(Table_Query_from_CMSFIL[[#This Row],[COMPANYNO]],J:L,3)</f>
        <v>New Jersey</v>
      </c>
      <c r="C618" t="s">
        <v>309</v>
      </c>
      <c r="D618">
        <v>80</v>
      </c>
      <c r="E618">
        <v>9</v>
      </c>
    </row>
    <row r="619" spans="1:5" x14ac:dyDescent="0.3">
      <c r="A619" s="13" t="str">
        <f>VLOOKUP(Table_Query_from_CMSFIL[[#This Row],[COMPANYNO]],$J$1:$K$39,2)</f>
        <v>Schiavone</v>
      </c>
      <c r="B619" s="18" t="str">
        <f>VLOOKUP(Table_Query_from_CMSFIL[[#This Row],[COMPANYNO]],J:L,3)</f>
        <v>New Jersey</v>
      </c>
      <c r="C619" t="s">
        <v>310</v>
      </c>
      <c r="D619">
        <v>80</v>
      </c>
      <c r="E619">
        <v>334</v>
      </c>
    </row>
    <row r="620" spans="1:5" x14ac:dyDescent="0.3">
      <c r="A620" s="16" t="str">
        <f>VLOOKUP(Table_Query_from_CMSFIL[[#This Row],[COMPANYNO]],$J$1:$K$39,2)</f>
        <v>Schiavone</v>
      </c>
      <c r="B620" s="18" t="str">
        <f>VLOOKUP(Table_Query_from_CMSFIL[[#This Row],[COMPANYNO]],J:L,3)</f>
        <v>New Jersey</v>
      </c>
      <c r="C620" t="s">
        <v>311</v>
      </c>
      <c r="D620">
        <v>80</v>
      </c>
      <c r="E620">
        <v>534</v>
      </c>
    </row>
    <row r="621" spans="1:5" x14ac:dyDescent="0.3">
      <c r="A621" s="13" t="str">
        <f>VLOOKUP(Table_Query_from_CMSFIL[[#This Row],[COMPANYNO]],$J$1:$K$39,2)</f>
        <v>Schiavone</v>
      </c>
      <c r="B621" s="18" t="str">
        <f>VLOOKUP(Table_Query_from_CMSFIL[[#This Row],[COMPANYNO]],J:L,3)</f>
        <v>New Jersey</v>
      </c>
      <c r="C621" t="s">
        <v>312</v>
      </c>
      <c r="D621">
        <v>80</v>
      </c>
      <c r="E621">
        <v>734</v>
      </c>
    </row>
    <row r="622" spans="1:5" x14ac:dyDescent="0.3">
      <c r="A622" s="16" t="str">
        <f>VLOOKUP(Table_Query_from_CMSFIL[[#This Row],[COMPANYNO]],$J$1:$K$39,2)</f>
        <v>Schiavone</v>
      </c>
      <c r="B622" s="18" t="str">
        <f>VLOOKUP(Table_Query_from_CMSFIL[[#This Row],[COMPANYNO]],J:L,3)</f>
        <v>New Jersey</v>
      </c>
      <c r="C622" t="s">
        <v>313</v>
      </c>
      <c r="D622">
        <v>80</v>
      </c>
      <c r="E622">
        <v>535</v>
      </c>
    </row>
    <row r="623" spans="1:5" x14ac:dyDescent="0.3">
      <c r="A623" s="13" t="str">
        <f>VLOOKUP(Table_Query_from_CMSFIL[[#This Row],[COMPANYNO]],$J$1:$K$39,2)</f>
        <v>Schiavone</v>
      </c>
      <c r="B623" s="18" t="str">
        <f>VLOOKUP(Table_Query_from_CMSFIL[[#This Row],[COMPANYNO]],J:L,3)</f>
        <v>New Jersey</v>
      </c>
      <c r="C623" t="s">
        <v>314</v>
      </c>
      <c r="D623">
        <v>80</v>
      </c>
      <c r="E623">
        <v>335</v>
      </c>
    </row>
    <row r="624" spans="1:5" x14ac:dyDescent="0.3">
      <c r="A624" s="16" t="str">
        <f>VLOOKUP(Table_Query_from_CMSFIL[[#This Row],[COMPANYNO]],$J$1:$K$39,2)</f>
        <v>Schiavone</v>
      </c>
      <c r="B624" s="18" t="str">
        <f>VLOOKUP(Table_Query_from_CMSFIL[[#This Row],[COMPANYNO]],J:L,3)</f>
        <v>New Jersey</v>
      </c>
      <c r="C624" t="s">
        <v>315</v>
      </c>
      <c r="D624">
        <v>80</v>
      </c>
      <c r="E624">
        <v>10</v>
      </c>
    </row>
    <row r="625" spans="1:5" x14ac:dyDescent="0.3">
      <c r="A625" s="13" t="str">
        <f>VLOOKUP(Table_Query_from_CMSFIL[[#This Row],[COMPANYNO]],$J$1:$K$39,2)</f>
        <v>Schiavone</v>
      </c>
      <c r="B625" s="18" t="str">
        <f>VLOOKUP(Table_Query_from_CMSFIL[[#This Row],[COMPANYNO]],J:L,3)</f>
        <v>New Jersey</v>
      </c>
      <c r="C625" t="s">
        <v>280</v>
      </c>
      <c r="D625">
        <v>80</v>
      </c>
      <c r="E625">
        <v>11</v>
      </c>
    </row>
    <row r="626" spans="1:5" x14ac:dyDescent="0.3">
      <c r="A626" s="16" t="str">
        <f>VLOOKUP(Table_Query_from_CMSFIL[[#This Row],[COMPANYNO]],$J$1:$K$39,2)</f>
        <v>Schiavone</v>
      </c>
      <c r="B626" s="18" t="str">
        <f>VLOOKUP(Table_Query_from_CMSFIL[[#This Row],[COMPANYNO]],J:L,3)</f>
        <v>New Jersey</v>
      </c>
      <c r="C626" t="s">
        <v>316</v>
      </c>
      <c r="D626">
        <v>80</v>
      </c>
      <c r="E626">
        <v>336</v>
      </c>
    </row>
    <row r="627" spans="1:5" x14ac:dyDescent="0.3">
      <c r="A627" s="13" t="str">
        <f>VLOOKUP(Table_Query_from_CMSFIL[[#This Row],[COMPANYNO]],$J$1:$K$39,2)</f>
        <v>Schiavone</v>
      </c>
      <c r="B627" s="18" t="str">
        <f>VLOOKUP(Table_Query_from_CMSFIL[[#This Row],[COMPANYNO]],J:L,3)</f>
        <v>New Jersey</v>
      </c>
      <c r="C627" t="s">
        <v>317</v>
      </c>
      <c r="D627">
        <v>80</v>
      </c>
      <c r="E627">
        <v>536</v>
      </c>
    </row>
    <row r="628" spans="1:5" x14ac:dyDescent="0.3">
      <c r="A628" s="16" t="str">
        <f>VLOOKUP(Table_Query_from_CMSFIL[[#This Row],[COMPANYNO]],$J$1:$K$39,2)</f>
        <v>Schiavone</v>
      </c>
      <c r="B628" s="18" t="str">
        <f>VLOOKUP(Table_Query_from_CMSFIL[[#This Row],[COMPANYNO]],J:L,3)</f>
        <v>New Jersey</v>
      </c>
      <c r="C628" t="s">
        <v>318</v>
      </c>
      <c r="D628">
        <v>80</v>
      </c>
      <c r="E628">
        <v>736</v>
      </c>
    </row>
    <row r="629" spans="1:5" x14ac:dyDescent="0.3">
      <c r="A629" s="13" t="str">
        <f>VLOOKUP(Table_Query_from_CMSFIL[[#This Row],[COMPANYNO]],$J$1:$K$39,2)</f>
        <v>Schiavone</v>
      </c>
      <c r="B629" s="18" t="str">
        <f>VLOOKUP(Table_Query_from_CMSFIL[[#This Row],[COMPANYNO]],J:L,3)</f>
        <v>New Jersey</v>
      </c>
      <c r="C629" t="s">
        <v>319</v>
      </c>
      <c r="D629">
        <v>80</v>
      </c>
      <c r="E629">
        <v>737</v>
      </c>
    </row>
    <row r="630" spans="1:5" x14ac:dyDescent="0.3">
      <c r="A630" s="16" t="str">
        <f>VLOOKUP(Table_Query_from_CMSFIL[[#This Row],[COMPANYNO]],$J$1:$K$39,2)</f>
        <v>Schiavone</v>
      </c>
      <c r="B630" s="18" t="str">
        <f>VLOOKUP(Table_Query_from_CMSFIL[[#This Row],[COMPANYNO]],J:L,3)</f>
        <v>New Jersey</v>
      </c>
      <c r="C630" t="s">
        <v>320</v>
      </c>
      <c r="D630">
        <v>80</v>
      </c>
      <c r="E630">
        <v>537</v>
      </c>
    </row>
    <row r="631" spans="1:5" x14ac:dyDescent="0.3">
      <c r="A631" s="13" t="str">
        <f>VLOOKUP(Table_Query_from_CMSFIL[[#This Row],[COMPANYNO]],$J$1:$K$39,2)</f>
        <v>Schiavone</v>
      </c>
      <c r="B631" s="18" t="str">
        <f>VLOOKUP(Table_Query_from_CMSFIL[[#This Row],[COMPANYNO]],J:L,3)</f>
        <v>New Jersey</v>
      </c>
      <c r="C631" t="s">
        <v>321</v>
      </c>
      <c r="D631">
        <v>80</v>
      </c>
      <c r="E631">
        <v>337</v>
      </c>
    </row>
    <row r="632" spans="1:5" x14ac:dyDescent="0.3">
      <c r="A632" s="16" t="str">
        <f>VLOOKUP(Table_Query_from_CMSFIL[[#This Row],[COMPANYNO]],$J$1:$K$39,2)</f>
        <v>Schiavone</v>
      </c>
      <c r="B632" s="18" t="str">
        <f>VLOOKUP(Table_Query_from_CMSFIL[[#This Row],[COMPANYNO]],J:L,3)</f>
        <v>New Jersey</v>
      </c>
      <c r="C632" t="s">
        <v>322</v>
      </c>
      <c r="D632">
        <v>80</v>
      </c>
      <c r="E632">
        <v>538</v>
      </c>
    </row>
    <row r="633" spans="1:5" x14ac:dyDescent="0.3">
      <c r="A633" s="13" t="str">
        <f>VLOOKUP(Table_Query_from_CMSFIL[[#This Row],[COMPANYNO]],$J$1:$K$39,2)</f>
        <v>Schiavone</v>
      </c>
      <c r="B633" s="18" t="str">
        <f>VLOOKUP(Table_Query_from_CMSFIL[[#This Row],[COMPANYNO]],J:L,3)</f>
        <v>New Jersey</v>
      </c>
      <c r="C633" t="s">
        <v>323</v>
      </c>
      <c r="D633">
        <v>80</v>
      </c>
      <c r="E633">
        <v>338</v>
      </c>
    </row>
    <row r="634" spans="1:5" x14ac:dyDescent="0.3">
      <c r="A634" s="16" t="str">
        <f>VLOOKUP(Table_Query_from_CMSFIL[[#This Row],[COMPANYNO]],$J$1:$K$39,2)</f>
        <v>Schiavone</v>
      </c>
      <c r="B634" s="18" t="str">
        <f>VLOOKUP(Table_Query_from_CMSFIL[[#This Row],[COMPANYNO]],J:L,3)</f>
        <v>New Jersey</v>
      </c>
      <c r="C634" t="s">
        <v>324</v>
      </c>
      <c r="D634">
        <v>80</v>
      </c>
      <c r="E634">
        <v>539</v>
      </c>
    </row>
    <row r="635" spans="1:5" x14ac:dyDescent="0.3">
      <c r="A635" s="13" t="str">
        <f>VLOOKUP(Table_Query_from_CMSFIL[[#This Row],[COMPANYNO]],$J$1:$K$39,2)</f>
        <v>Schiavone</v>
      </c>
      <c r="B635" s="18" t="str">
        <f>VLOOKUP(Table_Query_from_CMSFIL[[#This Row],[COMPANYNO]],J:L,3)</f>
        <v>New Jersey</v>
      </c>
      <c r="C635" t="s">
        <v>325</v>
      </c>
      <c r="D635">
        <v>80</v>
      </c>
      <c r="E635">
        <v>339</v>
      </c>
    </row>
    <row r="636" spans="1:5" x14ac:dyDescent="0.3">
      <c r="A636" s="16" t="str">
        <f>VLOOKUP(Table_Query_from_CMSFIL[[#This Row],[COMPANYNO]],$J$1:$K$39,2)</f>
        <v>Schiavone</v>
      </c>
      <c r="B636" s="18" t="str">
        <f>VLOOKUP(Table_Query_from_CMSFIL[[#This Row],[COMPANYNO]],J:L,3)</f>
        <v>New Jersey</v>
      </c>
      <c r="C636" t="s">
        <v>326</v>
      </c>
      <c r="D636">
        <v>80</v>
      </c>
      <c r="E636">
        <v>12</v>
      </c>
    </row>
    <row r="637" spans="1:5" x14ac:dyDescent="0.3">
      <c r="A637" s="13" t="str">
        <f>VLOOKUP(Table_Query_from_CMSFIL[[#This Row],[COMPANYNO]],$J$1:$K$39,2)</f>
        <v>Schiavone</v>
      </c>
      <c r="B637" s="18" t="str">
        <f>VLOOKUP(Table_Query_from_CMSFIL[[#This Row],[COMPANYNO]],J:L,3)</f>
        <v>New Jersey</v>
      </c>
      <c r="C637" t="s">
        <v>327</v>
      </c>
      <c r="D637">
        <v>80</v>
      </c>
      <c r="E637">
        <v>340</v>
      </c>
    </row>
    <row r="638" spans="1:5" x14ac:dyDescent="0.3">
      <c r="A638" s="16" t="str">
        <f>VLOOKUP(Table_Query_from_CMSFIL[[#This Row],[COMPANYNO]],$J$1:$K$39,2)</f>
        <v>Schiavone</v>
      </c>
      <c r="B638" s="18" t="str">
        <f>VLOOKUP(Table_Query_from_CMSFIL[[#This Row],[COMPANYNO]],J:L,3)</f>
        <v>New Jersey</v>
      </c>
      <c r="C638" t="s">
        <v>328</v>
      </c>
      <c r="D638">
        <v>80</v>
      </c>
      <c r="E638">
        <v>540</v>
      </c>
    </row>
    <row r="639" spans="1:5" x14ac:dyDescent="0.3">
      <c r="A639" s="13" t="str">
        <f>VLOOKUP(Table_Query_from_CMSFIL[[#This Row],[COMPANYNO]],$J$1:$K$39,2)</f>
        <v>Schiavone</v>
      </c>
      <c r="B639" s="18" t="str">
        <f>VLOOKUP(Table_Query_from_CMSFIL[[#This Row],[COMPANYNO]],J:L,3)</f>
        <v>New Jersey</v>
      </c>
      <c r="C639" t="s">
        <v>329</v>
      </c>
      <c r="D639">
        <v>80</v>
      </c>
      <c r="E639">
        <v>341</v>
      </c>
    </row>
    <row r="640" spans="1:5" x14ac:dyDescent="0.3">
      <c r="A640" s="16" t="str">
        <f>VLOOKUP(Table_Query_from_CMSFIL[[#This Row],[COMPANYNO]],$J$1:$K$39,2)</f>
        <v>Schiavone</v>
      </c>
      <c r="B640" s="18" t="str">
        <f>VLOOKUP(Table_Query_from_CMSFIL[[#This Row],[COMPANYNO]],J:L,3)</f>
        <v>New Jersey</v>
      </c>
      <c r="C640" t="s">
        <v>330</v>
      </c>
      <c r="D640">
        <v>80</v>
      </c>
      <c r="E640">
        <v>741</v>
      </c>
    </row>
    <row r="641" spans="1:5" x14ac:dyDescent="0.3">
      <c r="A641" s="13" t="str">
        <f>VLOOKUP(Table_Query_from_CMSFIL[[#This Row],[COMPANYNO]],$J$1:$K$39,2)</f>
        <v>Schiavone</v>
      </c>
      <c r="B641" s="18" t="str">
        <f>VLOOKUP(Table_Query_from_CMSFIL[[#This Row],[COMPANYNO]],J:L,3)</f>
        <v>New Jersey</v>
      </c>
      <c r="C641" t="s">
        <v>331</v>
      </c>
      <c r="D641">
        <v>80</v>
      </c>
      <c r="E641">
        <v>541</v>
      </c>
    </row>
    <row r="642" spans="1:5" x14ac:dyDescent="0.3">
      <c r="A642" s="16" t="str">
        <f>VLOOKUP(Table_Query_from_CMSFIL[[#This Row],[COMPANYNO]],$J$1:$K$39,2)</f>
        <v>Schiavone</v>
      </c>
      <c r="B642" s="18" t="str">
        <f>VLOOKUP(Table_Query_from_CMSFIL[[#This Row],[COMPANYNO]],J:L,3)</f>
        <v>New Jersey</v>
      </c>
      <c r="C642" t="s">
        <v>332</v>
      </c>
      <c r="D642">
        <v>80</v>
      </c>
      <c r="E642">
        <v>742</v>
      </c>
    </row>
    <row r="643" spans="1:5" x14ac:dyDescent="0.3">
      <c r="A643" s="13" t="str">
        <f>VLOOKUP(Table_Query_from_CMSFIL[[#This Row],[COMPANYNO]],$J$1:$K$39,2)</f>
        <v>Schiavone</v>
      </c>
      <c r="B643" s="18" t="str">
        <f>VLOOKUP(Table_Query_from_CMSFIL[[#This Row],[COMPANYNO]],J:L,3)</f>
        <v>New Jersey</v>
      </c>
      <c r="C643" t="s">
        <v>333</v>
      </c>
      <c r="D643">
        <v>80</v>
      </c>
      <c r="E643">
        <v>342</v>
      </c>
    </row>
    <row r="644" spans="1:5" x14ac:dyDescent="0.3">
      <c r="A644" s="16" t="str">
        <f>VLOOKUP(Table_Query_from_CMSFIL[[#This Row],[COMPANYNO]],$J$1:$K$39,2)</f>
        <v>Schiavone</v>
      </c>
      <c r="B644" s="18" t="str">
        <f>VLOOKUP(Table_Query_from_CMSFIL[[#This Row],[COMPANYNO]],J:L,3)</f>
        <v>New Jersey</v>
      </c>
      <c r="C644" t="s">
        <v>261</v>
      </c>
      <c r="D644">
        <v>80</v>
      </c>
      <c r="E644">
        <v>542</v>
      </c>
    </row>
    <row r="645" spans="1:5" x14ac:dyDescent="0.3">
      <c r="A645" s="13" t="str">
        <f>VLOOKUP(Table_Query_from_CMSFIL[[#This Row],[COMPANYNO]],$J$1:$K$39,2)</f>
        <v>Schiavone</v>
      </c>
      <c r="B645" s="18" t="str">
        <f>VLOOKUP(Table_Query_from_CMSFIL[[#This Row],[COMPANYNO]],J:L,3)</f>
        <v>New Jersey</v>
      </c>
      <c r="C645" t="s">
        <v>334</v>
      </c>
      <c r="D645">
        <v>80</v>
      </c>
      <c r="E645">
        <v>14</v>
      </c>
    </row>
    <row r="646" spans="1:5" x14ac:dyDescent="0.3">
      <c r="A646" s="16" t="str">
        <f>VLOOKUP(Table_Query_from_CMSFIL[[#This Row],[COMPANYNO]],$J$1:$K$39,2)</f>
        <v>Schiavone</v>
      </c>
      <c r="B646" s="18" t="str">
        <f>VLOOKUP(Table_Query_from_CMSFIL[[#This Row],[COMPANYNO]],J:L,3)</f>
        <v>New Jersey</v>
      </c>
      <c r="C646" t="s">
        <v>335</v>
      </c>
      <c r="D646">
        <v>80</v>
      </c>
      <c r="E646">
        <v>343</v>
      </c>
    </row>
    <row r="647" spans="1:5" x14ac:dyDescent="0.3">
      <c r="A647" s="13" t="str">
        <f>VLOOKUP(Table_Query_from_CMSFIL[[#This Row],[COMPANYNO]],$J$1:$K$39,2)</f>
        <v>Schiavone</v>
      </c>
      <c r="B647" s="18" t="str">
        <f>VLOOKUP(Table_Query_from_CMSFIL[[#This Row],[COMPANYNO]],J:L,3)</f>
        <v>New Jersey</v>
      </c>
      <c r="C647" t="s">
        <v>336</v>
      </c>
      <c r="D647">
        <v>80</v>
      </c>
      <c r="E647">
        <v>543</v>
      </c>
    </row>
    <row r="648" spans="1:5" x14ac:dyDescent="0.3">
      <c r="A648" s="16" t="str">
        <f>VLOOKUP(Table_Query_from_CMSFIL[[#This Row],[COMPANYNO]],$J$1:$K$39,2)</f>
        <v>Schiavone</v>
      </c>
      <c r="B648" s="18" t="str">
        <f>VLOOKUP(Table_Query_from_CMSFIL[[#This Row],[COMPANYNO]],J:L,3)</f>
        <v>New Jersey</v>
      </c>
      <c r="C648" t="s">
        <v>337</v>
      </c>
      <c r="D648">
        <v>80</v>
      </c>
      <c r="E648">
        <v>15</v>
      </c>
    </row>
    <row r="649" spans="1:5" x14ac:dyDescent="0.3">
      <c r="A649" s="13" t="str">
        <f>VLOOKUP(Table_Query_from_CMSFIL[[#This Row],[COMPANYNO]],$J$1:$K$39,2)</f>
        <v>Other</v>
      </c>
      <c r="B649" s="18" t="str">
        <f>VLOOKUP(Table_Query_from_CMSFIL[[#This Row],[COMPANYNO]],J:L,3)</f>
        <v>Other</v>
      </c>
      <c r="C649" t="s">
        <v>341</v>
      </c>
      <c r="D649">
        <v>81</v>
      </c>
      <c r="E649">
        <v>1</v>
      </c>
    </row>
    <row r="650" spans="1:5" x14ac:dyDescent="0.3">
      <c r="A650" s="16" t="str">
        <f>VLOOKUP(Table_Query_from_CMSFIL[[#This Row],[COMPANYNO]],$J$1:$K$39,2)</f>
        <v>Dragados USA</v>
      </c>
      <c r="B650" s="18" t="str">
        <f>VLOOKUP(Table_Query_from_CMSFIL[[#This Row],[COMPANYNO]],J:L,3)</f>
        <v>Corporate</v>
      </c>
      <c r="C650" t="s">
        <v>345</v>
      </c>
      <c r="D650">
        <v>90</v>
      </c>
      <c r="E650">
        <v>1</v>
      </c>
    </row>
    <row r="651" spans="1:5" x14ac:dyDescent="0.3">
      <c r="A651" s="13" t="str">
        <f>VLOOKUP(Table_Query_from_CMSFIL[[#This Row],[COMPANYNO]],$J$1:$K$39,2)</f>
        <v>Dragados USA</v>
      </c>
      <c r="B651" s="18" t="str">
        <f>VLOOKUP(Table_Query_from_CMSFIL[[#This Row],[COMPANYNO]],J:L,3)</f>
        <v>Corporate</v>
      </c>
      <c r="C651" t="s">
        <v>346</v>
      </c>
      <c r="D651">
        <v>90</v>
      </c>
      <c r="E651">
        <v>999</v>
      </c>
    </row>
    <row r="652" spans="1:5" x14ac:dyDescent="0.3">
      <c r="A652" s="16" t="str">
        <f>VLOOKUP(Table_Query_from_CMSFIL[[#This Row],[COMPANYNO]],$J$1:$K$39,2)</f>
        <v>Dragados USA</v>
      </c>
      <c r="B652" s="18" t="str">
        <f>VLOOKUP(Table_Query_from_CMSFIL[[#This Row],[COMPANYNO]],J:L,3)</f>
        <v>Corporate</v>
      </c>
      <c r="C652" t="s">
        <v>347</v>
      </c>
      <c r="D652">
        <v>90</v>
      </c>
      <c r="E652">
        <v>998</v>
      </c>
    </row>
    <row r="653" spans="1:5" x14ac:dyDescent="0.3">
      <c r="A653" s="13" t="str">
        <f>VLOOKUP(Table_Query_from_CMSFIL[[#This Row],[COMPANYNO]],$J$1:$K$39,2)</f>
        <v>Dragados Canada</v>
      </c>
      <c r="B653" s="18" t="str">
        <f>VLOOKUP(Table_Query_from_CMSFIL[[#This Row],[COMPANYNO]],J:L,3)</f>
        <v>Corporate</v>
      </c>
      <c r="C653" t="s">
        <v>348</v>
      </c>
      <c r="D653">
        <v>91</v>
      </c>
      <c r="E653">
        <v>1</v>
      </c>
    </row>
    <row r="654" spans="1:5" x14ac:dyDescent="0.3">
      <c r="A654" s="16" t="str">
        <f>VLOOKUP(Table_Query_from_CMSFIL[[#This Row],[COMPANYNO]],$J$1:$K$39,2)</f>
        <v>Dragados Canada</v>
      </c>
      <c r="B654" s="18" t="str">
        <f>VLOOKUP(Table_Query_from_CMSFIL[[#This Row],[COMPANYNO]],J:L,3)</f>
        <v>Corporate</v>
      </c>
      <c r="C654" t="s">
        <v>358</v>
      </c>
      <c r="D654">
        <v>91</v>
      </c>
      <c r="E654">
        <v>2</v>
      </c>
    </row>
    <row r="655" spans="1:5" x14ac:dyDescent="0.3">
      <c r="A655" s="13" t="str">
        <f>VLOOKUP(Table_Query_from_CMSFIL[[#This Row],[COMPANYNO]],$J$1:$K$39,2)</f>
        <v>Dragados Canada</v>
      </c>
      <c r="B655" s="18" t="str">
        <f>VLOOKUP(Table_Query_from_CMSFIL[[#This Row],[COMPANYNO]],J:L,3)</f>
        <v>Corporate</v>
      </c>
      <c r="C655" t="s">
        <v>359</v>
      </c>
      <c r="D655">
        <v>91</v>
      </c>
      <c r="E655">
        <v>999</v>
      </c>
    </row>
    <row r="656" spans="1:5" x14ac:dyDescent="0.3">
      <c r="A656" s="16" t="str">
        <f>VLOOKUP(Table_Query_from_CMSFIL[[#This Row],[COMPANYNO]],$J$1:$K$39,2)</f>
        <v>Dragados Canada</v>
      </c>
      <c r="B656" s="18" t="str">
        <f>VLOOKUP(Table_Query_from_CMSFIL[[#This Row],[COMPANYNO]],J:L,3)</f>
        <v>Corporate</v>
      </c>
      <c r="C656" t="s">
        <v>360</v>
      </c>
      <c r="D656">
        <v>91</v>
      </c>
      <c r="E656">
        <v>998</v>
      </c>
    </row>
    <row r="657" spans="1:5" x14ac:dyDescent="0.3">
      <c r="A657" s="13" t="str">
        <f>VLOOKUP(Table_Query_from_CMSFIL[[#This Row],[COMPANYNO]],$J$1:$K$39,2)</f>
        <v>Other</v>
      </c>
      <c r="B657" s="18" t="str">
        <f>VLOOKUP(Table_Query_from_CMSFIL[[#This Row],[COMPANYNO]],J:L,3)</f>
        <v>Corporate</v>
      </c>
      <c r="C657" t="s">
        <v>409</v>
      </c>
      <c r="D657">
        <v>92</v>
      </c>
      <c r="E657">
        <v>1</v>
      </c>
    </row>
    <row r="658" spans="1:5" x14ac:dyDescent="0.3">
      <c r="A658" s="16" t="str">
        <f>VLOOKUP(Table_Query_from_CMSFIL[[#This Row],[COMPANYNO]],$J$1:$K$39,2)</f>
        <v>Other</v>
      </c>
      <c r="B658" s="18" t="str">
        <f>VLOOKUP(Table_Query_from_CMSFIL[[#This Row],[COMPANYNO]],J:L,3)</f>
        <v>Corporate</v>
      </c>
      <c r="C658" t="s">
        <v>410</v>
      </c>
      <c r="D658">
        <v>92</v>
      </c>
      <c r="E658">
        <v>2</v>
      </c>
    </row>
    <row r="659" spans="1:5" x14ac:dyDescent="0.3">
      <c r="A659" s="13" t="str">
        <f>VLOOKUP(Table_Query_from_CMSFIL[[#This Row],[COMPANYNO]],$J$1:$K$39,2)</f>
        <v>Other</v>
      </c>
      <c r="B659" s="18" t="str">
        <f>VLOOKUP(Table_Query_from_CMSFIL[[#This Row],[COMPANYNO]],J:L,3)</f>
        <v>Corporate</v>
      </c>
      <c r="C659" t="s">
        <v>429</v>
      </c>
      <c r="D659">
        <v>93</v>
      </c>
      <c r="E659">
        <v>1</v>
      </c>
    </row>
    <row r="660" spans="1:5" x14ac:dyDescent="0.3">
      <c r="A660" s="16" t="str">
        <f>VLOOKUP(Table_Query_from_CMSFIL[[#This Row],[COMPANYNO]],$J$1:$K$39,2)</f>
        <v>Other</v>
      </c>
      <c r="B660" s="18" t="str">
        <f>VLOOKUP(Table_Query_from_CMSFIL[[#This Row],[COMPANYNO]],J:L,3)</f>
        <v>Corporate</v>
      </c>
      <c r="C660" t="s">
        <v>430</v>
      </c>
      <c r="D660">
        <v>93</v>
      </c>
      <c r="E660">
        <v>2</v>
      </c>
    </row>
    <row r="661" spans="1:5" x14ac:dyDescent="0.3">
      <c r="A661" s="13" t="str">
        <f>VLOOKUP(Table_Query_from_CMSFIL[[#This Row],[COMPANYNO]],$J$1:$K$39,2)</f>
        <v>Other</v>
      </c>
      <c r="B661" s="18" t="str">
        <f>VLOOKUP(Table_Query_from_CMSFIL[[#This Row],[COMPANYNO]],J:L,3)</f>
        <v>Corporate</v>
      </c>
      <c r="C661" t="s">
        <v>433</v>
      </c>
      <c r="D661">
        <v>94</v>
      </c>
      <c r="E661">
        <v>1</v>
      </c>
    </row>
    <row r="662" spans="1:5" x14ac:dyDescent="0.3">
      <c r="A662" s="16" t="str">
        <f>VLOOKUP(Table_Query_from_CMSFIL[[#This Row],[COMPANYNO]],$J$1:$K$39,2)</f>
        <v>Other</v>
      </c>
      <c r="B662" s="18" t="str">
        <f>VLOOKUP(Table_Query_from_CMSFIL[[#This Row],[COMPANYNO]],J:L,3)</f>
        <v>Corporate</v>
      </c>
      <c r="C662" t="s">
        <v>434</v>
      </c>
      <c r="D662">
        <v>95</v>
      </c>
      <c r="E662">
        <v>1</v>
      </c>
    </row>
    <row r="663" spans="1:5" x14ac:dyDescent="0.3">
      <c r="A663" s="13" t="str">
        <f>VLOOKUP(Table_Query_from_CMSFIL[[#This Row],[COMPANYNO]],$J$1:$K$39,2)</f>
        <v>Other</v>
      </c>
      <c r="B663" s="18" t="str">
        <f>VLOOKUP(Table_Query_from_CMSFIL[[#This Row],[COMPANYNO]],J:L,3)</f>
        <v>Corporate</v>
      </c>
      <c r="C663" t="s">
        <v>435</v>
      </c>
      <c r="D663">
        <v>95</v>
      </c>
      <c r="E663">
        <v>999</v>
      </c>
    </row>
    <row r="664" spans="1:5" x14ac:dyDescent="0.3">
      <c r="A664" s="16" t="str">
        <f>VLOOKUP(Table_Query_from_CMSFIL[[#This Row],[COMPANYNO]],$J$1:$K$39,2)</f>
        <v>Other</v>
      </c>
      <c r="B664" s="18" t="str">
        <f>VLOOKUP(Table_Query_from_CMSFIL[[#This Row],[COMPANYNO]],J:L,3)</f>
        <v>Corporate</v>
      </c>
      <c r="C664" t="s">
        <v>436</v>
      </c>
      <c r="D664">
        <v>95</v>
      </c>
      <c r="E664">
        <v>998</v>
      </c>
    </row>
    <row r="665" spans="1:5" x14ac:dyDescent="0.3">
      <c r="A665" s="13" t="str">
        <f>VLOOKUP(Table_Query_from_CMSFIL[[#This Row],[COMPANYNO]],$J$1:$K$39,2)</f>
        <v>Other</v>
      </c>
      <c r="B665" s="18" t="str">
        <f>VLOOKUP(Table_Query_from_CMSFIL[[#This Row],[COMPANYNO]],J:L,3)</f>
        <v>Corporate</v>
      </c>
      <c r="C665" t="s">
        <v>437</v>
      </c>
      <c r="D665">
        <v>95</v>
      </c>
      <c r="E665">
        <v>997</v>
      </c>
    </row>
    <row r="666" spans="1:5" x14ac:dyDescent="0.3">
      <c r="A666" s="16" t="str">
        <f>VLOOKUP(Table_Query_from_CMSFIL[[#This Row],[COMPANYNO]],$J$1:$K$39,2)</f>
        <v>Other</v>
      </c>
      <c r="B666" s="18" t="str">
        <f>VLOOKUP(Table_Query_from_CMSFIL[[#This Row],[COMPANYNO]],J:L,3)</f>
        <v>Corporate</v>
      </c>
      <c r="C666" t="s">
        <v>438</v>
      </c>
      <c r="D666">
        <v>95</v>
      </c>
      <c r="E666">
        <v>996</v>
      </c>
    </row>
    <row r="667" spans="1:5" x14ac:dyDescent="0.3">
      <c r="A667" s="13" t="str">
        <f>VLOOKUP(Table_Query_from_CMSFIL[[#This Row],[COMPANYNO]],$J$1:$K$39,2)</f>
        <v>Other</v>
      </c>
      <c r="B667" s="18" t="str">
        <f>VLOOKUP(Table_Query_from_CMSFIL[[#This Row],[COMPANYNO]],J:L,3)</f>
        <v>Corporate</v>
      </c>
      <c r="C667" t="s">
        <v>469</v>
      </c>
      <c r="D667">
        <v>95</v>
      </c>
      <c r="E667">
        <v>995</v>
      </c>
    </row>
    <row r="668" spans="1:5" x14ac:dyDescent="0.3">
      <c r="A668" s="16" t="str">
        <f>VLOOKUP(Table_Query_from_CMSFIL[[#This Row],[COMPANYNO]],$J$1:$K$39,2)</f>
        <v>Other</v>
      </c>
      <c r="B668" s="18" t="str">
        <f>VLOOKUP(Table_Query_from_CMSFIL[[#This Row],[COMPANYNO]],J:L,3)</f>
        <v>Corporate</v>
      </c>
      <c r="C668" t="s">
        <v>470</v>
      </c>
      <c r="D668">
        <v>95</v>
      </c>
      <c r="E668">
        <v>994</v>
      </c>
    </row>
    <row r="669" spans="1:5" x14ac:dyDescent="0.3">
      <c r="A669" s="13" t="str">
        <f>VLOOKUP(Table_Query_from_CMSFIL[[#This Row],[COMPANYNO]],$J$1:$K$39,2)</f>
        <v>Pulice</v>
      </c>
      <c r="B669" s="18" t="str">
        <f>VLOOKUP(Table_Query_from_CMSFIL[[#This Row],[COMPANYNO]],J:L,3)</f>
        <v>Corporate</v>
      </c>
      <c r="C669" t="s">
        <v>487</v>
      </c>
      <c r="D669">
        <v>96</v>
      </c>
      <c r="E669">
        <v>1</v>
      </c>
    </row>
    <row r="670" spans="1:5" x14ac:dyDescent="0.3">
      <c r="A670" s="16" t="str">
        <f>VLOOKUP(Table_Query_from_CMSFIL[[#This Row],[COMPANYNO]],$J$1:$K$39,2)</f>
        <v>Pulice</v>
      </c>
      <c r="B670" s="18" t="str">
        <f>VLOOKUP(Table_Query_from_CMSFIL[[#This Row],[COMPANYNO]],J:L,3)</f>
        <v>Corporate</v>
      </c>
      <c r="C670" t="s">
        <v>488</v>
      </c>
      <c r="D670">
        <v>96</v>
      </c>
      <c r="E670">
        <v>998</v>
      </c>
    </row>
    <row r="671" spans="1:5" x14ac:dyDescent="0.3">
      <c r="A671" s="13" t="str">
        <f>VLOOKUP(Table_Query_from_CMSFIL[[#This Row],[COMPANYNO]],$J$1:$K$39,2)</f>
        <v>Pulice</v>
      </c>
      <c r="B671" s="18" t="str">
        <f>VLOOKUP(Table_Query_from_CMSFIL[[#This Row],[COMPANYNO]],J:L,3)</f>
        <v>Corporate</v>
      </c>
      <c r="C671" t="s">
        <v>501</v>
      </c>
      <c r="D671">
        <v>96</v>
      </c>
      <c r="E671">
        <v>997</v>
      </c>
    </row>
    <row r="672" spans="1:5" x14ac:dyDescent="0.3">
      <c r="A672" s="16" t="str">
        <f>VLOOKUP(Table_Query_from_CMSFIL[[#This Row],[COMPANYNO]],$J$1:$K$39,2)</f>
        <v>Pulice</v>
      </c>
      <c r="B672" s="18" t="str">
        <f>VLOOKUP(Table_Query_from_CMSFIL[[#This Row],[COMPANYNO]],J:L,3)</f>
        <v>Corporate</v>
      </c>
      <c r="C672" t="s">
        <v>520</v>
      </c>
      <c r="D672">
        <v>96</v>
      </c>
      <c r="E672">
        <v>996</v>
      </c>
    </row>
    <row r="673" spans="1:5" x14ac:dyDescent="0.3">
      <c r="A673" s="13" t="str">
        <f>VLOOKUP(Table_Query_from_CMSFIL[[#This Row],[COMPANYNO]],$J$1:$K$39,2)</f>
        <v>Other</v>
      </c>
      <c r="B673" s="18" t="str">
        <f>VLOOKUP(Table_Query_from_CMSFIL[[#This Row],[COMPANYNO]],J:L,3)</f>
        <v>Corporate</v>
      </c>
      <c r="C673" t="s">
        <v>521</v>
      </c>
      <c r="D673">
        <v>97</v>
      </c>
      <c r="E673">
        <v>1</v>
      </c>
    </row>
    <row r="674" spans="1:5" x14ac:dyDescent="0.3">
      <c r="A674" s="16" t="str">
        <f>VLOOKUP(Table_Query_from_CMSFIL[[#This Row],[COMPANYNO]],$J$1:$K$39,2)</f>
        <v>Other</v>
      </c>
      <c r="B674" s="18" t="str">
        <f>VLOOKUP(Table_Query_from_CMSFIL[[#This Row],[COMPANYNO]],J:L,3)</f>
        <v>Corporate</v>
      </c>
      <c r="C674" t="s">
        <v>672</v>
      </c>
      <c r="D674">
        <v>98</v>
      </c>
      <c r="E674">
        <v>0</v>
      </c>
    </row>
    <row r="675" spans="1:5" x14ac:dyDescent="0.3">
      <c r="A675" s="13" t="str">
        <f>VLOOKUP(Table_Query_from_CMSFIL[[#This Row],[COMPANYNO]],$J$1:$K$39,2)</f>
        <v>Other</v>
      </c>
      <c r="B675" s="18" t="str">
        <f>VLOOKUP(Table_Query_from_CMSFIL[[#This Row],[COMPANYNO]],J:L,3)</f>
        <v>Corporate</v>
      </c>
      <c r="C675" t="s">
        <v>673</v>
      </c>
      <c r="D675">
        <v>99</v>
      </c>
      <c r="E675">
        <v>998</v>
      </c>
    </row>
    <row r="676" spans="1:5" x14ac:dyDescent="0.3">
      <c r="A676" s="16" t="str">
        <f>VLOOKUP(Table_Query_from_CMSFIL[[#This Row],[COMPANYNO]],$J$1:$K$39,2)</f>
        <v>Other</v>
      </c>
      <c r="B676" s="18" t="str">
        <f>VLOOKUP(Table_Query_from_CMSFIL[[#This Row],[COMPANYNO]],J:L,3)</f>
        <v>Corporate</v>
      </c>
      <c r="C676" t="s">
        <v>674</v>
      </c>
      <c r="D676">
        <v>99</v>
      </c>
      <c r="E676">
        <v>999</v>
      </c>
    </row>
    <row r="677" spans="1:5" x14ac:dyDescent="0.3">
      <c r="A677" s="13" t="str">
        <f>VLOOKUP(Table_Query_from_CMSFIL[[#This Row],[COMPANYNO]],$J$1:$K$39,2)</f>
        <v>Other</v>
      </c>
      <c r="B677" s="18" t="str">
        <f>VLOOKUP(Table_Query_from_CMSFIL[[#This Row],[COMPANYNO]],J:L,3)</f>
        <v>Corporate</v>
      </c>
      <c r="C677" t="s">
        <v>729</v>
      </c>
      <c r="D677">
        <v>99</v>
      </c>
      <c r="E677">
        <v>997</v>
      </c>
    </row>
    <row r="678" spans="1:5" x14ac:dyDescent="0.3">
      <c r="A678" s="16" t="str">
        <f>VLOOKUP(Table_Query_from_CMSFIL[[#This Row],[COMPANYNO]],$J$1:$K$39,2)</f>
        <v>Other</v>
      </c>
      <c r="B678" s="18" t="str">
        <f>VLOOKUP(Table_Query_from_CMSFIL[[#This Row],[COMPANYNO]],J:L,3)</f>
        <v>Corporate</v>
      </c>
      <c r="C678" t="s">
        <v>732</v>
      </c>
      <c r="D678">
        <v>99</v>
      </c>
      <c r="E678">
        <v>996</v>
      </c>
    </row>
    <row r="679" spans="1:5" x14ac:dyDescent="0.3">
      <c r="A679" s="13" t="str">
        <f>VLOOKUP(Table_Query_from_CMSFIL[[#This Row],[COMPANYNO]],$J$1:$K$39,2)</f>
        <v>Other</v>
      </c>
      <c r="B679" s="18" t="str">
        <f>VLOOKUP(Table_Query_from_CMSFIL[[#This Row],[COMPANYNO]],J:L,3)</f>
        <v>Corporate</v>
      </c>
      <c r="C679" t="s">
        <v>733</v>
      </c>
      <c r="D679">
        <v>99</v>
      </c>
      <c r="E679">
        <v>995</v>
      </c>
    </row>
    <row r="680" spans="1:5" x14ac:dyDescent="0.3">
      <c r="A680" s="16" t="str">
        <f>VLOOKUP(Table_Query_from_CMSFIL[[#This Row],[COMPANYNO]],$J$1:$K$39,2)</f>
        <v>Other</v>
      </c>
      <c r="B680" s="18" t="str">
        <f>VLOOKUP(Table_Query_from_CMSFIL[[#This Row],[COMPANYNO]],J:L,3)</f>
        <v>Corporate</v>
      </c>
      <c r="C680" t="s">
        <v>752</v>
      </c>
      <c r="D680">
        <v>99</v>
      </c>
      <c r="E680">
        <v>994</v>
      </c>
    </row>
    <row r="681" spans="1:5" x14ac:dyDescent="0.3">
      <c r="A681" s="13" t="str">
        <f>VLOOKUP(Table_Query_from_CMSFIL[[#This Row],[COMPANYNO]],$J$1:$K$39,2)</f>
        <v>Other</v>
      </c>
      <c r="B681" s="18" t="str">
        <f>VLOOKUP(Table_Query_from_CMSFIL[[#This Row],[COMPANYNO]],J:L,3)</f>
        <v>Corporate</v>
      </c>
      <c r="C681" t="s">
        <v>769</v>
      </c>
      <c r="D681">
        <v>99</v>
      </c>
      <c r="E681">
        <v>992</v>
      </c>
    </row>
    <row r="682" spans="1:5" x14ac:dyDescent="0.3">
      <c r="A682" s="16" t="str">
        <f>VLOOKUP(Table_Query_from_CMSFIL[[#This Row],[COMPANYNO]],$J$1:$K$39,2)</f>
        <v>Other</v>
      </c>
      <c r="B682" s="18" t="str">
        <f>VLOOKUP(Table_Query_from_CMSFIL[[#This Row],[COMPANYNO]],J:L,3)</f>
        <v>Corporate</v>
      </c>
      <c r="C682" t="s">
        <v>770</v>
      </c>
      <c r="D682">
        <v>99</v>
      </c>
      <c r="E682">
        <v>993</v>
      </c>
    </row>
    <row r="683" spans="1:5" x14ac:dyDescent="0.3">
      <c r="A683" s="13" t="str">
        <f>VLOOKUP(Table_Query_from_CMSFIL[[#This Row],[COMPANYNO]],$J$1:$K$39,2)</f>
        <v>Other</v>
      </c>
      <c r="B683" s="18" t="str">
        <f>VLOOKUP(Table_Query_from_CMSFIL[[#This Row],[COMPANYNO]],J:L,3)</f>
        <v>Corporate</v>
      </c>
      <c r="C683" t="s">
        <v>782</v>
      </c>
      <c r="D683">
        <v>99</v>
      </c>
      <c r="E683">
        <v>990</v>
      </c>
    </row>
  </sheetData>
  <sortState ref="A3:C683">
    <sortCondition ref="A2"/>
  </sortState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11"/>
  <sheetViews>
    <sheetView showGridLines="0" workbookViewId="0">
      <selection activeCell="J3" sqref="J3"/>
    </sheetView>
  </sheetViews>
  <sheetFormatPr defaultRowHeight="14.4" x14ac:dyDescent="0.3"/>
  <cols>
    <col min="2" max="2" width="9.88671875" bestFit="1" customWidth="1"/>
    <col min="3" max="3" width="11.88671875" bestFit="1" customWidth="1"/>
  </cols>
  <sheetData>
    <row r="1" spans="1:3" x14ac:dyDescent="0.3">
      <c r="A1" t="s">
        <v>99</v>
      </c>
      <c r="B1" t="s">
        <v>100</v>
      </c>
      <c r="C1" t="s">
        <v>114</v>
      </c>
    </row>
    <row r="2" spans="1:3" x14ac:dyDescent="0.3">
      <c r="A2" t="s">
        <v>99</v>
      </c>
      <c r="B2" t="s">
        <v>101</v>
      </c>
    </row>
    <row r="3" spans="1:3" x14ac:dyDescent="0.3">
      <c r="A3" t="s">
        <v>102</v>
      </c>
      <c r="B3" t="s">
        <v>103</v>
      </c>
    </row>
    <row r="4" spans="1:3" x14ac:dyDescent="0.3">
      <c r="A4" t="s">
        <v>102</v>
      </c>
      <c r="B4" t="s">
        <v>104</v>
      </c>
    </row>
    <row r="5" spans="1:3" x14ac:dyDescent="0.3">
      <c r="A5" t="s">
        <v>105</v>
      </c>
      <c r="B5" t="s">
        <v>106</v>
      </c>
    </row>
    <row r="6" spans="1:3" x14ac:dyDescent="0.3">
      <c r="A6" t="s">
        <v>105</v>
      </c>
      <c r="B6" t="s">
        <v>107</v>
      </c>
      <c r="C6" t="s">
        <v>115</v>
      </c>
    </row>
    <row r="7" spans="1:3" x14ac:dyDescent="0.3">
      <c r="A7" t="s">
        <v>108</v>
      </c>
      <c r="B7" t="s">
        <v>109</v>
      </c>
    </row>
    <row r="8" spans="1:3" x14ac:dyDescent="0.3">
      <c r="A8" t="s">
        <v>110</v>
      </c>
    </row>
    <row r="9" spans="1:3" x14ac:dyDescent="0.3">
      <c r="A9" t="s">
        <v>111</v>
      </c>
    </row>
    <row r="10" spans="1:3" x14ac:dyDescent="0.3">
      <c r="A10" t="s">
        <v>112</v>
      </c>
    </row>
    <row r="11" spans="1:3" x14ac:dyDescent="0.3">
      <c r="A11" t="s">
        <v>113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09" r:id="rId4" name="CommandButton3">
          <controlPr autoLine="0" r:id="rId5">
            <anchor moveWithCells="1">
              <from>
                <xdr:col>4</xdr:col>
                <xdr:colOff>121920</xdr:colOff>
                <xdr:row>6</xdr:row>
                <xdr:rowOff>45720</xdr:rowOff>
              </from>
              <to>
                <xdr:col>5</xdr:col>
                <xdr:colOff>426720</xdr:colOff>
                <xdr:row>7</xdr:row>
                <xdr:rowOff>167640</xdr:rowOff>
              </to>
            </anchor>
          </controlPr>
        </control>
      </mc:Choice>
      <mc:Fallback>
        <control shapeId="21509" r:id="rId4" name="CommandButton3"/>
      </mc:Fallback>
    </mc:AlternateContent>
    <mc:AlternateContent xmlns:mc="http://schemas.openxmlformats.org/markup-compatibility/2006">
      <mc:Choice Requires="x14">
        <control shapeId="21508" r:id="rId6" name="CommonDialog1">
          <controlPr autoLine="0" autoPict="0" r:id="rId7">
            <anchor moveWithCells="1">
              <from>
                <xdr:col>3</xdr:col>
                <xdr:colOff>495300</xdr:colOff>
                <xdr:row>11</xdr:row>
                <xdr:rowOff>76200</xdr:rowOff>
              </from>
              <to>
                <xdr:col>4</xdr:col>
                <xdr:colOff>190500</xdr:colOff>
                <xdr:row>13</xdr:row>
                <xdr:rowOff>15240</xdr:rowOff>
              </to>
            </anchor>
          </controlPr>
        </control>
      </mc:Choice>
      <mc:Fallback>
        <control shapeId="21508" r:id="rId6" name="CommonDialog1"/>
      </mc:Fallback>
    </mc:AlternateContent>
    <mc:AlternateContent xmlns:mc="http://schemas.openxmlformats.org/markup-compatibility/2006">
      <mc:Choice Requires="x14">
        <control shapeId="21507" r:id="rId8" name="CommandButton2">
          <controlPr autoLine="0" r:id="rId9">
            <anchor moveWithCells="1">
              <from>
                <xdr:col>4</xdr:col>
                <xdr:colOff>571500</xdr:colOff>
                <xdr:row>1</xdr:row>
                <xdr:rowOff>76200</xdr:rowOff>
              </from>
              <to>
                <xdr:col>6</xdr:col>
                <xdr:colOff>266700</xdr:colOff>
                <xdr:row>3</xdr:row>
                <xdr:rowOff>15240</xdr:rowOff>
              </to>
            </anchor>
          </controlPr>
        </control>
      </mc:Choice>
      <mc:Fallback>
        <control shapeId="21507" r:id="rId8" name="CommandButton2"/>
      </mc:Fallback>
    </mc:AlternateContent>
    <mc:AlternateContent xmlns:mc="http://schemas.openxmlformats.org/markup-compatibility/2006">
      <mc:Choice Requires="x14">
        <control shapeId="21506" r:id="rId10" name="CommandButton1">
          <controlPr autoLine="0" r:id="rId11">
            <anchor moveWithCells="1">
              <from>
                <xdr:col>6</xdr:col>
                <xdr:colOff>121920</xdr:colOff>
                <xdr:row>4</xdr:row>
                <xdr:rowOff>22860</xdr:rowOff>
              </from>
              <to>
                <xdr:col>9</xdr:col>
                <xdr:colOff>358140</xdr:colOff>
                <xdr:row>5</xdr:row>
                <xdr:rowOff>144780</xdr:rowOff>
              </to>
            </anchor>
          </controlPr>
        </control>
      </mc:Choice>
      <mc:Fallback>
        <control shapeId="21506" r:id="rId10" name="CommandButton1"/>
      </mc:Fallback>
    </mc:AlternateContent>
    <mc:AlternateContent xmlns:mc="http://schemas.openxmlformats.org/markup-compatibility/2006">
      <mc:Choice Requires="x14">
        <control shapeId="21505" r:id="rId12" name="TreeView41">
          <controlPr autoLine="0" autoPict="0" r:id="rId13">
            <anchor moveWithCells="1">
              <from>
                <xdr:col>6</xdr:col>
                <xdr:colOff>106680</xdr:colOff>
                <xdr:row>5</xdr:row>
                <xdr:rowOff>144780</xdr:rowOff>
              </from>
              <to>
                <xdr:col>9</xdr:col>
                <xdr:colOff>350520</xdr:colOff>
                <xdr:row>18</xdr:row>
                <xdr:rowOff>83820</xdr:rowOff>
              </to>
            </anchor>
          </controlPr>
        </control>
      </mc:Choice>
      <mc:Fallback>
        <control shapeId="21505" r:id="rId12" name="TreeView4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83"/>
  <sheetViews>
    <sheetView workbookViewId="0">
      <selection sqref="A1:D1048576"/>
    </sheetView>
  </sheetViews>
  <sheetFormatPr defaultRowHeight="14.4" x14ac:dyDescent="0.3"/>
  <cols>
    <col min="1" max="1" width="15.33203125" bestFit="1" customWidth="1"/>
    <col min="2" max="2" width="14.109375" bestFit="1" customWidth="1"/>
    <col min="3" max="3" width="16.77734375" bestFit="1" customWidth="1"/>
    <col min="4" max="4" width="37.44140625" bestFit="1" customWidth="1"/>
    <col min="5" max="5" width="31.77734375" bestFit="1" customWidth="1"/>
    <col min="6" max="6" width="14.77734375" bestFit="1" customWidth="1"/>
    <col min="7" max="7" width="13.6640625" bestFit="1" customWidth="1"/>
    <col min="12" max="12" width="14.77734375" style="9" bestFit="1" customWidth="1"/>
    <col min="13" max="13" width="15.33203125" bestFit="1" customWidth="1"/>
  </cols>
  <sheetData>
    <row r="1" spans="1:14" x14ac:dyDescent="0.3">
      <c r="A1" t="s">
        <v>789</v>
      </c>
      <c r="B1" t="s">
        <v>823</v>
      </c>
      <c r="C1" t="s">
        <v>798</v>
      </c>
      <c r="D1" t="s">
        <v>824</v>
      </c>
      <c r="E1" s="19" t="s">
        <v>118</v>
      </c>
      <c r="F1" s="20" t="s">
        <v>116</v>
      </c>
      <c r="G1" s="20" t="s">
        <v>117</v>
      </c>
      <c r="L1" s="9" t="s">
        <v>116</v>
      </c>
      <c r="M1" t="s">
        <v>789</v>
      </c>
      <c r="N1" t="s">
        <v>823</v>
      </c>
    </row>
    <row r="2" spans="1:14" x14ac:dyDescent="0.3">
      <c r="A2" t="str">
        <f>VLOOKUP(Table3[[#This Row],[COMPANYNO]],L:M,2)</f>
        <v>Dragados Canada</v>
      </c>
      <c r="B2" t="str">
        <f>VLOOKUP(Table3[[#This Row],[COMPANYNO]],L:N,3)</f>
        <v>East Canada</v>
      </c>
      <c r="C2" t="s">
        <v>1509</v>
      </c>
      <c r="D2" t="str">
        <f>Table3[[#This Row],[COMPANYNO]]&amp;"/"&amp;Table3[[#This Row],[DIVISIONNO]]&amp;"-"&amp;Table3[[#This Row],[COMPANYNAME]]</f>
        <v>9/2-* White River Hydroelectric Pr</v>
      </c>
      <c r="E2" s="21" t="s">
        <v>355</v>
      </c>
      <c r="F2" s="22">
        <v>9</v>
      </c>
      <c r="G2" s="22">
        <v>2</v>
      </c>
      <c r="L2" s="9">
        <v>0</v>
      </c>
      <c r="M2" t="s">
        <v>797</v>
      </c>
      <c r="N2" t="s">
        <v>799</v>
      </c>
    </row>
    <row r="3" spans="1:14" x14ac:dyDescent="0.3">
      <c r="A3" t="str">
        <f>VLOOKUP(Table3[[#This Row],[COMPANYNO]],L:M,2)</f>
        <v>Dragados Canada</v>
      </c>
      <c r="B3" t="str">
        <f>VLOOKUP(Table3[[#This Row],[COMPANYNO]],L:N,3)</f>
        <v>East Canada</v>
      </c>
      <c r="C3" t="s">
        <v>1509</v>
      </c>
      <c r="D3" t="str">
        <f>Table3[[#This Row],[COMPANYNO]]&amp;"/"&amp;Table3[[#This Row],[DIVISIONNO]]&amp;"-"&amp;Table3[[#This Row],[COMPANYNAME]]</f>
        <v>9/3-Dragados Canada Closed Jobs</v>
      </c>
      <c r="E3" s="23" t="s">
        <v>678</v>
      </c>
      <c r="F3" s="24">
        <v>9</v>
      </c>
      <c r="G3" s="24">
        <v>3</v>
      </c>
      <c r="L3" s="9">
        <v>1</v>
      </c>
      <c r="M3" t="s">
        <v>790</v>
      </c>
      <c r="N3" t="s">
        <v>800</v>
      </c>
    </row>
    <row r="4" spans="1:14" x14ac:dyDescent="0.3">
      <c r="A4" t="str">
        <f>VLOOKUP(Table3[[#This Row],[COMPANYNO]],L:M,2)</f>
        <v>Dragados Canada</v>
      </c>
      <c r="B4" t="str">
        <f>VLOOKUP(Table3[[#This Row],[COMPANYNO]],L:N,3)</f>
        <v>Payroll</v>
      </c>
      <c r="C4" t="s">
        <v>1509</v>
      </c>
      <c r="D4" t="str">
        <f>Table3[[#This Row],[COMPANYNO]]&amp;"/"&amp;Table3[[#This Row],[DIVISIONNO]]&amp;"-"&amp;Table3[[#This Row],[COMPANYNAME]]</f>
        <v>13/2-DBB 427 Labor Co</v>
      </c>
      <c r="E4" s="21" t="s">
        <v>713</v>
      </c>
      <c r="F4" s="22">
        <v>13</v>
      </c>
      <c r="G4" s="22">
        <v>2</v>
      </c>
      <c r="L4" s="9">
        <v>2</v>
      </c>
      <c r="M4" t="s">
        <v>790</v>
      </c>
      <c r="N4" t="s">
        <v>801</v>
      </c>
    </row>
    <row r="5" spans="1:14" x14ac:dyDescent="0.3">
      <c r="A5" t="str">
        <f>VLOOKUP(Table3[[#This Row],[COMPANYNO]],L:M,2)</f>
        <v>Dragados Canada</v>
      </c>
      <c r="B5" t="str">
        <f>VLOOKUP(Table3[[#This Row],[COMPANYNO]],L:N,3)</f>
        <v>Payroll</v>
      </c>
      <c r="C5" t="s">
        <v>1509</v>
      </c>
      <c r="D5" t="str">
        <f>Table3[[#This Row],[COMPANYNO]]&amp;"/"&amp;Table3[[#This Row],[DIVISIONNO]]&amp;"-"&amp;Table3[[#This Row],[COMPANYNAME]]</f>
        <v>13/3-BNA CA DFA Inc.</v>
      </c>
      <c r="E5" s="23" t="s">
        <v>787</v>
      </c>
      <c r="F5" s="24">
        <v>13</v>
      </c>
      <c r="G5" s="24">
        <v>3</v>
      </c>
      <c r="L5" s="9">
        <v>3</v>
      </c>
      <c r="M5" t="s">
        <v>790</v>
      </c>
      <c r="N5" t="s">
        <v>802</v>
      </c>
    </row>
    <row r="6" spans="1:14" x14ac:dyDescent="0.3">
      <c r="A6" t="str">
        <f>VLOOKUP(Table3[[#This Row],[COMPANYNO]],L:M,2)</f>
        <v>Dragados Canada</v>
      </c>
      <c r="B6" t="str">
        <f>VLOOKUP(Table3[[#This Row],[COMPANYNO]],L:N,3)</f>
        <v>Corporate</v>
      </c>
      <c r="C6" t="s">
        <v>1509</v>
      </c>
      <c r="D6" t="str">
        <f>Table3[[#This Row],[COMPANYNO]]&amp;"/"&amp;Table3[[#This Row],[DIVISIONNO]]&amp;"-"&amp;Table3[[#This Row],[COMPANYNAME]]</f>
        <v>91/2-Vias Canada, Inc.</v>
      </c>
      <c r="E6" s="21" t="s">
        <v>179</v>
      </c>
      <c r="F6" s="22">
        <v>91</v>
      </c>
      <c r="G6" s="22">
        <v>2</v>
      </c>
      <c r="L6" s="9">
        <v>4</v>
      </c>
      <c r="M6" t="s">
        <v>790</v>
      </c>
      <c r="N6" t="s">
        <v>803</v>
      </c>
    </row>
    <row r="7" spans="1:14" x14ac:dyDescent="0.3">
      <c r="A7" t="str">
        <f>VLOOKUP(Table3[[#This Row],[COMPANYNO]],L:M,2)</f>
        <v>Dragados USA</v>
      </c>
      <c r="B7" t="str">
        <f>VLOOKUP(Table3[[#This Row],[COMPANYNO]],L:N,3)</f>
        <v>New York</v>
      </c>
      <c r="C7" t="s">
        <v>1509</v>
      </c>
      <c r="D7" t="str">
        <f>Table3[[#This Row],[COMPANYNO]]&amp;"/"&amp;Table3[[#This Row],[DIVISIONNO]]&amp;"-"&amp;Table3[[#This Row],[COMPANYNAME]]</f>
        <v>1/2-* ESA CM009</v>
      </c>
      <c r="E7" s="21" t="s">
        <v>361</v>
      </c>
      <c r="F7" s="22">
        <v>1</v>
      </c>
      <c r="G7" s="22">
        <v>2</v>
      </c>
      <c r="L7" s="9">
        <v>5</v>
      </c>
      <c r="M7" t="s">
        <v>790</v>
      </c>
      <c r="N7" t="s">
        <v>804</v>
      </c>
    </row>
    <row r="8" spans="1:14" x14ac:dyDescent="0.3">
      <c r="A8" t="str">
        <f>VLOOKUP(Table3[[#This Row],[COMPANYNO]],L:M,2)</f>
        <v>Dragados USA</v>
      </c>
      <c r="B8" t="str">
        <f>VLOOKUP(Table3[[#This Row],[COMPANYNO]],L:N,3)</f>
        <v>New York</v>
      </c>
      <c r="C8" t="s">
        <v>1509</v>
      </c>
      <c r="D8" t="str">
        <f>Table3[[#This Row],[COMPANYNO]]&amp;"/"&amp;Table3[[#This Row],[DIVISIONNO]]&amp;"-"&amp;Table3[[#This Row],[COMPANYNAME]]</f>
        <v>1/3-* ESA CM019</v>
      </c>
      <c r="E8" s="23" t="s">
        <v>362</v>
      </c>
      <c r="F8" s="24">
        <v>1</v>
      </c>
      <c r="G8" s="24">
        <v>3</v>
      </c>
      <c r="L8" s="9">
        <v>6</v>
      </c>
      <c r="M8" t="s">
        <v>790</v>
      </c>
      <c r="N8" t="s">
        <v>805</v>
      </c>
    </row>
    <row r="9" spans="1:14" x14ac:dyDescent="0.3">
      <c r="A9" t="str">
        <f>VLOOKUP(Table3[[#This Row],[COMPANYNO]],L:M,2)</f>
        <v>Dragados USA</v>
      </c>
      <c r="B9" t="str">
        <f>VLOOKUP(Table3[[#This Row],[COMPANYNO]],L:N,3)</f>
        <v>Florida</v>
      </c>
      <c r="C9" t="s">
        <v>1509</v>
      </c>
      <c r="D9" t="str">
        <f>Table3[[#This Row],[COMPANYNO]]&amp;"/"&amp;Table3[[#This Row],[DIVISIONNO]]&amp;"-"&amp;Table3[[#This Row],[COMPANYNAME]]</f>
        <v>2/2-* FLDOT - SMALL PROJECTS</v>
      </c>
      <c r="E9" s="21" t="s">
        <v>178</v>
      </c>
      <c r="F9" s="22">
        <v>2</v>
      </c>
      <c r="G9" s="22">
        <v>2</v>
      </c>
      <c r="L9" s="9">
        <v>7</v>
      </c>
      <c r="M9" t="s">
        <v>790</v>
      </c>
      <c r="N9" t="s">
        <v>815</v>
      </c>
    </row>
    <row r="10" spans="1:14" x14ac:dyDescent="0.3">
      <c r="A10" t="str">
        <f>VLOOKUP(Table3[[#This Row],[COMPANYNO]],L:M,2)</f>
        <v>Dragados USA</v>
      </c>
      <c r="B10" t="str">
        <f>VLOOKUP(Table3[[#This Row],[COMPANYNO]],L:N,3)</f>
        <v>Florida</v>
      </c>
      <c r="C10" t="s">
        <v>1509</v>
      </c>
      <c r="D10" t="str">
        <f>Table3[[#This Row],[COMPANYNO]]&amp;"/"&amp;Table3[[#This Row],[DIVISIONNO]]&amp;"-"&amp;Table3[[#This Row],[COMPANYNAME]]</f>
        <v>2/3-SR-23 PROJECT SEGMENT 1</v>
      </c>
      <c r="E10" s="23" t="s">
        <v>344</v>
      </c>
      <c r="F10" s="24">
        <v>2</v>
      </c>
      <c r="G10" s="24">
        <v>3</v>
      </c>
      <c r="L10" s="9">
        <v>8</v>
      </c>
      <c r="M10" t="s">
        <v>790</v>
      </c>
      <c r="N10" t="s">
        <v>807</v>
      </c>
    </row>
    <row r="11" spans="1:14" x14ac:dyDescent="0.3">
      <c r="A11" t="str">
        <f>VLOOKUP(Table3[[#This Row],[COMPANYNO]],L:M,2)</f>
        <v>Dragados USA</v>
      </c>
      <c r="B11" t="str">
        <f>VLOOKUP(Table3[[#This Row],[COMPANYNO]],L:N,3)</f>
        <v>Florida</v>
      </c>
      <c r="C11" t="s">
        <v>1509</v>
      </c>
      <c r="D11" t="str">
        <f>Table3[[#This Row],[COMPANYNO]]&amp;"/"&amp;Table3[[#This Row],[DIVISIONNO]]&amp;"-"&amp;Table3[[#This Row],[COMPANYNAME]]</f>
        <v>2/4-SR-23 PROJECT SEGMENT 2</v>
      </c>
      <c r="E11" s="21" t="s">
        <v>365</v>
      </c>
      <c r="F11" s="22">
        <v>2</v>
      </c>
      <c r="G11" s="22">
        <v>4</v>
      </c>
      <c r="L11" s="9">
        <v>9</v>
      </c>
      <c r="M11" t="s">
        <v>791</v>
      </c>
      <c r="N11" t="s">
        <v>808</v>
      </c>
    </row>
    <row r="12" spans="1:14" x14ac:dyDescent="0.3">
      <c r="A12" t="str">
        <f>VLOOKUP(Table3[[#This Row],[COMPANYNO]],L:M,2)</f>
        <v>Dragados USA</v>
      </c>
      <c r="B12" t="str">
        <f>VLOOKUP(Table3[[#This Row],[COMPANYNO]],L:N,3)</f>
        <v>Florida</v>
      </c>
      <c r="C12" t="s">
        <v>1509</v>
      </c>
      <c r="D12" t="str">
        <f>Table3[[#This Row],[COMPANYNO]]&amp;"/"&amp;Table3[[#This Row],[DIVISIONNO]]&amp;"-"&amp;Table3[[#This Row],[COMPANYNAME]]</f>
        <v>2/5-I-75 Segment E Express Lanes</v>
      </c>
      <c r="E12" s="23" t="s">
        <v>366</v>
      </c>
      <c r="F12" s="24">
        <v>2</v>
      </c>
      <c r="G12" s="24">
        <v>5</v>
      </c>
      <c r="L12" s="9">
        <v>10</v>
      </c>
      <c r="M12" t="s">
        <v>791</v>
      </c>
      <c r="N12" t="s">
        <v>809</v>
      </c>
    </row>
    <row r="13" spans="1:14" x14ac:dyDescent="0.3">
      <c r="A13" t="str">
        <f>VLOOKUP(Table3[[#This Row],[COMPANYNO]],L:M,2)</f>
        <v>Dragados USA</v>
      </c>
      <c r="B13" t="str">
        <f>VLOOKUP(Table3[[#This Row],[COMPANYNO]],L:N,3)</f>
        <v>Florida</v>
      </c>
      <c r="C13" t="s">
        <v>1509</v>
      </c>
      <c r="D13" t="str">
        <f>Table3[[#This Row],[COMPANYNO]]&amp;"/"&amp;Table3[[#This Row],[DIVISIONNO]]&amp;"-"&amp;Table3[[#This Row],[COMPANYNAME]]</f>
        <v>2/6-Wilson Interchange</v>
      </c>
      <c r="E13" s="21" t="s">
        <v>369</v>
      </c>
      <c r="F13" s="22">
        <v>2</v>
      </c>
      <c r="G13" s="22">
        <v>6</v>
      </c>
      <c r="L13" s="9">
        <v>11</v>
      </c>
      <c r="M13" t="s">
        <v>791</v>
      </c>
      <c r="N13" t="s">
        <v>810</v>
      </c>
    </row>
    <row r="14" spans="1:14" x14ac:dyDescent="0.3">
      <c r="A14" t="str">
        <f>VLOOKUP(Table3[[#This Row],[COMPANYNO]],L:M,2)</f>
        <v>Dragados USA</v>
      </c>
      <c r="B14" t="str">
        <f>VLOOKUP(Table3[[#This Row],[COMPANYNO]],L:N,3)</f>
        <v>Florida</v>
      </c>
      <c r="C14" t="s">
        <v>1509</v>
      </c>
      <c r="D14" t="str">
        <f>Table3[[#This Row],[COMPANYNO]]&amp;"/"&amp;Table3[[#This Row],[DIVISIONNO]]&amp;"-"&amp;Table3[[#This Row],[COMPANYNAME]]</f>
        <v>2/7-I-295 Express Lanes</v>
      </c>
      <c r="E14" s="23" t="s">
        <v>417</v>
      </c>
      <c r="F14" s="24">
        <v>2</v>
      </c>
      <c r="G14" s="24">
        <v>7</v>
      </c>
      <c r="L14" s="9">
        <v>12</v>
      </c>
      <c r="M14" t="s">
        <v>797</v>
      </c>
      <c r="N14" t="s">
        <v>811</v>
      </c>
    </row>
    <row r="15" spans="1:14" x14ac:dyDescent="0.3">
      <c r="A15" t="str">
        <f>VLOOKUP(Table3[[#This Row],[COMPANYNO]],L:M,2)</f>
        <v>Dragados USA</v>
      </c>
      <c r="B15" t="str">
        <f>VLOOKUP(Table3[[#This Row],[COMPANYNO]],L:N,3)</f>
        <v>Puerto Rico</v>
      </c>
      <c r="C15" t="s">
        <v>1509</v>
      </c>
      <c r="D15" t="str">
        <f>Table3[[#This Row],[COMPANYNO]]&amp;"/"&amp;Table3[[#This Row],[DIVISIONNO]]&amp;"-"&amp;Table3[[#This Row],[COMPANYNAME]]</f>
        <v>3/2-Portugues Dam</v>
      </c>
      <c r="E15" s="21" t="s">
        <v>131</v>
      </c>
      <c r="F15" s="22">
        <v>3</v>
      </c>
      <c r="G15" s="22">
        <v>2</v>
      </c>
      <c r="L15" s="9">
        <v>13</v>
      </c>
      <c r="M15" t="s">
        <v>791</v>
      </c>
      <c r="N15" t="s">
        <v>812</v>
      </c>
    </row>
    <row r="16" spans="1:14" x14ac:dyDescent="0.3">
      <c r="A16" t="str">
        <f>VLOOKUP(Table3[[#This Row],[COMPANYNO]],L:M,2)</f>
        <v>Dragados USA</v>
      </c>
      <c r="B16" t="str">
        <f>VLOOKUP(Table3[[#This Row],[COMPANYNO]],L:N,3)</f>
        <v>Puerto Rico</v>
      </c>
      <c r="C16" t="s">
        <v>1509</v>
      </c>
      <c r="D16" t="str">
        <f>Table3[[#This Row],[COMPANYNO]]&amp;"/"&amp;Table3[[#This Row],[DIVISIONNO]]&amp;"-"&amp;Table3[[#This Row],[COMPANYNAME]]</f>
        <v>3/3-Rio Puerto Nuevo</v>
      </c>
      <c r="E16" s="23" t="s">
        <v>132</v>
      </c>
      <c r="F16" s="24">
        <v>3</v>
      </c>
      <c r="G16" s="24">
        <v>3</v>
      </c>
      <c r="L16" s="9">
        <v>20</v>
      </c>
      <c r="M16" t="s">
        <v>790</v>
      </c>
      <c r="N16" t="s">
        <v>813</v>
      </c>
    </row>
    <row r="17" spans="1:14" x14ac:dyDescent="0.3">
      <c r="A17" t="str">
        <f>VLOOKUP(Table3[[#This Row],[COMPANYNO]],L:M,2)</f>
        <v>Dragados USA</v>
      </c>
      <c r="B17" t="str">
        <f>VLOOKUP(Table3[[#This Row],[COMPANYNO]],L:N,3)</f>
        <v>Puerto Rico</v>
      </c>
      <c r="C17" t="s">
        <v>1509</v>
      </c>
      <c r="D17" t="str">
        <f>Table3[[#This Row],[COMPANYNO]]&amp;"/"&amp;Table3[[#This Row],[DIVISIONNO]]&amp;"-"&amp;Table3[[#This Row],[COMPANYNAME]]</f>
        <v>3/4-Channel Beechara</v>
      </c>
      <c r="E17" s="21" t="s">
        <v>172</v>
      </c>
      <c r="F17" s="22">
        <v>3</v>
      </c>
      <c r="G17" s="22">
        <v>4</v>
      </c>
      <c r="L17" s="9">
        <v>22</v>
      </c>
      <c r="M17" t="s">
        <v>790</v>
      </c>
      <c r="N17" t="s">
        <v>814</v>
      </c>
    </row>
    <row r="18" spans="1:14" x14ac:dyDescent="0.3">
      <c r="A18" t="str">
        <f>VLOOKUP(Table3[[#This Row],[COMPANYNO]],L:M,2)</f>
        <v>Dragados USA</v>
      </c>
      <c r="B18" t="str">
        <f>VLOOKUP(Table3[[#This Row],[COMPANYNO]],L:N,3)</f>
        <v>I-595</v>
      </c>
      <c r="C18" t="s">
        <v>1509</v>
      </c>
      <c r="D18" t="str">
        <f>Table3[[#This Row],[COMPANYNO]]&amp;"/"&amp;Table3[[#This Row],[DIVISIONNO]]&amp;"-"&amp;Table3[[#This Row],[COMPANYNAME]]</f>
        <v>4/2-Dragados USA, Inc. I-595</v>
      </c>
      <c r="E18" s="21" t="s">
        <v>130</v>
      </c>
      <c r="F18" s="22">
        <v>4</v>
      </c>
      <c r="G18" s="22">
        <v>2</v>
      </c>
      <c r="L18" s="9">
        <v>45</v>
      </c>
      <c r="M18" t="s">
        <v>792</v>
      </c>
      <c r="N18" t="s">
        <v>806</v>
      </c>
    </row>
    <row r="19" spans="1:14" x14ac:dyDescent="0.3">
      <c r="A19" t="str">
        <f>VLOOKUP(Table3[[#This Row],[COMPANYNO]],L:M,2)</f>
        <v>Dragados USA</v>
      </c>
      <c r="B19" t="str">
        <f>VLOOKUP(Table3[[#This Row],[COMPANYNO]],L:N,3)</f>
        <v>I-595</v>
      </c>
      <c r="C19" t="s">
        <v>1509</v>
      </c>
      <c r="D19" t="str">
        <f>Table3[[#This Row],[COMPANYNO]]&amp;"/"&amp;Table3[[#This Row],[DIVISIONNO]]&amp;"-"&amp;Table3[[#This Row],[COMPANYNAME]]</f>
        <v>4/3-SW 121 Avenue Project</v>
      </c>
      <c r="E19" s="23" t="s">
        <v>173</v>
      </c>
      <c r="F19" s="24">
        <v>4</v>
      </c>
      <c r="G19" s="24">
        <v>3</v>
      </c>
      <c r="L19" s="9">
        <v>50</v>
      </c>
      <c r="M19" t="s">
        <v>793</v>
      </c>
      <c r="N19" t="s">
        <v>816</v>
      </c>
    </row>
    <row r="20" spans="1:14" x14ac:dyDescent="0.3">
      <c r="A20" t="str">
        <f>VLOOKUP(Table3[[#This Row],[COMPANYNO]],L:M,2)</f>
        <v>Dragados USA</v>
      </c>
      <c r="B20" t="str">
        <f>VLOOKUP(Table3[[#This Row],[COMPANYNO]],L:N,3)</f>
        <v>I-595</v>
      </c>
      <c r="C20" t="s">
        <v>1509</v>
      </c>
      <c r="D20" t="str">
        <f>Table3[[#This Row],[COMPANYNO]]&amp;"/"&amp;Table3[[#This Row],[DIVISIONNO]]&amp;"-"&amp;Table3[[#This Row],[COMPANYNAME]]</f>
        <v>4/4-DRAGADOS USA - SR 838</v>
      </c>
      <c r="E20" s="21" t="s">
        <v>352</v>
      </c>
      <c r="F20" s="22">
        <v>4</v>
      </c>
      <c r="G20" s="22">
        <v>4</v>
      </c>
      <c r="L20" s="9">
        <v>60</v>
      </c>
      <c r="M20" t="s">
        <v>794</v>
      </c>
      <c r="N20" t="s">
        <v>817</v>
      </c>
    </row>
    <row r="21" spans="1:14" x14ac:dyDescent="0.3">
      <c r="A21" t="str">
        <f>VLOOKUP(Table3[[#This Row],[COMPANYNO]],L:M,2)</f>
        <v>Dragados USA</v>
      </c>
      <c r="B21" t="str">
        <f>VLOOKUP(Table3[[#This Row],[COMPANYNO]],L:N,3)</f>
        <v>North Pacific</v>
      </c>
      <c r="C21" t="s">
        <v>1509</v>
      </c>
      <c r="D21" t="str">
        <f>Table3[[#This Row],[COMPANYNO]]&amp;"/"&amp;Table3[[#This Row],[DIVISIONNO]]&amp;"-"&amp;Table3[[#This Row],[COMPANYNAME]]</f>
        <v>5/2-EchoWater - BNR</v>
      </c>
      <c r="E21" s="23" t="s">
        <v>256</v>
      </c>
      <c r="F21" s="24">
        <v>5</v>
      </c>
      <c r="G21" s="24">
        <v>2</v>
      </c>
      <c r="L21" s="9">
        <v>61</v>
      </c>
      <c r="M21" t="s">
        <v>794</v>
      </c>
      <c r="N21" t="s">
        <v>805</v>
      </c>
    </row>
    <row r="22" spans="1:14" x14ac:dyDescent="0.3">
      <c r="A22" t="str">
        <f>VLOOKUP(Table3[[#This Row],[COMPANYNO]],L:M,2)</f>
        <v>Dragados USA</v>
      </c>
      <c r="B22" t="str">
        <f>VLOOKUP(Table3[[#This Row],[COMPANYNO]],L:N,3)</f>
        <v>Massachusets</v>
      </c>
      <c r="C22" t="s">
        <v>1509</v>
      </c>
      <c r="D22" t="str">
        <f>Table3[[#This Row],[COMPANYNO]]&amp;"/"&amp;Table3[[#This Row],[DIVISIONNO]]&amp;"-"&amp;Table3[[#This Row],[COMPANYNAME]]</f>
        <v>7/2-Own Job free space</v>
      </c>
      <c r="E22" s="21" t="s">
        <v>252</v>
      </c>
      <c r="F22" s="22">
        <v>7</v>
      </c>
      <c r="G22" s="22">
        <v>2</v>
      </c>
      <c r="L22" s="9">
        <v>62</v>
      </c>
      <c r="M22" t="s">
        <v>794</v>
      </c>
      <c r="N22" t="s">
        <v>814</v>
      </c>
    </row>
    <row r="23" spans="1:14" x14ac:dyDescent="0.3">
      <c r="A23" t="str">
        <f>VLOOKUP(Table3[[#This Row],[COMPANYNO]],L:M,2)</f>
        <v>Dragados USA</v>
      </c>
      <c r="B23" t="str">
        <f>VLOOKUP(Table3[[#This Row],[COMPANYNO]],L:N,3)</f>
        <v>Mid Atlantic</v>
      </c>
      <c r="C23" t="s">
        <v>1509</v>
      </c>
      <c r="D23" t="str">
        <f>Table3[[#This Row],[COMPANYNO]]&amp;"/"&amp;Table3[[#This Row],[DIVISIONNO]]&amp;"-"&amp;Table3[[#This Row],[COMPANYNAME]]</f>
        <v>8/2-Camp Lejeune Project</v>
      </c>
      <c r="E23" s="21" t="s">
        <v>253</v>
      </c>
      <c r="F23" s="22">
        <v>8</v>
      </c>
      <c r="G23" s="22">
        <v>2</v>
      </c>
      <c r="L23" s="9">
        <v>65</v>
      </c>
      <c r="M23" t="s">
        <v>794</v>
      </c>
      <c r="N23" t="s">
        <v>818</v>
      </c>
    </row>
    <row r="24" spans="1:14" x14ac:dyDescent="0.3">
      <c r="A24" t="str">
        <f>VLOOKUP(Table3[[#This Row],[COMPANYNO]],L:M,2)</f>
        <v>Dragados USA</v>
      </c>
      <c r="B24" t="str">
        <f>VLOOKUP(Table3[[#This Row],[COMPANYNO]],L:N,3)</f>
        <v>Mid Atlantic</v>
      </c>
      <c r="C24" t="s">
        <v>1509</v>
      </c>
      <c r="D24" t="str">
        <f>Table3[[#This Row],[COMPANYNO]]&amp;"/"&amp;Table3[[#This Row],[DIVISIONNO]]&amp;"-"&amp;Table3[[#This Row],[COMPANYNAME]]</f>
        <v>8/3-Winston Beltway</v>
      </c>
      <c r="E24" s="23" t="s">
        <v>423</v>
      </c>
      <c r="F24" s="24">
        <v>8</v>
      </c>
      <c r="G24" s="24">
        <v>3</v>
      </c>
      <c r="L24" s="9">
        <v>68</v>
      </c>
      <c r="M24" t="s">
        <v>794</v>
      </c>
      <c r="N24" t="s">
        <v>819</v>
      </c>
    </row>
    <row r="25" spans="1:14" x14ac:dyDescent="0.3">
      <c r="A25" t="str">
        <f>VLOOKUP(Table3[[#This Row],[COMPANYNO]],L:M,2)</f>
        <v>Dragados USA</v>
      </c>
      <c r="B25" t="str">
        <f>VLOOKUP(Table3[[#This Row],[COMPANYNO]],L:N,3)</f>
        <v>Mid Atlantic</v>
      </c>
      <c r="C25" t="s">
        <v>1509</v>
      </c>
      <c r="D25" t="str">
        <f>Table3[[#This Row],[COMPANYNO]]&amp;"/"&amp;Table3[[#This Row],[DIVISIONNO]]&amp;"-"&amp;Table3[[#This Row],[COMPANYNAME]]</f>
        <v>8/4-Durham Connector</v>
      </c>
      <c r="E25" s="21" t="s">
        <v>424</v>
      </c>
      <c r="F25" s="22">
        <v>8</v>
      </c>
      <c r="G25" s="22">
        <v>4</v>
      </c>
      <c r="L25" s="9">
        <v>70</v>
      </c>
      <c r="M25" t="s">
        <v>797</v>
      </c>
      <c r="N25" t="s">
        <v>811</v>
      </c>
    </row>
    <row r="26" spans="1:14" x14ac:dyDescent="0.3">
      <c r="A26" t="str">
        <f>VLOOKUP(Table3[[#This Row],[COMPANYNO]],L:M,2)</f>
        <v>Dragados USA</v>
      </c>
      <c r="B26" t="str">
        <f>VLOOKUP(Table3[[#This Row],[COMPANYNO]],L:N,3)</f>
        <v>Texas</v>
      </c>
      <c r="C26" t="s">
        <v>1509</v>
      </c>
      <c r="D26" t="str">
        <f>Table3[[#This Row],[COMPANYNO]]&amp;"/"&amp;Table3[[#This Row],[DIVISIONNO]]&amp;"-"&amp;Table3[[#This Row],[COMPANYNAME]]</f>
        <v>22/2-Outfall Tunnel</v>
      </c>
      <c r="E26" s="21" t="s">
        <v>788</v>
      </c>
      <c r="F26" s="22">
        <v>22</v>
      </c>
      <c r="G26" s="22">
        <v>2</v>
      </c>
      <c r="L26" s="9">
        <v>71</v>
      </c>
      <c r="M26" t="s">
        <v>797</v>
      </c>
      <c r="N26" t="s">
        <v>811</v>
      </c>
    </row>
    <row r="27" spans="1:14" x14ac:dyDescent="0.3">
      <c r="A27" t="str">
        <f>VLOOKUP(Table3[[#This Row],[COMPANYNO]],L:M,2)</f>
        <v>JF White</v>
      </c>
      <c r="B27" t="str">
        <f>VLOOKUP(Table3[[#This Row],[COMPANYNO]],L:N,3)</f>
        <v>Boston</v>
      </c>
      <c r="C27" t="s">
        <v>1509</v>
      </c>
      <c r="D27" t="str">
        <f>Table3[[#This Row],[COMPANYNO]]&amp;"/"&amp;Table3[[#This Row],[DIVISIONNO]]&amp;"-"&amp;Table3[[#This Row],[COMPANYNAME]]</f>
        <v>45/2-Deerfield I91 Over Lower Rd</v>
      </c>
      <c r="E27" s="23" t="s">
        <v>559</v>
      </c>
      <c r="F27" s="24">
        <v>45</v>
      </c>
      <c r="G27" s="24">
        <v>2</v>
      </c>
      <c r="L27" s="9">
        <v>75</v>
      </c>
      <c r="M27" t="s">
        <v>795</v>
      </c>
      <c r="N27" t="s">
        <v>820</v>
      </c>
    </row>
    <row r="28" spans="1:14" x14ac:dyDescent="0.3">
      <c r="A28" t="str">
        <f>VLOOKUP(Table3[[#This Row],[COMPANYNO]],L:M,2)</f>
        <v>JF White</v>
      </c>
      <c r="B28" t="str">
        <f>VLOOKUP(Table3[[#This Row],[COMPANYNO]],L:N,3)</f>
        <v>Boston</v>
      </c>
      <c r="C28" t="s">
        <v>1509</v>
      </c>
      <c r="D28" t="str">
        <f>Table3[[#This Row],[COMPANYNO]]&amp;"/"&amp;Table3[[#This Row],[DIVISIONNO]]&amp;"-"&amp;Table3[[#This Row],[COMPANYNAME]]</f>
        <v>45/3-Fitchburg Comm Rail Improve</v>
      </c>
      <c r="E28" s="21" t="s">
        <v>560</v>
      </c>
      <c r="F28" s="22">
        <v>45</v>
      </c>
      <c r="G28" s="22">
        <v>3</v>
      </c>
      <c r="L28" s="9">
        <v>80</v>
      </c>
      <c r="M28" t="s">
        <v>796</v>
      </c>
      <c r="N28" t="s">
        <v>821</v>
      </c>
    </row>
    <row r="29" spans="1:14" x14ac:dyDescent="0.3">
      <c r="A29" t="str">
        <f>VLOOKUP(Table3[[#This Row],[COMPANYNO]],L:M,2)</f>
        <v>JF White</v>
      </c>
      <c r="B29" t="str">
        <f>VLOOKUP(Table3[[#This Row],[COMPANYNO]],L:N,3)</f>
        <v>Boston</v>
      </c>
      <c r="C29" t="s">
        <v>1509</v>
      </c>
      <c r="D29" t="str">
        <f>Table3[[#This Row],[COMPANYNO]]&amp;"/"&amp;Table3[[#This Row],[DIVISIONNO]]&amp;"-"&amp;Table3[[#This Row],[COMPANYNAME]]</f>
        <v>45/4-* Logan Airport Term E</v>
      </c>
      <c r="E29" s="23" t="s">
        <v>561</v>
      </c>
      <c r="F29" s="24">
        <v>45</v>
      </c>
      <c r="G29" s="24">
        <v>4</v>
      </c>
      <c r="L29" s="9">
        <v>81</v>
      </c>
      <c r="M29" t="s">
        <v>797</v>
      </c>
      <c r="N29" t="s">
        <v>797</v>
      </c>
    </row>
    <row r="30" spans="1:14" x14ac:dyDescent="0.3">
      <c r="A30" t="str">
        <f>VLOOKUP(Table3[[#This Row],[COMPANYNO]],L:M,2)</f>
        <v>JF White</v>
      </c>
      <c r="B30" t="str">
        <f>VLOOKUP(Table3[[#This Row],[COMPANYNO]],L:N,3)</f>
        <v>Boston</v>
      </c>
      <c r="C30" t="s">
        <v>1509</v>
      </c>
      <c r="D30" t="str">
        <f>Table3[[#This Row],[COMPANYNO]]&amp;"/"&amp;Table3[[#This Row],[DIVISIONNO]]&amp;"-"&amp;Table3[[#This Row],[COMPANYNAME]]</f>
        <v>45/5-* Cargo Ventures Foundations</v>
      </c>
      <c r="E30" s="21" t="s">
        <v>562</v>
      </c>
      <c r="F30" s="22">
        <v>45</v>
      </c>
      <c r="G30" s="22">
        <v>5</v>
      </c>
      <c r="L30" s="9">
        <v>90</v>
      </c>
      <c r="M30" t="s">
        <v>790</v>
      </c>
      <c r="N30" t="s">
        <v>822</v>
      </c>
    </row>
    <row r="31" spans="1:14" x14ac:dyDescent="0.3">
      <c r="A31" t="str">
        <f>VLOOKUP(Table3[[#This Row],[COMPANYNO]],L:M,2)</f>
        <v>JF White</v>
      </c>
      <c r="B31" t="str">
        <f>VLOOKUP(Table3[[#This Row],[COMPANYNO]],L:N,3)</f>
        <v>Boston</v>
      </c>
      <c r="C31" t="s">
        <v>1509</v>
      </c>
      <c r="D31" t="str">
        <f>Table3[[#This Row],[COMPANYNO]]&amp;"/"&amp;Table3[[#This Row],[DIVISIONNO]]&amp;"-"&amp;Table3[[#This Row],[COMPANYNAME]]</f>
        <v>45/6-* WRTA Bus Maint Facility</v>
      </c>
      <c r="E31" s="23" t="s">
        <v>563</v>
      </c>
      <c r="F31" s="24">
        <v>45</v>
      </c>
      <c r="G31" s="24">
        <v>6</v>
      </c>
      <c r="L31" s="9">
        <v>91</v>
      </c>
      <c r="M31" t="s">
        <v>791</v>
      </c>
      <c r="N31" t="s">
        <v>822</v>
      </c>
    </row>
    <row r="32" spans="1:14" x14ac:dyDescent="0.3">
      <c r="A32" t="str">
        <f>VLOOKUP(Table3[[#This Row],[COMPANYNO]],L:M,2)</f>
        <v>JF White</v>
      </c>
      <c r="B32" t="str">
        <f>VLOOKUP(Table3[[#This Row],[COMPANYNO]],L:N,3)</f>
        <v>Boston</v>
      </c>
      <c r="C32" t="s">
        <v>1509</v>
      </c>
      <c r="D32" t="str">
        <f>Table3[[#This Row],[COMPANYNO]]&amp;"/"&amp;Table3[[#This Row],[DIVISIONNO]]&amp;"-"&amp;Table3[[#This Row],[COMPANYNAME]]</f>
        <v>45/7-Rehabilitate Runway 4R-Phase I</v>
      </c>
      <c r="E32" s="21" t="s">
        <v>564</v>
      </c>
      <c r="F32" s="22">
        <v>45</v>
      </c>
      <c r="G32" s="22">
        <v>7</v>
      </c>
      <c r="L32" s="9">
        <v>92</v>
      </c>
      <c r="M32" t="s">
        <v>797</v>
      </c>
      <c r="N32" t="s">
        <v>822</v>
      </c>
    </row>
    <row r="33" spans="1:14" x14ac:dyDescent="0.3">
      <c r="A33" t="str">
        <f>VLOOKUP(Table3[[#This Row],[COMPANYNO]],L:M,2)</f>
        <v>JF White</v>
      </c>
      <c r="B33" t="str">
        <f>VLOOKUP(Table3[[#This Row],[COMPANYNO]],L:N,3)</f>
        <v>Boston</v>
      </c>
      <c r="C33" t="s">
        <v>1509</v>
      </c>
      <c r="D33" t="str">
        <f>Table3[[#This Row],[COMPANYNO]]&amp;"/"&amp;Table3[[#This Row],[DIVISIONNO]]&amp;"-"&amp;Table3[[#This Row],[COMPANYNAME]]</f>
        <v>45/8-* Worcester Comm Rail Phase II</v>
      </c>
      <c r="E33" s="23" t="s">
        <v>565</v>
      </c>
      <c r="F33" s="24">
        <v>45</v>
      </c>
      <c r="G33" s="24">
        <v>8</v>
      </c>
      <c r="L33" s="9">
        <v>93</v>
      </c>
      <c r="M33" t="s">
        <v>797</v>
      </c>
      <c r="N33" t="s">
        <v>822</v>
      </c>
    </row>
    <row r="34" spans="1:14" x14ac:dyDescent="0.3">
      <c r="A34" t="str">
        <f>VLOOKUP(Table3[[#This Row],[COMPANYNO]],L:M,2)</f>
        <v>JF White</v>
      </c>
      <c r="B34" t="str">
        <f>VLOOKUP(Table3[[#This Row],[COMPANYNO]],L:N,3)</f>
        <v>Boston</v>
      </c>
      <c r="C34" t="s">
        <v>1509</v>
      </c>
      <c r="D34" t="str">
        <f>Table3[[#This Row],[COMPANYNO]]&amp;"/"&amp;Table3[[#This Row],[DIVISIONNO]]&amp;"-"&amp;Table3[[#This Row],[COMPANYNAME]]</f>
        <v>45/9-* Rehab of Term A &amp; Taxi E and</v>
      </c>
      <c r="E34" s="21" t="s">
        <v>566</v>
      </c>
      <c r="F34" s="22">
        <v>45</v>
      </c>
      <c r="G34" s="22">
        <v>9</v>
      </c>
      <c r="L34" s="9">
        <v>94</v>
      </c>
      <c r="M34" t="s">
        <v>797</v>
      </c>
      <c r="N34" t="s">
        <v>822</v>
      </c>
    </row>
    <row r="35" spans="1:14" x14ac:dyDescent="0.3">
      <c r="A35" t="str">
        <f>VLOOKUP(Table3[[#This Row],[COMPANYNO]],L:M,2)</f>
        <v>JF White</v>
      </c>
      <c r="B35" t="str">
        <f>VLOOKUP(Table3[[#This Row],[COMPANYNO]],L:N,3)</f>
        <v>Boston</v>
      </c>
      <c r="C35" t="s">
        <v>1509</v>
      </c>
      <c r="D35" t="str">
        <f>Table3[[#This Row],[COMPANYNO]]&amp;"/"&amp;Table3[[#This Row],[DIVISIONNO]]&amp;"-"&amp;Table3[[#This Row],[COMPANYNAME]]</f>
        <v>45/10-Tufts Univ Science &amp; Eng Ctr</v>
      </c>
      <c r="E35" s="23" t="s">
        <v>567</v>
      </c>
      <c r="F35" s="24">
        <v>45</v>
      </c>
      <c r="G35" s="24">
        <v>10</v>
      </c>
      <c r="L35" s="9">
        <v>95</v>
      </c>
      <c r="M35" t="s">
        <v>797</v>
      </c>
      <c r="N35" t="s">
        <v>822</v>
      </c>
    </row>
    <row r="36" spans="1:14" x14ac:dyDescent="0.3">
      <c r="A36" t="str">
        <f>VLOOKUP(Table3[[#This Row],[COMPANYNO]],L:M,2)</f>
        <v>JF White</v>
      </c>
      <c r="B36" t="str">
        <f>VLOOKUP(Table3[[#This Row],[COMPANYNO]],L:N,3)</f>
        <v>Boston</v>
      </c>
      <c r="C36" t="s">
        <v>1509</v>
      </c>
      <c r="D36" t="str">
        <f>Table3[[#This Row],[COMPANYNO]]&amp;"/"&amp;Table3[[#This Row],[DIVISIONNO]]&amp;"-"&amp;Table3[[#This Row],[COMPANYNAME]]</f>
        <v>45/11-* Harborside Dr&amp;Arrivals Tunne</v>
      </c>
      <c r="E36" s="21" t="s">
        <v>568</v>
      </c>
      <c r="F36" s="22">
        <v>45</v>
      </c>
      <c r="G36" s="22">
        <v>11</v>
      </c>
      <c r="L36" s="9">
        <v>96</v>
      </c>
      <c r="M36" t="s">
        <v>794</v>
      </c>
      <c r="N36" t="s">
        <v>822</v>
      </c>
    </row>
    <row r="37" spans="1:14" x14ac:dyDescent="0.3">
      <c r="A37" t="str">
        <f>VLOOKUP(Table3[[#This Row],[COMPANYNO]],L:M,2)</f>
        <v>JF White</v>
      </c>
      <c r="B37" t="str">
        <f>VLOOKUP(Table3[[#This Row],[COMPANYNO]],L:N,3)</f>
        <v>Boston</v>
      </c>
      <c r="C37" t="s">
        <v>1509</v>
      </c>
      <c r="D37" t="str">
        <f>Table3[[#This Row],[COMPANYNO]]&amp;"/"&amp;Table3[[#This Row],[DIVISIONNO]]&amp;"-"&amp;Table3[[#This Row],[COMPANYNAME]]</f>
        <v>45/12-LaGrange St Bridge Rehab</v>
      </c>
      <c r="E37" s="23" t="s">
        <v>569</v>
      </c>
      <c r="F37" s="24">
        <v>45</v>
      </c>
      <c r="G37" s="24">
        <v>12</v>
      </c>
      <c r="L37" s="9">
        <v>97</v>
      </c>
      <c r="M37" t="s">
        <v>797</v>
      </c>
      <c r="N37" t="s">
        <v>822</v>
      </c>
    </row>
    <row r="38" spans="1:14" x14ac:dyDescent="0.3">
      <c r="A38" t="str">
        <f>VLOOKUP(Table3[[#This Row],[COMPANYNO]],L:M,2)</f>
        <v>JF White</v>
      </c>
      <c r="B38" t="str">
        <f>VLOOKUP(Table3[[#This Row],[COMPANYNO]],L:N,3)</f>
        <v>Boston</v>
      </c>
      <c r="C38" t="s">
        <v>1509</v>
      </c>
      <c r="D38" t="str">
        <f>Table3[[#This Row],[COMPANYNO]]&amp;"/"&amp;Table3[[#This Row],[DIVISIONNO]]&amp;"-"&amp;Table3[[#This Row],[COMPANYNAME]]</f>
        <v>45/13-* 345 Harrison Avenue</v>
      </c>
      <c r="E38" s="21" t="s">
        <v>570</v>
      </c>
      <c r="F38" s="22">
        <v>45</v>
      </c>
      <c r="G38" s="22">
        <v>13</v>
      </c>
      <c r="L38" s="9">
        <v>98</v>
      </c>
      <c r="M38" t="s">
        <v>797</v>
      </c>
      <c r="N38" t="s">
        <v>822</v>
      </c>
    </row>
    <row r="39" spans="1:14" x14ac:dyDescent="0.3">
      <c r="A39" t="str">
        <f>VLOOKUP(Table3[[#This Row],[COMPANYNO]],L:M,2)</f>
        <v>JF White</v>
      </c>
      <c r="B39" t="str">
        <f>VLOOKUP(Table3[[#This Row],[COMPANYNO]],L:N,3)</f>
        <v>Boston</v>
      </c>
      <c r="C39" t="s">
        <v>1509</v>
      </c>
      <c r="D39" t="str">
        <f>Table3[[#This Row],[COMPANYNO]]&amp;"/"&amp;Table3[[#This Row],[DIVISIONNO]]&amp;"-"&amp;Table3[[#This Row],[COMPANYNAME]]</f>
        <v>45/14-* Tufts Storm Water Improve I</v>
      </c>
      <c r="E39" s="23" t="s">
        <v>571</v>
      </c>
      <c r="F39" s="24">
        <v>45</v>
      </c>
      <c r="G39" s="24">
        <v>14</v>
      </c>
      <c r="L39" s="9">
        <v>99</v>
      </c>
      <c r="M39" t="s">
        <v>797</v>
      </c>
      <c r="N39" t="s">
        <v>822</v>
      </c>
    </row>
    <row r="40" spans="1:14" x14ac:dyDescent="0.3">
      <c r="A40" t="str">
        <f>VLOOKUP(Table3[[#This Row],[COMPANYNO]],L:M,2)</f>
        <v>JF White</v>
      </c>
      <c r="B40" t="str">
        <f>VLOOKUP(Table3[[#This Row],[COMPANYNO]],L:N,3)</f>
        <v>Boston</v>
      </c>
      <c r="C40" t="s">
        <v>1509</v>
      </c>
      <c r="D40" t="str">
        <f>Table3[[#This Row],[COMPANYNO]]&amp;"/"&amp;Table3[[#This Row],[DIVISIONNO]]&amp;"-"&amp;Table3[[#This Row],[COMPANYNAME]]</f>
        <v>45/15-Beverly Draw Swingspan Replace</v>
      </c>
      <c r="E40" s="21" t="s">
        <v>572</v>
      </c>
      <c r="F40" s="22">
        <v>45</v>
      </c>
      <c r="G40" s="22">
        <v>15</v>
      </c>
    </row>
    <row r="41" spans="1:14" x14ac:dyDescent="0.3">
      <c r="A41" t="str">
        <f>VLOOKUP(Table3[[#This Row],[COMPANYNO]],L:M,2)</f>
        <v>JF White</v>
      </c>
      <c r="B41" t="str">
        <f>VLOOKUP(Table3[[#This Row],[COMPANYNO]],L:N,3)</f>
        <v>Boston</v>
      </c>
      <c r="C41" t="s">
        <v>1509</v>
      </c>
      <c r="D41" t="str">
        <f>Table3[[#This Row],[COMPANYNO]]&amp;"/"&amp;Table3[[#This Row],[DIVISIONNO]]&amp;"-"&amp;Table3[[#This Row],[COMPANYNAME]]</f>
        <v>45/16-N Attleboro Bridge Replace I95</v>
      </c>
      <c r="E41" s="23" t="s">
        <v>573</v>
      </c>
      <c r="F41" s="24">
        <v>45</v>
      </c>
      <c r="G41" s="24">
        <v>16</v>
      </c>
    </row>
    <row r="42" spans="1:14" x14ac:dyDescent="0.3">
      <c r="A42" t="str">
        <f>VLOOKUP(Table3[[#This Row],[COMPANYNO]],L:M,2)</f>
        <v>JF White</v>
      </c>
      <c r="B42" t="str">
        <f>VLOOKUP(Table3[[#This Row],[COMPANYNO]],L:N,3)</f>
        <v>Boston</v>
      </c>
      <c r="C42" t="s">
        <v>1509</v>
      </c>
      <c r="D42" t="str">
        <f>Table3[[#This Row],[COMPANYNO]]&amp;"/"&amp;Table3[[#This Row],[DIVISIONNO]]&amp;"-"&amp;Table3[[#This Row],[COMPANYNAME]]</f>
        <v>45/17-Taxiway Worcester Reg Airport</v>
      </c>
      <c r="E42" s="21" t="s">
        <v>574</v>
      </c>
      <c r="F42" s="22">
        <v>45</v>
      </c>
      <c r="G42" s="22">
        <v>17</v>
      </c>
    </row>
    <row r="43" spans="1:14" x14ac:dyDescent="0.3">
      <c r="A43" t="str">
        <f>VLOOKUP(Table3[[#This Row],[COMPANYNO]],L:M,2)</f>
        <v>JF White</v>
      </c>
      <c r="B43" t="str">
        <f>VLOOKUP(Table3[[#This Row],[COMPANYNO]],L:N,3)</f>
        <v>Boston</v>
      </c>
      <c r="C43" t="s">
        <v>1509</v>
      </c>
      <c r="D43" t="str">
        <f>Table3[[#This Row],[COMPANYNO]]&amp;"/"&amp;Table3[[#This Row],[DIVISIONNO]]&amp;"-"&amp;Table3[[#This Row],[COMPANYNAME]]</f>
        <v>45/18-Rehabilitation RW4L-22R</v>
      </c>
      <c r="E43" s="23" t="s">
        <v>575</v>
      </c>
      <c r="F43" s="24">
        <v>45</v>
      </c>
      <c r="G43" s="24">
        <v>18</v>
      </c>
    </row>
    <row r="44" spans="1:14" x14ac:dyDescent="0.3">
      <c r="A44" t="str">
        <f>VLOOKUP(Table3[[#This Row],[COMPANYNO]],L:M,2)</f>
        <v>JF White</v>
      </c>
      <c r="B44" t="str">
        <f>VLOOKUP(Table3[[#This Row],[COMPANYNO]],L:N,3)</f>
        <v>Boston</v>
      </c>
      <c r="C44" t="s">
        <v>1509</v>
      </c>
      <c r="D44" t="str">
        <f>Table3[[#This Row],[COMPANYNO]]&amp;"/"&amp;Table3[[#This Row],[DIVISIONNO]]&amp;"-"&amp;Table3[[#This Row],[COMPANYNAME]]</f>
        <v>45/19-RIDOT Pawtucket Ave Over I195</v>
      </c>
      <c r="E44" s="21" t="s">
        <v>576</v>
      </c>
      <c r="F44" s="22">
        <v>45</v>
      </c>
      <c r="G44" s="22">
        <v>19</v>
      </c>
    </row>
    <row r="45" spans="1:14" x14ac:dyDescent="0.3">
      <c r="A45" t="str">
        <f>VLOOKUP(Table3[[#This Row],[COMPANYNO]],L:M,2)</f>
        <v>JF White</v>
      </c>
      <c r="B45" t="str">
        <f>VLOOKUP(Table3[[#This Row],[COMPANYNO]],L:N,3)</f>
        <v>Boston</v>
      </c>
      <c r="C45" t="s">
        <v>1509</v>
      </c>
      <c r="D45" t="str">
        <f>Table3[[#This Row],[COMPANYNO]]&amp;"/"&amp;Table3[[#This Row],[DIVISIONNO]]&amp;"-"&amp;Table3[[#This Row],[COMPANYNAME]]</f>
        <v>45/20-MIT Kendall Sq S Main Enabling</v>
      </c>
      <c r="E45" s="23" t="s">
        <v>577</v>
      </c>
      <c r="F45" s="24">
        <v>45</v>
      </c>
      <c r="G45" s="24">
        <v>20</v>
      </c>
    </row>
    <row r="46" spans="1:14" x14ac:dyDescent="0.3">
      <c r="A46" t="str">
        <f>VLOOKUP(Table3[[#This Row],[COMPANYNO]],L:M,2)</f>
        <v>JF White</v>
      </c>
      <c r="B46" t="str">
        <f>VLOOKUP(Table3[[#This Row],[COMPANYNO]],L:N,3)</f>
        <v>Boston</v>
      </c>
      <c r="C46" t="s">
        <v>1509</v>
      </c>
      <c r="D46" t="str">
        <f>Table3[[#This Row],[COMPANYNO]]&amp;"/"&amp;Table3[[#This Row],[DIVISIONNO]]&amp;"-"&amp;Table3[[#This Row],[COMPANYNAME]]</f>
        <v>45/21-MBTA Red Line Signal Impr</v>
      </c>
      <c r="E46" s="21" t="s">
        <v>578</v>
      </c>
      <c r="F46" s="22">
        <v>45</v>
      </c>
      <c r="G46" s="22">
        <v>21</v>
      </c>
    </row>
    <row r="47" spans="1:14" x14ac:dyDescent="0.3">
      <c r="A47" t="str">
        <f>VLOOKUP(Table3[[#This Row],[COMPANYNO]],L:M,2)</f>
        <v>JF White</v>
      </c>
      <c r="B47" t="str">
        <f>VLOOKUP(Table3[[#This Row],[COMPANYNO]],L:N,3)</f>
        <v>Boston</v>
      </c>
      <c r="C47" t="s">
        <v>1509</v>
      </c>
      <c r="D47" t="str">
        <f>Table3[[#This Row],[COMPANYNO]]&amp;"/"&amp;Table3[[#This Row],[DIVISIONNO]]&amp;"-"&amp;Table3[[#This Row],[COMPANYNAME]]</f>
        <v>45/22-Suffolk Wynn Boston Harbor</v>
      </c>
      <c r="E47" s="23" t="s">
        <v>579</v>
      </c>
      <c r="F47" s="24">
        <v>45</v>
      </c>
      <c r="G47" s="24">
        <v>22</v>
      </c>
    </row>
    <row r="48" spans="1:14" x14ac:dyDescent="0.3">
      <c r="A48" t="str">
        <f>VLOOKUP(Table3[[#This Row],[COMPANYNO]],L:M,2)</f>
        <v>JF White</v>
      </c>
      <c r="B48" t="str">
        <f>VLOOKUP(Table3[[#This Row],[COMPANYNO]],L:N,3)</f>
        <v>Boston</v>
      </c>
      <c r="C48" t="s">
        <v>1509</v>
      </c>
      <c r="D48" t="str">
        <f>Table3[[#This Row],[COMPANYNO]]&amp;"/"&amp;Table3[[#This Row],[DIVISIONNO]]&amp;"-"&amp;Table3[[#This Row],[COMPANYNAME]]</f>
        <v>45/23-* Chelsea St Drawbridge Replac</v>
      </c>
      <c r="E48" s="21" t="s">
        <v>582</v>
      </c>
      <c r="F48" s="22">
        <v>45</v>
      </c>
      <c r="G48" s="22">
        <v>23</v>
      </c>
    </row>
    <row r="49" spans="1:7" x14ac:dyDescent="0.3">
      <c r="A49" t="str">
        <f>VLOOKUP(Table3[[#This Row],[COMPANYNO]],L:M,2)</f>
        <v>JF White</v>
      </c>
      <c r="B49" t="str">
        <f>VLOOKUP(Table3[[#This Row],[COMPANYNO]],L:N,3)</f>
        <v>Boston</v>
      </c>
      <c r="C49" t="s">
        <v>1509</v>
      </c>
      <c r="D49" t="str">
        <f>Table3[[#This Row],[COMPANYNO]]&amp;"/"&amp;Table3[[#This Row],[DIVISIONNO]]&amp;"-"&amp;Table3[[#This Row],[COMPANYNAME]]</f>
        <v>45/24-Wellington Yard Expansion</v>
      </c>
      <c r="E49" s="23" t="s">
        <v>583</v>
      </c>
      <c r="F49" s="24">
        <v>45</v>
      </c>
      <c r="G49" s="24">
        <v>24</v>
      </c>
    </row>
    <row r="50" spans="1:7" x14ac:dyDescent="0.3">
      <c r="A50" t="str">
        <f>VLOOKUP(Table3[[#This Row],[COMPANYNO]],L:M,2)</f>
        <v>JF White</v>
      </c>
      <c r="B50" t="str">
        <f>VLOOKUP(Table3[[#This Row],[COMPANYNO]],L:N,3)</f>
        <v>Boston</v>
      </c>
      <c r="C50" t="s">
        <v>1509</v>
      </c>
      <c r="D50" t="str">
        <f>Table3[[#This Row],[COMPANYNO]]&amp;"/"&amp;Table3[[#This Row],[DIVISIONNO]]&amp;"-"&amp;Table3[[#This Row],[COMPANYNAME]]</f>
        <v>45/26-* Logan Runway 33L Safe Improv</v>
      </c>
      <c r="E50" s="21" t="s">
        <v>585</v>
      </c>
      <c r="F50" s="22">
        <v>45</v>
      </c>
      <c r="G50" s="22">
        <v>26</v>
      </c>
    </row>
    <row r="51" spans="1:7" x14ac:dyDescent="0.3">
      <c r="A51" t="str">
        <f>VLOOKUP(Table3[[#This Row],[COMPANYNO]],L:M,2)</f>
        <v>JF White</v>
      </c>
      <c r="B51" t="str">
        <f>VLOOKUP(Table3[[#This Row],[COMPANYNO]],L:N,3)</f>
        <v>Boston</v>
      </c>
      <c r="C51" t="s">
        <v>1509</v>
      </c>
      <c r="D51" t="str">
        <f>Table3[[#This Row],[COMPANYNO]]&amp;"/"&amp;Table3[[#This Row],[DIVISIONNO]]&amp;"-"&amp;Table3[[#This Row],[COMPANYNAME]]</f>
        <v>45/27-UMassStudentHousing PCPS Piles</v>
      </c>
      <c r="E51" s="23" t="s">
        <v>586</v>
      </c>
      <c r="F51" s="24">
        <v>45</v>
      </c>
      <c r="G51" s="24">
        <v>27</v>
      </c>
    </row>
    <row r="52" spans="1:7" x14ac:dyDescent="0.3">
      <c r="A52" t="str">
        <f>VLOOKUP(Table3[[#This Row],[COMPANYNO]],L:M,2)</f>
        <v>JF White</v>
      </c>
      <c r="B52" t="str">
        <f>VLOOKUP(Table3[[#This Row],[COMPANYNO]],L:N,3)</f>
        <v>Boston</v>
      </c>
      <c r="C52" t="s">
        <v>1509</v>
      </c>
      <c r="D52" t="str">
        <f>Table3[[#This Row],[COMPANYNO]]&amp;"/"&amp;Table3[[#This Row],[DIVISIONNO]]&amp;"-"&amp;Table3[[#This Row],[COMPANYNAME]]</f>
        <v>45/28-BCH Clinical Bdg SOE/MA Excav</v>
      </c>
      <c r="E52" s="21" t="s">
        <v>587</v>
      </c>
      <c r="F52" s="22">
        <v>45</v>
      </c>
      <c r="G52" s="22">
        <v>28</v>
      </c>
    </row>
    <row r="53" spans="1:7" x14ac:dyDescent="0.3">
      <c r="A53" t="str">
        <f>VLOOKUP(Table3[[#This Row],[COMPANYNO]],L:M,2)</f>
        <v>JF White</v>
      </c>
      <c r="B53" t="str">
        <f>VLOOKUP(Table3[[#This Row],[COMPANYNO]],L:N,3)</f>
        <v>Boston</v>
      </c>
      <c r="C53" t="s">
        <v>1509</v>
      </c>
      <c r="D53" t="str">
        <f>Table3[[#This Row],[COMPANYNO]]&amp;"/"&amp;Table3[[#This Row],[DIVISIONNO]]&amp;"-"&amp;Table3[[#This Row],[COMPANYNAME]]</f>
        <v>45/29-* I-93 Tunnel Remediation</v>
      </c>
      <c r="E53" s="23" t="s">
        <v>588</v>
      </c>
      <c r="F53" s="24">
        <v>45</v>
      </c>
      <c r="G53" s="24">
        <v>29</v>
      </c>
    </row>
    <row r="54" spans="1:7" x14ac:dyDescent="0.3">
      <c r="A54" t="str">
        <f>VLOOKUP(Table3[[#This Row],[COMPANYNO]],L:M,2)</f>
        <v>JF White</v>
      </c>
      <c r="B54" t="str">
        <f>VLOOKUP(Table3[[#This Row],[COMPANYNO]],L:N,3)</f>
        <v>Boston</v>
      </c>
      <c r="C54" t="s">
        <v>1509</v>
      </c>
      <c r="D54" t="str">
        <f>Table3[[#This Row],[COMPANYNO]]&amp;"/"&amp;Table3[[#This Row],[DIVISIONNO]]&amp;"-"&amp;Table3[[#This Row],[COMPANYNAME]]</f>
        <v>45/30-* Lovejoy Wharf Construction</v>
      </c>
      <c r="E54" s="21" t="s">
        <v>589</v>
      </c>
      <c r="F54" s="22">
        <v>45</v>
      </c>
      <c r="G54" s="22">
        <v>30</v>
      </c>
    </row>
    <row r="55" spans="1:7" x14ac:dyDescent="0.3">
      <c r="A55" t="str">
        <f>VLOOKUP(Table3[[#This Row],[COMPANYNO]],L:M,2)</f>
        <v>JF White</v>
      </c>
      <c r="B55" t="str">
        <f>VLOOKUP(Table3[[#This Row],[COMPANYNO]],L:N,3)</f>
        <v>Boston</v>
      </c>
      <c r="C55" t="s">
        <v>1509</v>
      </c>
      <c r="D55" t="str">
        <f>Table3[[#This Row],[COMPANYNO]]&amp;"/"&amp;Table3[[#This Row],[DIVISIONNO]]&amp;"-"&amp;Table3[[#This Row],[COMPANYNAME]]</f>
        <v>45/31-UMass Bos Garage H Piles</v>
      </c>
      <c r="E55" s="23" t="s">
        <v>590</v>
      </c>
      <c r="F55" s="24">
        <v>45</v>
      </c>
      <c r="G55" s="24">
        <v>31</v>
      </c>
    </row>
    <row r="56" spans="1:7" x14ac:dyDescent="0.3">
      <c r="A56" t="str">
        <f>VLOOKUP(Table3[[#This Row],[COMPANYNO]],L:M,2)</f>
        <v>JF White</v>
      </c>
      <c r="B56" t="str">
        <f>VLOOKUP(Table3[[#This Row],[COMPANYNO]],L:N,3)</f>
        <v>Boston</v>
      </c>
      <c r="C56" t="s">
        <v>1509</v>
      </c>
      <c r="D56" t="str">
        <f>Table3[[#This Row],[COMPANYNO]]&amp;"/"&amp;Table3[[#This Row],[DIVISIONNO]]&amp;"-"&amp;Table3[[#This Row],[COMPANYNAME]]</f>
        <v>45/32-Worcester Improve CP6 Interl</v>
      </c>
      <c r="E56" s="21" t="s">
        <v>591</v>
      </c>
      <c r="F56" s="22">
        <v>45</v>
      </c>
      <c r="G56" s="22">
        <v>32</v>
      </c>
    </row>
    <row r="57" spans="1:7" x14ac:dyDescent="0.3">
      <c r="A57" t="str">
        <f>VLOOKUP(Table3[[#This Row],[COMPANYNO]],L:M,2)</f>
        <v>JF White</v>
      </c>
      <c r="B57" t="str">
        <f>VLOOKUP(Table3[[#This Row],[COMPANYNO]],L:N,3)</f>
        <v>Boston</v>
      </c>
      <c r="C57" t="s">
        <v>1509</v>
      </c>
      <c r="D57" t="str">
        <f>Table3[[#This Row],[COMPANYNO]]&amp;"/"&amp;Table3[[#This Row],[DIVISIONNO]]&amp;"-"&amp;Table3[[#This Row],[COMPANYNAME]]</f>
        <v>45/33-Northeastern University CASA</v>
      </c>
      <c r="E57" s="23" t="s">
        <v>619</v>
      </c>
      <c r="F57" s="24">
        <v>45</v>
      </c>
      <c r="G57" s="24">
        <v>33</v>
      </c>
    </row>
    <row r="58" spans="1:7" x14ac:dyDescent="0.3">
      <c r="A58" t="str">
        <f>VLOOKUP(Table3[[#This Row],[COMPANYNO]],L:M,2)</f>
        <v>JF White</v>
      </c>
      <c r="B58" t="str">
        <f>VLOOKUP(Table3[[#This Row],[COMPANYNO]],L:N,3)</f>
        <v>Boston</v>
      </c>
      <c r="C58" t="s">
        <v>1509</v>
      </c>
      <c r="D58" t="str">
        <f>Table3[[#This Row],[COMPANYNO]]&amp;"/"&amp;Table3[[#This Row],[DIVISIONNO]]&amp;"-"&amp;Table3[[#This Row],[COMPANYNAME]]</f>
        <v>45/34-* MassPort West Garage</v>
      </c>
      <c r="E58" s="21" t="s">
        <v>627</v>
      </c>
      <c r="F58" s="22">
        <v>45</v>
      </c>
      <c r="G58" s="22">
        <v>34</v>
      </c>
    </row>
    <row r="59" spans="1:7" x14ac:dyDescent="0.3">
      <c r="A59" t="str">
        <f>VLOOKUP(Table3[[#This Row],[COMPANYNO]],L:M,2)</f>
        <v>JF White</v>
      </c>
      <c r="B59" t="str">
        <f>VLOOKUP(Table3[[#This Row],[COMPANYNO]],L:N,3)</f>
        <v>Boston</v>
      </c>
      <c r="C59" t="s">
        <v>1509</v>
      </c>
      <c r="D59" t="str">
        <f>Table3[[#This Row],[COMPANYNO]]&amp;"/"&amp;Table3[[#This Row],[DIVISIONNO]]&amp;"-"&amp;Table3[[#This Row],[COMPANYNAME]]</f>
        <v>45/35-All ST&amp;S Supp of Excavation</v>
      </c>
      <c r="E59" s="23" t="s">
        <v>628</v>
      </c>
      <c r="F59" s="24">
        <v>45</v>
      </c>
      <c r="G59" s="24">
        <v>35</v>
      </c>
    </row>
    <row r="60" spans="1:7" x14ac:dyDescent="0.3">
      <c r="A60" t="str">
        <f>VLOOKUP(Table3[[#This Row],[COMPANYNO]],L:M,2)</f>
        <v>JF White</v>
      </c>
      <c r="B60" t="str">
        <f>VLOOKUP(Table3[[#This Row],[COMPANYNO]],L:N,3)</f>
        <v>Boston</v>
      </c>
      <c r="C60" t="s">
        <v>1509</v>
      </c>
      <c r="D60" t="str">
        <f>Table3[[#This Row],[COMPANYNO]]&amp;"/"&amp;Table3[[#This Row],[DIVISIONNO]]&amp;"-"&amp;Table3[[#This Row],[COMPANYNAME]]</f>
        <v>45/36-Massport Terminal B Optimiz</v>
      </c>
      <c r="E60" s="21" t="s">
        <v>669</v>
      </c>
      <c r="F60" s="22">
        <v>45</v>
      </c>
      <c r="G60" s="22">
        <v>36</v>
      </c>
    </row>
    <row r="61" spans="1:7" x14ac:dyDescent="0.3">
      <c r="A61" t="str">
        <f>VLOOKUP(Table3[[#This Row],[COMPANYNO]],L:M,2)</f>
        <v>JF White</v>
      </c>
      <c r="B61" t="str">
        <f>VLOOKUP(Table3[[#This Row],[COMPANYNO]],L:N,3)</f>
        <v>Boston</v>
      </c>
      <c r="C61" t="s">
        <v>1509</v>
      </c>
      <c r="D61" t="str">
        <f>Table3[[#This Row],[COMPANYNO]]&amp;"/"&amp;Table3[[#This Row],[DIVISIONNO]]&amp;"-"&amp;Table3[[#This Row],[COMPANYNAME]]</f>
        <v>45/37-Tobin Bridge Steel Repairs</v>
      </c>
      <c r="E61" s="23" t="s">
        <v>687</v>
      </c>
      <c r="F61" s="24">
        <v>45</v>
      </c>
      <c r="G61" s="24">
        <v>37</v>
      </c>
    </row>
    <row r="62" spans="1:7" x14ac:dyDescent="0.3">
      <c r="A62" t="str">
        <f>VLOOKUP(Table3[[#This Row],[COMPANYNO]],L:M,2)</f>
        <v>JF White</v>
      </c>
      <c r="B62" t="str">
        <f>VLOOKUP(Table3[[#This Row],[COMPANYNO]],L:N,3)</f>
        <v>Boston</v>
      </c>
      <c r="C62" t="s">
        <v>1509</v>
      </c>
      <c r="D62" t="str">
        <f>Table3[[#This Row],[COMPANYNO]]&amp;"/"&amp;Table3[[#This Row],[DIVISIONNO]]&amp;"-"&amp;Table3[[#This Row],[COMPANYNAME]]</f>
        <v>45/38-Gloucester Drawbridge</v>
      </c>
      <c r="E62" s="21" t="s">
        <v>689</v>
      </c>
      <c r="F62" s="22">
        <v>45</v>
      </c>
      <c r="G62" s="22">
        <v>38</v>
      </c>
    </row>
    <row r="63" spans="1:7" x14ac:dyDescent="0.3">
      <c r="A63" t="str">
        <f>VLOOKUP(Table3[[#This Row],[COMPANYNO]],L:M,2)</f>
        <v>JF White</v>
      </c>
      <c r="B63" t="str">
        <f>VLOOKUP(Table3[[#This Row],[COMPANYNO]],L:N,3)</f>
        <v>Boston</v>
      </c>
      <c r="C63" t="s">
        <v>1509</v>
      </c>
      <c r="D63" t="str">
        <f>Table3[[#This Row],[COMPANYNO]]&amp;"/"&amp;Table3[[#This Row],[DIVISIONNO]]&amp;"-"&amp;Table3[[#This Row],[COMPANYNAME]]</f>
        <v>45/39-* DO NOT USE</v>
      </c>
      <c r="E63" s="23" t="s">
        <v>690</v>
      </c>
      <c r="F63" s="24">
        <v>45</v>
      </c>
      <c r="G63" s="24">
        <v>39</v>
      </c>
    </row>
    <row r="64" spans="1:7" x14ac:dyDescent="0.3">
      <c r="A64" t="str">
        <f>VLOOKUP(Table3[[#This Row],[COMPANYNO]],L:M,2)</f>
        <v>JF White</v>
      </c>
      <c r="B64" t="str">
        <f>VLOOKUP(Table3[[#This Row],[COMPANYNO]],L:N,3)</f>
        <v>Boston</v>
      </c>
      <c r="C64" t="s">
        <v>1509</v>
      </c>
      <c r="D64" t="str">
        <f>Table3[[#This Row],[COMPANYNO]]&amp;"/"&amp;Table3[[#This Row],[DIVISIONNO]]&amp;"-"&amp;Table3[[#This Row],[COMPANYNAME]]</f>
        <v>45/40-Waterside Place Phase II</v>
      </c>
      <c r="E64" s="21" t="s">
        <v>692</v>
      </c>
      <c r="F64" s="22">
        <v>45</v>
      </c>
      <c r="G64" s="22">
        <v>40</v>
      </c>
    </row>
    <row r="65" spans="1:7" x14ac:dyDescent="0.3">
      <c r="A65" t="str">
        <f>VLOOKUP(Table3[[#This Row],[COMPANYNO]],L:M,2)</f>
        <v>JF White</v>
      </c>
      <c r="B65" t="str">
        <f>VLOOKUP(Table3[[#This Row],[COMPANYNO]],L:N,3)</f>
        <v>Boston</v>
      </c>
      <c r="C65" t="s">
        <v>1509</v>
      </c>
      <c r="D65" t="str">
        <f>Table3[[#This Row],[COMPANYNO]]&amp;"/"&amp;Table3[[#This Row],[DIVISIONNO]]&amp;"-"&amp;Table3[[#This Row],[COMPANYNAME]]</f>
        <v>45/41-Providence I95 over Oxford St</v>
      </c>
      <c r="E65" s="23" t="s">
        <v>703</v>
      </c>
      <c r="F65" s="24">
        <v>45</v>
      </c>
      <c r="G65" s="24">
        <v>41</v>
      </c>
    </row>
    <row r="66" spans="1:7" x14ac:dyDescent="0.3">
      <c r="A66" t="str">
        <f>VLOOKUP(Table3[[#This Row],[COMPANYNO]],L:M,2)</f>
        <v>JF White</v>
      </c>
      <c r="B66" t="str">
        <f>VLOOKUP(Table3[[#This Row],[COMPANYNO]],L:N,3)</f>
        <v>Boston</v>
      </c>
      <c r="C66" t="s">
        <v>1509</v>
      </c>
      <c r="D66" t="str">
        <f>Table3[[#This Row],[COMPANYNO]]&amp;"/"&amp;Table3[[#This Row],[DIVISIONNO]]&amp;"-"&amp;Table3[[#This Row],[COMPANYNAME]]</f>
        <v>45/42-Cape Main Track improvement</v>
      </c>
      <c r="E66" s="21" t="s">
        <v>711</v>
      </c>
      <c r="F66" s="22">
        <v>45</v>
      </c>
      <c r="G66" s="22">
        <v>42</v>
      </c>
    </row>
    <row r="67" spans="1:7" x14ac:dyDescent="0.3">
      <c r="A67" t="str">
        <f>VLOOKUP(Table3[[#This Row],[COMPANYNO]],L:M,2)</f>
        <v>JF White</v>
      </c>
      <c r="B67" t="str">
        <f>VLOOKUP(Table3[[#This Row],[COMPANYNO]],L:N,3)</f>
        <v>Boston</v>
      </c>
      <c r="C67" t="s">
        <v>1509</v>
      </c>
      <c r="D67" t="str">
        <f>Table3[[#This Row],[COMPANYNO]]&amp;"/"&amp;Table3[[#This Row],[DIVISIONNO]]&amp;"-"&amp;Table3[[#This Row],[COMPANYNAME]]</f>
        <v>45/43-Replacement of I95 over East</v>
      </c>
      <c r="E67" s="23" t="s">
        <v>712</v>
      </c>
      <c r="F67" s="24">
        <v>45</v>
      </c>
      <c r="G67" s="24">
        <v>43</v>
      </c>
    </row>
    <row r="68" spans="1:7" x14ac:dyDescent="0.3">
      <c r="A68" t="str">
        <f>VLOOKUP(Table3[[#This Row],[COMPANYNO]],L:M,2)</f>
        <v>JF White</v>
      </c>
      <c r="B68" t="str">
        <f>VLOOKUP(Table3[[#This Row],[COMPANYNO]],L:N,3)</f>
        <v>Boston</v>
      </c>
      <c r="C68" t="s">
        <v>1509</v>
      </c>
      <c r="D68" t="str">
        <f>Table3[[#This Row],[COMPANYNO]]&amp;"/"&amp;Table3[[#This Row],[DIVISIONNO]]&amp;"-"&amp;Table3[[#This Row],[COMPANYNAME]]</f>
        <v>45/44-Tufts Chilled Water Extension</v>
      </c>
      <c r="E68" s="21" t="s">
        <v>719</v>
      </c>
      <c r="F68" s="22">
        <v>45</v>
      </c>
      <c r="G68" s="22">
        <v>44</v>
      </c>
    </row>
    <row r="69" spans="1:7" x14ac:dyDescent="0.3">
      <c r="A69" t="str">
        <f>VLOOKUP(Table3[[#This Row],[COMPANYNO]],L:M,2)</f>
        <v>JF White</v>
      </c>
      <c r="B69" t="str">
        <f>VLOOKUP(Table3[[#This Row],[COMPANYNO]],L:N,3)</f>
        <v>Boston</v>
      </c>
      <c r="C69" t="s">
        <v>1509</v>
      </c>
      <c r="D69" t="str">
        <f>Table3[[#This Row],[COMPANYNO]]&amp;"/"&amp;Table3[[#This Row],[DIVISIONNO]]&amp;"-"&amp;Table3[[#This Row],[COMPANYNAME]]</f>
        <v>45/45-N Washington St Bridge Rplcmnt</v>
      </c>
      <c r="E69" s="23" t="s">
        <v>720</v>
      </c>
      <c r="F69" s="24">
        <v>45</v>
      </c>
      <c r="G69" s="24">
        <v>45</v>
      </c>
    </row>
    <row r="70" spans="1:7" x14ac:dyDescent="0.3">
      <c r="A70" t="str">
        <f>VLOOKUP(Table3[[#This Row],[COMPANYNO]],L:M,2)</f>
        <v>JF White</v>
      </c>
      <c r="B70" t="str">
        <f>VLOOKUP(Table3[[#This Row],[COMPANYNO]],L:N,3)</f>
        <v>Boston</v>
      </c>
      <c r="C70" t="s">
        <v>1509</v>
      </c>
      <c r="D70" t="str">
        <f>Table3[[#This Row],[COMPANYNO]]&amp;"/"&amp;Table3[[#This Row],[DIVISIONNO]]&amp;"-"&amp;Table3[[#This Row],[COMPANYNAME]]</f>
        <v>45/46-Copley Tunnel Tpke Repairs</v>
      </c>
      <c r="E70" s="21" t="s">
        <v>724</v>
      </c>
      <c r="F70" s="22">
        <v>45</v>
      </c>
      <c r="G70" s="22">
        <v>46</v>
      </c>
    </row>
    <row r="71" spans="1:7" x14ac:dyDescent="0.3">
      <c r="A71" t="str">
        <f>VLOOKUP(Table3[[#This Row],[COMPANYNO]],L:M,2)</f>
        <v>JF White</v>
      </c>
      <c r="B71" t="str">
        <f>VLOOKUP(Table3[[#This Row],[COMPANYNO]],L:N,3)</f>
        <v>Boston</v>
      </c>
      <c r="C71" t="s">
        <v>1509</v>
      </c>
      <c r="D71" t="str">
        <f>Table3[[#This Row],[COMPANYNO]]&amp;"/"&amp;Table3[[#This Row],[DIVISIONNO]]&amp;"-"&amp;Table3[[#This Row],[COMPANYNAME]]</f>
        <v>45/47-Springfield Union Station</v>
      </c>
      <c r="E71" s="23" t="s">
        <v>740</v>
      </c>
      <c r="F71" s="24">
        <v>45</v>
      </c>
      <c r="G71" s="24">
        <v>47</v>
      </c>
    </row>
    <row r="72" spans="1:7" x14ac:dyDescent="0.3">
      <c r="A72" t="str">
        <f>VLOOKUP(Table3[[#This Row],[COMPANYNO]],L:M,2)</f>
        <v>JF White</v>
      </c>
      <c r="B72" t="str">
        <f>VLOOKUP(Table3[[#This Row],[COMPANYNO]],L:N,3)</f>
        <v>Boston</v>
      </c>
      <c r="C72" t="s">
        <v>1509</v>
      </c>
      <c r="D72" t="str">
        <f>Table3[[#This Row],[COMPANYNO]]&amp;"/"&amp;Table3[[#This Row],[DIVISIONNO]]&amp;"-"&amp;Table3[[#This Row],[COMPANYNAME]]</f>
        <v>45/48-Talbot Street Outfall</v>
      </c>
      <c r="E72" s="21" t="s">
        <v>741</v>
      </c>
      <c r="F72" s="22">
        <v>45</v>
      </c>
      <c r="G72" s="22">
        <v>48</v>
      </c>
    </row>
    <row r="73" spans="1:7" x14ac:dyDescent="0.3">
      <c r="A73" t="str">
        <f>VLOOKUP(Table3[[#This Row],[COMPANYNO]],L:M,2)</f>
        <v>JF White</v>
      </c>
      <c r="B73" t="str">
        <f>VLOOKUP(Table3[[#This Row],[COMPANYNO]],L:N,3)</f>
        <v>Boston</v>
      </c>
      <c r="C73" t="s">
        <v>1509</v>
      </c>
      <c r="D73" t="str">
        <f>Table3[[#This Row],[COMPANYNO]]&amp;"/"&amp;Table3[[#This Row],[DIVISIONNO]]&amp;"-"&amp;Table3[[#This Row],[COMPANYNAME]]</f>
        <v>45/49-MWRA Fore River RR Main Line</v>
      </c>
      <c r="E73" s="23" t="s">
        <v>748</v>
      </c>
      <c r="F73" s="24">
        <v>45</v>
      </c>
      <c r="G73" s="24">
        <v>49</v>
      </c>
    </row>
    <row r="74" spans="1:7" x14ac:dyDescent="0.3">
      <c r="A74" t="str">
        <f>VLOOKUP(Table3[[#This Row],[COMPANYNO]],L:M,2)</f>
        <v>JF White</v>
      </c>
      <c r="B74" t="str">
        <f>VLOOKUP(Table3[[#This Row],[COMPANYNO]],L:N,3)</f>
        <v>Boston</v>
      </c>
      <c r="C74" t="s">
        <v>1509</v>
      </c>
      <c r="D74" t="str">
        <f>Table3[[#This Row],[COMPANYNO]]&amp;"/"&amp;Table3[[#This Row],[DIVISIONNO]]&amp;"-"&amp;Table3[[#This Row],[COMPANYNAME]]</f>
        <v>45/50-Cohasset Narrows Bridge Rplmnt</v>
      </c>
      <c r="E74" s="21" t="s">
        <v>749</v>
      </c>
      <c r="F74" s="22">
        <v>45</v>
      </c>
      <c r="G74" s="22">
        <v>50</v>
      </c>
    </row>
    <row r="75" spans="1:7" x14ac:dyDescent="0.3">
      <c r="A75" t="str">
        <f>VLOOKUP(Table3[[#This Row],[COMPANYNO]],L:M,2)</f>
        <v>JF White</v>
      </c>
      <c r="B75" t="str">
        <f>VLOOKUP(Table3[[#This Row],[COMPANYNO]],L:N,3)</f>
        <v>Boston</v>
      </c>
      <c r="C75" t="s">
        <v>1509</v>
      </c>
      <c r="D75" t="str">
        <f>Table3[[#This Row],[COMPANYNO]]&amp;"/"&amp;Table3[[#This Row],[DIVISIONNO]]&amp;"-"&amp;Table3[[#This Row],[COMPANYNAME]]</f>
        <v>45/51-North Jetty Parcel 5</v>
      </c>
      <c r="E75" s="23" t="s">
        <v>750</v>
      </c>
      <c r="F75" s="24">
        <v>45</v>
      </c>
      <c r="G75" s="24">
        <v>51</v>
      </c>
    </row>
    <row r="76" spans="1:7" x14ac:dyDescent="0.3">
      <c r="A76" t="str">
        <f>VLOOKUP(Table3[[#This Row],[COMPANYNO]],L:M,2)</f>
        <v>JF White</v>
      </c>
      <c r="B76" t="str">
        <f>VLOOKUP(Table3[[#This Row],[COMPANYNO]],L:N,3)</f>
        <v>Boston</v>
      </c>
      <c r="C76" t="s">
        <v>1509</v>
      </c>
      <c r="D76" t="str">
        <f>Table3[[#This Row],[COMPANYNO]]&amp;"/"&amp;Table3[[#This Row],[DIVISIONNO]]&amp;"-"&amp;Table3[[#This Row],[COMPANYNAME]]</f>
        <v>45/52-Marine Wharf Parcel A</v>
      </c>
      <c r="E76" s="21" t="s">
        <v>767</v>
      </c>
      <c r="F76" s="22">
        <v>45</v>
      </c>
      <c r="G76" s="22">
        <v>52</v>
      </c>
    </row>
    <row r="77" spans="1:7" x14ac:dyDescent="0.3">
      <c r="A77" t="str">
        <f>VLOOKUP(Table3[[#This Row],[COMPANYNO]],L:M,2)</f>
        <v>JF White</v>
      </c>
      <c r="B77" t="str">
        <f>VLOOKUP(Table3[[#This Row],[COMPANYNO]],L:N,3)</f>
        <v>Boston</v>
      </c>
      <c r="C77" t="s">
        <v>1509</v>
      </c>
      <c r="D77" t="str">
        <f>Table3[[#This Row],[COMPANYNO]]&amp;"/"&amp;Table3[[#This Row],[DIVISIONNO]]&amp;"-"&amp;Table3[[#This Row],[COMPANYNAME]]</f>
        <v>45/53-NBC 78 Interceptor Replacement</v>
      </c>
      <c r="E77" s="23" t="s">
        <v>768</v>
      </c>
      <c r="F77" s="24">
        <v>45</v>
      </c>
      <c r="G77" s="24">
        <v>53</v>
      </c>
    </row>
    <row r="78" spans="1:7" x14ac:dyDescent="0.3">
      <c r="A78" t="str">
        <f>VLOOKUP(Table3[[#This Row],[COMPANYNO]],L:M,2)</f>
        <v>JF White</v>
      </c>
      <c r="B78" t="str">
        <f>VLOOKUP(Table3[[#This Row],[COMPANYNO]],L:N,3)</f>
        <v>Boston</v>
      </c>
      <c r="C78" t="s">
        <v>1509</v>
      </c>
      <c r="D78" t="str">
        <f>Table3[[#This Row],[COMPANYNO]]&amp;"/"&amp;Table3[[#This Row],[DIVISIONNO]]&amp;"-"&amp;Table3[[#This Row],[COMPANYNAME]]</f>
        <v>45/54-South Coastal Rail</v>
      </c>
      <c r="E78" s="21" t="s">
        <v>783</v>
      </c>
      <c r="F78" s="22">
        <v>45</v>
      </c>
      <c r="G78" s="22">
        <v>54</v>
      </c>
    </row>
    <row r="79" spans="1:7" x14ac:dyDescent="0.3">
      <c r="A79" t="str">
        <f>VLOOKUP(Table3[[#This Row],[COMPANYNO]],L:M,2)</f>
        <v>JF White</v>
      </c>
      <c r="B79" t="str">
        <f>VLOOKUP(Table3[[#This Row],[COMPANYNO]],L:N,3)</f>
        <v>Boston</v>
      </c>
      <c r="C79" t="s">
        <v>1509</v>
      </c>
      <c r="D79" t="str">
        <f>Table3[[#This Row],[COMPANYNO]]&amp;"/"&amp;Table3[[#This Row],[DIVISIONNO]]&amp;"-"&amp;Table3[[#This Row],[COMPANYNAME]]</f>
        <v>45/80-Civil 2016</v>
      </c>
      <c r="E79" s="23" t="s">
        <v>580</v>
      </c>
      <c r="F79" s="24">
        <v>45</v>
      </c>
      <c r="G79" s="24">
        <v>80</v>
      </c>
    </row>
    <row r="80" spans="1:7" x14ac:dyDescent="0.3">
      <c r="A80" t="str">
        <f>VLOOKUP(Table3[[#This Row],[COMPANYNO]],L:M,2)</f>
        <v>JF White</v>
      </c>
      <c r="B80" t="str">
        <f>VLOOKUP(Table3[[#This Row],[COMPANYNO]],L:N,3)</f>
        <v>Boston</v>
      </c>
      <c r="C80" t="s">
        <v>1509</v>
      </c>
      <c r="D80" t="str">
        <f>Table3[[#This Row],[COMPANYNO]]&amp;"/"&amp;Table3[[#This Row],[DIVISIONNO]]&amp;"-"&amp;Table3[[#This Row],[COMPANYNAME]]</f>
        <v>45/81-Civil 2017</v>
      </c>
      <c r="E80" s="21" t="s">
        <v>581</v>
      </c>
      <c r="F80" s="22">
        <v>45</v>
      </c>
      <c r="G80" s="22">
        <v>81</v>
      </c>
    </row>
    <row r="81" spans="1:7" x14ac:dyDescent="0.3">
      <c r="A81" t="str">
        <f>VLOOKUP(Table3[[#This Row],[COMPANYNO]],L:M,2)</f>
        <v>JF White</v>
      </c>
      <c r="B81" t="str">
        <f>VLOOKUP(Table3[[#This Row],[COMPANYNO]],L:N,3)</f>
        <v>Boston</v>
      </c>
      <c r="C81" t="s">
        <v>1509</v>
      </c>
      <c r="D81" t="str">
        <f>Table3[[#This Row],[COMPANYNO]]&amp;"/"&amp;Table3[[#This Row],[DIVISIONNO]]&amp;"-"&amp;Table3[[#This Row],[COMPANYNAME]]</f>
        <v>45/101-MBTA Red Line Substations</v>
      </c>
      <c r="E81" s="23" t="s">
        <v>593</v>
      </c>
      <c r="F81" s="24">
        <v>45</v>
      </c>
      <c r="G81" s="24">
        <v>101</v>
      </c>
    </row>
    <row r="82" spans="1:7" x14ac:dyDescent="0.3">
      <c r="A82" t="str">
        <f>VLOOKUP(Table3[[#This Row],[COMPANYNO]],L:M,2)</f>
        <v>JF White</v>
      </c>
      <c r="B82" t="str">
        <f>VLOOKUP(Table3[[#This Row],[COMPANYNO]],L:N,3)</f>
        <v>Boston</v>
      </c>
      <c r="C82" t="s">
        <v>1509</v>
      </c>
      <c r="D82" t="str">
        <f>Table3[[#This Row],[COMPANYNO]]&amp;"/"&amp;Table3[[#This Row],[DIVISIONNO]]&amp;"-"&amp;Table3[[#This Row],[COMPANYNAME]]</f>
        <v>45/102-N Main Pump Stn Motor Replace</v>
      </c>
      <c r="E82" s="21" t="s">
        <v>594</v>
      </c>
      <c r="F82" s="22">
        <v>45</v>
      </c>
      <c r="G82" s="22">
        <v>102</v>
      </c>
    </row>
    <row r="83" spans="1:7" x14ac:dyDescent="0.3">
      <c r="A83" t="str">
        <f>VLOOKUP(Table3[[#This Row],[COMPANYNO]],L:M,2)</f>
        <v>JF White</v>
      </c>
      <c r="B83" t="str">
        <f>VLOOKUP(Table3[[#This Row],[COMPANYNO]],L:N,3)</f>
        <v>Boston</v>
      </c>
      <c r="C83" t="s">
        <v>1509</v>
      </c>
      <c r="D83" t="str">
        <f>Table3[[#This Row],[COMPANYNO]]&amp;"/"&amp;Table3[[#This Row],[DIVISIONNO]]&amp;"-"&amp;Table3[[#This Row],[COMPANYNAME]]</f>
        <v>45/103-Phase2 Sys Transformer Replace</v>
      </c>
      <c r="E83" s="23" t="s">
        <v>595</v>
      </c>
      <c r="F83" s="24">
        <v>45</v>
      </c>
      <c r="G83" s="24">
        <v>103</v>
      </c>
    </row>
    <row r="84" spans="1:7" x14ac:dyDescent="0.3">
      <c r="A84" t="str">
        <f>VLOOKUP(Table3[[#This Row],[COMPANYNO]],L:M,2)</f>
        <v>JF White</v>
      </c>
      <c r="B84" t="str">
        <f>VLOOKUP(Table3[[#This Row],[COMPANYNO]],L:N,3)</f>
        <v>Boston</v>
      </c>
      <c r="C84" t="s">
        <v>1509</v>
      </c>
      <c r="D84" t="str">
        <f>Table3[[#This Row],[COMPANYNO]]&amp;"/"&amp;Table3[[#This Row],[DIVISIONNO]]&amp;"-"&amp;Table3[[#This Row],[COMPANYNAME]]</f>
        <v>45/104-* Harvard Blackst Comb Heat&amp;Pw</v>
      </c>
      <c r="E84" s="21" t="s">
        <v>596</v>
      </c>
      <c r="F84" s="22">
        <v>45</v>
      </c>
      <c r="G84" s="22">
        <v>104</v>
      </c>
    </row>
    <row r="85" spans="1:7" x14ac:dyDescent="0.3">
      <c r="A85" t="str">
        <f>VLOOKUP(Table3[[#This Row],[COMPANYNO]],L:M,2)</f>
        <v>JF White</v>
      </c>
      <c r="B85" t="str">
        <f>VLOOKUP(Table3[[#This Row],[COMPANYNO]],L:N,3)</f>
        <v>Boston</v>
      </c>
      <c r="C85" t="s">
        <v>1509</v>
      </c>
      <c r="D85" t="str">
        <f>Table3[[#This Row],[COMPANYNO]]&amp;"/"&amp;Table3[[#This Row],[DIVISIONNO]]&amp;"-"&amp;Table3[[#This Row],[COMPANYNAME]]</f>
        <v>45/105-NGrid Salem Hbr Substns Upgrd</v>
      </c>
      <c r="E85" s="23" t="s">
        <v>597</v>
      </c>
      <c r="F85" s="24">
        <v>45</v>
      </c>
      <c r="G85" s="24">
        <v>105</v>
      </c>
    </row>
    <row r="86" spans="1:7" x14ac:dyDescent="0.3">
      <c r="A86" t="str">
        <f>VLOOKUP(Table3[[#This Row],[COMPANYNO]],L:M,2)</f>
        <v>JF White</v>
      </c>
      <c r="B86" t="str">
        <f>VLOOKUP(Table3[[#This Row],[COMPANYNO]],L:N,3)</f>
        <v>Boston</v>
      </c>
      <c r="C86" t="s">
        <v>1509</v>
      </c>
      <c r="D86" t="str">
        <f>Table3[[#This Row],[COMPANYNO]]&amp;"/"&amp;Table3[[#This Row],[DIVISIONNO]]&amp;"-"&amp;Table3[[#This Row],[COMPANYNAME]]</f>
        <v>45/106-* Term B Baggage Handling Syst</v>
      </c>
      <c r="E86" s="21" t="s">
        <v>598</v>
      </c>
      <c r="F86" s="22">
        <v>45</v>
      </c>
      <c r="G86" s="22">
        <v>106</v>
      </c>
    </row>
    <row r="87" spans="1:7" x14ac:dyDescent="0.3">
      <c r="A87" t="str">
        <f>VLOOKUP(Table3[[#This Row],[COMPANYNO]],L:M,2)</f>
        <v>JF White</v>
      </c>
      <c r="B87" t="str">
        <f>VLOOKUP(Table3[[#This Row],[COMPANYNO]],L:N,3)</f>
        <v>Boston</v>
      </c>
      <c r="C87" t="s">
        <v>1509</v>
      </c>
      <c r="D87" t="str">
        <f>Table3[[#This Row],[COMPANYNO]]&amp;"/"&amp;Table3[[#This Row],[DIVISIONNO]]&amp;"-"&amp;Table3[[#This Row],[COMPANYNAME]]</f>
        <v>45/107-* MPA Conley Term Cranes 5 &amp; 6</v>
      </c>
      <c r="E87" s="23" t="s">
        <v>599</v>
      </c>
      <c r="F87" s="24">
        <v>45</v>
      </c>
      <c r="G87" s="24">
        <v>107</v>
      </c>
    </row>
    <row r="88" spans="1:7" x14ac:dyDescent="0.3">
      <c r="A88" t="str">
        <f>VLOOKUP(Table3[[#This Row],[COMPANYNO]],L:M,2)</f>
        <v>JF White</v>
      </c>
      <c r="B88" t="str">
        <f>VLOOKUP(Table3[[#This Row],[COMPANYNO]],L:N,3)</f>
        <v>Boston</v>
      </c>
      <c r="C88" t="s">
        <v>1509</v>
      </c>
      <c r="D88" t="str">
        <f>Table3[[#This Row],[COMPANYNO]]&amp;"/"&amp;Table3[[#This Row],[DIVISIONNO]]&amp;"-"&amp;Table3[[#This Row],[COMPANYNAME]]</f>
        <v>45/108-Kendall Cogener Stn Reconfig</v>
      </c>
      <c r="E88" s="21" t="s">
        <v>600</v>
      </c>
      <c r="F88" s="22">
        <v>45</v>
      </c>
      <c r="G88" s="22">
        <v>108</v>
      </c>
    </row>
    <row r="89" spans="1:7" x14ac:dyDescent="0.3">
      <c r="A89" t="str">
        <f>VLOOKUP(Table3[[#This Row],[COMPANYNO]],L:M,2)</f>
        <v>JF White</v>
      </c>
      <c r="B89" t="str">
        <f>VLOOKUP(Table3[[#This Row],[COMPANYNO]],L:N,3)</f>
        <v>Boston</v>
      </c>
      <c r="C89" t="s">
        <v>1509</v>
      </c>
      <c r="D89" t="str">
        <f>Table3[[#This Row],[COMPANYNO]]&amp;"/"&amp;Table3[[#This Row],[DIVISIONNO]]&amp;"-"&amp;Table3[[#This Row],[COMPANYNAME]]</f>
        <v>45/109-Deer Isl Winthrop Term Replace</v>
      </c>
      <c r="E89" s="23" t="s">
        <v>601</v>
      </c>
      <c r="F89" s="24">
        <v>45</v>
      </c>
      <c r="G89" s="24">
        <v>109</v>
      </c>
    </row>
    <row r="90" spans="1:7" x14ac:dyDescent="0.3">
      <c r="A90" t="str">
        <f>VLOOKUP(Table3[[#This Row],[COMPANYNO]],L:M,2)</f>
        <v>JF White</v>
      </c>
      <c r="B90" t="str">
        <f>VLOOKUP(Table3[[#This Row],[COMPANYNO]],L:N,3)</f>
        <v>Boston</v>
      </c>
      <c r="C90" t="s">
        <v>1509</v>
      </c>
      <c r="D90" t="str">
        <f>Table3[[#This Row],[COMPANYNO]]&amp;"/"&amp;Table3[[#This Row],[DIVISIONNO]]&amp;"-"&amp;Table3[[#This Row],[COMPANYNAME]]</f>
        <v>45/110-Boston Landing Station</v>
      </c>
      <c r="E90" s="21" t="s">
        <v>602</v>
      </c>
      <c r="F90" s="22">
        <v>45</v>
      </c>
      <c r="G90" s="22">
        <v>110</v>
      </c>
    </row>
    <row r="91" spans="1:7" x14ac:dyDescent="0.3">
      <c r="A91" t="str">
        <f>VLOOKUP(Table3[[#This Row],[COMPANYNO]],L:M,2)</f>
        <v>JF White</v>
      </c>
      <c r="B91" t="str">
        <f>VLOOKUP(Table3[[#This Row],[COMPANYNO]],L:N,3)</f>
        <v>Boston</v>
      </c>
      <c r="C91" t="s">
        <v>1509</v>
      </c>
      <c r="D91" t="str">
        <f>Table3[[#This Row],[COMPANYNO]]&amp;"/"&amp;Table3[[#This Row],[DIVISIONNO]]&amp;"-"&amp;Table3[[#This Row],[COMPANYNAME]]</f>
        <v>45/111-* Term B Bag Rm Cnvrs B6&amp;B7</v>
      </c>
      <c r="E91" s="23" t="s">
        <v>603</v>
      </c>
      <c r="F91" s="24">
        <v>45</v>
      </c>
      <c r="G91" s="24">
        <v>111</v>
      </c>
    </row>
    <row r="92" spans="1:7" x14ac:dyDescent="0.3">
      <c r="A92" t="str">
        <f>VLOOKUP(Table3[[#This Row],[COMPANYNO]],L:M,2)</f>
        <v>JF White</v>
      </c>
      <c r="B92" t="str">
        <f>VLOOKUP(Table3[[#This Row],[COMPANYNO]],L:N,3)</f>
        <v>Boston</v>
      </c>
      <c r="C92" t="s">
        <v>1509</v>
      </c>
      <c r="D92" t="str">
        <f>Table3[[#This Row],[COMPANYNO]]&amp;"/"&amp;Table3[[#This Row],[DIVISIONNO]]&amp;"-"&amp;Table3[[#This Row],[COMPANYNAME]]</f>
        <v>45/112-* Nut Island Headworks</v>
      </c>
      <c r="E92" s="21" t="s">
        <v>629</v>
      </c>
      <c r="F92" s="22">
        <v>45</v>
      </c>
      <c r="G92" s="22">
        <v>112</v>
      </c>
    </row>
    <row r="93" spans="1:7" x14ac:dyDescent="0.3">
      <c r="A93" t="str">
        <f>VLOOKUP(Table3[[#This Row],[COMPANYNO]],L:M,2)</f>
        <v>JF White</v>
      </c>
      <c r="B93" t="str">
        <f>VLOOKUP(Table3[[#This Row],[COMPANYNO]],L:N,3)</f>
        <v>Boston</v>
      </c>
      <c r="C93" t="s">
        <v>1509</v>
      </c>
      <c r="D93" t="str">
        <f>Table3[[#This Row],[COMPANYNO]]&amp;"/"&amp;Table3[[#This Row],[DIVISIONNO]]&amp;"-"&amp;Table3[[#This Row],[COMPANYNAME]]</f>
        <v>45/113-Salem Harbor Breaker Repl</v>
      </c>
      <c r="E93" s="23" t="s">
        <v>668</v>
      </c>
      <c r="F93" s="24">
        <v>45</v>
      </c>
      <c r="G93" s="24">
        <v>113</v>
      </c>
    </row>
    <row r="94" spans="1:7" x14ac:dyDescent="0.3">
      <c r="A94" t="str">
        <f>VLOOKUP(Table3[[#This Row],[COMPANYNO]],L:M,2)</f>
        <v>JF White</v>
      </c>
      <c r="B94" t="str">
        <f>VLOOKUP(Table3[[#This Row],[COMPANYNO]],L:N,3)</f>
        <v>Boston</v>
      </c>
      <c r="C94" t="s">
        <v>1509</v>
      </c>
      <c r="D94" t="str">
        <f>Table3[[#This Row],[COMPANYNO]]&amp;"/"&amp;Table3[[#This Row],[DIVISIONNO]]&amp;"-"&amp;Table3[[#This Row],[COMPANYNAME]]</f>
        <v>45/114-Langham Hotel New Service</v>
      </c>
      <c r="E94" s="21" t="s">
        <v>745</v>
      </c>
      <c r="F94" s="22">
        <v>45</v>
      </c>
      <c r="G94" s="22">
        <v>114</v>
      </c>
    </row>
    <row r="95" spans="1:7" x14ac:dyDescent="0.3">
      <c r="A95" t="str">
        <f>VLOOKUP(Table3[[#This Row],[COMPANYNO]],L:M,2)</f>
        <v>JF White</v>
      </c>
      <c r="B95" t="str">
        <f>VLOOKUP(Table3[[#This Row],[COMPANYNO]],L:N,3)</f>
        <v>Boston</v>
      </c>
      <c r="C95" t="s">
        <v>1509</v>
      </c>
      <c r="D95" t="str">
        <f>Table3[[#This Row],[COMPANYNO]]&amp;"/"&amp;Table3[[#This Row],[DIVISIONNO]]&amp;"-"&amp;Table3[[#This Row],[COMPANYNAME]]</f>
        <v>45/180-Electrical 2016</v>
      </c>
      <c r="E95" s="23" t="s">
        <v>604</v>
      </c>
      <c r="F95" s="24">
        <v>45</v>
      </c>
      <c r="G95" s="24">
        <v>180</v>
      </c>
    </row>
    <row r="96" spans="1:7" x14ac:dyDescent="0.3">
      <c r="A96" t="str">
        <f>VLOOKUP(Table3[[#This Row],[COMPANYNO]],L:M,2)</f>
        <v>JF White</v>
      </c>
      <c r="B96" t="str">
        <f>VLOOKUP(Table3[[#This Row],[COMPANYNO]],L:N,3)</f>
        <v>Boston</v>
      </c>
      <c r="C96" t="s">
        <v>1509</v>
      </c>
      <c r="D96" t="str">
        <f>Table3[[#This Row],[COMPANYNO]]&amp;"/"&amp;Table3[[#This Row],[DIVISIONNO]]&amp;"-"&amp;Table3[[#This Row],[COMPANYNAME]]</f>
        <v>45/181-Electrical 2017</v>
      </c>
      <c r="E96" s="21" t="s">
        <v>605</v>
      </c>
      <c r="F96" s="22">
        <v>45</v>
      </c>
      <c r="G96" s="22">
        <v>181</v>
      </c>
    </row>
    <row r="97" spans="1:7" x14ac:dyDescent="0.3">
      <c r="A97" t="str">
        <f>VLOOKUP(Table3[[#This Row],[COMPANYNO]],L:M,2)</f>
        <v>JF White</v>
      </c>
      <c r="B97" t="str">
        <f>VLOOKUP(Table3[[#This Row],[COMPANYNO]],L:N,3)</f>
        <v>Boston</v>
      </c>
      <c r="C97" t="s">
        <v>1509</v>
      </c>
      <c r="D97" t="str">
        <f>Table3[[#This Row],[COMPANYNO]]&amp;"/"&amp;Table3[[#This Row],[DIVISIONNO]]&amp;"-"&amp;Table3[[#This Row],[COMPANYNAME]]</f>
        <v>45/182-Electrical 2018</v>
      </c>
      <c r="E97" s="23" t="s">
        <v>704</v>
      </c>
      <c r="F97" s="24">
        <v>45</v>
      </c>
      <c r="G97" s="24">
        <v>182</v>
      </c>
    </row>
    <row r="98" spans="1:7" x14ac:dyDescent="0.3">
      <c r="A98" t="str">
        <f>VLOOKUP(Table3[[#This Row],[COMPANYNO]],L:M,2)</f>
        <v>JF White</v>
      </c>
      <c r="B98" t="str">
        <f>VLOOKUP(Table3[[#This Row],[COMPANYNO]],L:N,3)</f>
        <v>Boston</v>
      </c>
      <c r="C98" t="s">
        <v>1509</v>
      </c>
      <c r="D98" t="str">
        <f>Table3[[#This Row],[COMPANYNO]]&amp;"/"&amp;Table3[[#This Row],[DIVISIONNO]]&amp;"-"&amp;Table3[[#This Row],[COMPANYNAME]]</f>
        <v>45/201-Charlestown HS Energy Improve</v>
      </c>
      <c r="E98" s="21" t="s">
        <v>606</v>
      </c>
      <c r="F98" s="22">
        <v>45</v>
      </c>
      <c r="G98" s="22">
        <v>201</v>
      </c>
    </row>
    <row r="99" spans="1:7" x14ac:dyDescent="0.3">
      <c r="A99" t="str">
        <f>VLOOKUP(Table3[[#This Row],[COMPANYNO]],L:M,2)</f>
        <v>JF White</v>
      </c>
      <c r="B99" t="str">
        <f>VLOOKUP(Table3[[#This Row],[COMPANYNO]],L:N,3)</f>
        <v>Boston</v>
      </c>
      <c r="C99" t="s">
        <v>1509</v>
      </c>
      <c r="D99" t="str">
        <f>Table3[[#This Row],[COMPANYNO]]&amp;"/"&amp;Table3[[#This Row],[DIVISIONNO]]&amp;"-"&amp;Table3[[#This Row],[COMPANYNAME]]</f>
        <v>45/202-Suffolk Cty HOC Roof&amp;HVAC Repl</v>
      </c>
      <c r="E99" s="23" t="s">
        <v>607</v>
      </c>
      <c r="F99" s="24">
        <v>45</v>
      </c>
      <c r="G99" s="24">
        <v>202</v>
      </c>
    </row>
    <row r="100" spans="1:7" x14ac:dyDescent="0.3">
      <c r="A100" t="str">
        <f>VLOOKUP(Table3[[#This Row],[COMPANYNO]],L:M,2)</f>
        <v>JF White</v>
      </c>
      <c r="B100" t="str">
        <f>VLOOKUP(Table3[[#This Row],[COMPANYNO]],L:N,3)</f>
        <v>Boston</v>
      </c>
      <c r="C100" t="s">
        <v>1509</v>
      </c>
      <c r="D100" t="str">
        <f>Table3[[#This Row],[COMPANYNO]]&amp;"/"&amp;Table3[[#This Row],[DIVISIONNO]]&amp;"-"&amp;Table3[[#This Row],[COMPANYNAME]]</f>
        <v>45/203-* CBIS Optimization-HVAC FSB</v>
      </c>
      <c r="E100" s="21" t="s">
        <v>608</v>
      </c>
      <c r="F100" s="22">
        <v>45</v>
      </c>
      <c r="G100" s="22">
        <v>203</v>
      </c>
    </row>
    <row r="101" spans="1:7" x14ac:dyDescent="0.3">
      <c r="A101" t="str">
        <f>VLOOKUP(Table3[[#This Row],[COMPANYNO]],L:M,2)</f>
        <v>JF White</v>
      </c>
      <c r="B101" t="str">
        <f>VLOOKUP(Table3[[#This Row],[COMPANYNO]],L:N,3)</f>
        <v>Boston</v>
      </c>
      <c r="C101" t="s">
        <v>1509</v>
      </c>
      <c r="D101" t="str">
        <f>Table3[[#This Row],[COMPANYNO]]&amp;"/"&amp;Table3[[#This Row],[DIVISIONNO]]&amp;"-"&amp;Table3[[#This Row],[COMPANYNAME]]</f>
        <v>45/204-HVAC Repl&amp;Upgr-Essex Cty Corr</v>
      </c>
      <c r="E101" s="23" t="s">
        <v>609</v>
      </c>
      <c r="F101" s="24">
        <v>45</v>
      </c>
      <c r="G101" s="24">
        <v>204</v>
      </c>
    </row>
    <row r="102" spans="1:7" x14ac:dyDescent="0.3">
      <c r="A102" t="str">
        <f>VLOOKUP(Table3[[#This Row],[COMPANYNO]],L:M,2)</f>
        <v>JF White</v>
      </c>
      <c r="B102" t="str">
        <f>VLOOKUP(Table3[[#This Row],[COMPANYNO]],L:N,3)</f>
        <v>Boston</v>
      </c>
      <c r="C102" t="s">
        <v>1509</v>
      </c>
      <c r="D102" t="str">
        <f>Table3[[#This Row],[COMPANYNO]]&amp;"/"&amp;Table3[[#This Row],[DIVISIONNO]]&amp;"-"&amp;Table3[[#This Row],[COMPANYNAME]]</f>
        <v>45/205-UMass Util Corr Pkg#4 HVAC FSB</v>
      </c>
      <c r="E102" s="21" t="s">
        <v>610</v>
      </c>
      <c r="F102" s="22">
        <v>45</v>
      </c>
      <c r="G102" s="22">
        <v>205</v>
      </c>
    </row>
    <row r="103" spans="1:7" x14ac:dyDescent="0.3">
      <c r="A103" t="str">
        <f>VLOOKUP(Table3[[#This Row],[COMPANYNO]],L:M,2)</f>
        <v>JF White</v>
      </c>
      <c r="B103" t="str">
        <f>VLOOKUP(Table3[[#This Row],[COMPANYNO]],L:N,3)</f>
        <v>Boston</v>
      </c>
      <c r="C103" t="s">
        <v>1509</v>
      </c>
      <c r="D103" t="str">
        <f>Table3[[#This Row],[COMPANYNO]]&amp;"/"&amp;Table3[[#This Row],[DIVISIONNO]]&amp;"-"&amp;Table3[[#This Row],[COMPANYNAME]]</f>
        <v>45/206-Jamaicaway Towers R&amp;R HVAC</v>
      </c>
      <c r="E103" s="23" t="s">
        <v>611</v>
      </c>
      <c r="F103" s="24">
        <v>45</v>
      </c>
      <c r="G103" s="24">
        <v>206</v>
      </c>
    </row>
    <row r="104" spans="1:7" x14ac:dyDescent="0.3">
      <c r="A104" t="str">
        <f>VLOOKUP(Table3[[#This Row],[COMPANYNO]],L:M,2)</f>
        <v>JF White</v>
      </c>
      <c r="B104" t="str">
        <f>VLOOKUP(Table3[[#This Row],[COMPANYNO]],L:N,3)</f>
        <v>Boston</v>
      </c>
      <c r="C104" t="s">
        <v>1509</v>
      </c>
      <c r="D104" t="str">
        <f>Table3[[#This Row],[COMPANYNO]]&amp;"/"&amp;Table3[[#This Row],[DIVISIONNO]]&amp;"-"&amp;Table3[[#This Row],[COMPANYNAME]]</f>
        <v>45/207-* Hynes Conv Ctr Chiller Repla</v>
      </c>
      <c r="E104" s="21" t="s">
        <v>612</v>
      </c>
      <c r="F104" s="22">
        <v>45</v>
      </c>
      <c r="G104" s="22">
        <v>207</v>
      </c>
    </row>
    <row r="105" spans="1:7" x14ac:dyDescent="0.3">
      <c r="A105" t="str">
        <f>VLOOKUP(Table3[[#This Row],[COMPANYNO]],L:M,2)</f>
        <v>JF White</v>
      </c>
      <c r="B105" t="str">
        <f>VLOOKUP(Table3[[#This Row],[COMPANYNO]],L:N,3)</f>
        <v>Boston</v>
      </c>
      <c r="C105" t="s">
        <v>1509</v>
      </c>
      <c r="D105" t="str">
        <f>Table3[[#This Row],[COMPANYNO]]&amp;"/"&amp;Table3[[#This Row],[DIVISIONNO]]&amp;"-"&amp;Table3[[#This Row],[COMPANYNAME]]</f>
        <v>45/208-* Logan Term B&amp;C HVAC/Mech, GC</v>
      </c>
      <c r="E105" s="23" t="s">
        <v>613</v>
      </c>
      <c r="F105" s="24">
        <v>45</v>
      </c>
      <c r="G105" s="24">
        <v>208</v>
      </c>
    </row>
    <row r="106" spans="1:7" x14ac:dyDescent="0.3">
      <c r="A106" t="str">
        <f>VLOOKUP(Table3[[#This Row],[COMPANYNO]],L:M,2)</f>
        <v>JF White</v>
      </c>
      <c r="B106" t="str">
        <f>VLOOKUP(Table3[[#This Row],[COMPANYNO]],L:N,3)</f>
        <v>Boston</v>
      </c>
      <c r="C106" t="s">
        <v>1509</v>
      </c>
      <c r="D106" t="str">
        <f>Table3[[#This Row],[COMPANYNO]]&amp;"/"&amp;Table3[[#This Row],[DIVISIONNO]]&amp;"-"&amp;Table3[[#This Row],[COMPANYNAME]]</f>
        <v>45/209-State House Energy Upgrades</v>
      </c>
      <c r="E106" s="21" t="s">
        <v>614</v>
      </c>
      <c r="F106" s="22">
        <v>45</v>
      </c>
      <c r="G106" s="22">
        <v>209</v>
      </c>
    </row>
    <row r="107" spans="1:7" x14ac:dyDescent="0.3">
      <c r="A107" t="str">
        <f>VLOOKUP(Table3[[#This Row],[COMPANYNO]],L:M,2)</f>
        <v>JF White</v>
      </c>
      <c r="B107" t="str">
        <f>VLOOKUP(Table3[[#This Row],[COMPANYNO]],L:N,3)</f>
        <v>Boston</v>
      </c>
      <c r="C107" t="s">
        <v>1509</v>
      </c>
      <c r="D107" t="str">
        <f>Table3[[#This Row],[COMPANYNO]]&amp;"/"&amp;Table3[[#This Row],[DIVISIONNO]]&amp;"-"&amp;Table3[[#This Row],[COMPANYNAME]]</f>
        <v>45/210-Kendall Reconfig Project-Mech</v>
      </c>
      <c r="E107" s="23" t="s">
        <v>615</v>
      </c>
      <c r="F107" s="24">
        <v>45</v>
      </c>
      <c r="G107" s="24">
        <v>210</v>
      </c>
    </row>
    <row r="108" spans="1:7" x14ac:dyDescent="0.3">
      <c r="A108" t="str">
        <f>VLOOKUP(Table3[[#This Row],[COMPANYNO]],L:M,2)</f>
        <v>JF White</v>
      </c>
      <c r="B108" t="str">
        <f>VLOOKUP(Table3[[#This Row],[COMPANYNO]],L:N,3)</f>
        <v>Boston</v>
      </c>
      <c r="C108" t="s">
        <v>1509</v>
      </c>
      <c r="D108" t="str">
        <f>Table3[[#This Row],[COMPANYNO]]&amp;"/"&amp;Table3[[#This Row],[DIVISIONNO]]&amp;"-"&amp;Table3[[#This Row],[COMPANYNAME]]</f>
        <v>45/211-Jamaicaway Townhouse FCU Repl</v>
      </c>
      <c r="E108" s="21" t="s">
        <v>616</v>
      </c>
      <c r="F108" s="22">
        <v>45</v>
      </c>
      <c r="G108" s="22">
        <v>211</v>
      </c>
    </row>
    <row r="109" spans="1:7" x14ac:dyDescent="0.3">
      <c r="A109" t="str">
        <f>VLOOKUP(Table3[[#This Row],[COMPANYNO]],L:M,2)</f>
        <v>JF White</v>
      </c>
      <c r="B109" t="str">
        <f>VLOOKUP(Table3[[#This Row],[COMPANYNO]],L:N,3)</f>
        <v>Boston</v>
      </c>
      <c r="C109" t="s">
        <v>1509</v>
      </c>
      <c r="D109" t="str">
        <f>Table3[[#This Row],[COMPANYNO]]&amp;"/"&amp;Table3[[#This Row],[DIVISIONNO]]&amp;"-"&amp;Table3[[#This Row],[COMPANYNAME]]</f>
        <v>45/212-Thermal Pwr PlantSystem Upgr</v>
      </c>
      <c r="E109" s="23" t="s">
        <v>617</v>
      </c>
      <c r="F109" s="24">
        <v>45</v>
      </c>
      <c r="G109" s="24">
        <v>212</v>
      </c>
    </row>
    <row r="110" spans="1:7" x14ac:dyDescent="0.3">
      <c r="A110" t="str">
        <f>VLOOKUP(Table3[[#This Row],[COMPANYNO]],L:M,2)</f>
        <v>JF White</v>
      </c>
      <c r="B110" t="str">
        <f>VLOOKUP(Table3[[#This Row],[COMPANYNO]],L:N,3)</f>
        <v>Boston</v>
      </c>
      <c r="C110" t="s">
        <v>1509</v>
      </c>
      <c r="D110" t="str">
        <f>Table3[[#This Row],[COMPANYNO]]&amp;"/"&amp;Table3[[#This Row],[DIVISIONNO]]&amp;"-"&amp;Table3[[#This Row],[COMPANYNAME]]</f>
        <v>45/213-Term B&amp;C HVAC</v>
      </c>
      <c r="E110" s="21" t="s">
        <v>618</v>
      </c>
      <c r="F110" s="22">
        <v>45</v>
      </c>
      <c r="G110" s="22">
        <v>213</v>
      </c>
    </row>
    <row r="111" spans="1:7" x14ac:dyDescent="0.3">
      <c r="A111" t="str">
        <f>VLOOKUP(Table3[[#This Row],[COMPANYNO]],L:M,2)</f>
        <v>JF White</v>
      </c>
      <c r="B111" t="str">
        <f>VLOOKUP(Table3[[#This Row],[COMPANYNO]],L:N,3)</f>
        <v>Boston</v>
      </c>
      <c r="C111" t="s">
        <v>1509</v>
      </c>
      <c r="D111" t="str">
        <f>Table3[[#This Row],[COMPANYNO]]&amp;"/"&amp;Table3[[#This Row],[DIVISIONNO]]&amp;"-"&amp;Table3[[#This Row],[COMPANYNAME]]</f>
        <v>45/214-State House-Senate Renovations</v>
      </c>
      <c r="E111" s="23" t="s">
        <v>677</v>
      </c>
      <c r="F111" s="24">
        <v>45</v>
      </c>
      <c r="G111" s="24">
        <v>214</v>
      </c>
    </row>
    <row r="112" spans="1:7" x14ac:dyDescent="0.3">
      <c r="A112" t="str">
        <f>VLOOKUP(Table3[[#This Row],[COMPANYNO]],L:M,2)</f>
        <v>JF White</v>
      </c>
      <c r="B112" t="str">
        <f>VLOOKUP(Table3[[#This Row],[COMPANYNO]],L:N,3)</f>
        <v>Boston</v>
      </c>
      <c r="C112" t="s">
        <v>1509</v>
      </c>
      <c r="D112" t="str">
        <f>Table3[[#This Row],[COMPANYNO]]&amp;"/"&amp;Table3[[#This Row],[DIVISIONNO]]&amp;"-"&amp;Table3[[#This Row],[COMPANYNAME]]</f>
        <v>45/215-Faneuil Hall HVAC and Upgrades</v>
      </c>
      <c r="E112" s="21" t="s">
        <v>682</v>
      </c>
      <c r="F112" s="22">
        <v>45</v>
      </c>
      <c r="G112" s="22">
        <v>215</v>
      </c>
    </row>
    <row r="113" spans="1:7" x14ac:dyDescent="0.3">
      <c r="A113" t="str">
        <f>VLOOKUP(Table3[[#This Row],[COMPANYNO]],L:M,2)</f>
        <v>JF White</v>
      </c>
      <c r="B113" t="str">
        <f>VLOOKUP(Table3[[#This Row],[COMPANYNO]],L:N,3)</f>
        <v>Boston</v>
      </c>
      <c r="C113" t="s">
        <v>1509</v>
      </c>
      <c r="D113" t="str">
        <f>Table3[[#This Row],[COMPANYNO]]&amp;"/"&amp;Table3[[#This Row],[DIVISIONNO]]&amp;"-"&amp;Table3[[#This Row],[COMPANYNAME]]</f>
        <v>45/216-Terminal B Optimiz HVAC</v>
      </c>
      <c r="E113" s="23" t="s">
        <v>698</v>
      </c>
      <c r="F113" s="24">
        <v>45</v>
      </c>
      <c r="G113" s="24">
        <v>216</v>
      </c>
    </row>
    <row r="114" spans="1:7" x14ac:dyDescent="0.3">
      <c r="A114" t="str">
        <f>VLOOKUP(Table3[[#This Row],[COMPANYNO]],L:M,2)</f>
        <v>JF White</v>
      </c>
      <c r="B114" t="str">
        <f>VLOOKUP(Table3[[#This Row],[COMPANYNO]],L:N,3)</f>
        <v>Boston</v>
      </c>
      <c r="C114" t="s">
        <v>1509</v>
      </c>
      <c r="D114" t="str">
        <f>Table3[[#This Row],[COMPANYNO]]&amp;"/"&amp;Table3[[#This Row],[DIVISIONNO]]&amp;"-"&amp;Table3[[#This Row],[COMPANYNAME]]</f>
        <v>45/217-Central Heating Plant Upgrades</v>
      </c>
      <c r="E114" s="21" t="s">
        <v>705</v>
      </c>
      <c r="F114" s="22">
        <v>45</v>
      </c>
      <c r="G114" s="22">
        <v>217</v>
      </c>
    </row>
    <row r="115" spans="1:7" x14ac:dyDescent="0.3">
      <c r="A115" t="str">
        <f>VLOOKUP(Table3[[#This Row],[COMPANYNO]],L:M,2)</f>
        <v>JF White</v>
      </c>
      <c r="B115" t="str">
        <f>VLOOKUP(Table3[[#This Row],[COMPANYNO]],L:N,3)</f>
        <v>Boston</v>
      </c>
      <c r="C115" t="s">
        <v>1509</v>
      </c>
      <c r="D115" t="str">
        <f>Table3[[#This Row],[COMPANYNO]]&amp;"/"&amp;Table3[[#This Row],[DIVISIONNO]]&amp;"-"&amp;Table3[[#This Row],[COMPANYNAME]]</f>
        <v>45/218-UPS System Upgr &amp; Related Work</v>
      </c>
      <c r="E115" s="23" t="s">
        <v>738</v>
      </c>
      <c r="F115" s="24">
        <v>45</v>
      </c>
      <c r="G115" s="24">
        <v>218</v>
      </c>
    </row>
    <row r="116" spans="1:7" x14ac:dyDescent="0.3">
      <c r="A116" t="str">
        <f>VLOOKUP(Table3[[#This Row],[COMPANYNO]],L:M,2)</f>
        <v>JF White</v>
      </c>
      <c r="B116" t="str">
        <f>VLOOKUP(Table3[[#This Row],[COMPANYNO]],L:N,3)</f>
        <v>Boston</v>
      </c>
      <c r="C116" t="s">
        <v>1509</v>
      </c>
      <c r="D116" t="str">
        <f>Table3[[#This Row],[COMPANYNO]]&amp;"/"&amp;Table3[[#This Row],[DIVISIONNO]]&amp;"-"&amp;Table3[[#This Row],[COMPANYNAME]]</f>
        <v>45/219-Central Heating Plant Cooling</v>
      </c>
      <c r="E116" s="21" t="s">
        <v>746</v>
      </c>
      <c r="F116" s="22">
        <v>45</v>
      </c>
      <c r="G116" s="22">
        <v>219</v>
      </c>
    </row>
    <row r="117" spans="1:7" x14ac:dyDescent="0.3">
      <c r="A117" t="str">
        <f>VLOOKUP(Table3[[#This Row],[COMPANYNO]],L:M,2)</f>
        <v>JF White</v>
      </c>
      <c r="B117" t="str">
        <f>VLOOKUP(Table3[[#This Row],[COMPANYNO]],L:N,3)</f>
        <v>Boston</v>
      </c>
      <c r="C117" t="s">
        <v>1509</v>
      </c>
      <c r="D117" t="str">
        <f>Table3[[#This Row],[COMPANYNO]]&amp;"/"&amp;Table3[[#This Row],[DIVISIONNO]]&amp;"-"&amp;Table3[[#This Row],[COMPANYNAME]]</f>
        <v>45/220-MPA HVAC Sys South Cargo 58</v>
      </c>
      <c r="E117" s="23" t="s">
        <v>747</v>
      </c>
      <c r="F117" s="24">
        <v>45</v>
      </c>
      <c r="G117" s="24">
        <v>220</v>
      </c>
    </row>
    <row r="118" spans="1:7" x14ac:dyDescent="0.3">
      <c r="A118" t="str">
        <f>VLOOKUP(Table3[[#This Row],[COMPANYNO]],L:M,2)</f>
        <v>JF White</v>
      </c>
      <c r="B118" t="str">
        <f>VLOOKUP(Table3[[#This Row],[COMPANYNO]],L:N,3)</f>
        <v>Boston</v>
      </c>
      <c r="C118" t="s">
        <v>1509</v>
      </c>
      <c r="D118" t="str">
        <f>Table3[[#This Row],[COMPANYNO]]&amp;"/"&amp;Table3[[#This Row],[DIVISIONNO]]&amp;"-"&amp;Table3[[#This Row],[COMPANYNAME]]</f>
        <v>45/221-Boston City Hall HVAC</v>
      </c>
      <c r="E118" s="21" t="s">
        <v>774</v>
      </c>
      <c r="F118" s="22">
        <v>45</v>
      </c>
      <c r="G118" s="22">
        <v>221</v>
      </c>
    </row>
    <row r="119" spans="1:7" x14ac:dyDescent="0.3">
      <c r="A119" t="str">
        <f>VLOOKUP(Table3[[#This Row],[COMPANYNO]],L:M,2)</f>
        <v>JF White</v>
      </c>
      <c r="B119" t="str">
        <f>VLOOKUP(Table3[[#This Row],[COMPANYNO]],L:N,3)</f>
        <v>Boston</v>
      </c>
      <c r="C119" t="s">
        <v>1509</v>
      </c>
      <c r="D119" t="str">
        <f>Table3[[#This Row],[COMPANYNO]]&amp;"/"&amp;Table3[[#This Row],[DIVISIONNO]]&amp;"-"&amp;Table3[[#This Row],[COMPANYNAME]]</f>
        <v>45/222-Pier A HVAC Term B Optimizatio</v>
      </c>
      <c r="E119" s="23" t="s">
        <v>775</v>
      </c>
      <c r="F119" s="24">
        <v>45</v>
      </c>
      <c r="G119" s="24">
        <v>222</v>
      </c>
    </row>
    <row r="120" spans="1:7" x14ac:dyDescent="0.3">
      <c r="A120" t="str">
        <f>VLOOKUP(Table3[[#This Row],[COMPANYNO]],L:M,2)</f>
        <v>JF White</v>
      </c>
      <c r="B120" t="str">
        <f>VLOOKUP(Table3[[#This Row],[COMPANYNO]],L:N,3)</f>
        <v>Boston</v>
      </c>
      <c r="C120" t="s">
        <v>1509</v>
      </c>
      <c r="D120" t="str">
        <f>Table3[[#This Row],[COMPANYNO]]&amp;"/"&amp;Table3[[#This Row],[DIVISIONNO]]&amp;"-"&amp;Table3[[#This Row],[COMPANYNAME]]</f>
        <v>45/223-Millers River Apartments, HVAC</v>
      </c>
      <c r="E120" s="21" t="s">
        <v>780</v>
      </c>
      <c r="F120" s="22">
        <v>45</v>
      </c>
      <c r="G120" s="22">
        <v>223</v>
      </c>
    </row>
    <row r="121" spans="1:7" x14ac:dyDescent="0.3">
      <c r="A121" t="str">
        <f>VLOOKUP(Table3[[#This Row],[COMPANYNO]],L:M,2)</f>
        <v>JF White</v>
      </c>
      <c r="B121" t="str">
        <f>VLOOKUP(Table3[[#This Row],[COMPANYNO]],L:N,3)</f>
        <v>Boston</v>
      </c>
      <c r="C121" t="s">
        <v>1509</v>
      </c>
      <c r="D121" t="str">
        <f>Table3[[#This Row],[COMPANYNO]]&amp;"/"&amp;Table3[[#This Row],[DIVISIONNO]]&amp;"-"&amp;Table3[[#This Row],[COMPANYNAME]]</f>
        <v>45/224-Robert W Healy Pub Safety Bdg</v>
      </c>
      <c r="E121" s="23" t="s">
        <v>786</v>
      </c>
      <c r="F121" s="24">
        <v>45</v>
      </c>
      <c r="G121" s="24">
        <v>224</v>
      </c>
    </row>
    <row r="122" spans="1:7" x14ac:dyDescent="0.3">
      <c r="A122" t="str">
        <f>VLOOKUP(Table3[[#This Row],[COMPANYNO]],L:M,2)</f>
        <v>JF White</v>
      </c>
      <c r="B122" t="str">
        <f>VLOOKUP(Table3[[#This Row],[COMPANYNO]],L:N,3)</f>
        <v>Boston</v>
      </c>
      <c r="C122" t="s">
        <v>1509</v>
      </c>
      <c r="D122" t="str">
        <f>Table3[[#This Row],[COMPANYNO]]&amp;"/"&amp;Table3[[#This Row],[DIVISIONNO]]&amp;"-"&amp;Table3[[#This Row],[COMPANYNAME]]</f>
        <v>45/225-MPA Design Packages DP 2,3,4</v>
      </c>
      <c r="E122" s="21" t="s">
        <v>785</v>
      </c>
      <c r="F122" s="22">
        <v>45</v>
      </c>
      <c r="G122" s="22">
        <v>225</v>
      </c>
    </row>
    <row r="123" spans="1:7" x14ac:dyDescent="0.3">
      <c r="A123" t="str">
        <f>VLOOKUP(Table3[[#This Row],[COMPANYNO]],L:M,2)</f>
        <v>Other</v>
      </c>
      <c r="B123" t="str">
        <f>VLOOKUP(Table3[[#This Row],[COMPANYNO]],L:N,3)</f>
        <v>Vias</v>
      </c>
      <c r="C123" t="s">
        <v>1509</v>
      </c>
      <c r="D123" t="str">
        <f>Table3[[#This Row],[COMPANYNO]]&amp;"/"&amp;Table3[[#This Row],[DIVISIONNO]]&amp;"-"&amp;Table3[[#This Row],[COMPANYNAME]]</f>
        <v>12/2-OLRT</v>
      </c>
      <c r="E123" s="21" t="s">
        <v>463</v>
      </c>
      <c r="F123" s="22">
        <v>12</v>
      </c>
      <c r="G123" s="22">
        <v>2</v>
      </c>
    </row>
    <row r="124" spans="1:7" x14ac:dyDescent="0.3">
      <c r="A124" t="str">
        <f>VLOOKUP(Table3[[#This Row],[COMPANYNO]],L:M,2)</f>
        <v>Other</v>
      </c>
      <c r="B124" t="str">
        <f>VLOOKUP(Table3[[#This Row],[COMPANYNO]],L:N,3)</f>
        <v>Vias</v>
      </c>
      <c r="C124" t="s">
        <v>1509</v>
      </c>
      <c r="D124" t="str">
        <f>Table3[[#This Row],[COMPANYNO]]&amp;"/"&amp;Table3[[#This Row],[DIVISIONNO]]&amp;"-"&amp;Table3[[#This Row],[COMPANYNAME]]</f>
        <v>12/3-Lincolnville</v>
      </c>
      <c r="E124" s="23" t="s">
        <v>519</v>
      </c>
      <c r="F124" s="24">
        <v>12</v>
      </c>
      <c r="G124" s="24">
        <v>3</v>
      </c>
    </row>
    <row r="125" spans="1:7" x14ac:dyDescent="0.3">
      <c r="A125" t="str">
        <f>VLOOKUP(Table3[[#This Row],[COMPANYNO]],L:M,2)</f>
        <v>Other</v>
      </c>
      <c r="B125" t="str">
        <f>VLOOKUP(Table3[[#This Row],[COMPANYNO]],L:N,3)</f>
        <v>Vias</v>
      </c>
      <c r="C125" t="s">
        <v>1509</v>
      </c>
      <c r="D125" t="str">
        <f>Table3[[#This Row],[COMPANYNO]]&amp;"/"&amp;Table3[[#This Row],[DIVISIONNO]]&amp;"-"&amp;Table3[[#This Row],[COMPANYNAME]]</f>
        <v>12/4-Concrete Tie Replacement</v>
      </c>
      <c r="E125" s="21" t="s">
        <v>547</v>
      </c>
      <c r="F125" s="22">
        <v>12</v>
      </c>
      <c r="G125" s="22">
        <v>4</v>
      </c>
    </row>
    <row r="126" spans="1:7" x14ac:dyDescent="0.3">
      <c r="A126" t="str">
        <f>VLOOKUP(Table3[[#This Row],[COMPANYNO]],L:M,2)</f>
        <v>Other</v>
      </c>
      <c r="B126" t="str">
        <f>VLOOKUP(Table3[[#This Row],[COMPANYNO]],L:N,3)</f>
        <v>Vias</v>
      </c>
      <c r="C126" t="s">
        <v>1509</v>
      </c>
      <c r="D126" t="str">
        <f>Table3[[#This Row],[COMPANYNO]]&amp;"/"&amp;Table3[[#This Row],[DIVISIONNO]]&amp;"-"&amp;Table3[[#This Row],[COMPANYNAME]]</f>
        <v>12/5-Emergent Track Services</v>
      </c>
      <c r="E126" s="23" t="s">
        <v>548</v>
      </c>
      <c r="F126" s="24">
        <v>12</v>
      </c>
      <c r="G126" s="24">
        <v>5</v>
      </c>
    </row>
    <row r="127" spans="1:7" x14ac:dyDescent="0.3">
      <c r="A127" t="str">
        <f>VLOOKUP(Table3[[#This Row],[COMPANYNO]],L:M,2)</f>
        <v>Other</v>
      </c>
      <c r="B127" t="str">
        <f>VLOOKUP(Table3[[#This Row],[COMPANYNO]],L:N,3)</f>
        <v>Vias</v>
      </c>
      <c r="C127" t="s">
        <v>1509</v>
      </c>
      <c r="D127" t="str">
        <f>Table3[[#This Row],[COMPANYNO]]&amp;"/"&amp;Table3[[#This Row],[DIVISIONNO]]&amp;"-"&amp;Table3[[#This Row],[COMPANYNAME]]</f>
        <v>70/2-Wachusett Extension</v>
      </c>
      <c r="E127" s="23" t="s">
        <v>421</v>
      </c>
      <c r="F127" s="24">
        <v>70</v>
      </c>
      <c r="G127" s="24">
        <v>2</v>
      </c>
    </row>
    <row r="128" spans="1:7" x14ac:dyDescent="0.3">
      <c r="A128" t="str">
        <f>VLOOKUP(Table3[[#This Row],[COMPANYNO]],L:M,2)</f>
        <v>Other</v>
      </c>
      <c r="B128" t="str">
        <f>VLOOKUP(Table3[[#This Row],[COMPANYNO]],L:N,3)</f>
        <v>Vias</v>
      </c>
      <c r="C128" t="s">
        <v>1509</v>
      </c>
      <c r="D128" t="str">
        <f>Table3[[#This Row],[COMPANYNO]]&amp;"/"&amp;Table3[[#This Row],[DIVISIONNO]]&amp;"-"&amp;Table3[[#This Row],[COMPANYNAME]]</f>
        <v>70/3-Dulles Rail Yard</v>
      </c>
      <c r="E128" s="21" t="s">
        <v>491</v>
      </c>
      <c r="F128" s="22">
        <v>70</v>
      </c>
      <c r="G128" s="22">
        <v>3</v>
      </c>
    </row>
    <row r="129" spans="1:7" x14ac:dyDescent="0.3">
      <c r="A129" t="str">
        <f>VLOOKUP(Table3[[#This Row],[COMPANYNO]],L:M,2)</f>
        <v>Other</v>
      </c>
      <c r="B129" t="str">
        <f>VLOOKUP(Table3[[#This Row],[COMPANYNO]],L:N,3)</f>
        <v>Corporate</v>
      </c>
      <c r="C129" t="s">
        <v>1509</v>
      </c>
      <c r="D129" t="str">
        <f>Table3[[#This Row],[COMPANYNO]]&amp;"/"&amp;Table3[[#This Row],[DIVISIONNO]]&amp;"-"&amp;Table3[[#This Row],[COMPANYNAME]]</f>
        <v>92/2-ELECTREN USA, Inc.</v>
      </c>
      <c r="E129" s="21" t="s">
        <v>177</v>
      </c>
      <c r="F129" s="22">
        <v>92</v>
      </c>
      <c r="G129" s="22">
        <v>2</v>
      </c>
    </row>
    <row r="130" spans="1:7" x14ac:dyDescent="0.3">
      <c r="A130" t="str">
        <f>VLOOKUP(Table3[[#This Row],[COMPANYNO]],L:M,2)</f>
        <v>Other</v>
      </c>
      <c r="B130" t="str">
        <f>VLOOKUP(Table3[[#This Row],[COMPANYNO]],L:N,3)</f>
        <v>Corporate</v>
      </c>
      <c r="C130" t="s">
        <v>1509</v>
      </c>
      <c r="D130" t="str">
        <f>Table3[[#This Row],[COMPANYNO]]&amp;"/"&amp;Table3[[#This Row],[DIVISIONNO]]&amp;"-"&amp;Table3[[#This Row],[COMPANYNAME]]</f>
        <v>93/2-Lining Precast LLC</v>
      </c>
      <c r="E130" s="21" t="s">
        <v>349</v>
      </c>
      <c r="F130" s="22">
        <v>93</v>
      </c>
      <c r="G130" s="22">
        <v>2</v>
      </c>
    </row>
    <row r="131" spans="1:7" x14ac:dyDescent="0.3">
      <c r="A131" t="str">
        <f>VLOOKUP(Table3[[#This Row],[COMPANYNO]],L:M,2)</f>
        <v>Picone</v>
      </c>
      <c r="B131" t="str">
        <f>VLOOKUP(Table3[[#This Row],[COMPANYNO]],L:N,3)</f>
        <v>Long Island City</v>
      </c>
      <c r="C131" t="s">
        <v>1509</v>
      </c>
      <c r="D131" t="str">
        <f>Table3[[#This Row],[COMPANYNO]]&amp;"/"&amp;Table3[[#This Row],[DIVISIONNO]]&amp;"-"&amp;Table3[[#This Row],[COMPANYNAME]]</f>
        <v>75/2-* C545J Shaft Maintenance</v>
      </c>
      <c r="E131" s="21" t="s">
        <v>184</v>
      </c>
      <c r="F131" s="22">
        <v>75</v>
      </c>
      <c r="G131" s="22">
        <v>2</v>
      </c>
    </row>
    <row r="132" spans="1:7" x14ac:dyDescent="0.3">
      <c r="A132" t="str">
        <f>VLOOKUP(Table3[[#This Row],[COMPANYNO]],L:M,2)</f>
        <v>Picone</v>
      </c>
      <c r="B132" t="str">
        <f>VLOOKUP(Table3[[#This Row],[COMPANYNO]],L:N,3)</f>
        <v>Long Island City</v>
      </c>
      <c r="C132" t="s">
        <v>1509</v>
      </c>
      <c r="D132" t="str">
        <f>Table3[[#This Row],[COMPANYNO]]&amp;"/"&amp;Table3[[#This Row],[DIVISIONNO]]&amp;"-"&amp;Table3[[#This Row],[COMPANYNAME]]</f>
        <v>75/3-* C-538C Water Tunnel 10 Shaft</v>
      </c>
      <c r="E132" s="23" t="s">
        <v>181</v>
      </c>
      <c r="F132" s="24">
        <v>75</v>
      </c>
      <c r="G132" s="24">
        <v>3</v>
      </c>
    </row>
    <row r="133" spans="1:7" x14ac:dyDescent="0.3">
      <c r="A133" t="str">
        <f>VLOOKUP(Table3[[#This Row],[COMPANYNO]],L:M,2)</f>
        <v>Picone</v>
      </c>
      <c r="B133" t="str">
        <f>VLOOKUP(Table3[[#This Row],[COMPANYNO]],L:N,3)</f>
        <v>Long Island City</v>
      </c>
      <c r="C133" t="s">
        <v>1509</v>
      </c>
      <c r="D133" t="str">
        <f>Table3[[#This Row],[COMPANYNO]]&amp;"/"&amp;Table3[[#This Row],[DIVISIONNO]]&amp;"-"&amp;Table3[[#This Row],[COMPANYNAME]]</f>
        <v>75/4-* Tunnel &amp; Shaft/Rondt Del185</v>
      </c>
      <c r="E133" s="21" t="s">
        <v>185</v>
      </c>
      <c r="F133" s="22">
        <v>75</v>
      </c>
      <c r="G133" s="22">
        <v>4</v>
      </c>
    </row>
    <row r="134" spans="1:7" x14ac:dyDescent="0.3">
      <c r="A134" t="str">
        <f>VLOOKUP(Table3[[#This Row],[COMPANYNO]],L:M,2)</f>
        <v>Picone</v>
      </c>
      <c r="B134" t="str">
        <f>VLOOKUP(Table3[[#This Row],[COMPANYNO]],L:N,3)</f>
        <v>Long Island City</v>
      </c>
      <c r="C134" t="s">
        <v>1509</v>
      </c>
      <c r="D134" t="str">
        <f>Table3[[#This Row],[COMPANYNO]]&amp;"/"&amp;Table3[[#This Row],[DIVISIONNO]]&amp;"-"&amp;Table3[[#This Row],[COMPANYNAME]]</f>
        <v>75/5-OAKWOOD BCH SBSTN OB-125G</v>
      </c>
      <c r="E134" s="23" t="s">
        <v>186</v>
      </c>
      <c r="F134" s="24">
        <v>75</v>
      </c>
      <c r="G134" s="24">
        <v>5</v>
      </c>
    </row>
    <row r="135" spans="1:7" x14ac:dyDescent="0.3">
      <c r="A135" t="str">
        <f>VLOOKUP(Table3[[#This Row],[COMPANYNO]],L:M,2)</f>
        <v>Picone</v>
      </c>
      <c r="B135" t="str">
        <f>VLOOKUP(Table3[[#This Row],[COMPANYNO]],L:N,3)</f>
        <v>Long Island City</v>
      </c>
      <c r="C135" t="s">
        <v>1509</v>
      </c>
      <c r="D135" t="str">
        <f>Table3[[#This Row],[COMPANYNO]]&amp;"/"&amp;Table3[[#This Row],[DIVISIONNO]]&amp;"-"&amp;Table3[[#This Row],[COMPANYNAME]]</f>
        <v>75/6-* A-35784 Substns-Brooklyn W E</v>
      </c>
      <c r="E135" s="21" t="s">
        <v>187</v>
      </c>
      <c r="F135" s="22">
        <v>75</v>
      </c>
      <c r="G135" s="22">
        <v>6</v>
      </c>
    </row>
    <row r="136" spans="1:7" x14ac:dyDescent="0.3">
      <c r="A136" t="str">
        <f>VLOOKUP(Table3[[#This Row],[COMPANYNO]],L:M,2)</f>
        <v>Picone</v>
      </c>
      <c r="B136" t="str">
        <f>VLOOKUP(Table3[[#This Row],[COMPANYNO]],L:N,3)</f>
        <v>Long Island City</v>
      </c>
      <c r="C136" t="s">
        <v>1509</v>
      </c>
      <c r="D136" t="str">
        <f>Table3[[#This Row],[COMPANYNO]]&amp;"/"&amp;Table3[[#This Row],[DIVISIONNO]]&amp;"-"&amp;Table3[[#This Row],[COMPANYNAME]]</f>
        <v>75/7-* A-36011 Five Stns-Pelham Bro</v>
      </c>
      <c r="E136" s="23" t="s">
        <v>188</v>
      </c>
      <c r="F136" s="24">
        <v>75</v>
      </c>
      <c r="G136" s="24">
        <v>7</v>
      </c>
    </row>
    <row r="137" spans="1:7" x14ac:dyDescent="0.3">
      <c r="A137" t="str">
        <f>VLOOKUP(Table3[[#This Row],[COMPANYNO]],L:M,2)</f>
        <v>Picone</v>
      </c>
      <c r="B137" t="str">
        <f>VLOOKUP(Table3[[#This Row],[COMPANYNO]],L:N,3)</f>
        <v>Long Island City</v>
      </c>
      <c r="C137" t="s">
        <v>1509</v>
      </c>
      <c r="D137" t="str">
        <f>Table3[[#This Row],[COMPANYNO]]&amp;"/"&amp;Table3[[#This Row],[DIVISIONNO]]&amp;"-"&amp;Table3[[#This Row],[COMPANYNAME]]</f>
        <v>75/8-* AVE V-FORCE MAIN PS-79F</v>
      </c>
      <c r="E137" s="21" t="s">
        <v>189</v>
      </c>
      <c r="F137" s="22">
        <v>75</v>
      </c>
      <c r="G137" s="22">
        <v>8</v>
      </c>
    </row>
    <row r="138" spans="1:7" x14ac:dyDescent="0.3">
      <c r="A138" t="str">
        <f>VLOOKUP(Table3[[#This Row],[COMPANYNO]],L:M,2)</f>
        <v>Picone</v>
      </c>
      <c r="B138" t="str">
        <f>VLOOKUP(Table3[[#This Row],[COMPANYNO]],L:N,3)</f>
        <v>Long Island City</v>
      </c>
      <c r="C138" t="s">
        <v>1509</v>
      </c>
      <c r="D138" t="str">
        <f>Table3[[#This Row],[COMPANYNO]]&amp;"/"&amp;Table3[[#This Row],[DIVISIONNO]]&amp;"-"&amp;Table3[[#This Row],[COMPANYNAME]]</f>
        <v>75/9-* Wards Island WI-270</v>
      </c>
      <c r="E138" s="23" t="s">
        <v>190</v>
      </c>
      <c r="F138" s="24">
        <v>75</v>
      </c>
      <c r="G138" s="24">
        <v>9</v>
      </c>
    </row>
    <row r="139" spans="1:7" x14ac:dyDescent="0.3">
      <c r="A139" t="str">
        <f>VLOOKUP(Table3[[#This Row],[COMPANYNO]],L:M,2)</f>
        <v>Picone</v>
      </c>
      <c r="B139" t="str">
        <f>VLOOKUP(Table3[[#This Row],[COMPANYNO]],L:N,3)</f>
        <v>Long Island City</v>
      </c>
      <c r="C139" t="s">
        <v>1509</v>
      </c>
      <c r="D139" t="str">
        <f>Table3[[#This Row],[COMPANYNO]]&amp;"/"&amp;Table3[[#This Row],[DIVISIONNO]]&amp;"-"&amp;Table3[[#This Row],[COMPANYNAME]]</f>
        <v>75/10-* JFK-916 Building #161 Fire P</v>
      </c>
      <c r="E139" s="21" t="s">
        <v>191</v>
      </c>
      <c r="F139" s="22">
        <v>75</v>
      </c>
      <c r="G139" s="22">
        <v>10</v>
      </c>
    </row>
    <row r="140" spans="1:7" x14ac:dyDescent="0.3">
      <c r="A140" t="str">
        <f>VLOOKUP(Table3[[#This Row],[COMPANYNO]],L:M,2)</f>
        <v>Picone</v>
      </c>
      <c r="B140" t="str">
        <f>VLOOKUP(Table3[[#This Row],[COMPANYNO]],L:N,3)</f>
        <v>Long Island City</v>
      </c>
      <c r="C140" t="s">
        <v>1509</v>
      </c>
      <c r="D140" t="str">
        <f>Table3[[#This Row],[COMPANYNO]]&amp;"/"&amp;Table3[[#This Row],[DIVISIONNO]]&amp;"-"&amp;Table3[[#This Row],[COMPANYNAME]]</f>
        <v>75/11-* Cross Bay Bridge CB-09</v>
      </c>
      <c r="E140" s="23" t="s">
        <v>192</v>
      </c>
      <c r="F140" s="24">
        <v>75</v>
      </c>
      <c r="G140" s="24">
        <v>11</v>
      </c>
    </row>
    <row r="141" spans="1:7" x14ac:dyDescent="0.3">
      <c r="A141" t="str">
        <f>VLOOKUP(Table3[[#This Row],[COMPANYNO]],L:M,2)</f>
        <v>Picone</v>
      </c>
      <c r="B141" t="str">
        <f>VLOOKUP(Table3[[#This Row],[COMPANYNO]],L:N,3)</f>
        <v>Long Island City</v>
      </c>
      <c r="C141" t="s">
        <v>1509</v>
      </c>
      <c r="D141" t="str">
        <f>Table3[[#This Row],[COMPANYNO]]&amp;"/"&amp;Table3[[#This Row],[DIVISIONNO]]&amp;"-"&amp;Table3[[#This Row],[COMPANYNAME]]</f>
        <v>75/12-* NYCT A-36111 Flood Mitigatio</v>
      </c>
      <c r="E141" s="21" t="s">
        <v>193</v>
      </c>
      <c r="F141" s="22">
        <v>75</v>
      </c>
      <c r="G141" s="22">
        <v>12</v>
      </c>
    </row>
    <row r="142" spans="1:7" x14ac:dyDescent="0.3">
      <c r="A142" t="str">
        <f>VLOOKUP(Table3[[#This Row],[COMPANYNO]],L:M,2)</f>
        <v>Picone</v>
      </c>
      <c r="B142" t="str">
        <f>VLOOKUP(Table3[[#This Row],[COMPANYNO]],L:N,3)</f>
        <v>Long Island City</v>
      </c>
      <c r="C142" t="s">
        <v>1509</v>
      </c>
      <c r="D142" t="str">
        <f>Table3[[#This Row],[COMPANYNO]]&amp;"/"&amp;Table3[[#This Row],[DIVISIONNO]]&amp;"-"&amp;Table3[[#This Row],[COMPANYNAME]]</f>
        <v>75/13-City Tunnel #3 C-549A</v>
      </c>
      <c r="E142" s="23" t="s">
        <v>194</v>
      </c>
      <c r="F142" s="24">
        <v>75</v>
      </c>
      <c r="G142" s="24">
        <v>13</v>
      </c>
    </row>
    <row r="143" spans="1:7" x14ac:dyDescent="0.3">
      <c r="A143" t="str">
        <f>VLOOKUP(Table3[[#This Row],[COMPANYNO]],L:M,2)</f>
        <v>Picone</v>
      </c>
      <c r="B143" t="str">
        <f>VLOOKUP(Table3[[#This Row],[COMPANYNO]],L:N,3)</f>
        <v>Long Island City</v>
      </c>
      <c r="C143" t="s">
        <v>1509</v>
      </c>
      <c r="D143" t="str">
        <f>Table3[[#This Row],[COMPANYNO]]&amp;"/"&amp;Table3[[#This Row],[DIVISIONNO]]&amp;"-"&amp;Table3[[#This Row],[COMPANYNAME]]</f>
        <v>75/14-* Work Orders@Var Loc GFM-495F</v>
      </c>
      <c r="E143" s="21" t="s">
        <v>195</v>
      </c>
      <c r="F143" s="22">
        <v>75</v>
      </c>
      <c r="G143" s="22">
        <v>14</v>
      </c>
    </row>
    <row r="144" spans="1:7" x14ac:dyDescent="0.3">
      <c r="A144" t="str">
        <f>VLOOKUP(Table3[[#This Row],[COMPANYNO]],L:M,2)</f>
        <v>Picone</v>
      </c>
      <c r="B144" t="str">
        <f>VLOOKUP(Table3[[#This Row],[COMPANYNO]],L:N,3)</f>
        <v>Long Island City</v>
      </c>
      <c r="C144" t="s">
        <v>1509</v>
      </c>
      <c r="D144" t="str">
        <f>Table3[[#This Row],[COMPANYNO]]&amp;"/"&amp;Table3[[#This Row],[DIVISIONNO]]&amp;"-"&amp;Table3[[#This Row],[COMPANYNAME]]</f>
        <v>75/15-* UN Building BP-038</v>
      </c>
      <c r="E144" s="23" t="s">
        <v>196</v>
      </c>
      <c r="F144" s="24">
        <v>75</v>
      </c>
      <c r="G144" s="24">
        <v>15</v>
      </c>
    </row>
    <row r="145" spans="1:7" x14ac:dyDescent="0.3">
      <c r="A145" t="str">
        <f>VLOOKUP(Table3[[#This Row],[COMPANYNO]],L:M,2)</f>
        <v>Picone</v>
      </c>
      <c r="B145" t="str">
        <f>VLOOKUP(Table3[[#This Row],[COMPANYNO]],L:N,3)</f>
        <v>Long Island City</v>
      </c>
      <c r="C145" t="s">
        <v>1509</v>
      </c>
      <c r="D145" t="str">
        <f>Table3[[#This Row],[COMPANYNO]]&amp;"/"&amp;Table3[[#This Row],[DIVISIONNO]]&amp;"-"&amp;Table3[[#This Row],[COMPANYNAME]]</f>
        <v>75/16-Tallman Island TI-WW1</v>
      </c>
      <c r="E145" s="21" t="s">
        <v>197</v>
      </c>
      <c r="F145" s="22">
        <v>75</v>
      </c>
      <c r="G145" s="22">
        <v>16</v>
      </c>
    </row>
    <row r="146" spans="1:7" x14ac:dyDescent="0.3">
      <c r="A146" t="str">
        <f>VLOOKUP(Table3[[#This Row],[COMPANYNO]],L:M,2)</f>
        <v>Picone</v>
      </c>
      <c r="B146" t="str">
        <f>VLOOKUP(Table3[[#This Row],[COMPANYNO]],L:N,3)</f>
        <v>Long Island City</v>
      </c>
      <c r="C146" t="s">
        <v>1509</v>
      </c>
      <c r="D146" t="str">
        <f>Table3[[#This Row],[COMPANYNO]]&amp;"/"&amp;Table3[[#This Row],[DIVISIONNO]]&amp;"-"&amp;Table3[[#This Row],[COMPANYNAME]]</f>
        <v>75/17-Watermain Repairs GE-350</v>
      </c>
      <c r="E146" s="23" t="s">
        <v>198</v>
      </c>
      <c r="F146" s="24">
        <v>75</v>
      </c>
      <c r="G146" s="24">
        <v>17</v>
      </c>
    </row>
    <row r="147" spans="1:7" x14ac:dyDescent="0.3">
      <c r="A147" t="str">
        <f>VLOOKUP(Table3[[#This Row],[COMPANYNO]],L:M,2)</f>
        <v>Picone</v>
      </c>
      <c r="B147" t="str">
        <f>VLOOKUP(Table3[[#This Row],[COMPANYNO]],L:N,3)</f>
        <v>Long Island City</v>
      </c>
      <c r="C147" t="s">
        <v>1509</v>
      </c>
      <c r="D147" t="str">
        <f>Table3[[#This Row],[COMPANYNO]]&amp;"/"&amp;Table3[[#This Row],[DIVISIONNO]]&amp;"-"&amp;Table3[[#This Row],[COMPANYNAME]]</f>
        <v>75/18-Sewer Repairs SEC20004P</v>
      </c>
      <c r="E147" s="21" t="s">
        <v>199</v>
      </c>
      <c r="F147" s="22">
        <v>75</v>
      </c>
      <c r="G147" s="22">
        <v>18</v>
      </c>
    </row>
    <row r="148" spans="1:7" x14ac:dyDescent="0.3">
      <c r="A148" t="str">
        <f>VLOOKUP(Table3[[#This Row],[COMPANYNO]],L:M,2)</f>
        <v>Picone</v>
      </c>
      <c r="B148" t="str">
        <f>VLOOKUP(Table3[[#This Row],[COMPANYNO]],L:N,3)</f>
        <v>Long Island City</v>
      </c>
      <c r="C148" t="s">
        <v>1509</v>
      </c>
      <c r="D148" t="str">
        <f>Table3[[#This Row],[COMPANYNO]]&amp;"/"&amp;Table3[[#This Row],[DIVISIONNO]]&amp;"-"&amp;Table3[[#This Row],[COMPANYNAME]]</f>
        <v>75/19-* NR-ER-001 North River WWTP</v>
      </c>
      <c r="E148" s="23" t="s">
        <v>200</v>
      </c>
      <c r="F148" s="24">
        <v>75</v>
      </c>
      <c r="G148" s="24">
        <v>19</v>
      </c>
    </row>
    <row r="149" spans="1:7" x14ac:dyDescent="0.3">
      <c r="A149" t="str">
        <f>VLOOKUP(Table3[[#This Row],[COMPANYNO]],L:M,2)</f>
        <v>Picone</v>
      </c>
      <c r="B149" t="str">
        <f>VLOOKUP(Table3[[#This Row],[COMPANYNO]],L:N,3)</f>
        <v>Long Island City</v>
      </c>
      <c r="C149" t="s">
        <v>1509</v>
      </c>
      <c r="D149" t="str">
        <f>Table3[[#This Row],[COMPANYNO]]&amp;"/"&amp;Table3[[#This Row],[DIVISIONNO]]&amp;"-"&amp;Table3[[#This Row],[COMPANYNAME]]</f>
        <v>75/26-* Croton CRO-334G CO #55</v>
      </c>
      <c r="E149" s="21" t="s">
        <v>201</v>
      </c>
      <c r="F149" s="22">
        <v>75</v>
      </c>
      <c r="G149" s="22">
        <v>26</v>
      </c>
    </row>
    <row r="150" spans="1:7" x14ac:dyDescent="0.3">
      <c r="A150" t="str">
        <f>VLOOKUP(Table3[[#This Row],[COMPANYNO]],L:M,2)</f>
        <v>Picone</v>
      </c>
      <c r="B150" t="str">
        <f>VLOOKUP(Table3[[#This Row],[COMPANYNO]],L:N,3)</f>
        <v>Long Island City</v>
      </c>
      <c r="C150" t="s">
        <v>1509</v>
      </c>
      <c r="D150" t="str">
        <f>Table3[[#This Row],[COMPANYNO]]&amp;"/"&amp;Table3[[#This Row],[DIVISIONNO]]&amp;"-"&amp;Table3[[#This Row],[COMPANYNAME]]</f>
        <v>75/27-* N. RIVER EMERG MECH NRER004</v>
      </c>
      <c r="E150" s="23" t="s">
        <v>202</v>
      </c>
      <c r="F150" s="24">
        <v>75</v>
      </c>
      <c r="G150" s="24">
        <v>27</v>
      </c>
    </row>
    <row r="151" spans="1:7" x14ac:dyDescent="0.3">
      <c r="A151" t="str">
        <f>VLOOKUP(Table3[[#This Row],[COMPANYNO]],L:M,2)</f>
        <v>Picone</v>
      </c>
      <c r="B151" t="str">
        <f>VLOOKUP(Table3[[#This Row],[COMPANYNO]],L:N,3)</f>
        <v>Long Island City</v>
      </c>
      <c r="C151" t="s">
        <v>1509</v>
      </c>
      <c r="D151" t="str">
        <f>Table3[[#This Row],[COMPANYNO]]&amp;"/"&amp;Table3[[#This Row],[DIVISIONNO]]&amp;"-"&amp;Table3[[#This Row],[COMPANYNAME]]</f>
        <v>75/28-ENTRANCE @ SITE P C-26512</v>
      </c>
      <c r="E151" s="21" t="s">
        <v>255</v>
      </c>
      <c r="F151" s="22">
        <v>75</v>
      </c>
      <c r="G151" s="22">
        <v>28</v>
      </c>
    </row>
    <row r="152" spans="1:7" x14ac:dyDescent="0.3">
      <c r="A152" t="str">
        <f>VLOOKUP(Table3[[#This Row],[COMPANYNO]],L:M,2)</f>
        <v>Picone</v>
      </c>
      <c r="B152" t="str">
        <f>VLOOKUP(Table3[[#This Row],[COMPANYNO]],L:N,3)</f>
        <v>Long Island City</v>
      </c>
      <c r="C152" t="s">
        <v>1509</v>
      </c>
      <c r="D152" t="str">
        <f>Table3[[#This Row],[COMPANYNO]]&amp;"/"&amp;Table3[[#This Row],[DIVISIONNO]]&amp;"-"&amp;Table3[[#This Row],[COMPANYNAME]]</f>
        <v>75/29-Sandy Emerg Wk</v>
      </c>
      <c r="E152" s="23" t="s">
        <v>264</v>
      </c>
      <c r="F152" s="24">
        <v>75</v>
      </c>
      <c r="G152" s="24">
        <v>29</v>
      </c>
    </row>
    <row r="153" spans="1:7" x14ac:dyDescent="0.3">
      <c r="A153" t="str">
        <f>VLOOKUP(Table3[[#This Row],[COMPANYNO]],L:M,2)</f>
        <v>Picone</v>
      </c>
      <c r="B153" t="str">
        <f>VLOOKUP(Table3[[#This Row],[COMPANYNO]],L:N,3)</f>
        <v>Long Island City</v>
      </c>
      <c r="C153" t="s">
        <v>1509</v>
      </c>
      <c r="D153" t="str">
        <f>Table3[[#This Row],[COMPANYNO]]&amp;"/"&amp;Table3[[#This Row],[DIVISIONNO]]&amp;"-"&amp;Table3[[#This Row],[COMPANYNAME]]</f>
        <v>75/30-Watermain Repairs GE-351</v>
      </c>
      <c r="E153" s="21" t="s">
        <v>353</v>
      </c>
      <c r="F153" s="22">
        <v>75</v>
      </c>
      <c r="G153" s="22">
        <v>30</v>
      </c>
    </row>
    <row r="154" spans="1:7" x14ac:dyDescent="0.3">
      <c r="A154" t="str">
        <f>VLOOKUP(Table3[[#This Row],[COMPANYNO]],L:M,2)</f>
        <v>Picone</v>
      </c>
      <c r="B154" t="str">
        <f>VLOOKUP(Table3[[#This Row],[COMPANYNO]],L:N,3)</f>
        <v>Long Island City</v>
      </c>
      <c r="C154" t="s">
        <v>1509</v>
      </c>
      <c r="D154" t="str">
        <f>Table3[[#This Row],[COMPANYNO]]&amp;"/"&amp;Table3[[#This Row],[DIVISIONNO]]&amp;"-"&amp;Table3[[#This Row],[COMPANYNAME]]</f>
        <v>75/32-11 HYDR ELEVATORS E-34021</v>
      </c>
      <c r="E154" s="23" t="s">
        <v>350</v>
      </c>
      <c r="F154" s="24">
        <v>75</v>
      </c>
      <c r="G154" s="24">
        <v>32</v>
      </c>
    </row>
    <row r="155" spans="1:7" x14ac:dyDescent="0.3">
      <c r="A155" t="str">
        <f>VLOOKUP(Table3[[#This Row],[COMPANYNO]],L:M,2)</f>
        <v>Picone</v>
      </c>
      <c r="B155" t="str">
        <f>VLOOKUP(Table3[[#This Row],[COMPANYNO]],L:N,3)</f>
        <v>Long Island City</v>
      </c>
      <c r="C155" t="s">
        <v>1509</v>
      </c>
      <c r="D155" t="str">
        <f>Table3[[#This Row],[COMPANYNO]]&amp;"/"&amp;Table3[[#This Row],[DIVISIONNO]]&amp;"-"&amp;Table3[[#This Row],[COMPANYNAME]]</f>
        <v>75/33-* 2 Escalators E-34019</v>
      </c>
      <c r="E155" s="21" t="s">
        <v>351</v>
      </c>
      <c r="F155" s="22">
        <v>75</v>
      </c>
      <c r="G155" s="22">
        <v>33</v>
      </c>
    </row>
    <row r="156" spans="1:7" x14ac:dyDescent="0.3">
      <c r="A156" t="str">
        <f>VLOOKUP(Table3[[#This Row],[COMPANYNO]],L:M,2)</f>
        <v>Picone</v>
      </c>
      <c r="B156" t="str">
        <f>VLOOKUP(Table3[[#This Row],[COMPANYNO]],L:N,3)</f>
        <v>Long Island City</v>
      </c>
      <c r="C156" t="s">
        <v>1509</v>
      </c>
      <c r="D156" t="str">
        <f>Table3[[#This Row],[COMPANYNO]]&amp;"/"&amp;Table3[[#This Row],[DIVISIONNO]]&amp;"-"&amp;Table3[[#This Row],[COMPANYNAME]]</f>
        <v>75/34-NEW ARTHUR KILL STN A80265</v>
      </c>
      <c r="E156" s="23" t="s">
        <v>354</v>
      </c>
      <c r="F156" s="24">
        <v>75</v>
      </c>
      <c r="G156" s="24">
        <v>34</v>
      </c>
    </row>
    <row r="157" spans="1:7" x14ac:dyDescent="0.3">
      <c r="A157" t="str">
        <f>VLOOKUP(Table3[[#This Row],[COMPANYNO]],L:M,2)</f>
        <v>Picone</v>
      </c>
      <c r="B157" t="str">
        <f>VLOOKUP(Table3[[#This Row],[COMPANYNO]],L:N,3)</f>
        <v>Long Island City</v>
      </c>
      <c r="C157" t="s">
        <v>1509</v>
      </c>
      <c r="D157" t="str">
        <f>Table3[[#This Row],[COMPANYNO]]&amp;"/"&amp;Table3[[#This Row],[DIVISIONNO]]&amp;"-"&amp;Table3[[#This Row],[COMPANYNAME]]</f>
        <v>75/35-Bay Park STP Imprv S3B12001G</v>
      </c>
      <c r="E157" s="21" t="s">
        <v>368</v>
      </c>
      <c r="F157" s="22">
        <v>75</v>
      </c>
      <c r="G157" s="22">
        <v>35</v>
      </c>
    </row>
    <row r="158" spans="1:7" x14ac:dyDescent="0.3">
      <c r="A158" t="str">
        <f>VLOOKUP(Table3[[#This Row],[COMPANYNO]],L:M,2)</f>
        <v>Picone</v>
      </c>
      <c r="B158" t="str">
        <f>VLOOKUP(Table3[[#This Row],[COMPANYNO]],L:N,3)</f>
        <v>Long Island City</v>
      </c>
      <c r="C158" t="s">
        <v>1509</v>
      </c>
      <c r="D158" t="str">
        <f>Table3[[#This Row],[COMPANYNO]]&amp;"/"&amp;Table3[[#This Row],[DIVISIONNO]]&amp;"-"&amp;Table3[[#This Row],[COMPANYNAME]]</f>
        <v>75/36-Sewer Repairs SEC20004R</v>
      </c>
      <c r="E158" s="23" t="s">
        <v>378</v>
      </c>
      <c r="F158" s="24">
        <v>75</v>
      </c>
      <c r="G158" s="24">
        <v>36</v>
      </c>
    </row>
    <row r="159" spans="1:7" x14ac:dyDescent="0.3">
      <c r="A159" t="str">
        <f>VLOOKUP(Table3[[#This Row],[COMPANYNO]],L:M,2)</f>
        <v>Picone</v>
      </c>
      <c r="B159" t="str">
        <f>VLOOKUP(Table3[[#This Row],[COMPANYNO]],L:N,3)</f>
        <v>Long Island City</v>
      </c>
      <c r="C159" t="s">
        <v>1509</v>
      </c>
      <c r="D159" t="str">
        <f>Table3[[#This Row],[COMPANYNO]]&amp;"/"&amp;Table3[[#This Row],[DIVISIONNO]]&amp;"-"&amp;Table3[[#This Row],[COMPANYNAME]]</f>
        <v>75/37-Watermain Repairs GE354</v>
      </c>
      <c r="E159" s="21" t="s">
        <v>396</v>
      </c>
      <c r="F159" s="22">
        <v>75</v>
      </c>
      <c r="G159" s="22">
        <v>37</v>
      </c>
    </row>
    <row r="160" spans="1:7" x14ac:dyDescent="0.3">
      <c r="A160" t="str">
        <f>VLOOKUP(Table3[[#This Row],[COMPANYNO]],L:M,2)</f>
        <v>Picone</v>
      </c>
      <c r="B160" t="str">
        <f>VLOOKUP(Table3[[#This Row],[COMPANYNO]],L:N,3)</f>
        <v>Long Island City</v>
      </c>
      <c r="C160" t="s">
        <v>1509</v>
      </c>
      <c r="D160" t="str">
        <f>Table3[[#This Row],[COMPANYNO]]&amp;"/"&amp;Table3[[#This Row],[DIVISIONNO]]&amp;"-"&amp;Table3[[#This Row],[COMPANYNAME]]</f>
        <v>75/38-* South Ferry Term Rem A-37595</v>
      </c>
      <c r="E160" s="23" t="s">
        <v>377</v>
      </c>
      <c r="F160" s="24">
        <v>75</v>
      </c>
      <c r="G160" s="24">
        <v>38</v>
      </c>
    </row>
    <row r="161" spans="1:7" x14ac:dyDescent="0.3">
      <c r="A161" t="str">
        <f>VLOOKUP(Table3[[#This Row],[COMPANYNO]],L:M,2)</f>
        <v>Picone</v>
      </c>
      <c r="B161" t="str">
        <f>VLOOKUP(Table3[[#This Row],[COMPANYNO]],L:N,3)</f>
        <v>Long Island City</v>
      </c>
      <c r="C161" t="s">
        <v>1509</v>
      </c>
      <c r="D161" t="str">
        <f>Table3[[#This Row],[COMPANYNO]]&amp;"/"&amp;Table3[[#This Row],[DIVISIONNO]]&amp;"-"&amp;Table3[[#This Row],[COMPANYNAME]]</f>
        <v>75/39-ROCKWY BRDWLK 563900002</v>
      </c>
      <c r="E161" s="21" t="s">
        <v>415</v>
      </c>
      <c r="F161" s="22">
        <v>75</v>
      </c>
      <c r="G161" s="22">
        <v>39</v>
      </c>
    </row>
    <row r="162" spans="1:7" x14ac:dyDescent="0.3">
      <c r="A162" t="str">
        <f>VLOOKUP(Table3[[#This Row],[COMPANYNO]],L:M,2)</f>
        <v>Picone</v>
      </c>
      <c r="B162" t="str">
        <f>VLOOKUP(Table3[[#This Row],[COMPANYNO]],L:N,3)</f>
        <v>Long Island City</v>
      </c>
      <c r="C162" t="s">
        <v>1509</v>
      </c>
      <c r="D162" t="str">
        <f>Table3[[#This Row],[COMPANYNO]]&amp;"/"&amp;Table3[[#This Row],[DIVISIONNO]]&amp;"-"&amp;Table3[[#This Row],[COMPANYNAME]]</f>
        <v>75/40-WARDS ISL CNTRFG UPG WI290A</v>
      </c>
      <c r="E162" s="23" t="s">
        <v>416</v>
      </c>
      <c r="F162" s="24">
        <v>75</v>
      </c>
      <c r="G162" s="24">
        <v>40</v>
      </c>
    </row>
    <row r="163" spans="1:7" x14ac:dyDescent="0.3">
      <c r="A163" t="str">
        <f>VLOOKUP(Table3[[#This Row],[COMPANYNO]],L:M,2)</f>
        <v>Picone</v>
      </c>
      <c r="B163" t="str">
        <f>VLOOKUP(Table3[[#This Row],[COMPANYNO]],L:N,3)</f>
        <v>Long Island City</v>
      </c>
      <c r="C163" t="s">
        <v>1509</v>
      </c>
      <c r="D163" t="str">
        <f>Table3[[#This Row],[COMPANYNO]]&amp;"/"&amp;Table3[[#This Row],[DIVISIONNO]]&amp;"-"&amp;Table3[[#This Row],[COMPANYNAME]]</f>
        <v>75/41-Bay Park E2 USubst 14E S35121.</v>
      </c>
      <c r="E163" s="21" t="s">
        <v>427</v>
      </c>
      <c r="F163" s="22">
        <v>75</v>
      </c>
      <c r="G163" s="22">
        <v>41</v>
      </c>
    </row>
    <row r="164" spans="1:7" x14ac:dyDescent="0.3">
      <c r="A164" t="str">
        <f>VLOOKUP(Table3[[#This Row],[COMPANYNO]],L:M,2)</f>
        <v>Picone</v>
      </c>
      <c r="B164" t="str">
        <f>VLOOKUP(Table3[[#This Row],[COMPANYNO]],L:N,3)</f>
        <v>Long Island City</v>
      </c>
      <c r="C164" t="s">
        <v>1509</v>
      </c>
      <c r="D164" t="str">
        <f>Table3[[#This Row],[COMPANYNO]]&amp;"/"&amp;Table3[[#This Row],[DIVISIONNO]]&amp;"-"&amp;Table3[[#This Row],[COMPANYNAME]]</f>
        <v>75/42-6 STATNS SEABEACH A36090</v>
      </c>
      <c r="E164" s="23" t="s">
        <v>428</v>
      </c>
      <c r="F164" s="24">
        <v>75</v>
      </c>
      <c r="G164" s="24">
        <v>42</v>
      </c>
    </row>
    <row r="165" spans="1:7" x14ac:dyDescent="0.3">
      <c r="A165" t="str">
        <f>VLOOKUP(Table3[[#This Row],[COMPANYNO]],L:M,2)</f>
        <v>Picone</v>
      </c>
      <c r="B165" t="str">
        <f>VLOOKUP(Table3[[#This Row],[COMPANYNO]],L:N,3)</f>
        <v>Long Island City</v>
      </c>
      <c r="C165" t="s">
        <v>1509</v>
      </c>
      <c r="D165" t="str">
        <f>Table3[[#This Row],[COMPANYNO]]&amp;"/"&amp;Table3[[#This Row],[DIVISIONNO]]&amp;"-"&amp;Table3[[#This Row],[COMPANYNAME]]</f>
        <v>75/43-Marine Parkway Rehab MP-21</v>
      </c>
      <c r="E165" s="21" t="s">
        <v>432</v>
      </c>
      <c r="F165" s="22">
        <v>75</v>
      </c>
      <c r="G165" s="22">
        <v>43</v>
      </c>
    </row>
    <row r="166" spans="1:7" x14ac:dyDescent="0.3">
      <c r="A166" t="str">
        <f>VLOOKUP(Table3[[#This Row],[COMPANYNO]],L:M,2)</f>
        <v>Picone</v>
      </c>
      <c r="B166" t="str">
        <f>VLOOKUP(Table3[[#This Row],[COMPANYNO]],L:N,3)</f>
        <v>Long Island City</v>
      </c>
      <c r="C166" t="s">
        <v>1509</v>
      </c>
      <c r="D166" t="str">
        <f>Table3[[#This Row],[COMPANYNO]]&amp;"/"&amp;Table3[[#This Row],[DIVISIONNO]]&amp;"-"&amp;Table3[[#This Row],[COMPANYNAME]]</f>
        <v>75/44-* Moinian Grp-3Hudson Blvd</v>
      </c>
      <c r="E166" s="23" t="s">
        <v>465</v>
      </c>
      <c r="F166" s="24">
        <v>75</v>
      </c>
      <c r="G166" s="24">
        <v>44</v>
      </c>
    </row>
    <row r="167" spans="1:7" x14ac:dyDescent="0.3">
      <c r="A167" t="str">
        <f>VLOOKUP(Table3[[#This Row],[COMPANYNO]],L:M,2)</f>
        <v>Picone</v>
      </c>
      <c r="B167" t="str">
        <f>VLOOKUP(Table3[[#This Row],[COMPANYNO]],L:N,3)</f>
        <v>Long Island City</v>
      </c>
      <c r="C167" t="s">
        <v>1509</v>
      </c>
      <c r="D167" t="str">
        <f>Table3[[#This Row],[COMPANYNO]]&amp;"/"&amp;Table3[[#This Row],[DIVISIONNO]]&amp;"-"&amp;Table3[[#This Row],[COMPANYNAME]]</f>
        <v>75/45-Watermain Repairs 2016 GE355</v>
      </c>
      <c r="E167" s="21" t="s">
        <v>498</v>
      </c>
      <c r="F167" s="22">
        <v>75</v>
      </c>
      <c r="G167" s="22">
        <v>45</v>
      </c>
    </row>
    <row r="168" spans="1:7" x14ac:dyDescent="0.3">
      <c r="A168" t="str">
        <f>VLOOKUP(Table3[[#This Row],[COMPANYNO]],L:M,2)</f>
        <v>Picone</v>
      </c>
      <c r="B168" t="str">
        <f>VLOOKUP(Table3[[#This Row],[COMPANYNO]],L:N,3)</f>
        <v>Long Island City</v>
      </c>
      <c r="C168" t="s">
        <v>1509</v>
      </c>
      <c r="D168" t="str">
        <f>Table3[[#This Row],[COMPANYNO]]&amp;"/"&amp;Table3[[#This Row],[DIVISIONNO]]&amp;"-"&amp;Table3[[#This Row],[COMPANYNAME]]</f>
        <v>75/46-MRNPK&amp;CRSBYBR MP03S/CB99S</v>
      </c>
      <c r="E168" s="23" t="s">
        <v>499</v>
      </c>
      <c r="F168" s="24">
        <v>75</v>
      </c>
      <c r="G168" s="24">
        <v>46</v>
      </c>
    </row>
    <row r="169" spans="1:7" x14ac:dyDescent="0.3">
      <c r="A169" t="str">
        <f>VLOOKUP(Table3[[#This Row],[COMPANYNO]],L:M,2)</f>
        <v>Picone</v>
      </c>
      <c r="B169" t="str">
        <f>VLOOKUP(Table3[[#This Row],[COMPANYNO]],L:N,3)</f>
        <v>Long Island City</v>
      </c>
      <c r="C169" t="s">
        <v>1509</v>
      </c>
      <c r="D169" t="str">
        <f>Table3[[#This Row],[COMPANYNO]]&amp;"/"&amp;Table3[[#This Row],[DIVISIONNO]]&amp;"-"&amp;Table3[[#This Row],[COMPANYNAME]]</f>
        <v>75/47-Sewer Repairs 2016 SEC20004S</v>
      </c>
      <c r="E169" s="21" t="s">
        <v>500</v>
      </c>
      <c r="F169" s="22">
        <v>75</v>
      </c>
      <c r="G169" s="22">
        <v>47</v>
      </c>
    </row>
    <row r="170" spans="1:7" x14ac:dyDescent="0.3">
      <c r="A170" t="str">
        <f>VLOOKUP(Table3[[#This Row],[COMPANYNO]],L:M,2)</f>
        <v>Picone</v>
      </c>
      <c r="B170" t="str">
        <f>VLOOKUP(Table3[[#This Row],[COMPANYNO]],L:N,3)</f>
        <v>Long Island City</v>
      </c>
      <c r="C170" t="s">
        <v>1509</v>
      </c>
      <c r="D170" t="str">
        <f>Table3[[#This Row],[COMPANYNO]]&amp;"/"&amp;Table3[[#This Row],[DIVISIONNO]]&amp;"-"&amp;Table3[[#This Row],[COMPANYNAME]]</f>
        <v>75/48-NYCT A-37608 Flood Doors</v>
      </c>
      <c r="E170" s="23" t="s">
        <v>511</v>
      </c>
      <c r="F170" s="24">
        <v>75</v>
      </c>
      <c r="G170" s="24">
        <v>48</v>
      </c>
    </row>
    <row r="171" spans="1:7" x14ac:dyDescent="0.3">
      <c r="A171" t="str">
        <f>VLOOKUP(Table3[[#This Row],[COMPANYNO]],L:M,2)</f>
        <v>Picone</v>
      </c>
      <c r="B171" t="str">
        <f>VLOOKUP(Table3[[#This Row],[COMPANYNO]],L:N,3)</f>
        <v>Long Island City</v>
      </c>
      <c r="C171" t="s">
        <v>1509</v>
      </c>
      <c r="D171" t="str">
        <f>Table3[[#This Row],[COMPANYNO]]&amp;"/"&amp;Table3[[#This Row],[DIVISIONNO]]&amp;"-"&amp;Table3[[#This Row],[COMPANYNAME]]</f>
        <v>75/49-DEP-CNYEMERWASEM</v>
      </c>
      <c r="E171" s="21" t="s">
        <v>512</v>
      </c>
      <c r="F171" s="22">
        <v>75</v>
      </c>
      <c r="G171" s="22">
        <v>49</v>
      </c>
    </row>
    <row r="172" spans="1:7" x14ac:dyDescent="0.3">
      <c r="A172" t="str">
        <f>VLOOKUP(Table3[[#This Row],[COMPANYNO]],L:M,2)</f>
        <v>Picone</v>
      </c>
      <c r="B172" t="str">
        <f>VLOOKUP(Table3[[#This Row],[COMPANYNO]],L:N,3)</f>
        <v>Long Island City</v>
      </c>
      <c r="C172" t="s">
        <v>1509</v>
      </c>
      <c r="D172" t="str">
        <f>Table3[[#This Row],[COMPANYNO]]&amp;"/"&amp;Table3[[#This Row],[DIVISIONNO]]&amp;"-"&amp;Table3[[#This Row],[COMPANYNAME]]</f>
        <v>75/50-542C Activation City TNL #3</v>
      </c>
      <c r="E172" s="23" t="s">
        <v>540</v>
      </c>
      <c r="F172" s="24">
        <v>75</v>
      </c>
      <c r="G172" s="24">
        <v>50</v>
      </c>
    </row>
    <row r="173" spans="1:7" x14ac:dyDescent="0.3">
      <c r="A173" t="str">
        <f>VLOOKUP(Table3[[#This Row],[COMPANYNO]],L:M,2)</f>
        <v>Picone</v>
      </c>
      <c r="B173" t="str">
        <f>VLOOKUP(Table3[[#This Row],[COMPANYNO]],L:N,3)</f>
        <v>Long Island City</v>
      </c>
      <c r="C173" t="s">
        <v>1509</v>
      </c>
      <c r="D173" t="str">
        <f>Table3[[#This Row],[COMPANYNO]]&amp;"/"&amp;Table3[[#This Row],[DIVISIONNO]]&amp;"-"&amp;Table3[[#This Row],[COMPANYNAME]]</f>
        <v>75/51-508B Tnl Conn BrklynShaft Chmb</v>
      </c>
      <c r="E173" s="21" t="s">
        <v>667</v>
      </c>
      <c r="F173" s="22">
        <v>75</v>
      </c>
      <c r="G173" s="22">
        <v>51</v>
      </c>
    </row>
    <row r="174" spans="1:7" x14ac:dyDescent="0.3">
      <c r="A174" t="str">
        <f>VLOOKUP(Table3[[#This Row],[COMPANYNO]],L:M,2)</f>
        <v>Picone</v>
      </c>
      <c r="B174" t="str">
        <f>VLOOKUP(Table3[[#This Row],[COMPANYNO]],L:N,3)</f>
        <v>Long Island City</v>
      </c>
      <c r="C174" t="s">
        <v>1509</v>
      </c>
      <c r="D174" t="str">
        <f>Table3[[#This Row],[COMPANYNO]]&amp;"/"&amp;Table3[[#This Row],[DIVISIONNO]]&amp;"-"&amp;Table3[[#This Row],[COMPANYNAME]]</f>
        <v>75/52-PS-281 Prospect Ave Pump</v>
      </c>
      <c r="E174" s="23" t="s">
        <v>751</v>
      </c>
      <c r="F174" s="24">
        <v>75</v>
      </c>
      <c r="G174" s="24">
        <v>52</v>
      </c>
    </row>
    <row r="175" spans="1:7" x14ac:dyDescent="0.3">
      <c r="A175" t="str">
        <f>VLOOKUP(Table3[[#This Row],[COMPANYNO]],L:M,2)</f>
        <v>Prince</v>
      </c>
      <c r="B175" t="str">
        <f>VLOOKUP(Table3[[#This Row],[COMPANYNO]],L:N,3)</f>
        <v>Tampa</v>
      </c>
      <c r="C175" t="s">
        <v>1509</v>
      </c>
      <c r="D175" t="str">
        <f>Table3[[#This Row],[COMPANYNO]]&amp;"/"&amp;Table3[[#This Row],[DIVISIONNO]]&amp;"-"&amp;Table3[[#This Row],[COMPANYNAME]]</f>
        <v>50/2-Prince Old Jobs</v>
      </c>
      <c r="E175" s="21" t="s">
        <v>440</v>
      </c>
      <c r="F175" s="22">
        <v>50</v>
      </c>
      <c r="G175" s="22">
        <v>2</v>
      </c>
    </row>
    <row r="176" spans="1:7" x14ac:dyDescent="0.3">
      <c r="A176" t="str">
        <f>VLOOKUP(Table3[[#This Row],[COMPANYNO]],L:M,2)</f>
        <v>Prince</v>
      </c>
      <c r="B176" t="str">
        <f>VLOOKUP(Table3[[#This Row],[COMPANYNO]],L:N,3)</f>
        <v>Tampa</v>
      </c>
      <c r="C176" t="s">
        <v>1509</v>
      </c>
      <c r="D176" t="str">
        <f>Table3[[#This Row],[COMPANYNO]]&amp;"/"&amp;Table3[[#This Row],[DIVISIONNO]]&amp;"-"&amp;Table3[[#This Row],[COMPANYNAME]]</f>
        <v>50/3-SR8 I10 SR281 Avalon Blvd</v>
      </c>
      <c r="E176" s="23" t="s">
        <v>466</v>
      </c>
      <c r="F176" s="24">
        <v>50</v>
      </c>
      <c r="G176" s="24">
        <v>3</v>
      </c>
    </row>
    <row r="177" spans="1:7" x14ac:dyDescent="0.3">
      <c r="A177" t="str">
        <f>VLOOKUP(Table3[[#This Row],[COMPANYNO]],L:M,2)</f>
        <v>Prince</v>
      </c>
      <c r="B177" t="str">
        <f>VLOOKUP(Table3[[#This Row],[COMPANYNO]],L:N,3)</f>
        <v>Tampa</v>
      </c>
      <c r="C177" t="s">
        <v>1509</v>
      </c>
      <c r="D177" t="str">
        <f>Table3[[#This Row],[COMPANYNO]]&amp;"/"&amp;Table3[[#This Row],[DIVISIONNO]]&amp;"-"&amp;Table3[[#This Row],[COMPANYNAME]]</f>
        <v>50/4-SR15 Hoffner Road</v>
      </c>
      <c r="E177" s="21" t="s">
        <v>467</v>
      </c>
      <c r="F177" s="22">
        <v>50</v>
      </c>
      <c r="G177" s="22">
        <v>4</v>
      </c>
    </row>
    <row r="178" spans="1:7" x14ac:dyDescent="0.3">
      <c r="A178" t="str">
        <f>VLOOKUP(Table3[[#This Row],[COMPANYNO]],L:M,2)</f>
        <v>Prince</v>
      </c>
      <c r="B178" t="str">
        <f>VLOOKUP(Table3[[#This Row],[COMPANYNO]],L:N,3)</f>
        <v>Tampa</v>
      </c>
      <c r="C178" t="s">
        <v>1509</v>
      </c>
      <c r="D178" t="str">
        <f>Table3[[#This Row],[COMPANYNO]]&amp;"/"&amp;Table3[[#This Row],[DIVISIONNO]]&amp;"-"&amp;Table3[[#This Row],[COMPANYNAME]]</f>
        <v>50/5-SR429 Wekiva Pkwy</v>
      </c>
      <c r="E178" s="23" t="s">
        <v>468</v>
      </c>
      <c r="F178" s="24">
        <v>50</v>
      </c>
      <c r="G178" s="24">
        <v>5</v>
      </c>
    </row>
    <row r="179" spans="1:7" x14ac:dyDescent="0.3">
      <c r="A179" t="str">
        <f>VLOOKUP(Table3[[#This Row],[COMPANYNO]],L:M,2)</f>
        <v>Prince</v>
      </c>
      <c r="B179" t="str">
        <f>VLOOKUP(Table3[[#This Row],[COMPANYNO]],L:N,3)</f>
        <v>Tampa</v>
      </c>
      <c r="C179" t="s">
        <v>1509</v>
      </c>
      <c r="D179" t="str">
        <f>Table3[[#This Row],[COMPANYNO]]&amp;"/"&amp;Table3[[#This Row],[DIVISIONNO]]&amp;"-"&amp;Table3[[#This Row],[COMPANYNAME]]</f>
        <v>50/6-University Prky I75/SR93</v>
      </c>
      <c r="E179" s="21" t="s">
        <v>486</v>
      </c>
      <c r="F179" s="22">
        <v>50</v>
      </c>
      <c r="G179" s="22">
        <v>6</v>
      </c>
    </row>
    <row r="180" spans="1:7" x14ac:dyDescent="0.3">
      <c r="A180" t="str">
        <f>VLOOKUP(Table3[[#This Row],[COMPANYNO]],L:M,2)</f>
        <v>Prince</v>
      </c>
      <c r="B180" t="str">
        <f>VLOOKUP(Table3[[#This Row],[COMPANYNO]],L:N,3)</f>
        <v>Tampa</v>
      </c>
      <c r="C180" t="s">
        <v>1509</v>
      </c>
      <c r="D180" t="str">
        <f>Table3[[#This Row],[COMPANYNO]]&amp;"/"&amp;Table3[[#This Row],[DIVISIONNO]]&amp;"-"&amp;Table3[[#This Row],[COMPANYNAME]]</f>
        <v>50/7-I-95 Express 3A-2</v>
      </c>
      <c r="E180" s="23" t="s">
        <v>494</v>
      </c>
      <c r="F180" s="24">
        <v>50</v>
      </c>
      <c r="G180" s="24">
        <v>7</v>
      </c>
    </row>
    <row r="181" spans="1:7" x14ac:dyDescent="0.3">
      <c r="A181" t="str">
        <f>VLOOKUP(Table3[[#This Row],[COMPANYNO]],L:M,2)</f>
        <v>Prince</v>
      </c>
      <c r="B181" t="str">
        <f>VLOOKUP(Table3[[#This Row],[COMPANYNO]],L:N,3)</f>
        <v>Tampa</v>
      </c>
      <c r="C181" t="s">
        <v>1509</v>
      </c>
      <c r="D181" t="str">
        <f>Table3[[#This Row],[COMPANYNO]]&amp;"/"&amp;Table3[[#This Row],[DIVISIONNO]]&amp;"-"&amp;Table3[[#This Row],[COMPANYNAME]]</f>
        <v>50/8-Ulmerton Rd Conalvias</v>
      </c>
      <c r="E181" s="21" t="s">
        <v>506</v>
      </c>
      <c r="F181" s="22">
        <v>50</v>
      </c>
      <c r="G181" s="22">
        <v>8</v>
      </c>
    </row>
    <row r="182" spans="1:7" x14ac:dyDescent="0.3">
      <c r="A182" t="str">
        <f>VLOOKUP(Table3[[#This Row],[COMPANYNO]],L:M,2)</f>
        <v>Prince</v>
      </c>
      <c r="B182" t="str">
        <f>VLOOKUP(Table3[[#This Row],[COMPANYNO]],L:N,3)</f>
        <v>Tampa</v>
      </c>
      <c r="C182" t="s">
        <v>1509</v>
      </c>
      <c r="D182" t="str">
        <f>Table3[[#This Row],[COMPANYNO]]&amp;"/"&amp;Table3[[#This Row],[DIVISIONNO]]&amp;"-"&amp;Table3[[#This Row],[COMPANYNAME]]</f>
        <v>50/9-I75 Conalvias</v>
      </c>
      <c r="E182" s="23" t="s">
        <v>507</v>
      </c>
      <c r="F182" s="24">
        <v>50</v>
      </c>
      <c r="G182" s="24">
        <v>9</v>
      </c>
    </row>
    <row r="183" spans="1:7" x14ac:dyDescent="0.3">
      <c r="A183" t="str">
        <f>VLOOKUP(Table3[[#This Row],[COMPANYNO]],L:M,2)</f>
        <v>Prince</v>
      </c>
      <c r="B183" t="str">
        <f>VLOOKUP(Table3[[#This Row],[COMPANYNO]],L:N,3)</f>
        <v>Tampa</v>
      </c>
      <c r="C183" t="s">
        <v>1509</v>
      </c>
      <c r="D183" t="str">
        <f>Table3[[#This Row],[COMPANYNO]]&amp;"/"&amp;Table3[[#This Row],[DIVISIONNO]]&amp;"-"&amp;Table3[[#This Row],[COMPANYNAME]]</f>
        <v>50/10-US17 Conalvias</v>
      </c>
      <c r="E183" s="21" t="s">
        <v>508</v>
      </c>
      <c r="F183" s="22">
        <v>50</v>
      </c>
      <c r="G183" s="22">
        <v>10</v>
      </c>
    </row>
    <row r="184" spans="1:7" x14ac:dyDescent="0.3">
      <c r="A184" t="str">
        <f>VLOOKUP(Table3[[#This Row],[COMPANYNO]],L:M,2)</f>
        <v>Prince</v>
      </c>
      <c r="B184" t="str">
        <f>VLOOKUP(Table3[[#This Row],[COMPANYNO]],L:N,3)</f>
        <v>Tampa</v>
      </c>
      <c r="C184" t="s">
        <v>1509</v>
      </c>
      <c r="D184" t="str">
        <f>Table3[[#This Row],[COMPANYNO]]&amp;"/"&amp;Table3[[#This Row],[DIVISIONNO]]&amp;"-"&amp;Table3[[#This Row],[COMPANYNAME]]</f>
        <v>50/11-Sand Lake Rd T5552</v>
      </c>
      <c r="E184" s="23" t="s">
        <v>518</v>
      </c>
      <c r="F184" s="24">
        <v>50</v>
      </c>
      <c r="G184" s="24">
        <v>11</v>
      </c>
    </row>
    <row r="185" spans="1:7" x14ac:dyDescent="0.3">
      <c r="A185" t="str">
        <f>VLOOKUP(Table3[[#This Row],[COMPANYNO]],L:M,2)</f>
        <v>Prince</v>
      </c>
      <c r="B185" t="str">
        <f>VLOOKUP(Table3[[#This Row],[COMPANYNO]],L:N,3)</f>
        <v>Tampa</v>
      </c>
      <c r="C185" t="s">
        <v>1509</v>
      </c>
      <c r="D185" t="str">
        <f>Table3[[#This Row],[COMPANYNO]]&amp;"/"&amp;Table3[[#This Row],[DIVISIONNO]]&amp;"-"&amp;Table3[[#This Row],[COMPANYNAME]]</f>
        <v>50/12-BBD Segment D</v>
      </c>
      <c r="E185" s="21" t="s">
        <v>522</v>
      </c>
      <c r="F185" s="22">
        <v>50</v>
      </c>
      <c r="G185" s="22">
        <v>12</v>
      </c>
    </row>
    <row r="186" spans="1:7" x14ac:dyDescent="0.3">
      <c r="A186" t="str">
        <f>VLOOKUP(Table3[[#This Row],[COMPANYNO]],L:M,2)</f>
        <v>Prince</v>
      </c>
      <c r="B186" t="str">
        <f>VLOOKUP(Table3[[#This Row],[COMPANYNO]],L:N,3)</f>
        <v>Tampa</v>
      </c>
      <c r="C186" t="s">
        <v>1509</v>
      </c>
      <c r="D186" t="str">
        <f>Table3[[#This Row],[COMPANYNO]]&amp;"/"&amp;Table3[[#This Row],[DIVISIONNO]]&amp;"-"&amp;Table3[[#This Row],[COMPANYNAME]]</f>
        <v>50/13-SR30 (US98) T3579</v>
      </c>
      <c r="E186" s="23" t="s">
        <v>529</v>
      </c>
      <c r="F186" s="24">
        <v>50</v>
      </c>
      <c r="G186" s="24">
        <v>13</v>
      </c>
    </row>
    <row r="187" spans="1:7" x14ac:dyDescent="0.3">
      <c r="A187" t="str">
        <f>VLOOKUP(Table3[[#This Row],[COMPANYNO]],L:M,2)</f>
        <v>Prince</v>
      </c>
      <c r="B187" t="str">
        <f>VLOOKUP(Table3[[#This Row],[COMPANYNO]],L:N,3)</f>
        <v>Tampa</v>
      </c>
      <c r="C187" t="s">
        <v>1509</v>
      </c>
      <c r="D187" t="str">
        <f>Table3[[#This Row],[COMPANYNO]]&amp;"/"&amp;Table3[[#This Row],[DIVISIONNO]]&amp;"-"&amp;Table3[[#This Row],[COMPANYNAME]]</f>
        <v>50/14-SR64/I-75 Interchange (T1664)</v>
      </c>
      <c r="E187" s="21" t="s">
        <v>549</v>
      </c>
      <c r="F187" s="22">
        <v>50</v>
      </c>
      <c r="G187" s="22">
        <v>14</v>
      </c>
    </row>
    <row r="188" spans="1:7" x14ac:dyDescent="0.3">
      <c r="A188" t="str">
        <f>VLOOKUP(Table3[[#This Row],[COMPANYNO]],L:M,2)</f>
        <v>Prince</v>
      </c>
      <c r="B188" t="str">
        <f>VLOOKUP(Table3[[#This Row],[COMPANYNO]],L:N,3)</f>
        <v>Tampa</v>
      </c>
      <c r="C188" t="s">
        <v>1509</v>
      </c>
      <c r="D188" t="str">
        <f>Table3[[#This Row],[COMPANYNO]]&amp;"/"&amp;Table3[[#This Row],[DIVISIONNO]]&amp;"-"&amp;Table3[[#This Row],[COMPANYNAME]]</f>
        <v>50/15-I-95 Exp Lanes 3B-1 DB (E4R96)</v>
      </c>
      <c r="E188" s="23" t="s">
        <v>557</v>
      </c>
      <c r="F188" s="24">
        <v>50</v>
      </c>
      <c r="G188" s="24">
        <v>15</v>
      </c>
    </row>
    <row r="189" spans="1:7" x14ac:dyDescent="0.3">
      <c r="A189" t="str">
        <f>VLOOKUP(Table3[[#This Row],[COMPANYNO]],L:M,2)</f>
        <v>Prince</v>
      </c>
      <c r="B189" t="str">
        <f>VLOOKUP(Table3[[#This Row],[COMPANYNO]],L:N,3)</f>
        <v>Tampa</v>
      </c>
      <c r="C189" t="s">
        <v>1509</v>
      </c>
      <c r="D189" t="str">
        <f>Table3[[#This Row],[COMPANYNO]]&amp;"/"&amp;Table3[[#This Row],[DIVISIONNO]]&amp;"-"&amp;Table3[[#This Row],[COMPANYNAME]]</f>
        <v>50/16-* Emergency Cut &amp; Toss</v>
      </c>
      <c r="E189" s="21" t="s">
        <v>686</v>
      </c>
      <c r="F189" s="22">
        <v>50</v>
      </c>
      <c r="G189" s="22">
        <v>16</v>
      </c>
    </row>
    <row r="190" spans="1:7" x14ac:dyDescent="0.3">
      <c r="A190" t="str">
        <f>VLOOKUP(Table3[[#This Row],[COMPANYNO]],L:M,2)</f>
        <v>Prince</v>
      </c>
      <c r="B190" t="str">
        <f>VLOOKUP(Table3[[#This Row],[COMPANYNO]],L:N,3)</f>
        <v>Tampa</v>
      </c>
      <c r="C190" t="s">
        <v>1509</v>
      </c>
      <c r="D190" t="str">
        <f>Table3[[#This Row],[COMPANYNO]]&amp;"/"&amp;Table3[[#This Row],[DIVISIONNO]]&amp;"-"&amp;Table3[[#This Row],[COMPANYNAME]]</f>
        <v>50/17-Islands Expressway (CR787)</v>
      </c>
      <c r="E190" s="23" t="s">
        <v>694</v>
      </c>
      <c r="F190" s="24">
        <v>50</v>
      </c>
      <c r="G190" s="24">
        <v>17</v>
      </c>
    </row>
    <row r="191" spans="1:7" x14ac:dyDescent="0.3">
      <c r="A191" t="str">
        <f>VLOOKUP(Table3[[#This Row],[COMPANYNO]],L:M,2)</f>
        <v>Prince</v>
      </c>
      <c r="B191" t="str">
        <f>VLOOKUP(Table3[[#This Row],[COMPANYNO]],L:N,3)</f>
        <v>Tampa</v>
      </c>
      <c r="C191" t="s">
        <v>1509</v>
      </c>
      <c r="D191" t="str">
        <f>Table3[[#This Row],[COMPANYNO]]&amp;"/"&amp;Table3[[#This Row],[DIVISIONNO]]&amp;"-"&amp;Table3[[#This Row],[COMPANYNAME]]</f>
        <v>50/18-OIA - Airside Site Utilities</v>
      </c>
      <c r="E191" s="21" t="s">
        <v>737</v>
      </c>
      <c r="F191" s="22">
        <v>50</v>
      </c>
      <c r="G191" s="22">
        <v>18</v>
      </c>
    </row>
    <row r="192" spans="1:7" x14ac:dyDescent="0.3">
      <c r="A192" t="str">
        <f>VLOOKUP(Table3[[#This Row],[COMPANYNO]],L:M,2)</f>
        <v>Prince</v>
      </c>
      <c r="B192" t="str">
        <f>VLOOKUP(Table3[[#This Row],[COMPANYNO]],L:N,3)</f>
        <v>Tampa</v>
      </c>
      <c r="C192" t="s">
        <v>1509</v>
      </c>
      <c r="D192" t="str">
        <f>Table3[[#This Row],[COMPANYNO]]&amp;"/"&amp;Table3[[#This Row],[DIVISIONNO]]&amp;"-"&amp;Table3[[#This Row],[COMPANYNAME]]</f>
        <v>50/19-I-4/I-75 Ramp (T7406)</v>
      </c>
      <c r="E192" s="23" t="s">
        <v>753</v>
      </c>
      <c r="F192" s="24">
        <v>50</v>
      </c>
      <c r="G192" s="24">
        <v>19</v>
      </c>
    </row>
    <row r="193" spans="1:7" x14ac:dyDescent="0.3">
      <c r="A193" t="str">
        <f>VLOOKUP(Table3[[#This Row],[COMPANYNO]],L:M,2)</f>
        <v>Prince</v>
      </c>
      <c r="B193" t="str">
        <f>VLOOKUP(Table3[[#This Row],[COMPANYNO]],L:N,3)</f>
        <v>Tampa</v>
      </c>
      <c r="C193" t="s">
        <v>1509</v>
      </c>
      <c r="D193" t="str">
        <f>Table3[[#This Row],[COMPANYNO]]&amp;"/"&amp;Table3[[#This Row],[DIVISIONNO]]&amp;"-"&amp;Table3[[#This Row],[COMPANYNAME]]</f>
        <v>50/20-SR 60/I-75 Ramps (T7408)</v>
      </c>
      <c r="E193" s="21" t="s">
        <v>755</v>
      </c>
      <c r="F193" s="22">
        <v>50</v>
      </c>
      <c r="G193" s="22">
        <v>20</v>
      </c>
    </row>
    <row r="194" spans="1:7" x14ac:dyDescent="0.3">
      <c r="A194" t="str">
        <f>VLOOKUP(Table3[[#This Row],[COMPANYNO]],L:M,2)</f>
        <v>Prince</v>
      </c>
      <c r="B194" t="str">
        <f>VLOOKUP(Table3[[#This Row],[COMPANYNO]],L:N,3)</f>
        <v>Tampa</v>
      </c>
      <c r="C194" t="s">
        <v>1509</v>
      </c>
      <c r="D194" t="str">
        <f>Table3[[#This Row],[COMPANYNO]]&amp;"/"&amp;Table3[[#This Row],[DIVISIONNO]]&amp;"-"&amp;Table3[[#This Row],[COMPANYNAME]]</f>
        <v>50/21-SR821 HEFT (E8Q78)</v>
      </c>
      <c r="E194" s="23" t="s">
        <v>756</v>
      </c>
      <c r="F194" s="24">
        <v>50</v>
      </c>
      <c r="G194" s="24">
        <v>21</v>
      </c>
    </row>
    <row r="195" spans="1:7" x14ac:dyDescent="0.3">
      <c r="A195" t="str">
        <f>VLOOKUP(Table3[[#This Row],[COMPANYNO]],L:M,2)</f>
        <v>Prince</v>
      </c>
      <c r="B195" t="str">
        <f>VLOOKUP(Table3[[#This Row],[COMPANYNO]],L:N,3)</f>
        <v>Tampa</v>
      </c>
      <c r="C195" t="s">
        <v>1509</v>
      </c>
      <c r="D195" t="str">
        <f>Table3[[#This Row],[COMPANYNO]]&amp;"/"&amp;Table3[[#This Row],[DIVISIONNO]]&amp;"-"&amp;Table3[[#This Row],[COMPANYNAME]]</f>
        <v>50/22-OIA - MSE Walls</v>
      </c>
      <c r="E195" s="21" t="s">
        <v>776</v>
      </c>
      <c r="F195" s="22">
        <v>50</v>
      </c>
      <c r="G195" s="22">
        <v>22</v>
      </c>
    </row>
    <row r="196" spans="1:7" x14ac:dyDescent="0.3">
      <c r="A196" t="str">
        <f>VLOOKUP(Table3[[#This Row],[COMPANYNO]],L:M,2)</f>
        <v>Prince</v>
      </c>
      <c r="B196" t="str">
        <f>VLOOKUP(Table3[[#This Row],[COMPANYNO]],L:N,3)</f>
        <v>Tampa</v>
      </c>
      <c r="C196" t="s">
        <v>1509</v>
      </c>
      <c r="D196" t="str">
        <f>Table3[[#This Row],[COMPANYNO]]&amp;"/"&amp;Table3[[#This Row],[DIVISIONNO]]&amp;"-"&amp;Table3[[#This Row],[COMPANYNAME]]</f>
        <v>50/104-* I 75 Macon</v>
      </c>
      <c r="E196" s="23" t="s">
        <v>455</v>
      </c>
      <c r="F196" s="24">
        <v>50</v>
      </c>
      <c r="G196" s="24">
        <v>104</v>
      </c>
    </row>
    <row r="197" spans="1:7" x14ac:dyDescent="0.3">
      <c r="A197" t="str">
        <f>VLOOKUP(Table3[[#This Row],[COMPANYNO]],L:M,2)</f>
        <v>Prince</v>
      </c>
      <c r="B197" t="str">
        <f>VLOOKUP(Table3[[#This Row],[COMPANYNO]],L:N,3)</f>
        <v>Tampa</v>
      </c>
      <c r="C197" t="s">
        <v>1509</v>
      </c>
      <c r="D197" t="str">
        <f>Table3[[#This Row],[COMPANYNO]]&amp;"/"&amp;Table3[[#This Row],[DIVISIONNO]]&amp;"-"&amp;Table3[[#This Row],[COMPANYNAME]]</f>
        <v>50/105-* Boyette Road</v>
      </c>
      <c r="E197" s="21" t="s">
        <v>447</v>
      </c>
      <c r="F197" s="22">
        <v>50</v>
      </c>
      <c r="G197" s="22">
        <v>105</v>
      </c>
    </row>
    <row r="198" spans="1:7" x14ac:dyDescent="0.3">
      <c r="A198" t="str">
        <f>VLOOKUP(Table3[[#This Row],[COMPANYNO]],L:M,2)</f>
        <v>Prince</v>
      </c>
      <c r="B198" t="str">
        <f>VLOOKUP(Table3[[#This Row],[COMPANYNO]],L:N,3)</f>
        <v>Tampa</v>
      </c>
      <c r="C198" t="s">
        <v>1509</v>
      </c>
      <c r="D198" t="str">
        <f>Table3[[#This Row],[COMPANYNO]]&amp;"/"&amp;Table3[[#This Row],[DIVISIONNO]]&amp;"-"&amp;Table3[[#This Row],[COMPANYNAME]]</f>
        <v>50/114-I 75 SR56 T7220</v>
      </c>
      <c r="E198" s="23" t="s">
        <v>448</v>
      </c>
      <c r="F198" s="24">
        <v>50</v>
      </c>
      <c r="G198" s="24">
        <v>114</v>
      </c>
    </row>
    <row r="199" spans="1:7" x14ac:dyDescent="0.3">
      <c r="A199" t="str">
        <f>VLOOKUP(Table3[[#This Row],[COMPANYNO]],L:M,2)</f>
        <v>Prince</v>
      </c>
      <c r="B199" t="str">
        <f>VLOOKUP(Table3[[#This Row],[COMPANYNO]],L:N,3)</f>
        <v>Tampa</v>
      </c>
      <c r="C199" t="s">
        <v>1509</v>
      </c>
      <c r="D199" t="str">
        <f>Table3[[#This Row],[COMPANYNO]]&amp;"/"&amp;Table3[[#This Row],[DIVISIONNO]]&amp;"-"&amp;Table3[[#This Row],[COMPANYNAME]]</f>
        <v>50/121-* I275 T7298</v>
      </c>
      <c r="E199" s="21" t="s">
        <v>449</v>
      </c>
      <c r="F199" s="22">
        <v>50</v>
      </c>
      <c r="G199" s="22">
        <v>121</v>
      </c>
    </row>
    <row r="200" spans="1:7" x14ac:dyDescent="0.3">
      <c r="A200" t="str">
        <f>VLOOKUP(Table3[[#This Row],[COMPANYNO]],L:M,2)</f>
        <v>Prince</v>
      </c>
      <c r="B200" t="str">
        <f>VLOOKUP(Table3[[#This Row],[COMPANYNO]],L:N,3)</f>
        <v>Tampa</v>
      </c>
      <c r="C200" t="s">
        <v>1509</v>
      </c>
      <c r="D200" t="str">
        <f>Table3[[#This Row],[COMPANYNO]]&amp;"/"&amp;Table3[[#This Row],[DIVISIONNO]]&amp;"-"&amp;Table3[[#This Row],[COMPANYNAME]]</f>
        <v>50/122-* DB I 75 SWFIA E1J72</v>
      </c>
      <c r="E200" s="23" t="s">
        <v>450</v>
      </c>
      <c r="F200" s="24">
        <v>50</v>
      </c>
      <c r="G200" s="24">
        <v>122</v>
      </c>
    </row>
    <row r="201" spans="1:7" x14ac:dyDescent="0.3">
      <c r="A201" t="str">
        <f>VLOOKUP(Table3[[#This Row],[COMPANYNO]],L:M,2)</f>
        <v>Prince</v>
      </c>
      <c r="B201" t="str">
        <f>VLOOKUP(Table3[[#This Row],[COMPANYNO]],L:N,3)</f>
        <v>Tampa</v>
      </c>
      <c r="C201" t="s">
        <v>1509</v>
      </c>
      <c r="D201" t="str">
        <f>Table3[[#This Row],[COMPANYNO]]&amp;"/"&amp;Table3[[#This Row],[DIVISIONNO]]&amp;"-"&amp;Table3[[#This Row],[COMPANYNAME]]</f>
        <v>50/132-* US27 Barry Road E1L58</v>
      </c>
      <c r="E201" s="21" t="s">
        <v>442</v>
      </c>
      <c r="F201" s="22">
        <v>50</v>
      </c>
      <c r="G201" s="22">
        <v>132</v>
      </c>
    </row>
    <row r="202" spans="1:7" x14ac:dyDescent="0.3">
      <c r="A202" t="str">
        <f>VLOOKUP(Table3[[#This Row],[COMPANYNO]],L:M,2)</f>
        <v>Prince</v>
      </c>
      <c r="B202" t="str">
        <f>VLOOKUP(Table3[[#This Row],[COMPANYNO]],L:N,3)</f>
        <v>Tampa</v>
      </c>
      <c r="C202" t="s">
        <v>1509</v>
      </c>
      <c r="D202" t="str">
        <f>Table3[[#This Row],[COMPANYNO]]&amp;"/"&amp;Table3[[#This Row],[DIVISIONNO]]&amp;"-"&amp;Table3[[#This Row],[COMPANYNAME]]</f>
        <v>50/133-* US 301 T7311</v>
      </c>
      <c r="E202" s="23" t="s">
        <v>451</v>
      </c>
      <c r="F202" s="24">
        <v>50</v>
      </c>
      <c r="G202" s="24">
        <v>133</v>
      </c>
    </row>
    <row r="203" spans="1:7" x14ac:dyDescent="0.3">
      <c r="A203" t="str">
        <f>VLOOKUP(Table3[[#This Row],[COMPANYNO]],L:M,2)</f>
        <v>Prince</v>
      </c>
      <c r="B203" t="str">
        <f>VLOOKUP(Table3[[#This Row],[COMPANYNO]],L:N,3)</f>
        <v>Tampa</v>
      </c>
      <c r="C203" t="s">
        <v>1509</v>
      </c>
      <c r="D203" t="str">
        <f>Table3[[#This Row],[COMPANYNO]]&amp;"/"&amp;Table3[[#This Row],[DIVISIONNO]]&amp;"-"&amp;Table3[[#This Row],[COMPANYNAME]]</f>
        <v>50/134-* SR17 T1514</v>
      </c>
      <c r="E203" s="21" t="s">
        <v>443</v>
      </c>
      <c r="F203" s="22">
        <v>50</v>
      </c>
      <c r="G203" s="22">
        <v>134</v>
      </c>
    </row>
    <row r="204" spans="1:7" x14ac:dyDescent="0.3">
      <c r="A204" t="str">
        <f>VLOOKUP(Table3[[#This Row],[COMPANYNO]],L:M,2)</f>
        <v>Prince</v>
      </c>
      <c r="B204" t="str">
        <f>VLOOKUP(Table3[[#This Row],[COMPANYNO]],L:N,3)</f>
        <v>Tampa</v>
      </c>
      <c r="C204" t="s">
        <v>1509</v>
      </c>
      <c r="D204" t="str">
        <f>Table3[[#This Row],[COMPANYNO]]&amp;"/"&amp;Table3[[#This Row],[DIVISIONNO]]&amp;"-"&amp;Table3[[#This Row],[COMPANYNAME]]</f>
        <v>50/135-I 75 DB CR54 E7124</v>
      </c>
      <c r="E204" s="23" t="s">
        <v>452</v>
      </c>
      <c r="F204" s="24">
        <v>50</v>
      </c>
      <c r="G204" s="24">
        <v>135</v>
      </c>
    </row>
    <row r="205" spans="1:7" x14ac:dyDescent="0.3">
      <c r="A205" t="str">
        <f>VLOOKUP(Table3[[#This Row],[COMPANYNO]],L:M,2)</f>
        <v>Prince</v>
      </c>
      <c r="B205" t="str">
        <f>VLOOKUP(Table3[[#This Row],[COMPANYNO]],L:N,3)</f>
        <v>Tampa</v>
      </c>
      <c r="C205" t="s">
        <v>1509</v>
      </c>
      <c r="D205" t="str">
        <f>Table3[[#This Row],[COMPANYNO]]&amp;"/"&amp;Table3[[#This Row],[DIVISIONNO]]&amp;"-"&amp;Table3[[#This Row],[COMPANYNAME]]</f>
        <v>50/136-SR50 Dean To Avalon T5469</v>
      </c>
      <c r="E205" s="21" t="s">
        <v>444</v>
      </c>
      <c r="F205" s="22">
        <v>50</v>
      </c>
      <c r="G205" s="22">
        <v>136</v>
      </c>
    </row>
    <row r="206" spans="1:7" x14ac:dyDescent="0.3">
      <c r="A206" t="str">
        <f>VLOOKUP(Table3[[#This Row],[COMPANYNO]],L:M,2)</f>
        <v>Prince</v>
      </c>
      <c r="B206" t="str">
        <f>VLOOKUP(Table3[[#This Row],[COMPANYNO]],L:N,3)</f>
        <v>Tampa</v>
      </c>
      <c r="C206" t="s">
        <v>1509</v>
      </c>
      <c r="D206" t="str">
        <f>Table3[[#This Row],[COMPANYNO]]&amp;"/"&amp;Table3[[#This Row],[DIVISIONNO]]&amp;"-"&amp;Table3[[#This Row],[COMPANYNAME]]</f>
        <v>50/141-* Poinciana Blvd</v>
      </c>
      <c r="E206" s="23" t="s">
        <v>445</v>
      </c>
      <c r="F206" s="24">
        <v>50</v>
      </c>
      <c r="G206" s="24">
        <v>141</v>
      </c>
    </row>
    <row r="207" spans="1:7" x14ac:dyDescent="0.3">
      <c r="A207" t="str">
        <f>VLOOKUP(Table3[[#This Row],[COMPANYNO]],L:M,2)</f>
        <v>Prince</v>
      </c>
      <c r="B207" t="str">
        <f>VLOOKUP(Table3[[#This Row],[COMPANYNO]],L:N,3)</f>
        <v>Tampa</v>
      </c>
      <c r="C207" t="s">
        <v>1509</v>
      </c>
      <c r="D207" t="str">
        <f>Table3[[#This Row],[COMPANYNO]]&amp;"/"&amp;Table3[[#This Row],[DIVISIONNO]]&amp;"-"&amp;Table3[[#This Row],[COMPANYNAME]]</f>
        <v>50/142-I295 Express E2S01</v>
      </c>
      <c r="E207" s="21" t="s">
        <v>446</v>
      </c>
      <c r="F207" s="22">
        <v>50</v>
      </c>
      <c r="G207" s="22">
        <v>142</v>
      </c>
    </row>
    <row r="208" spans="1:7" x14ac:dyDescent="0.3">
      <c r="A208" t="str">
        <f>VLOOKUP(Table3[[#This Row],[COMPANYNO]],L:M,2)</f>
        <v>Prince</v>
      </c>
      <c r="B208" t="str">
        <f>VLOOKUP(Table3[[#This Row],[COMPANYNO]],L:N,3)</f>
        <v>Tampa</v>
      </c>
      <c r="C208" t="s">
        <v>1509</v>
      </c>
      <c r="D208" t="str">
        <f>Table3[[#This Row],[COMPANYNO]]&amp;"/"&amp;Table3[[#This Row],[DIVISIONNO]]&amp;"-"&amp;Table3[[#This Row],[COMPANYNAME]]</f>
        <v>50/143-Bruce B Downs 14-0879</v>
      </c>
      <c r="E208" s="23" t="s">
        <v>453</v>
      </c>
      <c r="F208" s="24">
        <v>50</v>
      </c>
      <c r="G208" s="24">
        <v>143</v>
      </c>
    </row>
    <row r="209" spans="1:7" x14ac:dyDescent="0.3">
      <c r="A209" t="str">
        <f>VLOOKUP(Table3[[#This Row],[COMPANYNO]],L:M,2)</f>
        <v>Prince</v>
      </c>
      <c r="B209" t="str">
        <f>VLOOKUP(Table3[[#This Row],[COMPANYNO]],L:N,3)</f>
        <v>Tampa</v>
      </c>
      <c r="C209" t="s">
        <v>1509</v>
      </c>
      <c r="D209" t="str">
        <f>Table3[[#This Row],[COMPANYNO]]&amp;"/"&amp;Table3[[#This Row],[DIVISIONNO]]&amp;"-"&amp;Table3[[#This Row],[COMPANYNAME]]</f>
        <v>50/144-Veterans Exp DB E8N52</v>
      </c>
      <c r="E209" s="21" t="s">
        <v>454</v>
      </c>
      <c r="F209" s="22">
        <v>50</v>
      </c>
      <c r="G209" s="22">
        <v>144</v>
      </c>
    </row>
    <row r="210" spans="1:7" x14ac:dyDescent="0.3">
      <c r="A210" t="str">
        <f>VLOOKUP(Table3[[#This Row],[COMPANYNO]],L:M,2)</f>
        <v>Prince</v>
      </c>
      <c r="B210" t="str">
        <f>VLOOKUP(Table3[[#This Row],[COMPANYNO]],L:N,3)</f>
        <v>Tampa</v>
      </c>
      <c r="C210" t="s">
        <v>1509</v>
      </c>
      <c r="D210" t="str">
        <f>Table3[[#This Row],[COMPANYNO]]&amp;"/"&amp;Table3[[#This Row],[DIVISIONNO]]&amp;"-"&amp;Table3[[#This Row],[COMPANYNAME]]</f>
        <v>50/145-I 75 Segment E</v>
      </c>
      <c r="E210" s="23" t="s">
        <v>441</v>
      </c>
      <c r="F210" s="24">
        <v>50</v>
      </c>
      <c r="G210" s="24">
        <v>145</v>
      </c>
    </row>
    <row r="211" spans="1:7" x14ac:dyDescent="0.3">
      <c r="A211" t="str">
        <f>VLOOKUP(Table3[[#This Row],[COMPANYNO]],L:M,2)</f>
        <v>Pulice</v>
      </c>
      <c r="B211" t="str">
        <f>VLOOKUP(Table3[[#This Row],[COMPANYNO]],L:N,3)</f>
        <v>Arizona</v>
      </c>
      <c r="C211" t="s">
        <v>1509</v>
      </c>
      <c r="D211" t="str">
        <f>Table3[[#This Row],[COMPANYNO]]&amp;"/"&amp;Table3[[#This Row],[DIVISIONNO]]&amp;"-"&amp;Table3[[#This Row],[COMPANYNAME]]</f>
        <v>60/2-Casa GRANDE - Tucson HWHY</v>
      </c>
      <c r="E211" s="23" t="s">
        <v>380</v>
      </c>
      <c r="F211" s="24">
        <v>60</v>
      </c>
      <c r="G211" s="24">
        <v>2</v>
      </c>
    </row>
    <row r="212" spans="1:7" x14ac:dyDescent="0.3">
      <c r="A212" t="str">
        <f>VLOOKUP(Table3[[#This Row],[COMPANYNO]],L:M,2)</f>
        <v>Pulice</v>
      </c>
      <c r="B212" t="str">
        <f>VLOOKUP(Table3[[#This Row],[COMPANYNO]],L:N,3)</f>
        <v>Arizona</v>
      </c>
      <c r="C212" t="s">
        <v>1509</v>
      </c>
      <c r="D212" t="str">
        <f>Table3[[#This Row],[COMPANYNO]]&amp;"/"&amp;Table3[[#This Row],[DIVISIONNO]]&amp;"-"&amp;Table3[[#This Row],[COMPANYNAME]]</f>
        <v>60/3-SR 303 L HWY</v>
      </c>
      <c r="E212" s="21" t="s">
        <v>381</v>
      </c>
      <c r="F212" s="22">
        <v>60</v>
      </c>
      <c r="G212" s="22">
        <v>3</v>
      </c>
    </row>
    <row r="213" spans="1:7" x14ac:dyDescent="0.3">
      <c r="A213" t="str">
        <f>VLOOKUP(Table3[[#This Row],[COMPANYNO]],L:M,2)</f>
        <v>Pulice</v>
      </c>
      <c r="B213" t="str">
        <f>VLOOKUP(Table3[[#This Row],[COMPANYNO]],L:N,3)</f>
        <v>Arizona</v>
      </c>
      <c r="C213" t="s">
        <v>1509</v>
      </c>
      <c r="D213" t="str">
        <f>Table3[[#This Row],[COMPANYNO]]&amp;"/"&amp;Table3[[#This Row],[DIVISIONNO]]&amp;"-"&amp;Table3[[#This Row],[COMPANYNAME]]</f>
        <v>60/4-I-10 to SR 303 L TI</v>
      </c>
      <c r="E213" s="23" t="s">
        <v>382</v>
      </c>
      <c r="F213" s="24">
        <v>60</v>
      </c>
      <c r="G213" s="24">
        <v>4</v>
      </c>
    </row>
    <row r="214" spans="1:7" x14ac:dyDescent="0.3">
      <c r="A214" t="str">
        <f>VLOOKUP(Table3[[#This Row],[COMPANYNO]],L:M,2)</f>
        <v>Pulice</v>
      </c>
      <c r="B214" t="str">
        <f>VLOOKUP(Table3[[#This Row],[COMPANYNO]],L:N,3)</f>
        <v>Arizona</v>
      </c>
      <c r="C214" t="s">
        <v>1509</v>
      </c>
      <c r="D214" t="str">
        <f>Table3[[#This Row],[COMPANYNO]]&amp;"/"&amp;Table3[[#This Row],[DIVISIONNO]]&amp;"-"&amp;Table3[[#This Row],[COMPANYNAME]]</f>
        <v>60/5-SR-303 (Glendal to CamelBack)</v>
      </c>
      <c r="E214" s="21" t="s">
        <v>383</v>
      </c>
      <c r="F214" s="22">
        <v>60</v>
      </c>
      <c r="G214" s="22">
        <v>5</v>
      </c>
    </row>
    <row r="215" spans="1:7" x14ac:dyDescent="0.3">
      <c r="A215" t="str">
        <f>VLOOKUP(Table3[[#This Row],[COMPANYNO]],L:M,2)</f>
        <v>Pulice</v>
      </c>
      <c r="B215" t="str">
        <f>VLOOKUP(Table3[[#This Row],[COMPANYNO]],L:N,3)</f>
        <v>Arizona</v>
      </c>
      <c r="C215" t="s">
        <v>1509</v>
      </c>
      <c r="D215" t="str">
        <f>Table3[[#This Row],[COMPANYNO]]&amp;"/"&amp;Table3[[#This Row],[DIVISIONNO]]&amp;"-"&amp;Table3[[#This Row],[COMPANYNAME]]</f>
        <v>60/6-PHNX (SM Streets) - Broadway</v>
      </c>
      <c r="E215" s="23" t="s">
        <v>384</v>
      </c>
      <c r="F215" s="24">
        <v>60</v>
      </c>
      <c r="G215" s="24">
        <v>6</v>
      </c>
    </row>
    <row r="216" spans="1:7" x14ac:dyDescent="0.3">
      <c r="A216" t="str">
        <f>VLOOKUP(Table3[[#This Row],[COMPANYNO]],L:M,2)</f>
        <v>Pulice</v>
      </c>
      <c r="B216" t="str">
        <f>VLOOKUP(Table3[[#This Row],[COMPANYNO]],L:N,3)</f>
        <v>Arizona</v>
      </c>
      <c r="C216" t="s">
        <v>1509</v>
      </c>
      <c r="D216" t="str">
        <f>Table3[[#This Row],[COMPANYNO]]&amp;"/"&amp;Table3[[#This Row],[DIVISIONNO]]&amp;"-"&amp;Table3[[#This Row],[COMPANYNAME]]</f>
        <v>60/7-PHNX (SM SREETS -2D)</v>
      </c>
      <c r="E216" s="21" t="s">
        <v>385</v>
      </c>
      <c r="F216" s="22">
        <v>60</v>
      </c>
      <c r="G216" s="22">
        <v>7</v>
      </c>
    </row>
    <row r="217" spans="1:7" x14ac:dyDescent="0.3">
      <c r="A217" t="str">
        <f>VLOOKUP(Table3[[#This Row],[COMPANYNO]],L:M,2)</f>
        <v>Pulice</v>
      </c>
      <c r="B217" t="str">
        <f>VLOOKUP(Table3[[#This Row],[COMPANYNO]],L:N,3)</f>
        <v>Arizona</v>
      </c>
      <c r="C217" t="s">
        <v>1509</v>
      </c>
      <c r="D217" t="str">
        <f>Table3[[#This Row],[COMPANYNO]]&amp;"/"&amp;Table3[[#This Row],[DIVISIONNO]]&amp;"-"&amp;Table3[[#This Row],[COMPANYNAME]]</f>
        <v>60/8-Twin Peaks T.I.</v>
      </c>
      <c r="E217" s="23" t="s">
        <v>386</v>
      </c>
      <c r="F217" s="24">
        <v>60</v>
      </c>
      <c r="G217" s="24">
        <v>8</v>
      </c>
    </row>
    <row r="218" spans="1:7" x14ac:dyDescent="0.3">
      <c r="A218" t="str">
        <f>VLOOKUP(Table3[[#This Row],[COMPANYNO]],L:M,2)</f>
        <v>Pulice</v>
      </c>
      <c r="B218" t="str">
        <f>VLOOKUP(Table3[[#This Row],[COMPANYNO]],L:N,3)</f>
        <v>Arizona</v>
      </c>
      <c r="C218" t="s">
        <v>1509</v>
      </c>
      <c r="D218" t="str">
        <f>Table3[[#This Row],[COMPANYNO]]&amp;"/"&amp;Table3[[#This Row],[DIVISIONNO]]&amp;"-"&amp;Table3[[#This Row],[COMPANYNAME]]</f>
        <v>60/9-SR 303</v>
      </c>
      <c r="E218" s="21" t="s">
        <v>387</v>
      </c>
      <c r="F218" s="22">
        <v>60</v>
      </c>
      <c r="G218" s="22">
        <v>9</v>
      </c>
    </row>
    <row r="219" spans="1:7" x14ac:dyDescent="0.3">
      <c r="A219" t="str">
        <f>VLOOKUP(Table3[[#This Row],[COMPANYNO]],L:M,2)</f>
        <v>Pulice</v>
      </c>
      <c r="B219" t="str">
        <f>VLOOKUP(Table3[[#This Row],[COMPANYNO]],L:N,3)</f>
        <v>Arizona</v>
      </c>
      <c r="C219" t="s">
        <v>1509</v>
      </c>
      <c r="D219" t="str">
        <f>Table3[[#This Row],[COMPANYNO]]&amp;"/"&amp;Table3[[#This Row],[DIVISIONNO]]&amp;"-"&amp;Table3[[#This Row],[COMPANYNAME]]</f>
        <v>60/10-Pima Fwy (SR 101)</v>
      </c>
      <c r="E219" s="23" t="s">
        <v>388</v>
      </c>
      <c r="F219" s="24">
        <v>60</v>
      </c>
      <c r="G219" s="24">
        <v>10</v>
      </c>
    </row>
    <row r="220" spans="1:7" x14ac:dyDescent="0.3">
      <c r="A220" t="str">
        <f>VLOOKUP(Table3[[#This Row],[COMPANYNO]],L:M,2)</f>
        <v>Pulice</v>
      </c>
      <c r="B220" t="str">
        <f>VLOOKUP(Table3[[#This Row],[COMPANYNO]],L:N,3)</f>
        <v>Arizona</v>
      </c>
      <c r="C220" t="s">
        <v>1509</v>
      </c>
      <c r="D220" t="str">
        <f>Table3[[#This Row],[COMPANYNO]]&amp;"/"&amp;Table3[[#This Row],[DIVISIONNO]]&amp;"-"&amp;Table3[[#This Row],[COMPANYNAME]]</f>
        <v>60/11-I-10/303 TI</v>
      </c>
      <c r="E220" s="21" t="s">
        <v>496</v>
      </c>
      <c r="F220" s="22">
        <v>60</v>
      </c>
      <c r="G220" s="22">
        <v>11</v>
      </c>
    </row>
    <row r="221" spans="1:7" x14ac:dyDescent="0.3">
      <c r="A221" t="str">
        <f>VLOOKUP(Table3[[#This Row],[COMPANYNO]],L:M,2)</f>
        <v>Pulice</v>
      </c>
      <c r="B221" t="str">
        <f>VLOOKUP(Table3[[#This Row],[COMPANYNO]],L:N,3)</f>
        <v>Arizona</v>
      </c>
      <c r="C221" t="s">
        <v>1509</v>
      </c>
      <c r="D221" t="str">
        <f>Table3[[#This Row],[COMPANYNO]]&amp;"/"&amp;Table3[[#This Row],[DIVISIONNO]]&amp;"-"&amp;Table3[[#This Row],[COMPANYNAME]]</f>
        <v>60/12-Pima Stormwater Interceptor</v>
      </c>
      <c r="E221" s="23" t="s">
        <v>514</v>
      </c>
      <c r="F221" s="24">
        <v>60</v>
      </c>
      <c r="G221" s="24">
        <v>12</v>
      </c>
    </row>
    <row r="222" spans="1:7" x14ac:dyDescent="0.3">
      <c r="A222" t="str">
        <f>VLOOKUP(Table3[[#This Row],[COMPANYNO]],L:M,2)</f>
        <v>Pulice</v>
      </c>
      <c r="B222" t="str">
        <f>VLOOKUP(Table3[[#This Row],[COMPANYNO]],L:N,3)</f>
        <v>Arizona</v>
      </c>
      <c r="C222" t="s">
        <v>1509</v>
      </c>
      <c r="D222" t="str">
        <f>Table3[[#This Row],[COMPANYNO]]&amp;"/"&amp;Table3[[#This Row],[DIVISIONNO]]&amp;"-"&amp;Table3[[#This Row],[COMPANYNAME]]</f>
        <v>60/13-Peoria I17</v>
      </c>
      <c r="E222" s="21" t="s">
        <v>527</v>
      </c>
      <c r="F222" s="22">
        <v>60</v>
      </c>
      <c r="G222" s="22">
        <v>13</v>
      </c>
    </row>
    <row r="223" spans="1:7" x14ac:dyDescent="0.3">
      <c r="A223" t="str">
        <f>VLOOKUP(Table3[[#This Row],[COMPANYNO]],L:M,2)</f>
        <v>Pulice</v>
      </c>
      <c r="B223" t="str">
        <f>VLOOKUP(Table3[[#This Row],[COMPANYNO]],L:N,3)</f>
        <v>Arizona</v>
      </c>
      <c r="C223" t="s">
        <v>1509</v>
      </c>
      <c r="D223" t="str">
        <f>Table3[[#This Row],[COMPANYNO]]&amp;"/"&amp;Table3[[#This Row],[DIVISIONNO]]&amp;"-"&amp;Table3[[#This Row],[COMPANYNAME]]</f>
        <v>60/14-COP Water Main Replacement</v>
      </c>
      <c r="E223" s="23" t="s">
        <v>528</v>
      </c>
      <c r="F223" s="24">
        <v>60</v>
      </c>
      <c r="G223" s="24">
        <v>14</v>
      </c>
    </row>
    <row r="224" spans="1:7" x14ac:dyDescent="0.3">
      <c r="A224" t="str">
        <f>VLOOKUP(Table3[[#This Row],[COMPANYNO]],L:M,2)</f>
        <v>Pulice</v>
      </c>
      <c r="B224" t="str">
        <f>VLOOKUP(Table3[[#This Row],[COMPANYNO]],L:N,3)</f>
        <v>Arizona</v>
      </c>
      <c r="C224" t="s">
        <v>1509</v>
      </c>
      <c r="D224" t="str">
        <f>Table3[[#This Row],[COMPANYNO]]&amp;"/"&amp;Table3[[#This Row],[DIVISIONNO]]&amp;"-"&amp;Table3[[#This Row],[COMPANYNAME]]</f>
        <v>60/15-Sarival Avenue</v>
      </c>
      <c r="E224" s="21" t="s">
        <v>530</v>
      </c>
      <c r="F224" s="22">
        <v>60</v>
      </c>
      <c r="G224" s="22">
        <v>15</v>
      </c>
    </row>
    <row r="225" spans="1:7" x14ac:dyDescent="0.3">
      <c r="A225" t="str">
        <f>VLOOKUP(Table3[[#This Row],[COMPANYNO]],L:M,2)</f>
        <v>Pulice</v>
      </c>
      <c r="B225" t="str">
        <f>VLOOKUP(Table3[[#This Row],[COMPANYNO]],L:N,3)</f>
        <v>Arizona</v>
      </c>
      <c r="C225" t="s">
        <v>1509</v>
      </c>
      <c r="D225" t="str">
        <f>Table3[[#This Row],[COMPANYNO]]&amp;"/"&amp;Table3[[#This Row],[DIVISIONNO]]&amp;"-"&amp;Table3[[#This Row],[COMPANYNAME]]</f>
        <v>60/16-Sacramento Wash Bridge</v>
      </c>
      <c r="E225" s="23" t="s">
        <v>531</v>
      </c>
      <c r="F225" s="24">
        <v>60</v>
      </c>
      <c r="G225" s="24">
        <v>16</v>
      </c>
    </row>
    <row r="226" spans="1:7" x14ac:dyDescent="0.3">
      <c r="A226" t="str">
        <f>VLOOKUP(Table3[[#This Row],[COMPANYNO]],L:M,2)</f>
        <v>Pulice</v>
      </c>
      <c r="B226" t="str">
        <f>VLOOKUP(Table3[[#This Row],[COMPANYNO]],L:N,3)</f>
        <v>Arizona</v>
      </c>
      <c r="C226" t="s">
        <v>1509</v>
      </c>
      <c r="D226" t="str">
        <f>Table3[[#This Row],[COMPANYNO]]&amp;"/"&amp;Table3[[#This Row],[DIVISIONNO]]&amp;"-"&amp;Table3[[#This Row],[COMPANYNAME]]</f>
        <v>60/17-Audley Bridge Yavapai</v>
      </c>
      <c r="E226" s="21" t="s">
        <v>535</v>
      </c>
      <c r="F226" s="22">
        <v>60</v>
      </c>
      <c r="G226" s="22">
        <v>17</v>
      </c>
    </row>
    <row r="227" spans="1:7" x14ac:dyDescent="0.3">
      <c r="A227" t="str">
        <f>VLOOKUP(Table3[[#This Row],[COMPANYNO]],L:M,2)</f>
        <v>Pulice</v>
      </c>
      <c r="B227" t="str">
        <f>VLOOKUP(Table3[[#This Row],[COMPANYNO]],L:N,3)</f>
        <v>Arizona</v>
      </c>
      <c r="C227" t="s">
        <v>1509</v>
      </c>
      <c r="D227" t="str">
        <f>Table3[[#This Row],[COMPANYNO]]&amp;"/"&amp;Table3[[#This Row],[DIVISIONNO]]&amp;"-"&amp;Table3[[#This Row],[COMPANYNAME]]</f>
        <v>60/18-Houghton Rd</v>
      </c>
      <c r="E227" s="23" t="s">
        <v>539</v>
      </c>
      <c r="F227" s="24">
        <v>60</v>
      </c>
      <c r="G227" s="24">
        <v>18</v>
      </c>
    </row>
    <row r="228" spans="1:7" x14ac:dyDescent="0.3">
      <c r="A228" t="str">
        <f>VLOOKUP(Table3[[#This Row],[COMPANYNO]],L:M,2)</f>
        <v>Pulice</v>
      </c>
      <c r="B228" t="str">
        <f>VLOOKUP(Table3[[#This Row],[COMPANYNO]],L:N,3)</f>
        <v>Arizona</v>
      </c>
      <c r="C228" t="s">
        <v>1509</v>
      </c>
      <c r="D228" t="str">
        <f>Table3[[#This Row],[COMPANYNO]]&amp;"/"&amp;Table3[[#This Row],[DIVISIONNO]]&amp;"-"&amp;Table3[[#This Row],[COMPANYNAME]]</f>
        <v>60/19-Kelvin Bridge</v>
      </c>
      <c r="E228" s="21" t="s">
        <v>544</v>
      </c>
      <c r="F228" s="22">
        <v>60</v>
      </c>
      <c r="G228" s="22">
        <v>19</v>
      </c>
    </row>
    <row r="229" spans="1:7" x14ac:dyDescent="0.3">
      <c r="A229" t="str">
        <f>VLOOKUP(Table3[[#This Row],[COMPANYNO]],L:M,2)</f>
        <v>Pulice</v>
      </c>
      <c r="B229" t="str">
        <f>VLOOKUP(Table3[[#This Row],[COMPANYNO]],L:N,3)</f>
        <v>Arizona</v>
      </c>
      <c r="C229" t="s">
        <v>1509</v>
      </c>
      <c r="D229" t="str">
        <f>Table3[[#This Row],[COMPANYNO]]&amp;"/"&amp;Table3[[#This Row],[DIVISIONNO]]&amp;"-"&amp;Table3[[#This Row],[COMPANYNAME]]</f>
        <v>60/20-COP Water Main Mcdowel</v>
      </c>
      <c r="E229" s="23" t="s">
        <v>545</v>
      </c>
      <c r="F229" s="24">
        <v>60</v>
      </c>
      <c r="G229" s="24">
        <v>20</v>
      </c>
    </row>
    <row r="230" spans="1:7" x14ac:dyDescent="0.3">
      <c r="A230" t="str">
        <f>VLOOKUP(Table3[[#This Row],[COMPANYNO]],L:M,2)</f>
        <v>Pulice</v>
      </c>
      <c r="B230" t="str">
        <f>VLOOKUP(Table3[[#This Row],[COMPANYNO]],L:N,3)</f>
        <v>Arizona</v>
      </c>
      <c r="C230" t="s">
        <v>1509</v>
      </c>
      <c r="D230" t="str">
        <f>Table3[[#This Row],[COMPANYNO]]&amp;"/"&amp;Table3[[#This Row],[DIVISIONNO]]&amp;"-"&amp;Table3[[#This Row],[COMPANYNAME]]</f>
        <v>60/21-Flatop Dike</v>
      </c>
      <c r="E230" s="21" t="s">
        <v>546</v>
      </c>
      <c r="F230" s="22">
        <v>60</v>
      </c>
      <c r="G230" s="22">
        <v>21</v>
      </c>
    </row>
    <row r="231" spans="1:7" x14ac:dyDescent="0.3">
      <c r="A231" t="str">
        <f>VLOOKUP(Table3[[#This Row],[COMPANYNO]],L:M,2)</f>
        <v>Pulice</v>
      </c>
      <c r="B231" t="str">
        <f>VLOOKUP(Table3[[#This Row],[COMPANYNO]],L:N,3)</f>
        <v>Arizona</v>
      </c>
      <c r="C231" t="s">
        <v>1509</v>
      </c>
      <c r="D231" t="str">
        <f>Table3[[#This Row],[COMPANYNO]]&amp;"/"&amp;Table3[[#This Row],[DIVISIONNO]]&amp;"-"&amp;Table3[[#This Row],[COMPANYNAME]]</f>
        <v>60/22-Jacks Canyon Bridge</v>
      </c>
      <c r="E231" s="23" t="s">
        <v>550</v>
      </c>
      <c r="F231" s="24">
        <v>60</v>
      </c>
      <c r="G231" s="24">
        <v>22</v>
      </c>
    </row>
    <row r="232" spans="1:7" x14ac:dyDescent="0.3">
      <c r="A232" t="str">
        <f>VLOOKUP(Table3[[#This Row],[COMPANYNO]],L:M,2)</f>
        <v>Pulice</v>
      </c>
      <c r="B232" t="str">
        <f>VLOOKUP(Table3[[#This Row],[COMPANYNO]],L:N,3)</f>
        <v>Arizona</v>
      </c>
      <c r="C232" t="s">
        <v>1509</v>
      </c>
      <c r="D232" t="str">
        <f>Table3[[#This Row],[COMPANYNO]]&amp;"/"&amp;Table3[[#This Row],[DIVISIONNO]]&amp;"-"&amp;Table3[[#This Row],[COMPANYNAME]]</f>
        <v>60/23-Happy Valley CMAR Precon</v>
      </c>
      <c r="E232" s="21" t="s">
        <v>592</v>
      </c>
      <c r="F232" s="22">
        <v>60</v>
      </c>
      <c r="G232" s="22">
        <v>23</v>
      </c>
    </row>
    <row r="233" spans="1:7" x14ac:dyDescent="0.3">
      <c r="A233" t="str">
        <f>VLOOKUP(Table3[[#This Row],[COMPANYNO]],L:M,2)</f>
        <v>Pulice</v>
      </c>
      <c r="B233" t="str">
        <f>VLOOKUP(Table3[[#This Row],[COMPANYNO]],L:N,3)</f>
        <v>Arizona</v>
      </c>
      <c r="C233" t="s">
        <v>1509</v>
      </c>
      <c r="D233" t="str">
        <f>Table3[[#This Row],[COMPANYNO]]&amp;"/"&amp;Table3[[#This Row],[DIVISIONNO]]&amp;"-"&amp;Table3[[#This Row],[COMPANYNAME]]</f>
        <v>60/24-Yuma Cnty Bridge Repair</v>
      </c>
      <c r="E233" s="23" t="s">
        <v>688</v>
      </c>
      <c r="F233" s="24">
        <v>60</v>
      </c>
      <c r="G233" s="24">
        <v>24</v>
      </c>
    </row>
    <row r="234" spans="1:7" x14ac:dyDescent="0.3">
      <c r="A234" t="str">
        <f>VLOOKUP(Table3[[#This Row],[COMPANYNO]],L:M,2)</f>
        <v>Pulice</v>
      </c>
      <c r="B234" t="str">
        <f>VLOOKUP(Table3[[#This Row],[COMPANYNO]],L:N,3)</f>
        <v>Arizona</v>
      </c>
      <c r="C234" t="s">
        <v>1509</v>
      </c>
      <c r="D234" t="str">
        <f>Table3[[#This Row],[COMPANYNO]]&amp;"/"&amp;Table3[[#This Row],[DIVISIONNO]]&amp;"-"&amp;Table3[[#This Row],[COMPANYNAME]]</f>
        <v>60/25-Wilmot TI OP</v>
      </c>
      <c r="E234" s="21" t="s">
        <v>693</v>
      </c>
      <c r="F234" s="22">
        <v>60</v>
      </c>
      <c r="G234" s="22">
        <v>25</v>
      </c>
    </row>
    <row r="235" spans="1:7" x14ac:dyDescent="0.3">
      <c r="A235" t="str">
        <f>VLOOKUP(Table3[[#This Row],[COMPANYNO]],L:M,2)</f>
        <v>Pulice</v>
      </c>
      <c r="B235" t="str">
        <f>VLOOKUP(Table3[[#This Row],[COMPANYNO]],L:N,3)</f>
        <v>Arizona</v>
      </c>
      <c r="C235" t="s">
        <v>1509</v>
      </c>
      <c r="D235" t="str">
        <f>Table3[[#This Row],[COMPANYNO]]&amp;"/"&amp;Table3[[#This Row],[DIVISIONNO]]&amp;"-"&amp;Table3[[#This Row],[COMPANYNAME]]</f>
        <v>60/26-Rummel</v>
      </c>
      <c r="E235" s="23" t="s">
        <v>706</v>
      </c>
      <c r="F235" s="24">
        <v>60</v>
      </c>
      <c r="G235" s="24">
        <v>26</v>
      </c>
    </row>
    <row r="236" spans="1:7" x14ac:dyDescent="0.3">
      <c r="A236" t="str">
        <f>VLOOKUP(Table3[[#This Row],[COMPANYNO]],L:M,2)</f>
        <v>Pulice</v>
      </c>
      <c r="B236" t="str">
        <f>VLOOKUP(Table3[[#This Row],[COMPANYNO]],L:N,3)</f>
        <v>Arizona</v>
      </c>
      <c r="C236" t="s">
        <v>1509</v>
      </c>
      <c r="D236" t="str">
        <f>Table3[[#This Row],[COMPANYNO]]&amp;"/"&amp;Table3[[#This Row],[DIVISIONNO]]&amp;"-"&amp;Table3[[#This Row],[COMPANYNAME]]</f>
        <v>60/27-Texas Hill Bridges</v>
      </c>
      <c r="E236" s="21" t="s">
        <v>709</v>
      </c>
      <c r="F236" s="22">
        <v>60</v>
      </c>
      <c r="G236" s="22">
        <v>27</v>
      </c>
    </row>
    <row r="237" spans="1:7" x14ac:dyDescent="0.3">
      <c r="A237" t="str">
        <f>VLOOKUP(Table3[[#This Row],[COMPANYNO]],L:M,2)</f>
        <v>Pulice</v>
      </c>
      <c r="B237" t="str">
        <f>VLOOKUP(Table3[[#This Row],[COMPANYNO]],L:N,3)</f>
        <v>Arizona</v>
      </c>
      <c r="C237" t="s">
        <v>1509</v>
      </c>
      <c r="D237" t="str">
        <f>Table3[[#This Row],[COMPANYNO]]&amp;"/"&amp;Table3[[#This Row],[DIVISIONNO]]&amp;"-"&amp;Table3[[#This Row],[COMPANYNAME]]</f>
        <v>60/28-12th Street Ave D Bridge</v>
      </c>
      <c r="E237" s="23" t="s">
        <v>710</v>
      </c>
      <c r="F237" s="24">
        <v>60</v>
      </c>
      <c r="G237" s="24">
        <v>28</v>
      </c>
    </row>
    <row r="238" spans="1:7" x14ac:dyDescent="0.3">
      <c r="A238" t="str">
        <f>VLOOKUP(Table3[[#This Row],[COMPANYNO]],L:M,2)</f>
        <v>Pulice</v>
      </c>
      <c r="B238" t="str">
        <f>VLOOKUP(Table3[[#This Row],[COMPANYNO]],L:N,3)</f>
        <v>Arizona</v>
      </c>
      <c r="C238" t="s">
        <v>1509</v>
      </c>
      <c r="D238" t="str">
        <f>Table3[[#This Row],[COMPANYNO]]&amp;"/"&amp;Table3[[#This Row],[DIVISIONNO]]&amp;"-"&amp;Table3[[#This Row],[COMPANYNAME]]</f>
        <v>60/29-West Seligman Bridges</v>
      </c>
      <c r="E238" s="21" t="s">
        <v>730</v>
      </c>
      <c r="F238" s="22">
        <v>60</v>
      </c>
      <c r="G238" s="22">
        <v>29</v>
      </c>
    </row>
    <row r="239" spans="1:7" x14ac:dyDescent="0.3">
      <c r="A239" t="str">
        <f>VLOOKUP(Table3[[#This Row],[COMPANYNO]],L:M,2)</f>
        <v>Pulice</v>
      </c>
      <c r="B239" t="str">
        <f>VLOOKUP(Table3[[#This Row],[COMPANYNO]],L:N,3)</f>
        <v>Arizona</v>
      </c>
      <c r="C239" t="s">
        <v>1509</v>
      </c>
      <c r="D239" t="str">
        <f>Table3[[#This Row],[COMPANYNO]]&amp;"/"&amp;Table3[[#This Row],[DIVISIONNO]]&amp;"-"&amp;Table3[[#This Row],[COMPANYNAME]]</f>
        <v>60/30-Germann Water Main</v>
      </c>
      <c r="E239" s="23" t="s">
        <v>731</v>
      </c>
      <c r="F239" s="24">
        <v>60</v>
      </c>
      <c r="G239" s="24">
        <v>30</v>
      </c>
    </row>
    <row r="240" spans="1:7" x14ac:dyDescent="0.3">
      <c r="A240" t="str">
        <f>VLOOKUP(Table3[[#This Row],[COMPANYNO]],L:M,2)</f>
        <v>Pulice</v>
      </c>
      <c r="B240" t="str">
        <f>VLOOKUP(Table3[[#This Row],[COMPANYNO]],L:N,3)</f>
        <v>Arizona</v>
      </c>
      <c r="C240" t="s">
        <v>1509</v>
      </c>
      <c r="D240" t="str">
        <f>Table3[[#This Row],[COMPANYNO]]&amp;"/"&amp;Table3[[#This Row],[DIVISIONNO]]&amp;"-"&amp;Table3[[#This Row],[COMPANYNAME]]</f>
        <v>60/31-Phx-Mesa Gateway Taxi C</v>
      </c>
      <c r="E240" s="21" t="s">
        <v>765</v>
      </c>
      <c r="F240" s="22">
        <v>60</v>
      </c>
      <c r="G240" s="22">
        <v>31</v>
      </c>
    </row>
    <row r="241" spans="1:7" x14ac:dyDescent="0.3">
      <c r="A241" t="str">
        <f>VLOOKUP(Table3[[#This Row],[COMPANYNO]],L:M,2)</f>
        <v>Pulice</v>
      </c>
      <c r="B241" t="str">
        <f>VLOOKUP(Table3[[#This Row],[COMPANYNO]],L:N,3)</f>
        <v>Arizona</v>
      </c>
      <c r="C241" t="s">
        <v>1509</v>
      </c>
      <c r="D241" t="str">
        <f>Table3[[#This Row],[COMPANYNO]]&amp;"/"&amp;Table3[[#This Row],[DIVISIONNO]]&amp;"-"&amp;Table3[[#This Row],[COMPANYNAME]]</f>
        <v>60/32-PHX Sky Train</v>
      </c>
      <c r="E241" s="23" t="s">
        <v>766</v>
      </c>
      <c r="F241" s="24">
        <v>60</v>
      </c>
      <c r="G241" s="24">
        <v>32</v>
      </c>
    </row>
    <row r="242" spans="1:7" x14ac:dyDescent="0.3">
      <c r="A242" t="str">
        <f>VLOOKUP(Table3[[#This Row],[COMPANYNO]],L:M,2)</f>
        <v>Pulice</v>
      </c>
      <c r="B242" t="str">
        <f>VLOOKUP(Table3[[#This Row],[COMPANYNO]],L:N,3)</f>
        <v>Arizona</v>
      </c>
      <c r="C242" t="s">
        <v>1509</v>
      </c>
      <c r="D242" t="str">
        <f>Table3[[#This Row],[COMPANYNO]]&amp;"/"&amp;Table3[[#This Row],[DIVISIONNO]]&amp;"-"&amp;Table3[[#This Row],[COMPANYNAME]]</f>
        <v>60/33-Northern Pkwy - Dys 111</v>
      </c>
      <c r="E242" s="21" t="s">
        <v>772</v>
      </c>
      <c r="F242" s="22">
        <v>60</v>
      </c>
      <c r="G242" s="22">
        <v>33</v>
      </c>
    </row>
    <row r="243" spans="1:7" x14ac:dyDescent="0.3">
      <c r="A243" t="str">
        <f>VLOOKUP(Table3[[#This Row],[COMPANYNO]],L:M,2)</f>
        <v>Pulice</v>
      </c>
      <c r="B243" t="str">
        <f>VLOOKUP(Table3[[#This Row],[COMPANYNO]],L:N,3)</f>
        <v>California</v>
      </c>
      <c r="C243" t="s">
        <v>1509</v>
      </c>
      <c r="D243" t="str">
        <f>Table3[[#This Row],[COMPANYNO]]&amp;"/"&amp;Table3[[#This Row],[DIVISIONNO]]&amp;"-"&amp;Table3[[#This Row],[COMPANYNAME]]</f>
        <v>61/2-San Vicente Marina</v>
      </c>
      <c r="E243" s="23" t="s">
        <v>403</v>
      </c>
      <c r="F243" s="24">
        <v>61</v>
      </c>
      <c r="G243" s="24">
        <v>2</v>
      </c>
    </row>
    <row r="244" spans="1:7" x14ac:dyDescent="0.3">
      <c r="A244" t="str">
        <f>VLOOKUP(Table3[[#This Row],[COMPANYNO]],L:M,2)</f>
        <v>Pulice</v>
      </c>
      <c r="B244" t="str">
        <f>VLOOKUP(Table3[[#This Row],[COMPANYNO]],L:N,3)</f>
        <v>California</v>
      </c>
      <c r="C244" t="s">
        <v>1509</v>
      </c>
      <c r="D244" t="str">
        <f>Table3[[#This Row],[COMPANYNO]]&amp;"/"&amp;Table3[[#This Row],[DIVISIONNO]]&amp;"-"&amp;Table3[[#This Row],[COMPANYNAME]]</f>
        <v>61/3-Regional Connector Utilities</v>
      </c>
      <c r="E244" s="21" t="s">
        <v>404</v>
      </c>
      <c r="F244" s="22">
        <v>61</v>
      </c>
      <c r="G244" s="22">
        <v>3</v>
      </c>
    </row>
    <row r="245" spans="1:7" x14ac:dyDescent="0.3">
      <c r="A245" t="str">
        <f>VLOOKUP(Table3[[#This Row],[COMPANYNO]],L:M,2)</f>
        <v>Pulice</v>
      </c>
      <c r="B245" t="str">
        <f>VLOOKUP(Table3[[#This Row],[COMPANYNO]],L:N,3)</f>
        <v>California</v>
      </c>
      <c r="C245" t="s">
        <v>1509</v>
      </c>
      <c r="D245" t="str">
        <f>Table3[[#This Row],[COMPANYNO]]&amp;"/"&amp;Table3[[#This Row],[DIVISIONNO]]&amp;"-"&amp;Table3[[#This Row],[COMPANYNAME]]</f>
        <v>61/4-Perris Dam</v>
      </c>
      <c r="E245" s="23" t="s">
        <v>411</v>
      </c>
      <c r="F245" s="24">
        <v>61</v>
      </c>
      <c r="G245" s="24">
        <v>4</v>
      </c>
    </row>
    <row r="246" spans="1:7" x14ac:dyDescent="0.3">
      <c r="A246" t="str">
        <f>VLOOKUP(Table3[[#This Row],[COMPANYNO]],L:M,2)</f>
        <v>Pulice</v>
      </c>
      <c r="B246" t="str">
        <f>VLOOKUP(Table3[[#This Row],[COMPANYNO]],L:N,3)</f>
        <v>California</v>
      </c>
      <c r="C246" t="s">
        <v>1509</v>
      </c>
      <c r="D246" t="str">
        <f>Table3[[#This Row],[COMPANYNO]]&amp;"/"&amp;Table3[[#This Row],[DIVISIONNO]]&amp;"-"&amp;Table3[[#This Row],[COMPANYNAME]]</f>
        <v>61/5-Bypass Pipeline San Vicente</v>
      </c>
      <c r="E246" s="21" t="s">
        <v>422</v>
      </c>
      <c r="F246" s="22">
        <v>61</v>
      </c>
      <c r="G246" s="22">
        <v>5</v>
      </c>
    </row>
    <row r="247" spans="1:7" x14ac:dyDescent="0.3">
      <c r="A247" t="str">
        <f>VLOOKUP(Table3[[#This Row],[COMPANYNO]],L:M,2)</f>
        <v>Pulice</v>
      </c>
      <c r="B247" t="str">
        <f>VLOOKUP(Table3[[#This Row],[COMPANYNO]],L:N,3)</f>
        <v>California</v>
      </c>
      <c r="C247" t="s">
        <v>1509</v>
      </c>
      <c r="D247" t="str">
        <f>Table3[[#This Row],[COMPANYNO]]&amp;"/"&amp;Table3[[#This Row],[DIVISIONNO]]&amp;"-"&amp;Table3[[#This Row],[COMPANYNAME]]</f>
        <v>61/6-Aqua Hedionda</v>
      </c>
      <c r="E247" s="23" t="s">
        <v>480</v>
      </c>
      <c r="F247" s="24">
        <v>61</v>
      </c>
      <c r="G247" s="24">
        <v>6</v>
      </c>
    </row>
    <row r="248" spans="1:7" x14ac:dyDescent="0.3">
      <c r="A248" t="str">
        <f>VLOOKUP(Table3[[#This Row],[COMPANYNO]],L:M,2)</f>
        <v>Pulice</v>
      </c>
      <c r="B248" t="str">
        <f>VLOOKUP(Table3[[#This Row],[COMPANYNO]],L:N,3)</f>
        <v>California</v>
      </c>
      <c r="C248" t="s">
        <v>1509</v>
      </c>
      <c r="D248" t="str">
        <f>Table3[[#This Row],[COMPANYNO]]&amp;"/"&amp;Table3[[#This Row],[DIVISIONNO]]&amp;"-"&amp;Table3[[#This Row],[COMPANYNAME]]</f>
        <v>61/7-South Bay Bus Rapid Transit 1B</v>
      </c>
      <c r="E248" s="21" t="s">
        <v>495</v>
      </c>
      <c r="F248" s="22">
        <v>61</v>
      </c>
      <c r="G248" s="22">
        <v>7</v>
      </c>
    </row>
    <row r="249" spans="1:7" x14ac:dyDescent="0.3">
      <c r="A249" t="str">
        <f>VLOOKUP(Table3[[#This Row],[COMPANYNO]],L:M,2)</f>
        <v>Pulice</v>
      </c>
      <c r="B249" t="str">
        <f>VLOOKUP(Table3[[#This Row],[COMPANYNO]],L:N,3)</f>
        <v>California</v>
      </c>
      <c r="C249" t="s">
        <v>1509</v>
      </c>
      <c r="D249" t="str">
        <f>Table3[[#This Row],[COMPANYNO]]&amp;"/"&amp;Table3[[#This Row],[DIVISIONNO]]&amp;"-"&amp;Table3[[#This Row],[COMPANYNAME]]</f>
        <v>61/8-Friars Road ITG</v>
      </c>
      <c r="E249" s="23" t="s">
        <v>537</v>
      </c>
      <c r="F249" s="24">
        <v>61</v>
      </c>
      <c r="G249" s="24">
        <v>8</v>
      </c>
    </row>
    <row r="250" spans="1:7" x14ac:dyDescent="0.3">
      <c r="A250" t="str">
        <f>VLOOKUP(Table3[[#This Row],[COMPANYNO]],L:M,2)</f>
        <v>Pulice</v>
      </c>
      <c r="B250" t="str">
        <f>VLOOKUP(Table3[[#This Row],[COMPANYNO]],L:N,3)</f>
        <v>California</v>
      </c>
      <c r="C250" t="s">
        <v>1509</v>
      </c>
      <c r="D250" t="str">
        <f>Table3[[#This Row],[COMPANYNO]]&amp;"/"&amp;Table3[[#This Row],[DIVISIONNO]]&amp;"-"&amp;Table3[[#This Row],[COMPANYNAME]]</f>
        <v>61/9-BRT Seg 3 Sandag</v>
      </c>
      <c r="E250" s="21" t="s">
        <v>538</v>
      </c>
      <c r="F250" s="22">
        <v>61</v>
      </c>
      <c r="G250" s="22">
        <v>9</v>
      </c>
    </row>
    <row r="251" spans="1:7" x14ac:dyDescent="0.3">
      <c r="A251" t="str">
        <f>VLOOKUP(Table3[[#This Row],[COMPANYNO]],L:M,2)</f>
        <v>Pulice</v>
      </c>
      <c r="B251" t="str">
        <f>VLOOKUP(Table3[[#This Row],[COMPANYNO]],L:N,3)</f>
        <v>California</v>
      </c>
      <c r="C251" t="s">
        <v>1509</v>
      </c>
      <c r="D251" t="str">
        <f>Table3[[#This Row],[COMPANYNO]]&amp;"/"&amp;Table3[[#This Row],[DIVISIONNO]]&amp;"-"&amp;Table3[[#This Row],[COMPANYNAME]]</f>
        <v>61/10-Batiquitos Dr</v>
      </c>
      <c r="E251" s="23" t="s">
        <v>536</v>
      </c>
      <c r="F251" s="24">
        <v>61</v>
      </c>
      <c r="G251" s="24">
        <v>10</v>
      </c>
    </row>
    <row r="252" spans="1:7" x14ac:dyDescent="0.3">
      <c r="A252" t="str">
        <f>VLOOKUP(Table3[[#This Row],[COMPANYNO]],L:M,2)</f>
        <v>Pulice</v>
      </c>
      <c r="B252" t="str">
        <f>VLOOKUP(Table3[[#This Row],[COMPANYNO]],L:N,3)</f>
        <v>California</v>
      </c>
      <c r="C252" t="s">
        <v>1509</v>
      </c>
      <c r="D252" t="str">
        <f>Table3[[#This Row],[COMPANYNO]]&amp;"/"&amp;Table3[[#This Row],[DIVISIONNO]]&amp;"-"&amp;Table3[[#This Row],[COMPANYNAME]]</f>
        <v>61/11-Inland Rail Trial</v>
      </c>
      <c r="E252" s="21" t="s">
        <v>551</v>
      </c>
      <c r="F252" s="22">
        <v>61</v>
      </c>
      <c r="G252" s="22">
        <v>11</v>
      </c>
    </row>
    <row r="253" spans="1:7" x14ac:dyDescent="0.3">
      <c r="A253" t="str">
        <f>VLOOKUP(Table3[[#This Row],[COMPANYNO]],L:M,2)</f>
        <v>Pulice</v>
      </c>
      <c r="B253" t="str">
        <f>VLOOKUP(Table3[[#This Row],[COMPANYNO]],L:N,3)</f>
        <v>California</v>
      </c>
      <c r="C253" t="s">
        <v>1509</v>
      </c>
      <c r="D253" t="str">
        <f>Table3[[#This Row],[COMPANYNO]]&amp;"/"&amp;Table3[[#This Row],[DIVISIONNO]]&amp;"-"&amp;Table3[[#This Row],[COMPANYNAME]]</f>
        <v>61/12-Monte Vista Grade Sep</v>
      </c>
      <c r="E253" s="23" t="s">
        <v>675</v>
      </c>
      <c r="F253" s="24">
        <v>61</v>
      </c>
      <c r="G253" s="24">
        <v>12</v>
      </c>
    </row>
    <row r="254" spans="1:7" x14ac:dyDescent="0.3">
      <c r="A254" t="str">
        <f>VLOOKUP(Table3[[#This Row],[COMPANYNO]],L:M,2)</f>
        <v>Pulice</v>
      </c>
      <c r="B254" t="str">
        <f>VLOOKUP(Table3[[#This Row],[COMPANYNO]],L:N,3)</f>
        <v>California</v>
      </c>
      <c r="C254" t="s">
        <v>1509</v>
      </c>
      <c r="D254" t="str">
        <f>Table3[[#This Row],[COMPANYNO]]&amp;"/"&amp;Table3[[#This Row],[DIVISIONNO]]&amp;"-"&amp;Table3[[#This Row],[COMPANYNAME]]</f>
        <v>61/13-Buena Creek Pump Station</v>
      </c>
      <c r="E254" s="21" t="s">
        <v>701</v>
      </c>
      <c r="F254" s="22">
        <v>61</v>
      </c>
      <c r="G254" s="22">
        <v>13</v>
      </c>
    </row>
    <row r="255" spans="1:7" x14ac:dyDescent="0.3">
      <c r="A255" t="str">
        <f>VLOOKUP(Table3[[#This Row],[COMPANYNO]],L:M,2)</f>
        <v>Pulice</v>
      </c>
      <c r="B255" t="str">
        <f>VLOOKUP(Table3[[#This Row],[COMPANYNO]],L:N,3)</f>
        <v>California</v>
      </c>
      <c r="C255" t="s">
        <v>1509</v>
      </c>
      <c r="D255" t="str">
        <f>Table3[[#This Row],[COMPANYNO]]&amp;"/"&amp;Table3[[#This Row],[DIVISIONNO]]&amp;"-"&amp;Table3[[#This Row],[COMPANYNAME]]</f>
        <v>61/14-Soto Bridge</v>
      </c>
      <c r="E255" s="23" t="s">
        <v>754</v>
      </c>
      <c r="F255" s="24">
        <v>61</v>
      </c>
      <c r="G255" s="24">
        <v>14</v>
      </c>
    </row>
    <row r="256" spans="1:7" x14ac:dyDescent="0.3">
      <c r="A256" t="str">
        <f>VLOOKUP(Table3[[#This Row],[COMPANYNO]],L:M,2)</f>
        <v>Pulice</v>
      </c>
      <c r="B256" t="str">
        <f>VLOOKUP(Table3[[#This Row],[COMPANYNO]],L:N,3)</f>
        <v>California</v>
      </c>
      <c r="C256" t="s">
        <v>1509</v>
      </c>
      <c r="D256" t="str">
        <f>Table3[[#This Row],[COMPANYNO]]&amp;"/"&amp;Table3[[#This Row],[DIVISIONNO]]&amp;"-"&amp;Table3[[#This Row],[COMPANYNAME]]</f>
        <v>61/15-LATC Intermodal Mod</v>
      </c>
      <c r="E256" s="21" t="s">
        <v>771</v>
      </c>
      <c r="F256" s="22">
        <v>61</v>
      </c>
      <c r="G256" s="22">
        <v>15</v>
      </c>
    </row>
    <row r="257" spans="1:7" x14ac:dyDescent="0.3">
      <c r="A257" t="str">
        <f>VLOOKUP(Table3[[#This Row],[COMPANYNO]],L:M,2)</f>
        <v>Pulice</v>
      </c>
      <c r="B257" t="str">
        <f>VLOOKUP(Table3[[#This Row],[COMPANYNO]],L:N,3)</f>
        <v>Texas</v>
      </c>
      <c r="C257" t="s">
        <v>1509</v>
      </c>
      <c r="D257" t="str">
        <f>Table3[[#This Row],[COMPANYNO]]&amp;"/"&amp;Table3[[#This Row],[DIVISIONNO]]&amp;"-"&amp;Table3[[#This Row],[COMPANYNAME]]</f>
        <v>62/2-HCTRA 332 BELTWAY 8</v>
      </c>
      <c r="E257" s="23" t="s">
        <v>503</v>
      </c>
      <c r="F257" s="24">
        <v>62</v>
      </c>
      <c r="G257" s="24">
        <v>2</v>
      </c>
    </row>
    <row r="258" spans="1:7" x14ac:dyDescent="0.3">
      <c r="A258" t="str">
        <f>VLOOKUP(Table3[[#This Row],[COMPANYNO]],L:M,2)</f>
        <v>Pulice</v>
      </c>
      <c r="B258" t="str">
        <f>VLOOKUP(Table3[[#This Row],[COMPANYNO]],L:N,3)</f>
        <v>Texas</v>
      </c>
      <c r="C258" t="s">
        <v>1509</v>
      </c>
      <c r="D258" t="str">
        <f>Table3[[#This Row],[COMPANYNO]]&amp;"/"&amp;Table3[[#This Row],[DIVISIONNO]]&amp;"-"&amp;Table3[[#This Row],[COMPANYNAME]]</f>
        <v>62/3-HCTRA 333 BELTWAY 8</v>
      </c>
      <c r="E258" s="21" t="s">
        <v>505</v>
      </c>
      <c r="F258" s="22">
        <v>62</v>
      </c>
      <c r="G258" s="22">
        <v>3</v>
      </c>
    </row>
    <row r="259" spans="1:7" x14ac:dyDescent="0.3">
      <c r="A259" t="str">
        <f>VLOOKUP(Table3[[#This Row],[COMPANYNO]],L:M,2)</f>
        <v>Pulice</v>
      </c>
      <c r="B259" t="str">
        <f>VLOOKUP(Table3[[#This Row],[COMPANYNO]],L:N,3)</f>
        <v>Texas</v>
      </c>
      <c r="C259" t="s">
        <v>1509</v>
      </c>
      <c r="D259" t="str">
        <f>Table3[[#This Row],[COMPANYNO]]&amp;"/"&amp;Table3[[#This Row],[DIVISIONNO]]&amp;"-"&amp;Table3[[#This Row],[COMPANYNAME]]</f>
        <v>62/4-Pulice Concrete Plant</v>
      </c>
      <c r="E259" s="23" t="s">
        <v>513</v>
      </c>
      <c r="F259" s="24">
        <v>62</v>
      </c>
      <c r="G259" s="24">
        <v>4</v>
      </c>
    </row>
    <row r="260" spans="1:7" x14ac:dyDescent="0.3">
      <c r="A260" t="str">
        <f>VLOOKUP(Table3[[#This Row],[COMPANYNO]],L:M,2)</f>
        <v>Pulice</v>
      </c>
      <c r="B260" t="str">
        <f>VLOOKUP(Table3[[#This Row],[COMPANYNO]],L:N,3)</f>
        <v>Texas</v>
      </c>
      <c r="C260" t="s">
        <v>1509</v>
      </c>
      <c r="D260" t="str">
        <f>Table3[[#This Row],[COMPANYNO]]&amp;"/"&amp;Table3[[#This Row],[DIVISIONNO]]&amp;"-"&amp;Table3[[#This Row],[COMPANYNAME]]</f>
        <v>62/5-COP - Fite Road</v>
      </c>
      <c r="E260" s="21" t="s">
        <v>533</v>
      </c>
      <c r="F260" s="22">
        <v>62</v>
      </c>
      <c r="G260" s="22">
        <v>5</v>
      </c>
    </row>
    <row r="261" spans="1:7" x14ac:dyDescent="0.3">
      <c r="A261" t="str">
        <f>VLOOKUP(Table3[[#This Row],[COMPANYNO]],L:M,2)</f>
        <v>Pulice</v>
      </c>
      <c r="B261" t="str">
        <f>VLOOKUP(Table3[[#This Row],[COMPANYNO]],L:N,3)</f>
        <v>Texas</v>
      </c>
      <c r="C261" t="s">
        <v>1509</v>
      </c>
      <c r="D261" t="str">
        <f>Table3[[#This Row],[COMPANYNO]]&amp;"/"&amp;Table3[[#This Row],[DIVISIONNO]]&amp;"-"&amp;Table3[[#This Row],[COMPANYNAME]]</f>
        <v>62/6-Houston Hobby Airport</v>
      </c>
      <c r="E261" s="23" t="s">
        <v>532</v>
      </c>
      <c r="F261" s="24">
        <v>62</v>
      </c>
      <c r="G261" s="24">
        <v>6</v>
      </c>
    </row>
    <row r="262" spans="1:7" x14ac:dyDescent="0.3">
      <c r="A262" t="str">
        <f>VLOOKUP(Table3[[#This Row],[COMPANYNO]],L:M,2)</f>
        <v>Pulice</v>
      </c>
      <c r="B262" t="str">
        <f>VLOOKUP(Table3[[#This Row],[COMPANYNO]],L:N,3)</f>
        <v>Texas</v>
      </c>
      <c r="C262" t="s">
        <v>1509</v>
      </c>
      <c r="D262" t="str">
        <f>Table3[[#This Row],[COMPANYNO]]&amp;"/"&amp;Table3[[#This Row],[DIVISIONNO]]&amp;"-"&amp;Table3[[#This Row],[COMPANYNAME]]</f>
        <v>62/7-CTB Cement Paving 288</v>
      </c>
      <c r="E262" s="21" t="s">
        <v>534</v>
      </c>
      <c r="F262" s="22">
        <v>62</v>
      </c>
      <c r="G262" s="22">
        <v>7</v>
      </c>
    </row>
    <row r="263" spans="1:7" x14ac:dyDescent="0.3">
      <c r="A263" t="str">
        <f>VLOOKUP(Table3[[#This Row],[COMPANYNO]],L:M,2)</f>
        <v>Pulice</v>
      </c>
      <c r="B263" t="str">
        <f>VLOOKUP(Table3[[#This Row],[COMPANYNO]],L:N,3)</f>
        <v>Texas</v>
      </c>
      <c r="C263" t="s">
        <v>1509</v>
      </c>
      <c r="D263" t="str">
        <f>Table3[[#This Row],[COMPANYNO]]&amp;"/"&amp;Table3[[#This Row],[DIVISIONNO]]&amp;"-"&amp;Table3[[#This Row],[COMPANYNAME]]</f>
        <v>62/8-Brazoria Expwy 17-25</v>
      </c>
      <c r="E263" s="23" t="s">
        <v>556</v>
      </c>
      <c r="F263" s="24">
        <v>62</v>
      </c>
      <c r="G263" s="24">
        <v>8</v>
      </c>
    </row>
    <row r="264" spans="1:7" x14ac:dyDescent="0.3">
      <c r="A264" t="str">
        <f>VLOOKUP(Table3[[#This Row],[COMPANYNO]],L:M,2)</f>
        <v>Pulice</v>
      </c>
      <c r="B264" t="str">
        <f>VLOOKUP(Table3[[#This Row],[COMPANYNO]],L:N,3)</f>
        <v>Texas</v>
      </c>
      <c r="C264" t="s">
        <v>1509</v>
      </c>
      <c r="D264" t="str">
        <f>Table3[[#This Row],[COMPANYNO]]&amp;"/"&amp;Table3[[#This Row],[DIVISIONNO]]&amp;"-"&amp;Table3[[#This Row],[COMPANYNAME]]</f>
        <v>62/9-Scott Street MSE Wall</v>
      </c>
      <c r="E264" s="21" t="s">
        <v>584</v>
      </c>
      <c r="F264" s="22">
        <v>62</v>
      </c>
      <c r="G264" s="22">
        <v>9</v>
      </c>
    </row>
    <row r="265" spans="1:7" x14ac:dyDescent="0.3">
      <c r="A265" t="str">
        <f>VLOOKUP(Table3[[#This Row],[COMPANYNO]],L:M,2)</f>
        <v>Pulice</v>
      </c>
      <c r="B265" t="str">
        <f>VLOOKUP(Table3[[#This Row],[COMPANYNO]],L:N,3)</f>
        <v>Texas</v>
      </c>
      <c r="C265" t="s">
        <v>1509</v>
      </c>
      <c r="D265" t="str">
        <f>Table3[[#This Row],[COMPANYNO]]&amp;"/"&amp;Table3[[#This Row],[DIVISIONNO]]&amp;"-"&amp;Table3[[#This Row],[COMPANYNAME]]</f>
        <v>62/10-Fort Bend FM 521</v>
      </c>
      <c r="E265" s="23" t="s">
        <v>691</v>
      </c>
      <c r="F265" s="24">
        <v>62</v>
      </c>
      <c r="G265" s="24">
        <v>10</v>
      </c>
    </row>
    <row r="266" spans="1:7" x14ac:dyDescent="0.3">
      <c r="A266" t="str">
        <f>VLOOKUP(Table3[[#This Row],[COMPANYNO]],L:M,2)</f>
        <v>Pulice</v>
      </c>
      <c r="B266" t="str">
        <f>VLOOKUP(Table3[[#This Row],[COMPANYNO]],L:N,3)</f>
        <v>McNeil</v>
      </c>
      <c r="C266" t="s">
        <v>1509</v>
      </c>
      <c r="D266" t="str">
        <f>Table3[[#This Row],[COMPANYNO]]&amp;"/"&amp;Table3[[#This Row],[DIVISIONNO]]&amp;"-"&amp;Table3[[#This Row],[COMPANYNAME]]</f>
        <v>65/2-McNeil Pulice jobs</v>
      </c>
      <c r="E266" s="21" t="s">
        <v>405</v>
      </c>
      <c r="F266" s="22">
        <v>65</v>
      </c>
      <c r="G266" s="22">
        <v>2</v>
      </c>
    </row>
    <row r="267" spans="1:7" x14ac:dyDescent="0.3">
      <c r="A267" t="str">
        <f>VLOOKUP(Table3[[#This Row],[COMPANYNO]],L:M,2)</f>
        <v>Pulice</v>
      </c>
      <c r="B267" t="str">
        <f>VLOOKUP(Table3[[#This Row],[COMPANYNO]],L:N,3)</f>
        <v>McNeil</v>
      </c>
      <c r="C267" t="s">
        <v>1509</v>
      </c>
      <c r="D267" t="str">
        <f>Table3[[#This Row],[COMPANYNO]]&amp;"/"&amp;Table3[[#This Row],[DIVISIONNO]]&amp;"-"&amp;Table3[[#This Row],[COMPANYNAME]]</f>
        <v>65/3-McNeil Other Jobs</v>
      </c>
      <c r="E267" s="23" t="s">
        <v>406</v>
      </c>
      <c r="F267" s="24">
        <v>65</v>
      </c>
      <c r="G267" s="24">
        <v>3</v>
      </c>
    </row>
    <row r="268" spans="1:7" x14ac:dyDescent="0.3">
      <c r="A268" t="str">
        <f>VLOOKUP(Table3[[#This Row],[COMPANYNO]],L:M,2)</f>
        <v>Pulice</v>
      </c>
      <c r="B268" t="str">
        <f>VLOOKUP(Table3[[#This Row],[COMPANYNO]],L:N,3)</f>
        <v>McNeil</v>
      </c>
      <c r="C268" t="s">
        <v>1509</v>
      </c>
      <c r="D268" t="str">
        <f>Table3[[#This Row],[COMPANYNO]]&amp;"/"&amp;Table3[[#This Row],[DIVISIONNO]]&amp;"-"&amp;Table3[[#This Row],[COMPANYNAME]]</f>
        <v>65/4-Port Laredo</v>
      </c>
      <c r="E268" s="21" t="s">
        <v>683</v>
      </c>
      <c r="F268" s="22">
        <v>65</v>
      </c>
      <c r="G268" s="22">
        <v>4</v>
      </c>
    </row>
    <row r="269" spans="1:7" x14ac:dyDescent="0.3">
      <c r="A269" t="str">
        <f>VLOOKUP(Table3[[#This Row],[COMPANYNO]],L:M,2)</f>
        <v>Pulice</v>
      </c>
      <c r="B269" t="str">
        <f>VLOOKUP(Table3[[#This Row],[COMPANYNO]],L:N,3)</f>
        <v>McNeil</v>
      </c>
      <c r="C269" t="s">
        <v>1509</v>
      </c>
      <c r="D269" t="str">
        <f>Table3[[#This Row],[COMPANYNO]]&amp;"/"&amp;Table3[[#This Row],[DIVISIONNO]]&amp;"-"&amp;Table3[[#This Row],[COMPANYNAME]]</f>
        <v>65/5-SR 108 Granite</v>
      </c>
      <c r="E269" s="23" t="s">
        <v>684</v>
      </c>
      <c r="F269" s="24">
        <v>65</v>
      </c>
      <c r="G269" s="24">
        <v>5</v>
      </c>
    </row>
    <row r="270" spans="1:7" x14ac:dyDescent="0.3">
      <c r="A270" t="str">
        <f>VLOOKUP(Table3[[#This Row],[COMPANYNO]],L:M,2)</f>
        <v>Pulice</v>
      </c>
      <c r="B270" t="str">
        <f>VLOOKUP(Table3[[#This Row],[COMPANYNO]],L:N,3)</f>
        <v>McNeil</v>
      </c>
      <c r="C270" t="s">
        <v>1509</v>
      </c>
      <c r="D270" t="str">
        <f>Table3[[#This Row],[COMPANYNO]]&amp;"/"&amp;Table3[[#This Row],[DIVISIONNO]]&amp;"-"&amp;Table3[[#This Row],[COMPANYNAME]]</f>
        <v>65/6-SH288 Toll Lanes</v>
      </c>
      <c r="E270" s="21" t="s">
        <v>685</v>
      </c>
      <c r="F270" s="22">
        <v>65</v>
      </c>
      <c r="G270" s="22">
        <v>6</v>
      </c>
    </row>
    <row r="271" spans="1:7" x14ac:dyDescent="0.3">
      <c r="A271" t="str">
        <f>VLOOKUP(Table3[[#This Row],[COMPANYNO]],L:M,2)</f>
        <v>Pulice</v>
      </c>
      <c r="B271" t="str">
        <f>VLOOKUP(Table3[[#This Row],[COMPANYNO]],L:N,3)</f>
        <v>McNeil</v>
      </c>
      <c r="C271" t="s">
        <v>1509</v>
      </c>
      <c r="D271" t="str">
        <f>Table3[[#This Row],[COMPANYNO]]&amp;"/"&amp;Table3[[#This Row],[DIVISIONNO]]&amp;"-"&amp;Table3[[#This Row],[COMPANYNAME]]</f>
        <v>65/7-Brazoria Cty Expwy</v>
      </c>
      <c r="E271" s="23" t="s">
        <v>725</v>
      </c>
      <c r="F271" s="24">
        <v>65</v>
      </c>
      <c r="G271" s="24">
        <v>7</v>
      </c>
    </row>
    <row r="272" spans="1:7" x14ac:dyDescent="0.3">
      <c r="A272" t="str">
        <f>VLOOKUP(Table3[[#This Row],[COMPANYNO]],L:M,2)</f>
        <v>Pulice</v>
      </c>
      <c r="B272" t="str">
        <f>VLOOKUP(Table3[[#This Row],[COMPANYNO]],L:N,3)</f>
        <v>McNeil</v>
      </c>
      <c r="C272" t="s">
        <v>1509</v>
      </c>
      <c r="D272" t="str">
        <f>Table3[[#This Row],[COMPANYNO]]&amp;"/"&amp;Table3[[#This Row],[DIVISIONNO]]&amp;"-"&amp;Table3[[#This Row],[COMPANYNAME]]</f>
        <v>65/8-Northern Parkway</v>
      </c>
      <c r="E272" s="21" t="s">
        <v>781</v>
      </c>
      <c r="F272" s="22">
        <v>65</v>
      </c>
      <c r="G272" s="22">
        <v>8</v>
      </c>
    </row>
    <row r="273" spans="1:7" x14ac:dyDescent="0.3">
      <c r="A273" t="str">
        <f>VLOOKUP(Table3[[#This Row],[COMPANYNO]],L:M,2)</f>
        <v>Pulice</v>
      </c>
      <c r="B273" t="str">
        <f>VLOOKUP(Table3[[#This Row],[COMPANYNO]],L:N,3)</f>
        <v>Roadway</v>
      </c>
      <c r="C273" t="s">
        <v>1509</v>
      </c>
      <c r="D273" t="str">
        <f>Table3[[#This Row],[COMPANYNO]]&amp;"/"&amp;Table3[[#This Row],[DIVISIONNO]]&amp;"-"&amp;Table3[[#This Row],[COMPANYNAME]]</f>
        <v>68/2-Roadway Pulice Jobs</v>
      </c>
      <c r="E273" s="23" t="s">
        <v>407</v>
      </c>
      <c r="F273" s="24">
        <v>68</v>
      </c>
      <c r="G273" s="24">
        <v>2</v>
      </c>
    </row>
    <row r="274" spans="1:7" x14ac:dyDescent="0.3">
      <c r="A274" t="str">
        <f>VLOOKUP(Table3[[#This Row],[COMPANYNO]],L:M,2)</f>
        <v>Pulice</v>
      </c>
      <c r="B274" t="str">
        <f>VLOOKUP(Table3[[#This Row],[COMPANYNO]],L:N,3)</f>
        <v>Roadway</v>
      </c>
      <c r="C274" t="s">
        <v>1509</v>
      </c>
      <c r="D274" t="str">
        <f>Table3[[#This Row],[COMPANYNO]]&amp;"/"&amp;Table3[[#This Row],[DIVISIONNO]]&amp;"-"&amp;Table3[[#This Row],[COMPANYNAME]]</f>
        <v>68/3-Roadway Other Jobs</v>
      </c>
      <c r="E274" s="21" t="s">
        <v>408</v>
      </c>
      <c r="F274" s="22">
        <v>68</v>
      </c>
      <c r="G274" s="22">
        <v>3</v>
      </c>
    </row>
    <row r="275" spans="1:7" x14ac:dyDescent="0.3">
      <c r="A275" t="str">
        <f>VLOOKUP(Table3[[#This Row],[COMPANYNO]],L:M,2)</f>
        <v>Schiavone</v>
      </c>
      <c r="B275" t="str">
        <f>VLOOKUP(Table3[[#This Row],[COMPANYNO]],L:N,3)</f>
        <v>New Jersey</v>
      </c>
      <c r="C275" t="s">
        <v>1509</v>
      </c>
      <c r="D275" t="str">
        <f>Table3[[#This Row],[COMPANYNO]]&amp;"/"&amp;Table3[[#This Row],[DIVISIONNO]]&amp;"-"&amp;Table3[[#This Row],[COMPANYNAME]]</f>
        <v>80/2-High Bridge</v>
      </c>
      <c r="E275" s="23" t="s">
        <v>269</v>
      </c>
      <c r="F275" s="24">
        <v>80</v>
      </c>
      <c r="G275" s="24">
        <v>2</v>
      </c>
    </row>
    <row r="276" spans="1:7" x14ac:dyDescent="0.3">
      <c r="A276" t="str">
        <f>VLOOKUP(Table3[[#This Row],[COMPANYNO]],L:M,2)</f>
        <v>Schiavone</v>
      </c>
      <c r="B276" t="str">
        <f>VLOOKUP(Table3[[#This Row],[COMPANYNO]],L:N,3)</f>
        <v>New Jersey</v>
      </c>
      <c r="C276" t="s">
        <v>1509</v>
      </c>
      <c r="D276" t="str">
        <f>Table3[[#This Row],[COMPANYNO]]&amp;"/"&amp;Table3[[#This Row],[DIVISIONNO]]&amp;"-"&amp;Table3[[#This Row],[COMPANYNAME]]</f>
        <v>80/3-BT1 - Rondout Shafts</v>
      </c>
      <c r="E276" s="21" t="s">
        <v>271</v>
      </c>
      <c r="F276" s="22">
        <v>80</v>
      </c>
      <c r="G276" s="22">
        <v>3</v>
      </c>
    </row>
    <row r="277" spans="1:7" x14ac:dyDescent="0.3">
      <c r="A277" t="str">
        <f>VLOOKUP(Table3[[#This Row],[COMPANYNO]],L:M,2)</f>
        <v>Schiavone</v>
      </c>
      <c r="B277" t="str">
        <f>VLOOKUP(Table3[[#This Row],[COMPANYNO]],L:N,3)</f>
        <v>New Jersey</v>
      </c>
      <c r="C277" t="s">
        <v>1509</v>
      </c>
      <c r="D277" t="str">
        <f>Table3[[#This Row],[COMPANYNO]]&amp;"/"&amp;Table3[[#This Row],[DIVISIONNO]]&amp;"-"&amp;Table3[[#This Row],[COMPANYNAME]]</f>
        <v>80/4-* Emergency at QMT</v>
      </c>
      <c r="E277" s="23" t="s">
        <v>272</v>
      </c>
      <c r="F277" s="24">
        <v>80</v>
      </c>
      <c r="G277" s="24">
        <v>4</v>
      </c>
    </row>
    <row r="278" spans="1:7" x14ac:dyDescent="0.3">
      <c r="A278" t="str">
        <f>VLOOKUP(Table3[[#This Row],[COMPANYNO]],L:M,2)</f>
        <v>Schiavone</v>
      </c>
      <c r="B278" t="str">
        <f>VLOOKUP(Table3[[#This Row],[COMPANYNO]],L:N,3)</f>
        <v>New Jersey</v>
      </c>
      <c r="C278" t="s">
        <v>1509</v>
      </c>
      <c r="D278" t="str">
        <f>Table3[[#This Row],[COMPANYNO]]&amp;"/"&amp;Table3[[#This Row],[DIVISIONNO]]&amp;"-"&amp;Table3[[#This Row],[COMPANYNAME]]</f>
        <v>80/6-SCC - Lozano</v>
      </c>
      <c r="E278" s="21" t="s">
        <v>337</v>
      </c>
      <c r="F278" s="22">
        <v>80</v>
      </c>
      <c r="G278" s="22">
        <v>6</v>
      </c>
    </row>
    <row r="279" spans="1:7" x14ac:dyDescent="0.3">
      <c r="A279" t="str">
        <f>VLOOKUP(Table3[[#This Row],[COMPANYNO]],L:M,2)</f>
        <v>Schiavone</v>
      </c>
      <c r="B279" t="str">
        <f>VLOOKUP(Table3[[#This Row],[COMPANYNO]],L:N,3)</f>
        <v>New Jersey</v>
      </c>
      <c r="C279" t="s">
        <v>1509</v>
      </c>
      <c r="D279" t="str">
        <f>Table3[[#This Row],[COMPANYNO]]&amp;"/"&amp;Table3[[#This Row],[DIVISIONNO]]&amp;"-"&amp;Table3[[#This Row],[COMPANYNAME]]</f>
        <v>80/7-* Various Jobs - JPP</v>
      </c>
      <c r="E279" s="23" t="s">
        <v>313</v>
      </c>
      <c r="F279" s="24">
        <v>80</v>
      </c>
      <c r="G279" s="24">
        <v>7</v>
      </c>
    </row>
    <row r="280" spans="1:7" x14ac:dyDescent="0.3">
      <c r="A280" t="str">
        <f>VLOOKUP(Table3[[#This Row],[COMPANYNO]],L:M,2)</f>
        <v>Schiavone</v>
      </c>
      <c r="B280" t="str">
        <f>VLOOKUP(Table3[[#This Row],[COMPANYNO]],L:N,3)</f>
        <v>New Jersey</v>
      </c>
      <c r="C280" t="s">
        <v>1509</v>
      </c>
      <c r="D280" t="str">
        <f>Table3[[#This Row],[COMPANYNO]]&amp;"/"&amp;Table3[[#This Row],[DIVISIONNO]]&amp;"-"&amp;Table3[[#This Row],[COMPANYNAME]]</f>
        <v>80/8-Manahawkin #2</v>
      </c>
      <c r="E280" s="21" t="s">
        <v>341</v>
      </c>
      <c r="F280" s="22">
        <v>80</v>
      </c>
      <c r="G280" s="22">
        <v>8</v>
      </c>
    </row>
    <row r="281" spans="1:7" x14ac:dyDescent="0.3">
      <c r="A281" t="str">
        <f>VLOOKUP(Table3[[#This Row],[COMPANYNO]],L:M,2)</f>
        <v>Schiavone</v>
      </c>
      <c r="B281" t="str">
        <f>VLOOKUP(Table3[[#This Row],[COMPANYNO]],L:N,3)</f>
        <v>New Jersey</v>
      </c>
      <c r="C281" t="s">
        <v>1509</v>
      </c>
      <c r="D281" t="str">
        <f>Table3[[#This Row],[COMPANYNO]]&amp;"/"&amp;Table3[[#This Row],[DIVISIONNO]]&amp;"-"&amp;Table3[[#This Row],[COMPANYNAME]]</f>
        <v>80/9-Pulaski #2</v>
      </c>
      <c r="E281" s="23" t="s">
        <v>348</v>
      </c>
      <c r="F281" s="24">
        <v>80</v>
      </c>
      <c r="G281" s="24">
        <v>9</v>
      </c>
    </row>
    <row r="282" spans="1:7" x14ac:dyDescent="0.3">
      <c r="A282" t="str">
        <f>VLOOKUP(Table3[[#This Row],[COMPANYNO]],L:M,2)</f>
        <v>Schiavone</v>
      </c>
      <c r="B282" t="str">
        <f>VLOOKUP(Table3[[#This Row],[COMPANYNO]],L:N,3)</f>
        <v>New Jersey</v>
      </c>
      <c r="C282" t="s">
        <v>1509</v>
      </c>
      <c r="D282" t="str">
        <f>Table3[[#This Row],[COMPANYNO]]&amp;"/"&amp;Table3[[#This Row],[DIVISIONNO]]&amp;"-"&amp;Table3[[#This Row],[COMPANYNAME]]</f>
        <v>80/10-Mathis Bridge</v>
      </c>
      <c r="E282" s="21" t="s">
        <v>429</v>
      </c>
      <c r="F282" s="22">
        <v>80</v>
      </c>
      <c r="G282" s="22">
        <v>10</v>
      </c>
    </row>
    <row r="283" spans="1:7" x14ac:dyDescent="0.3">
      <c r="A283" t="str">
        <f>VLOOKUP(Table3[[#This Row],[COMPANYNO]],L:M,2)</f>
        <v>Schiavone</v>
      </c>
      <c r="B283" t="str">
        <f>VLOOKUP(Table3[[#This Row],[COMPANYNO]],L:N,3)</f>
        <v>New Jersey</v>
      </c>
      <c r="C283" t="s">
        <v>1509</v>
      </c>
      <c r="D283" t="str">
        <f>Table3[[#This Row],[COMPANYNO]]&amp;"/"&amp;Table3[[#This Row],[DIVISIONNO]]&amp;"-"&amp;Table3[[#This Row],[COMPANYNAME]]</f>
        <v>80/11-Manahawkin #3</v>
      </c>
      <c r="E283" s="23" t="s">
        <v>430</v>
      </c>
      <c r="F283" s="24">
        <v>80</v>
      </c>
      <c r="G283" s="24">
        <v>11</v>
      </c>
    </row>
    <row r="284" spans="1:7" x14ac:dyDescent="0.3">
      <c r="A284" t="str">
        <f>VLOOKUP(Table3[[#This Row],[COMPANYNO]],L:M,2)</f>
        <v>Schiavone</v>
      </c>
      <c r="B284" t="str">
        <f>VLOOKUP(Table3[[#This Row],[COMPANYNO]],L:N,3)</f>
        <v>New Jersey</v>
      </c>
      <c r="C284" t="s">
        <v>1509</v>
      </c>
      <c r="D284" t="str">
        <f>Table3[[#This Row],[COMPANYNO]]&amp;"/"&amp;Table3[[#This Row],[DIVISIONNO]]&amp;"-"&amp;Table3[[#This Row],[COMPANYNAME]]</f>
        <v>80/12-Throgs Neck Bridge</v>
      </c>
      <c r="E284" s="21" t="s">
        <v>501</v>
      </c>
      <c r="F284" s="22">
        <v>80</v>
      </c>
      <c r="G284" s="22">
        <v>12</v>
      </c>
    </row>
    <row r="285" spans="1:7" x14ac:dyDescent="0.3">
      <c r="A285" t="str">
        <f>VLOOKUP(Table3[[#This Row],[COMPANYNO]],L:M,2)</f>
        <v>Schiavone</v>
      </c>
      <c r="B285" t="str">
        <f>VLOOKUP(Table3[[#This Row],[COMPANYNO]],L:N,3)</f>
        <v>New Jersey</v>
      </c>
      <c r="C285" t="s">
        <v>1509</v>
      </c>
      <c r="D285" t="str">
        <f>Table3[[#This Row],[COMPANYNO]]&amp;"/"&amp;Table3[[#This Row],[DIVISIONNO]]&amp;"-"&amp;Table3[[#This Row],[COMPANYNAME]]</f>
        <v>80/13-C48702 Viaduct-Brdg Myrtle Ave</v>
      </c>
      <c r="E285" s="23" t="s">
        <v>263</v>
      </c>
      <c r="F285" s="24">
        <v>80</v>
      </c>
      <c r="G285" s="24">
        <v>13</v>
      </c>
    </row>
    <row r="286" spans="1:7" x14ac:dyDescent="0.3">
      <c r="A286" t="str">
        <f>VLOOKUP(Table3[[#This Row],[COMPANYNO]],L:M,2)</f>
        <v>Schiavone</v>
      </c>
      <c r="B286" t="str">
        <f>VLOOKUP(Table3[[#This Row],[COMPANYNO]],L:N,3)</f>
        <v>New Jersey</v>
      </c>
      <c r="C286" t="s">
        <v>1509</v>
      </c>
      <c r="D286" t="str">
        <f>Table3[[#This Row],[COMPANYNO]]&amp;"/"&amp;Table3[[#This Row],[DIVISIONNO]]&amp;"-"&amp;Table3[[#This Row],[COMPANYNAME]]</f>
        <v>80/14-Catskill Aqueduct Repair</v>
      </c>
      <c r="E286" s="21" t="s">
        <v>752</v>
      </c>
      <c r="F286" s="22">
        <v>80</v>
      </c>
      <c r="G286" s="22">
        <v>14</v>
      </c>
    </row>
    <row r="287" spans="1:7" x14ac:dyDescent="0.3">
      <c r="A287" t="str">
        <f>VLOOKUP(Table3[[#This Row],[COMPANYNO]],L:M,2)</f>
        <v>Schiavone</v>
      </c>
      <c r="B287" t="str">
        <f>VLOOKUP(Table3[[#This Row],[COMPANYNO]],L:N,3)</f>
        <v>New Jersey</v>
      </c>
      <c r="C287" t="s">
        <v>1509</v>
      </c>
      <c r="D287" t="str">
        <f>Table3[[#This Row],[COMPANYNO]]&amp;"/"&amp;Table3[[#This Row],[DIVISIONNO]]&amp;"-"&amp;Table3[[#This Row],[COMPANYNAME]]</f>
        <v>80/15-NJTA BRIDGE DECK RECONSTRUCTIO</v>
      </c>
      <c r="E287" s="23" t="s">
        <v>782</v>
      </c>
      <c r="F287" s="24">
        <v>80</v>
      </c>
      <c r="G287" s="24">
        <v>15</v>
      </c>
    </row>
    <row r="288" spans="1:7" x14ac:dyDescent="0.3">
      <c r="A288" t="str">
        <f>VLOOKUP(Table3[[#This Row],[COMPANYNO]],L:M,2)</f>
        <v>JF White</v>
      </c>
      <c r="B288" t="str">
        <f>VLOOKUP(Table3[[#This Row],[COMPANYNO]],L:N,3)</f>
        <v>Boston</v>
      </c>
      <c r="C288" t="s">
        <v>797</v>
      </c>
      <c r="D288" t="str">
        <f>Table3[[#This Row],[COMPANYNO]]&amp;"/"&amp;Table3[[#This Row],[DIVISIONNO]]&amp;"-"&amp;Table3[[#This Row],[COMPANYNAME]]</f>
        <v>45/901-JFW SOLAR LLC</v>
      </c>
      <c r="E288" s="23" t="s">
        <v>625</v>
      </c>
      <c r="F288" s="24">
        <v>45</v>
      </c>
      <c r="G288" s="24">
        <v>901</v>
      </c>
    </row>
    <row r="289" spans="1:7" x14ac:dyDescent="0.3">
      <c r="A289" t="str">
        <f>VLOOKUP(Table3[[#This Row],[COMPANYNO]],L:M,2)</f>
        <v>JF White</v>
      </c>
      <c r="B289" t="str">
        <f>VLOOKUP(Table3[[#This Row],[COMPANYNO]],L:N,3)</f>
        <v>Boston</v>
      </c>
      <c r="C289" t="s">
        <v>797</v>
      </c>
      <c r="D289" t="str">
        <f>Table3[[#This Row],[COMPANYNO]]&amp;"/"&amp;Table3[[#This Row],[DIVISIONNO]]&amp;"-"&amp;Table3[[#This Row],[COMPANYNAME]]</f>
        <v>45/902-JFW CCCORP</v>
      </c>
      <c r="E289" s="21" t="s">
        <v>632</v>
      </c>
      <c r="F289" s="22">
        <v>45</v>
      </c>
      <c r="G289" s="22">
        <v>902</v>
      </c>
    </row>
    <row r="290" spans="1:7" x14ac:dyDescent="0.3">
      <c r="A290" t="str">
        <f>VLOOKUP(Table3[[#This Row],[COMPANYNO]],L:M,2)</f>
        <v>Picone</v>
      </c>
      <c r="B290" t="str">
        <f>VLOOKUP(Table3[[#This Row],[COMPANYNO]],L:N,3)</f>
        <v>Long Island City</v>
      </c>
      <c r="C290" t="s">
        <v>797</v>
      </c>
      <c r="D290" t="str">
        <f>Table3[[#This Row],[COMPANYNO]]&amp;"/"&amp;Table3[[#This Row],[DIVISIONNO]]&amp;"-"&amp;Table3[[#This Row],[COMPANYNAME]]</f>
        <v>75/901-Sussex Realty, LLC</v>
      </c>
      <c r="E290" s="23" t="s">
        <v>244</v>
      </c>
      <c r="F290" s="24">
        <v>75</v>
      </c>
      <c r="G290" s="24">
        <v>901</v>
      </c>
    </row>
    <row r="291" spans="1:7" x14ac:dyDescent="0.3">
      <c r="A291" t="str">
        <f>VLOOKUP(Table3[[#This Row],[COMPANYNO]],L:M,2)</f>
        <v>Picone</v>
      </c>
      <c r="B291" t="str">
        <f>VLOOKUP(Table3[[#This Row],[COMPANYNO]],L:N,3)</f>
        <v>Long Island City</v>
      </c>
      <c r="C291" t="s">
        <v>797</v>
      </c>
      <c r="D291" t="str">
        <f>Table3[[#This Row],[COMPANYNO]]&amp;"/"&amp;Table3[[#This Row],[DIVISIONNO]]&amp;"-"&amp;Table3[[#This Row],[COMPANYNAME]]</f>
        <v>75/902-JPP Plumbing LLC</v>
      </c>
      <c r="E291" s="21" t="s">
        <v>245</v>
      </c>
      <c r="F291" s="22">
        <v>75</v>
      </c>
      <c r="G291" s="22">
        <v>902</v>
      </c>
    </row>
    <row r="292" spans="1:7" x14ac:dyDescent="0.3">
      <c r="A292" t="str">
        <f>VLOOKUP(Table3[[#This Row],[COMPANYNO]],L:M,2)</f>
        <v>Dragados Canada</v>
      </c>
      <c r="B292" t="str">
        <f>VLOOKUP(Table3[[#This Row],[COMPANYNO]],L:N,3)</f>
        <v>East Canada</v>
      </c>
      <c r="C292" t="s">
        <v>1508</v>
      </c>
      <c r="D292" t="str">
        <f>Table3[[#This Row],[COMPANYNO]]&amp;"/"&amp;Table3[[#This Row],[DIVISIONNO]]&amp;"-"&amp;Table3[[#This Row],[COMPANYNAME]]</f>
        <v>9/706-Ottawa Comb Sewage Tnl - JV</v>
      </c>
      <c r="E292" s="21" t="s">
        <v>517</v>
      </c>
      <c r="F292" s="22">
        <v>9</v>
      </c>
      <c r="G292" s="22">
        <v>706</v>
      </c>
    </row>
    <row r="293" spans="1:7" x14ac:dyDescent="0.3">
      <c r="A293" t="str">
        <f>VLOOKUP(Table3[[#This Row],[COMPANYNO]],L:M,2)</f>
        <v>Dragados Canada</v>
      </c>
      <c r="B293" t="str">
        <f>VLOOKUP(Table3[[#This Row],[COMPANYNO]],L:N,3)</f>
        <v>East Canada</v>
      </c>
      <c r="C293" t="s">
        <v>1508</v>
      </c>
      <c r="D293" t="str">
        <f>Table3[[#This Row],[COMPANYNO]]&amp;"/"&amp;Table3[[#This Row],[DIVISIONNO]]&amp;"-"&amp;Table3[[#This Row],[COMPANYNAME]]</f>
        <v>9/707-Link 427 CJV</v>
      </c>
      <c r="E293" s="23" t="s">
        <v>543</v>
      </c>
      <c r="F293" s="24">
        <v>9</v>
      </c>
      <c r="G293" s="24">
        <v>707</v>
      </c>
    </row>
    <row r="294" spans="1:7" x14ac:dyDescent="0.3">
      <c r="A294" t="str">
        <f>VLOOKUP(Table3[[#This Row],[COMPANYNO]],L:M,2)</f>
        <v>Dragados Canada</v>
      </c>
      <c r="B294" t="str">
        <f>VLOOKUP(Table3[[#This Row],[COMPANYNO]],L:N,3)</f>
        <v>East Canada</v>
      </c>
      <c r="C294" t="s">
        <v>1508</v>
      </c>
      <c r="D294" t="str">
        <f>Table3[[#This Row],[COMPANYNO]]&amp;"/"&amp;Table3[[#This Row],[DIVISIONNO]]&amp;"-"&amp;Table3[[#This Row],[COMPANYNAME]]</f>
        <v>9/710-White Rose JV</v>
      </c>
      <c r="E294" s="21" t="s">
        <v>681</v>
      </c>
      <c r="F294" s="22">
        <v>9</v>
      </c>
      <c r="G294" s="22">
        <v>710</v>
      </c>
    </row>
    <row r="295" spans="1:7" x14ac:dyDescent="0.3">
      <c r="A295" t="str">
        <f>VLOOKUP(Table3[[#This Row],[COMPANYNO]],L:M,2)</f>
        <v>Dragados Canada</v>
      </c>
      <c r="B295" t="str">
        <f>VLOOKUP(Table3[[#This Row],[COMPANYNO]],L:N,3)</f>
        <v>East Canada</v>
      </c>
      <c r="C295" t="s">
        <v>1508</v>
      </c>
      <c r="D295" t="str">
        <f>Table3[[#This Row],[COMPANYNO]]&amp;"/"&amp;Table3[[#This Row],[DIVISIONNO]]&amp;"-"&amp;Table3[[#This Row],[COMPANYNAME]]</f>
        <v>9/712-FINCH LRT JV</v>
      </c>
      <c r="E295" s="23" t="s">
        <v>726</v>
      </c>
      <c r="F295" s="24">
        <v>9</v>
      </c>
      <c r="G295" s="24">
        <v>712</v>
      </c>
    </row>
    <row r="296" spans="1:7" x14ac:dyDescent="0.3">
      <c r="A296" t="str">
        <f>VLOOKUP(Table3[[#This Row],[COMPANYNO]],L:M,2)</f>
        <v>Dragados Canada</v>
      </c>
      <c r="B296" t="str">
        <f>VLOOKUP(Table3[[#This Row],[COMPANYNO]],L:N,3)</f>
        <v>East Canada</v>
      </c>
      <c r="C296" t="s">
        <v>1508</v>
      </c>
      <c r="D296" t="str">
        <f>Table3[[#This Row],[COMPANYNO]]&amp;"/"&amp;Table3[[#This Row],[DIVISIONNO]]&amp;"-"&amp;Table3[[#This Row],[COMPANYNAME]]</f>
        <v>9/713-Gordie Howe Bridge</v>
      </c>
      <c r="E296" s="21" t="s">
        <v>760</v>
      </c>
      <c r="F296" s="22">
        <v>9</v>
      </c>
      <c r="G296" s="22">
        <v>713</v>
      </c>
    </row>
    <row r="297" spans="1:7" x14ac:dyDescent="0.3">
      <c r="A297" t="str">
        <f>VLOOKUP(Table3[[#This Row],[COMPANYNO]],L:M,2)</f>
        <v>Dragados Canada</v>
      </c>
      <c r="B297" t="str">
        <f>VLOOKUP(Table3[[#This Row],[COMPANYNO]],L:N,3)</f>
        <v>West canada</v>
      </c>
      <c r="C297" t="s">
        <v>1508</v>
      </c>
      <c r="D297" t="str">
        <f>Table3[[#This Row],[COMPANYNO]]&amp;"/"&amp;Table3[[#This Row],[DIVISIONNO]]&amp;"-"&amp;Table3[[#This Row],[COMPANYNAME]]</f>
        <v>10/704-DTRRIP Joint Venture</v>
      </c>
      <c r="E297" s="21" t="s">
        <v>267</v>
      </c>
      <c r="F297" s="22">
        <v>10</v>
      </c>
      <c r="G297" s="22">
        <v>704</v>
      </c>
    </row>
    <row r="298" spans="1:7" x14ac:dyDescent="0.3">
      <c r="A298" t="str">
        <f>VLOOKUP(Table3[[#This Row],[COMPANYNO]],L:M,2)</f>
        <v>Dragados Canada</v>
      </c>
      <c r="B298" t="str">
        <f>VLOOKUP(Table3[[#This Row],[COMPANYNO]],L:N,3)</f>
        <v>West canada</v>
      </c>
      <c r="C298" t="s">
        <v>1508</v>
      </c>
      <c r="D298" t="str">
        <f>Table3[[#This Row],[COMPANYNO]]&amp;"/"&amp;Table3[[#This Row],[DIVISIONNO]]&amp;"-"&amp;Table3[[#This Row],[COMPANYNAME]]</f>
        <v>10/706-Centerm Expansion Project JV</v>
      </c>
      <c r="E298" s="23" t="s">
        <v>779</v>
      </c>
      <c r="F298" s="24">
        <v>10</v>
      </c>
      <c r="G298" s="24">
        <v>706</v>
      </c>
    </row>
    <row r="299" spans="1:7" x14ac:dyDescent="0.3">
      <c r="A299" t="str">
        <f>VLOOKUP(Table3[[#This Row],[COMPANYNO]],L:M,2)</f>
        <v>Dragados USA</v>
      </c>
      <c r="B299" t="str">
        <f>VLOOKUP(Table3[[#This Row],[COMPANYNO]],L:N,3)</f>
        <v>Florida</v>
      </c>
      <c r="C299" t="s">
        <v>1508</v>
      </c>
      <c r="D299" t="str">
        <f>Table3[[#This Row],[COMPANYNO]]&amp;"/"&amp;Table3[[#This Row],[DIVISIONNO]]&amp;"-"&amp;Table3[[#This Row],[COMPANYNAME]]</f>
        <v>2/702-Savannah Mobility Contractors</v>
      </c>
      <c r="E299" s="21" t="s">
        <v>763</v>
      </c>
      <c r="F299" s="22">
        <v>2</v>
      </c>
      <c r="G299" s="22">
        <v>702</v>
      </c>
    </row>
    <row r="300" spans="1:7" x14ac:dyDescent="0.3">
      <c r="A300" t="str">
        <f>VLOOKUP(Table3[[#This Row],[COMPANYNO]],L:M,2)</f>
        <v>Dragados USA</v>
      </c>
      <c r="B300" t="str">
        <f>VLOOKUP(Table3[[#This Row],[COMPANYNO]],L:N,3)</f>
        <v>North Pacific</v>
      </c>
      <c r="C300" t="s">
        <v>1508</v>
      </c>
      <c r="D300" t="str">
        <f>Table3[[#This Row],[COMPANYNO]]&amp;"/"&amp;Table3[[#This Row],[DIVISIONNO]]&amp;"-"&amp;Table3[[#This Row],[COMPANYNAME]]</f>
        <v>5/701-SEATTLE TUNNEL PARTNERS A JV</v>
      </c>
      <c r="E300" s="21" t="s">
        <v>151</v>
      </c>
      <c r="F300" s="22">
        <v>5</v>
      </c>
      <c r="G300" s="22">
        <v>701</v>
      </c>
    </row>
    <row r="301" spans="1:7" x14ac:dyDescent="0.3">
      <c r="A301" t="str">
        <f>VLOOKUP(Table3[[#This Row],[COMPANYNO]],L:M,2)</f>
        <v>Dragados USA</v>
      </c>
      <c r="B301" t="str">
        <f>VLOOKUP(Table3[[#This Row],[COMPANYNO]],L:N,3)</f>
        <v>California</v>
      </c>
      <c r="C301" t="s">
        <v>1508</v>
      </c>
      <c r="D301" t="str">
        <f>Table3[[#This Row],[COMPANYNO]]&amp;"/"&amp;Table3[[#This Row],[DIVISIONNO]]&amp;"-"&amp;Table3[[#This Row],[COMPANYNAME]]</f>
        <v>6/701-Dragados USA/Flatiron/Sukut JV</v>
      </c>
      <c r="E301" s="21" t="s">
        <v>166</v>
      </c>
      <c r="F301" s="22">
        <v>6</v>
      </c>
      <c r="G301" s="22">
        <v>701</v>
      </c>
    </row>
    <row r="302" spans="1:7" x14ac:dyDescent="0.3">
      <c r="A302" t="str">
        <f>VLOOKUP(Table3[[#This Row],[COMPANYNO]],L:M,2)</f>
        <v>Dragados USA</v>
      </c>
      <c r="B302" t="str">
        <f>VLOOKUP(Table3[[#This Row],[COMPANYNO]],L:N,3)</f>
        <v>Mid Atlantic</v>
      </c>
      <c r="C302" t="s">
        <v>1508</v>
      </c>
      <c r="D302" t="str">
        <f>Table3[[#This Row],[COMPANYNO]]&amp;"/"&amp;Table3[[#This Row],[DIVISIONNO]]&amp;"-"&amp;Table3[[#This Row],[COMPANYNAME]]</f>
        <v>8/701-Portsmouth JV</v>
      </c>
      <c r="E302" s="23" t="s">
        <v>461</v>
      </c>
      <c r="F302" s="24">
        <v>8</v>
      </c>
      <c r="G302" s="24">
        <v>701</v>
      </c>
    </row>
    <row r="303" spans="1:7" x14ac:dyDescent="0.3">
      <c r="A303" t="str">
        <f>VLOOKUP(Table3[[#This Row],[COMPANYNO]],L:M,2)</f>
        <v>Dragados USA</v>
      </c>
      <c r="B303" t="str">
        <f>VLOOKUP(Table3[[#This Row],[COMPANYNO]],L:N,3)</f>
        <v>Mid Atlantic</v>
      </c>
      <c r="C303" t="s">
        <v>1508</v>
      </c>
      <c r="D303" t="str">
        <f>Table3[[#This Row],[COMPANYNO]]&amp;"/"&amp;Table3[[#This Row],[DIVISIONNO]]&amp;"-"&amp;Table3[[#This Row],[COMPANYNAME]]</f>
        <v>8/702-Chesapeake Joint Venture</v>
      </c>
      <c r="E303" s="21" t="s">
        <v>523</v>
      </c>
      <c r="F303" s="22">
        <v>8</v>
      </c>
      <c r="G303" s="22">
        <v>702</v>
      </c>
    </row>
    <row r="304" spans="1:7" x14ac:dyDescent="0.3">
      <c r="A304" t="str">
        <f>VLOOKUP(Table3[[#This Row],[COMPANYNO]],L:M,2)</f>
        <v>Dragados USA</v>
      </c>
      <c r="B304" t="str">
        <f>VLOOKUP(Table3[[#This Row],[COMPANYNO]],L:N,3)</f>
        <v>South California</v>
      </c>
      <c r="C304" t="s">
        <v>1508</v>
      </c>
      <c r="D304" t="str">
        <f>Table3[[#This Row],[COMPANYNO]]&amp;"/"&amp;Table3[[#This Row],[DIVISIONNO]]&amp;"-"&amp;Table3[[#This Row],[COMPANYNAME]]</f>
        <v>20/701-SH 288 JV</v>
      </c>
      <c r="E304" s="23" t="s">
        <v>476</v>
      </c>
      <c r="F304" s="24">
        <v>20</v>
      </c>
      <c r="G304" s="24">
        <v>701</v>
      </c>
    </row>
    <row r="305" spans="1:7" x14ac:dyDescent="0.3">
      <c r="A305" t="str">
        <f>VLOOKUP(Table3[[#This Row],[COMPANYNO]],L:M,2)</f>
        <v>Dragados USA</v>
      </c>
      <c r="B305" t="str">
        <f>VLOOKUP(Table3[[#This Row],[COMPANYNO]],L:N,3)</f>
        <v>South California</v>
      </c>
      <c r="C305" t="s">
        <v>1508</v>
      </c>
      <c r="D305" t="str">
        <f>Table3[[#This Row],[COMPANYNO]]&amp;"/"&amp;Table3[[#This Row],[DIVISIONNO]]&amp;"-"&amp;Table3[[#This Row],[COMPANYNAME]]</f>
        <v>20/702-FLATIRON DRAGADOS LLC.</v>
      </c>
      <c r="E305" s="21" t="s">
        <v>479</v>
      </c>
      <c r="F305" s="22">
        <v>20</v>
      </c>
      <c r="G305" s="22">
        <v>702</v>
      </c>
    </row>
    <row r="306" spans="1:7" x14ac:dyDescent="0.3">
      <c r="A306" t="str">
        <f>VLOOKUP(Table3[[#This Row],[COMPANYNO]],L:M,2)</f>
        <v>Dragados USA</v>
      </c>
      <c r="B306" t="str">
        <f>VLOOKUP(Table3[[#This Row],[COMPANYNO]],L:N,3)</f>
        <v>Texas</v>
      </c>
      <c r="C306" t="s">
        <v>1508</v>
      </c>
      <c r="D306" t="str">
        <f>Table3[[#This Row],[COMPANYNO]]&amp;"/"&amp;Table3[[#This Row],[DIVISIONNO]]&amp;"-"&amp;Table3[[#This Row],[COMPANYNAME]]</f>
        <v>22/701-HSR JV 2-3</v>
      </c>
      <c r="E306" s="23" t="s">
        <v>473</v>
      </c>
      <c r="F306" s="24">
        <v>22</v>
      </c>
      <c r="G306" s="24">
        <v>701</v>
      </c>
    </row>
    <row r="307" spans="1:7" x14ac:dyDescent="0.3">
      <c r="A307" t="str">
        <f>VLOOKUP(Table3[[#This Row],[COMPANYNO]],L:M,2)</f>
        <v>JF White</v>
      </c>
      <c r="B307" t="str">
        <f>VLOOKUP(Table3[[#This Row],[COMPANYNO]],L:N,3)</f>
        <v>Boston</v>
      </c>
      <c r="C307" t="s">
        <v>1508</v>
      </c>
      <c r="D307" t="str">
        <f>Table3[[#This Row],[COMPANYNO]]&amp;"/"&amp;Table3[[#This Row],[DIVISIONNO]]&amp;"-"&amp;Table3[[#This Row],[COMPANYNAME]]</f>
        <v>45/701-Fore River Bridge Rplcmnt JV</v>
      </c>
      <c r="E307" s="23" t="s">
        <v>634</v>
      </c>
      <c r="F307" s="24">
        <v>45</v>
      </c>
      <c r="G307" s="24">
        <v>701</v>
      </c>
    </row>
    <row r="308" spans="1:7" x14ac:dyDescent="0.3">
      <c r="A308" t="str">
        <f>VLOOKUP(Table3[[#This Row],[COMPANYNO]],L:M,2)</f>
        <v>JF White</v>
      </c>
      <c r="B308" t="str">
        <f>VLOOKUP(Table3[[#This Row],[COMPANYNO]],L:N,3)</f>
        <v>Boston</v>
      </c>
      <c r="C308" t="s">
        <v>1508</v>
      </c>
      <c r="D308" t="str">
        <f>Table3[[#This Row],[COMPANYNO]]&amp;"/"&amp;Table3[[#This Row],[DIVISIONNO]]&amp;"-"&amp;Table3[[#This Row],[COMPANYNAME]]</f>
        <v>45/702-Longfellow Bridge Rplcment JV</v>
      </c>
      <c r="E308" s="21" t="s">
        <v>635</v>
      </c>
      <c r="F308" s="22">
        <v>45</v>
      </c>
      <c r="G308" s="22">
        <v>702</v>
      </c>
    </row>
    <row r="309" spans="1:7" x14ac:dyDescent="0.3">
      <c r="A309" t="str">
        <f>VLOOKUP(Table3[[#This Row],[COMPANYNO]],L:M,2)</f>
        <v>JF White</v>
      </c>
      <c r="B309" t="str">
        <f>VLOOKUP(Table3[[#This Row],[COMPANYNO]],L:N,3)</f>
        <v>Boston</v>
      </c>
      <c r="C309" t="s">
        <v>1508</v>
      </c>
      <c r="D309" t="str">
        <f>Table3[[#This Row],[COMPANYNO]]&amp;"/"&amp;Table3[[#This Row],[DIVISIONNO]]&amp;"-"&amp;Table3[[#This Row],[COMPANYNAME]]</f>
        <v>45/703-Fitchburg Commuter Rail JV</v>
      </c>
      <c r="E309" s="23" t="s">
        <v>636</v>
      </c>
      <c r="F309" s="24">
        <v>45</v>
      </c>
      <c r="G309" s="24">
        <v>703</v>
      </c>
    </row>
    <row r="310" spans="1:7" x14ac:dyDescent="0.3">
      <c r="A310" t="str">
        <f>VLOOKUP(Table3[[#This Row],[COMPANYNO]],L:M,2)</f>
        <v>JF White</v>
      </c>
      <c r="B310" t="str">
        <f>VLOOKUP(Table3[[#This Row],[COMPANYNO]],L:N,3)</f>
        <v>Boston</v>
      </c>
      <c r="C310" t="s">
        <v>1508</v>
      </c>
      <c r="D310" t="str">
        <f>Table3[[#This Row],[COMPANYNO]]&amp;"/"&amp;Table3[[#This Row],[DIVISIONNO]]&amp;"-"&amp;Table3[[#This Row],[COMPANYNAME]]</f>
        <v>45/704-Springfield I91 Viaduct JV</v>
      </c>
      <c r="E310" s="21" t="s">
        <v>637</v>
      </c>
      <c r="F310" s="22">
        <v>45</v>
      </c>
      <c r="G310" s="22">
        <v>704</v>
      </c>
    </row>
    <row r="311" spans="1:7" x14ac:dyDescent="0.3">
      <c r="A311" t="str">
        <f>VLOOKUP(Table3[[#This Row],[COMPANYNO]],L:M,2)</f>
        <v>JF White</v>
      </c>
      <c r="B311" t="str">
        <f>VLOOKUP(Table3[[#This Row],[COMPANYNO]],L:N,3)</f>
        <v>Boston</v>
      </c>
      <c r="C311" t="s">
        <v>1508</v>
      </c>
      <c r="D311" t="str">
        <f>Table3[[#This Row],[COMPANYNO]]&amp;"/"&amp;Table3[[#This Row],[DIVISIONNO]]&amp;"-"&amp;Table3[[#This Row],[COMPANYNAME]]</f>
        <v>45/705-Green Line Extension JV</v>
      </c>
      <c r="E311" s="23" t="s">
        <v>638</v>
      </c>
      <c r="F311" s="24">
        <v>45</v>
      </c>
      <c r="G311" s="24">
        <v>705</v>
      </c>
    </row>
    <row r="312" spans="1:7" x14ac:dyDescent="0.3">
      <c r="A312" t="str">
        <f>VLOOKUP(Table3[[#This Row],[COMPANYNO]],L:M,2)</f>
        <v>JF White</v>
      </c>
      <c r="B312" t="str">
        <f>VLOOKUP(Table3[[#This Row],[COMPANYNO]],L:N,3)</f>
        <v>Boston</v>
      </c>
      <c r="C312" t="s">
        <v>1508</v>
      </c>
      <c r="D312" t="str">
        <f>Table3[[#This Row],[COMPANYNO]]&amp;"/"&amp;Table3[[#This Row],[DIVISIONNO]]&amp;"-"&amp;Table3[[#This Row],[COMPANYNAME]]</f>
        <v>45/706-GLX IGMP #1 JV</v>
      </c>
      <c r="E312" s="21" t="s">
        <v>639</v>
      </c>
      <c r="F312" s="22">
        <v>45</v>
      </c>
      <c r="G312" s="22">
        <v>706</v>
      </c>
    </row>
    <row r="313" spans="1:7" x14ac:dyDescent="0.3">
      <c r="A313" t="str">
        <f>VLOOKUP(Table3[[#This Row],[COMPANYNO]],L:M,2)</f>
        <v>JF White</v>
      </c>
      <c r="B313" t="str">
        <f>VLOOKUP(Table3[[#This Row],[COMPANYNO]],L:N,3)</f>
        <v>Boston</v>
      </c>
      <c r="C313" t="s">
        <v>1508</v>
      </c>
      <c r="D313" t="str">
        <f>Table3[[#This Row],[COMPANYNO]]&amp;"/"&amp;Table3[[#This Row],[DIVISIONNO]]&amp;"-"&amp;Table3[[#This Row],[COMPANYNAME]]</f>
        <v>45/707-GLX IGMP #2 JV</v>
      </c>
      <c r="E313" s="23" t="s">
        <v>640</v>
      </c>
      <c r="F313" s="24">
        <v>45</v>
      </c>
      <c r="G313" s="24">
        <v>707</v>
      </c>
    </row>
    <row r="314" spans="1:7" x14ac:dyDescent="0.3">
      <c r="A314" t="str">
        <f>VLOOKUP(Table3[[#This Row],[COMPANYNO]],L:M,2)</f>
        <v>JF White</v>
      </c>
      <c r="B314" t="str">
        <f>VLOOKUP(Table3[[#This Row],[COMPANYNO]],L:N,3)</f>
        <v>Boston</v>
      </c>
      <c r="C314" t="s">
        <v>1508</v>
      </c>
      <c r="D314" t="str">
        <f>Table3[[#This Row],[COMPANYNO]]&amp;"/"&amp;Table3[[#This Row],[DIVISIONNO]]&amp;"-"&amp;Table3[[#This Row],[COMPANYNAME]]</f>
        <v>45/708-GLX IGMP #3 JV</v>
      </c>
      <c r="E314" s="21" t="s">
        <v>641</v>
      </c>
      <c r="F314" s="22">
        <v>45</v>
      </c>
      <c r="G314" s="22">
        <v>708</v>
      </c>
    </row>
    <row r="315" spans="1:7" x14ac:dyDescent="0.3">
      <c r="A315" t="str">
        <f>VLOOKUP(Table3[[#This Row],[COMPANYNO]],L:M,2)</f>
        <v>JF White</v>
      </c>
      <c r="B315" t="str">
        <f>VLOOKUP(Table3[[#This Row],[COMPANYNO]],L:N,3)</f>
        <v>Boston</v>
      </c>
      <c r="C315" t="s">
        <v>1508</v>
      </c>
      <c r="D315" t="str">
        <f>Table3[[#This Row],[COMPANYNO]]&amp;"/"&amp;Table3[[#This Row],[DIVISIONNO]]&amp;"-"&amp;Table3[[#This Row],[COMPANYNAME]]</f>
        <v>45/709-GLX GMP #4A JV</v>
      </c>
      <c r="E315" s="23" t="s">
        <v>642</v>
      </c>
      <c r="F315" s="24">
        <v>45</v>
      </c>
      <c r="G315" s="24">
        <v>709</v>
      </c>
    </row>
    <row r="316" spans="1:7" x14ac:dyDescent="0.3">
      <c r="A316" t="str">
        <f>VLOOKUP(Table3[[#This Row],[COMPANYNO]],L:M,2)</f>
        <v>JF White</v>
      </c>
      <c r="B316" t="str">
        <f>VLOOKUP(Table3[[#This Row],[COMPANYNO]],L:N,3)</f>
        <v>Boston</v>
      </c>
      <c r="C316" t="s">
        <v>1508</v>
      </c>
      <c r="D316" t="str">
        <f>Table3[[#This Row],[COMPANYNO]]&amp;"/"&amp;Table3[[#This Row],[DIVISIONNO]]&amp;"-"&amp;Table3[[#This Row],[COMPANYNAME]]</f>
        <v>45/710-I93 Medford Superstructures JV</v>
      </c>
      <c r="E316" s="21" t="s">
        <v>661</v>
      </c>
      <c r="F316" s="22">
        <v>45</v>
      </c>
      <c r="G316" s="22">
        <v>710</v>
      </c>
    </row>
    <row r="317" spans="1:7" x14ac:dyDescent="0.3">
      <c r="A317" t="str">
        <f>VLOOKUP(Table3[[#This Row],[COMPANYNO]],L:M,2)</f>
        <v>JF White</v>
      </c>
      <c r="B317" t="str">
        <f>VLOOKUP(Table3[[#This Row],[COMPANYNO]],L:N,3)</f>
        <v>Boston</v>
      </c>
      <c r="C317" t="s">
        <v>1508</v>
      </c>
      <c r="D317" t="str">
        <f>Table3[[#This Row],[COMPANYNO]]&amp;"/"&amp;Table3[[#This Row],[DIVISIONNO]]&amp;"-"&amp;Table3[[#This Row],[COMPANYNAME]]</f>
        <v>45/712-TBD</v>
      </c>
      <c r="E317" s="23" t="s">
        <v>664</v>
      </c>
      <c r="F317" s="24">
        <v>45</v>
      </c>
      <c r="G317" s="24">
        <v>712</v>
      </c>
    </row>
    <row r="318" spans="1:7" x14ac:dyDescent="0.3">
      <c r="A318" t="str">
        <f>VLOOKUP(Table3[[#This Row],[COMPANYNO]],L:M,2)</f>
        <v>JF White</v>
      </c>
      <c r="B318" t="str">
        <f>VLOOKUP(Table3[[#This Row],[COMPANYNO]],L:N,3)</f>
        <v>Boston</v>
      </c>
      <c r="C318" t="s">
        <v>1508</v>
      </c>
      <c r="D318" t="str">
        <f>Table3[[#This Row],[COMPANYNO]]&amp;"/"&amp;Table3[[#This Row],[DIVISIONNO]]&amp;"-"&amp;Table3[[#This Row],[COMPANYNAME]]</f>
        <v>45/750-GLX G&amp;A</v>
      </c>
      <c r="E318" s="21" t="s">
        <v>670</v>
      </c>
      <c r="F318" s="22">
        <v>45</v>
      </c>
      <c r="G318" s="22">
        <v>750</v>
      </c>
    </row>
    <row r="319" spans="1:7" x14ac:dyDescent="0.3">
      <c r="A319" t="str">
        <f>VLOOKUP(Table3[[#This Row],[COMPANYNO]],L:M,2)</f>
        <v>Picone</v>
      </c>
      <c r="B319" t="str">
        <f>VLOOKUP(Table3[[#This Row],[COMPANYNO]],L:N,3)</f>
        <v>Long Island City</v>
      </c>
      <c r="C319" t="s">
        <v>1508</v>
      </c>
      <c r="D319" t="str">
        <f>Table3[[#This Row],[COMPANYNO]]&amp;"/"&amp;Table3[[#This Row],[DIVISIONNO]]&amp;"-"&amp;Table3[[#This Row],[COMPANYNAME]]</f>
        <v>75/701-CROTON WT 312OSG JV</v>
      </c>
      <c r="E319" s="23" t="s">
        <v>211</v>
      </c>
      <c r="F319" s="24">
        <v>75</v>
      </c>
      <c r="G319" s="24">
        <v>701</v>
      </c>
    </row>
    <row r="320" spans="1:7" x14ac:dyDescent="0.3">
      <c r="A320" t="str">
        <f>VLOOKUP(Table3[[#This Row],[COMPANYNO]],L:M,2)</f>
        <v>Picone</v>
      </c>
      <c r="B320" t="str">
        <f>VLOOKUP(Table3[[#This Row],[COMPANYNO]],L:N,3)</f>
        <v>Long Island City</v>
      </c>
      <c r="C320" t="s">
        <v>1508</v>
      </c>
      <c r="D320" t="str">
        <f>Table3[[#This Row],[COMPANYNO]]&amp;"/"&amp;Table3[[#This Row],[DIVISIONNO]]&amp;"-"&amp;Table3[[#This Row],[COMPANYNAME]]</f>
        <v>75/702-CROTON WT CRO312P JV</v>
      </c>
      <c r="E320" s="21" t="s">
        <v>212</v>
      </c>
      <c r="F320" s="22">
        <v>75</v>
      </c>
      <c r="G320" s="22">
        <v>702</v>
      </c>
    </row>
    <row r="321" spans="1:7" x14ac:dyDescent="0.3">
      <c r="A321" t="str">
        <f>VLOOKUP(Table3[[#This Row],[COMPANYNO]],L:M,2)</f>
        <v>Picone</v>
      </c>
      <c r="B321" t="str">
        <f>VLOOKUP(Table3[[#This Row],[COMPANYNO]],L:N,3)</f>
        <v>Long Island City</v>
      </c>
      <c r="C321" t="s">
        <v>1508</v>
      </c>
      <c r="D321" t="str">
        <f>Table3[[#This Row],[COMPANYNO]]&amp;"/"&amp;Table3[[#This Row],[DIVISIONNO]]&amp;"-"&amp;Table3[[#This Row],[COMPANYNAME]]</f>
        <v>75/703-CITY TUN SHFT3 C538D JV</v>
      </c>
      <c r="E321" s="23" t="s">
        <v>213</v>
      </c>
      <c r="F321" s="24">
        <v>75</v>
      </c>
      <c r="G321" s="24">
        <v>703</v>
      </c>
    </row>
    <row r="322" spans="1:7" x14ac:dyDescent="0.3">
      <c r="A322" t="str">
        <f>VLOOKUP(Table3[[#This Row],[COMPANYNO]],L:M,2)</f>
        <v>Picone</v>
      </c>
      <c r="B322" t="str">
        <f>VLOOKUP(Table3[[#This Row],[COMPANYNO]],L:N,3)</f>
        <v>Long Island City</v>
      </c>
      <c r="C322" t="s">
        <v>1508</v>
      </c>
      <c r="D322" t="str">
        <f>Table3[[#This Row],[COMPANYNO]]&amp;"/"&amp;Table3[[#This Row],[DIVISIONNO]]&amp;"-"&amp;Table3[[#This Row],[COMPANYNAME]]</f>
        <v>75/713-PICONE / SCARIANO JV</v>
      </c>
      <c r="E322" s="21" t="s">
        <v>214</v>
      </c>
      <c r="F322" s="22">
        <v>75</v>
      </c>
      <c r="G322" s="22">
        <v>713</v>
      </c>
    </row>
    <row r="323" spans="1:7" x14ac:dyDescent="0.3">
      <c r="A323" t="str">
        <f>VLOOKUP(Table3[[#This Row],[COMPANYNO]],L:M,2)</f>
        <v>Picone</v>
      </c>
      <c r="B323" t="str">
        <f>VLOOKUP(Table3[[#This Row],[COMPANYNO]],L:N,3)</f>
        <v>Long Island City</v>
      </c>
      <c r="C323" t="s">
        <v>1508</v>
      </c>
      <c r="D323" t="str">
        <f>Table3[[#This Row],[COMPANYNO]]&amp;"/"&amp;Table3[[#This Row],[DIVISIONNO]]&amp;"-"&amp;Table3[[#This Row],[COMPANYNAME]]</f>
        <v>75/714-Hamlet Electric JV</v>
      </c>
      <c r="E323" s="23" t="s">
        <v>215</v>
      </c>
      <c r="F323" s="24">
        <v>75</v>
      </c>
      <c r="G323" s="24">
        <v>714</v>
      </c>
    </row>
    <row r="324" spans="1:7" x14ac:dyDescent="0.3">
      <c r="A324" t="str">
        <f>VLOOKUP(Table3[[#This Row],[COMPANYNO]],L:M,2)</f>
        <v>Picone</v>
      </c>
      <c r="B324" t="str">
        <f>VLOOKUP(Table3[[#This Row],[COMPANYNO]],L:N,3)</f>
        <v>Long Island City</v>
      </c>
      <c r="C324" t="s">
        <v>1508</v>
      </c>
      <c r="D324" t="str">
        <f>Table3[[#This Row],[COMPANYNO]]&amp;"/"&amp;Table3[[#This Row],[DIVISIONNO]]&amp;"-"&amp;Table3[[#This Row],[COMPANYNAME]]</f>
        <v>75/716-* OCEAN PARKWAY D-262250 JV</v>
      </c>
      <c r="E324" s="21" t="s">
        <v>288</v>
      </c>
      <c r="F324" s="22">
        <v>75</v>
      </c>
      <c r="G324" s="22">
        <v>716</v>
      </c>
    </row>
    <row r="325" spans="1:7" x14ac:dyDescent="0.3">
      <c r="A325" t="str">
        <f>VLOOKUP(Table3[[#This Row],[COMPANYNO]],L:M,2)</f>
        <v>Picone</v>
      </c>
      <c r="B325" t="str">
        <f>VLOOKUP(Table3[[#This Row],[COMPANYNO]],L:N,3)</f>
        <v>Long Island City</v>
      </c>
      <c r="C325" t="s">
        <v>1508</v>
      </c>
      <c r="D325" t="str">
        <f>Table3[[#This Row],[COMPANYNO]]&amp;"/"&amp;Table3[[#This Row],[DIVISIONNO]]&amp;"-"&amp;Table3[[#This Row],[COMPANYNAME]]</f>
        <v>75/719-BWRY BY PMP STN BB64 JV</v>
      </c>
      <c r="E325" s="23" t="s">
        <v>373</v>
      </c>
      <c r="F325" s="24">
        <v>75</v>
      </c>
      <c r="G325" s="24">
        <v>719</v>
      </c>
    </row>
    <row r="326" spans="1:7" x14ac:dyDescent="0.3">
      <c r="A326" t="str">
        <f>VLOOKUP(Table3[[#This Row],[COMPANYNO]],L:M,2)</f>
        <v>Picone</v>
      </c>
      <c r="B326" t="str">
        <f>VLOOKUP(Table3[[#This Row],[COMPANYNO]],L:N,3)</f>
        <v>Long Island City</v>
      </c>
      <c r="C326" t="s">
        <v>1508</v>
      </c>
      <c r="D326" t="str">
        <f>Table3[[#This Row],[COMPANYNO]]&amp;"/"&amp;Table3[[#This Row],[DIVISIONNO]]&amp;"-"&amp;Table3[[#This Row],[COMPANYNAME]]</f>
        <v>75/720-JOHNSON AVE YARD 6121 JV</v>
      </c>
      <c r="E326" s="21" t="s">
        <v>370</v>
      </c>
      <c r="F326" s="22">
        <v>75</v>
      </c>
      <c r="G326" s="22">
        <v>720</v>
      </c>
    </row>
    <row r="327" spans="1:7" x14ac:dyDescent="0.3">
      <c r="A327" t="str">
        <f>VLOOKUP(Table3[[#This Row],[COMPANYNO]],L:M,2)</f>
        <v>Picone</v>
      </c>
      <c r="B327" t="str">
        <f>VLOOKUP(Table3[[#This Row],[COMPANYNO]],L:N,3)</f>
        <v>Long Island City</v>
      </c>
      <c r="C327" t="s">
        <v>1508</v>
      </c>
      <c r="D327" t="str">
        <f>Table3[[#This Row],[COMPANYNO]]&amp;"/"&amp;Table3[[#This Row],[DIVISIONNO]]&amp;"-"&amp;Table3[[#This Row],[COMPANYNAME]]</f>
        <v>75/723-RT110 @ RT27 D900027 JV</v>
      </c>
      <c r="E327" s="23" t="s">
        <v>485</v>
      </c>
      <c r="F327" s="24">
        <v>75</v>
      </c>
      <c r="G327" s="24">
        <v>723</v>
      </c>
    </row>
    <row r="328" spans="1:7" x14ac:dyDescent="0.3">
      <c r="A328" t="str">
        <f>VLOOKUP(Table3[[#This Row],[COMPANYNO]],L:M,2)</f>
        <v>Picone</v>
      </c>
      <c r="B328" t="str">
        <f>VLOOKUP(Table3[[#This Row],[COMPANYNO]],L:N,3)</f>
        <v>Long Island City</v>
      </c>
      <c r="C328" t="s">
        <v>1508</v>
      </c>
      <c r="D328" t="str">
        <f>Table3[[#This Row],[COMPANYNO]]&amp;"/"&amp;Table3[[#This Row],[DIVISIONNO]]&amp;"-"&amp;Table3[[#This Row],[COMPANYNAME]]</f>
        <v>75/725-3RD TRACK 6240 MAINLINE EXP</v>
      </c>
      <c r="E328" s="21" t="s">
        <v>695</v>
      </c>
      <c r="F328" s="22">
        <v>75</v>
      </c>
      <c r="G328" s="22">
        <v>725</v>
      </c>
    </row>
    <row r="329" spans="1:7" x14ac:dyDescent="0.3">
      <c r="A329" t="str">
        <f>VLOOKUP(Table3[[#This Row],[COMPANYNO]],L:M,2)</f>
        <v>Pulice</v>
      </c>
      <c r="B329" t="str">
        <f>VLOOKUP(Table3[[#This Row],[COMPANYNO]],L:N,3)</f>
        <v>Arizona</v>
      </c>
      <c r="C329" t="s">
        <v>1508</v>
      </c>
      <c r="D329" t="str">
        <f>Table3[[#This Row],[COMPANYNO]]&amp;"/"&amp;Table3[[#This Row],[DIVISIONNO]]&amp;"-"&amp;Table3[[#This Row],[COMPANYNAME]]</f>
        <v>60/701-Pulice Wadsworth JV</v>
      </c>
      <c r="E329" s="21" t="s">
        <v>392</v>
      </c>
      <c r="F329" s="22">
        <v>60</v>
      </c>
      <c r="G329" s="22">
        <v>701</v>
      </c>
    </row>
    <row r="330" spans="1:7" x14ac:dyDescent="0.3">
      <c r="A330" t="str">
        <f>VLOOKUP(Table3[[#This Row],[COMPANYNO]],L:M,2)</f>
        <v>Pulice</v>
      </c>
      <c r="B330" t="str">
        <f>VLOOKUP(Table3[[#This Row],[COMPANYNO]],L:N,3)</f>
        <v>Arizona</v>
      </c>
      <c r="C330" t="s">
        <v>1508</v>
      </c>
      <c r="D330" t="str">
        <f>Table3[[#This Row],[COMPANYNO]]&amp;"/"&amp;Table3[[#This Row],[DIVISIONNO]]&amp;"-"&amp;Table3[[#This Row],[COMPANYNAME]]</f>
        <v>60/702-* Pulice - Granite JV</v>
      </c>
      <c r="E330" s="23" t="s">
        <v>395</v>
      </c>
      <c r="F330" s="24">
        <v>60</v>
      </c>
      <c r="G330" s="24">
        <v>702</v>
      </c>
    </row>
    <row r="331" spans="1:7" x14ac:dyDescent="0.3">
      <c r="A331" t="str">
        <f>VLOOKUP(Table3[[#This Row],[COMPANYNO]],L:M,2)</f>
        <v>Pulice</v>
      </c>
      <c r="B331" t="str">
        <f>VLOOKUP(Table3[[#This Row],[COMPANYNO]],L:N,3)</f>
        <v>Arizona</v>
      </c>
      <c r="C331" t="s">
        <v>1508</v>
      </c>
      <c r="D331" t="str">
        <f>Table3[[#This Row],[COMPANYNO]]&amp;"/"&amp;Table3[[#This Row],[DIVISIONNO]]&amp;"-"&amp;Table3[[#This Row],[COMPANYNAME]]</f>
        <v>60/703-Pulice-Granite - Red Mtn JV</v>
      </c>
      <c r="E331" s="21" t="s">
        <v>420</v>
      </c>
      <c r="F331" s="22">
        <v>60</v>
      </c>
      <c r="G331" s="22">
        <v>703</v>
      </c>
    </row>
    <row r="332" spans="1:7" x14ac:dyDescent="0.3">
      <c r="A332" t="str">
        <f>VLOOKUP(Table3[[#This Row],[COMPANYNO]],L:M,2)</f>
        <v>Pulice</v>
      </c>
      <c r="B332" t="str">
        <f>VLOOKUP(Table3[[#This Row],[COMPANYNO]],L:N,3)</f>
        <v>California</v>
      </c>
      <c r="C332" t="s">
        <v>1508</v>
      </c>
      <c r="D332" t="str">
        <f>Table3[[#This Row],[COMPANYNO]]&amp;"/"&amp;Table3[[#This Row],[DIVISIONNO]]&amp;"-"&amp;Table3[[#This Row],[COMPANYNAME]]</f>
        <v>61/701-San Jose Creek Pump Station JV</v>
      </c>
      <c r="E332" s="23" t="s">
        <v>414</v>
      </c>
      <c r="F332" s="24">
        <v>61</v>
      </c>
      <c r="G332" s="24">
        <v>701</v>
      </c>
    </row>
    <row r="333" spans="1:7" x14ac:dyDescent="0.3">
      <c r="A333" t="str">
        <f>VLOOKUP(Table3[[#This Row],[COMPANYNO]],L:M,2)</f>
        <v>Schiavone</v>
      </c>
      <c r="B333" t="str">
        <f>VLOOKUP(Table3[[#This Row],[COMPANYNO]],L:N,3)</f>
        <v>New Jersey</v>
      </c>
      <c r="C333" t="s">
        <v>1508</v>
      </c>
      <c r="D333" t="str">
        <f>Table3[[#This Row],[COMPANYNO]]&amp;"/"&amp;Table3[[#This Row],[DIVISIONNO]]&amp;"-"&amp;Table3[[#This Row],[COMPANYNAME]]</f>
        <v>80/701-* Macombs Dam Bridge -JV</v>
      </c>
      <c r="E333" s="21" t="s">
        <v>270</v>
      </c>
      <c r="F333" s="22">
        <v>80</v>
      </c>
      <c r="G333" s="22">
        <v>701</v>
      </c>
    </row>
    <row r="334" spans="1:7" x14ac:dyDescent="0.3">
      <c r="A334" t="str">
        <f>VLOOKUP(Table3[[#This Row],[COMPANYNO]],L:M,2)</f>
        <v>Schiavone</v>
      </c>
      <c r="B334" t="str">
        <f>VLOOKUP(Table3[[#This Row],[COMPANYNO]],L:N,3)</f>
        <v>New Jersey</v>
      </c>
      <c r="C334" t="s">
        <v>1508</v>
      </c>
      <c r="D334" t="str">
        <f>Table3[[#This Row],[COMPANYNO]]&amp;"/"&amp;Table3[[#This Row],[DIVISIONNO]]&amp;"-"&amp;Table3[[#This Row],[COMPANYNAME]]</f>
        <v>80/702-SCC/FRONTKEMPER/SHEA</v>
      </c>
      <c r="E334" s="23" t="s">
        <v>273</v>
      </c>
      <c r="F334" s="24">
        <v>80</v>
      </c>
      <c r="G334" s="24">
        <v>702</v>
      </c>
    </row>
    <row r="335" spans="1:7" x14ac:dyDescent="0.3">
      <c r="A335" t="str">
        <f>VLOOKUP(Table3[[#This Row],[COMPANYNO]],L:M,2)</f>
        <v>Schiavone</v>
      </c>
      <c r="B335" t="str">
        <f>VLOOKUP(Table3[[#This Row],[COMPANYNO]],L:N,3)</f>
        <v>New Jersey</v>
      </c>
      <c r="C335" t="s">
        <v>1508</v>
      </c>
      <c r="D335" t="str">
        <f>Table3[[#This Row],[COMPANYNO]]&amp;"/"&amp;Table3[[#This Row],[DIVISIONNO]]&amp;"-"&amp;Table3[[#This Row],[COMPANYNAME]]</f>
        <v>80/703-BLUE CLEAN WATER, LLC</v>
      </c>
      <c r="E335" s="21" t="s">
        <v>280</v>
      </c>
      <c r="F335" s="22">
        <v>80</v>
      </c>
      <c r="G335" s="22">
        <v>703</v>
      </c>
    </row>
    <row r="336" spans="1:7" x14ac:dyDescent="0.3">
      <c r="A336" t="str">
        <f>VLOOKUP(Table3[[#This Row],[COMPANYNO]],L:M,2)</f>
        <v>Schiavone</v>
      </c>
      <c r="B336" t="str">
        <f>VLOOKUP(Table3[[#This Row],[COMPANYNO]],L:N,3)</f>
        <v>New Jersey</v>
      </c>
      <c r="C336" t="s">
        <v>1508</v>
      </c>
      <c r="D336" t="str">
        <f>Table3[[#This Row],[COMPANYNO]]&amp;"/"&amp;Table3[[#This Row],[DIVISIONNO]]&amp;"-"&amp;Table3[[#This Row],[COMPANYNAME]]</f>
        <v>80/709-City Water Tunnel 538C - JV</v>
      </c>
      <c r="E336" s="23" t="s">
        <v>275</v>
      </c>
      <c r="F336" s="24">
        <v>80</v>
      </c>
      <c r="G336" s="24">
        <v>709</v>
      </c>
    </row>
    <row r="337" spans="1:7" x14ac:dyDescent="0.3">
      <c r="A337" t="str">
        <f>VLOOKUP(Table3[[#This Row],[COMPANYNO]],L:M,2)</f>
        <v>Schiavone</v>
      </c>
      <c r="B337" t="str">
        <f>VLOOKUP(Table3[[#This Row],[COMPANYNO]],L:N,3)</f>
        <v>New Jersey</v>
      </c>
      <c r="C337" t="s">
        <v>1508</v>
      </c>
      <c r="D337" t="str">
        <f>Table3[[#This Row],[COMPANYNO]]&amp;"/"&amp;Table3[[#This Row],[DIVISIONNO]]&amp;"-"&amp;Table3[[#This Row],[COMPANYNAME]]</f>
        <v>80/710-South Ferry Terminal  -JV</v>
      </c>
      <c r="E337" s="21" t="s">
        <v>274</v>
      </c>
      <c r="F337" s="22">
        <v>80</v>
      </c>
      <c r="G337" s="22">
        <v>710</v>
      </c>
    </row>
    <row r="338" spans="1:7" x14ac:dyDescent="0.3">
      <c r="A338" t="str">
        <f>VLOOKUP(Table3[[#This Row],[COMPANYNO]],L:M,2)</f>
        <v>Schiavone</v>
      </c>
      <c r="B338" t="str">
        <f>VLOOKUP(Table3[[#This Row],[COMPANYNO]],L:N,3)</f>
        <v>New Jersey</v>
      </c>
      <c r="C338" t="s">
        <v>1508</v>
      </c>
      <c r="D338" t="str">
        <f>Table3[[#This Row],[COMPANYNO]]&amp;"/"&amp;Table3[[#This Row],[DIVISIONNO]]&amp;"-"&amp;Table3[[#This Row],[COMPANYNAME]]</f>
        <v>80/711-Croton Tunnel CRO313 -JV</v>
      </c>
      <c r="E338" s="23" t="s">
        <v>276</v>
      </c>
      <c r="F338" s="24">
        <v>80</v>
      </c>
      <c r="G338" s="24">
        <v>711</v>
      </c>
    </row>
    <row r="339" spans="1:7" x14ac:dyDescent="0.3">
      <c r="A339" t="str">
        <f>VLOOKUP(Table3[[#This Row],[COMPANYNO]],L:M,2)</f>
        <v>Schiavone</v>
      </c>
      <c r="B339" t="str">
        <f>VLOOKUP(Table3[[#This Row],[COMPANYNO]],L:N,3)</f>
        <v>New Jersey</v>
      </c>
      <c r="C339" t="s">
        <v>1508</v>
      </c>
      <c r="D339" t="str">
        <f>Table3[[#This Row],[COMPANYNO]]&amp;"/"&amp;Table3[[#This Row],[DIVISIONNO]]&amp;"-"&amp;Table3[[#This Row],[COMPANYNAME]]</f>
        <v>80/712-30th St Vent Rehab - JV</v>
      </c>
      <c r="E339" s="21" t="s">
        <v>277</v>
      </c>
      <c r="F339" s="22">
        <v>80</v>
      </c>
      <c r="G339" s="22">
        <v>712</v>
      </c>
    </row>
    <row r="340" spans="1:7" x14ac:dyDescent="0.3">
      <c r="A340" t="str">
        <f>VLOOKUP(Table3[[#This Row],[COMPANYNO]],L:M,2)</f>
        <v>Schiavone</v>
      </c>
      <c r="B340" t="str">
        <f>VLOOKUP(Table3[[#This Row],[COMPANYNO]],L:N,3)</f>
        <v>New Jersey</v>
      </c>
      <c r="C340" t="s">
        <v>1508</v>
      </c>
      <c r="D340" t="str">
        <f>Table3[[#This Row],[COMPANYNO]]&amp;"/"&amp;Table3[[#This Row],[DIVISIONNO]]&amp;"-"&amp;Table3[[#This Row],[COMPANYNAME]]</f>
        <v>80/713-Jay St Station Rehab - JV</v>
      </c>
      <c r="E340" s="23" t="s">
        <v>278</v>
      </c>
      <c r="F340" s="24">
        <v>80</v>
      </c>
      <c r="G340" s="24">
        <v>713</v>
      </c>
    </row>
    <row r="341" spans="1:7" x14ac:dyDescent="0.3">
      <c r="A341" t="str">
        <f>VLOOKUP(Table3[[#This Row],[COMPANYNO]],L:M,2)</f>
        <v>Schiavone</v>
      </c>
      <c r="B341" t="str">
        <f>VLOOKUP(Table3[[#This Row],[COMPANYNO]],L:N,3)</f>
        <v>New Jersey</v>
      </c>
      <c r="C341" t="s">
        <v>1508</v>
      </c>
      <c r="D341" t="str">
        <f>Table3[[#This Row],[COMPANYNO]]&amp;"/"&amp;Table3[[#This Row],[DIVISIONNO]]&amp;"-"&amp;Table3[[#This Row],[COMPANYNAME]]</f>
        <v>80/715-Rondout Tunnel Rehab  -JV</v>
      </c>
      <c r="E341" s="21" t="s">
        <v>279</v>
      </c>
      <c r="F341" s="22">
        <v>80</v>
      </c>
      <c r="G341" s="22">
        <v>715</v>
      </c>
    </row>
    <row r="342" spans="1:7" x14ac:dyDescent="0.3">
      <c r="A342" t="str">
        <f>VLOOKUP(Table3[[#This Row],[COMPANYNO]],L:M,2)</f>
        <v>Schiavone</v>
      </c>
      <c r="B342" t="str">
        <f>VLOOKUP(Table3[[#This Row],[COMPANYNO]],L:N,3)</f>
        <v>New Jersey</v>
      </c>
      <c r="C342" t="s">
        <v>1508</v>
      </c>
      <c r="D342" t="str">
        <f>Table3[[#This Row],[COMPANYNO]]&amp;"/"&amp;Table3[[#This Row],[DIVISIONNO]]&amp;"-"&amp;Table3[[#This Row],[COMPANYNAME]]</f>
        <v>80/720-Newtown Creek 41G -JV</v>
      </c>
      <c r="E342" s="23" t="s">
        <v>281</v>
      </c>
      <c r="F342" s="24">
        <v>80</v>
      </c>
      <c r="G342" s="24">
        <v>720</v>
      </c>
    </row>
    <row r="343" spans="1:7" x14ac:dyDescent="0.3">
      <c r="A343" t="str">
        <f>VLOOKUP(Table3[[#This Row],[COMPANYNO]],L:M,2)</f>
        <v>Schiavone</v>
      </c>
      <c r="B343" t="str">
        <f>VLOOKUP(Table3[[#This Row],[COMPANYNO]],L:N,3)</f>
        <v>New Jersey</v>
      </c>
      <c r="C343" t="s">
        <v>1508</v>
      </c>
      <c r="D343" t="str">
        <f>Table3[[#This Row],[COMPANYNO]]&amp;"/"&amp;Table3[[#This Row],[DIVISIONNO]]&amp;"-"&amp;Table3[[#This Row],[COMPANYNAME]]</f>
        <v>80/721-Northern Blvd CQ039 - JV</v>
      </c>
      <c r="E343" s="21" t="s">
        <v>282</v>
      </c>
      <c r="F343" s="22">
        <v>80</v>
      </c>
      <c r="G343" s="22">
        <v>721</v>
      </c>
    </row>
    <row r="344" spans="1:7" x14ac:dyDescent="0.3">
      <c r="A344" t="str">
        <f>VLOOKUP(Table3[[#This Row],[COMPANYNO]],L:M,2)</f>
        <v>Schiavone</v>
      </c>
      <c r="B344" t="str">
        <f>VLOOKUP(Table3[[#This Row],[COMPANYNO]],L:N,3)</f>
        <v>New Jersey</v>
      </c>
      <c r="C344" t="s">
        <v>1508</v>
      </c>
      <c r="D344" t="str">
        <f>Table3[[#This Row],[COMPANYNO]]&amp;"/"&amp;Table3[[#This Row],[DIVISIONNO]]&amp;"-"&amp;Table3[[#This Row],[COMPANYNAME]]</f>
        <v>80/722-* Palisades Tunnel IFB09038X -</v>
      </c>
      <c r="E344" s="23" t="s">
        <v>283</v>
      </c>
      <c r="F344" s="24">
        <v>80</v>
      </c>
      <c r="G344" s="24">
        <v>722</v>
      </c>
    </row>
    <row r="345" spans="1:7" x14ac:dyDescent="0.3">
      <c r="A345" t="str">
        <f>VLOOKUP(Table3[[#This Row],[COMPANYNO]],L:M,2)</f>
        <v>Schiavone</v>
      </c>
      <c r="B345" t="str">
        <f>VLOOKUP(Table3[[#This Row],[COMPANYNO]],L:N,3)</f>
        <v>New Jersey</v>
      </c>
      <c r="C345" t="s">
        <v>1508</v>
      </c>
      <c r="D345" t="str">
        <f>Table3[[#This Row],[COMPANYNO]]&amp;"/"&amp;Table3[[#This Row],[DIVISIONNO]]&amp;"-"&amp;Table3[[#This Row],[COMPANYNAME]]</f>
        <v>80/724-72nd St. Station - JV</v>
      </c>
      <c r="E345" s="21" t="s">
        <v>284</v>
      </c>
      <c r="F345" s="22">
        <v>80</v>
      </c>
      <c r="G345" s="22">
        <v>724</v>
      </c>
    </row>
    <row r="346" spans="1:7" x14ac:dyDescent="0.3">
      <c r="A346" t="str">
        <f>VLOOKUP(Table3[[#This Row],[COMPANYNO]],L:M,2)</f>
        <v>Schiavone</v>
      </c>
      <c r="B346" t="str">
        <f>VLOOKUP(Table3[[#This Row],[COMPANYNO]],L:N,3)</f>
        <v>New Jersey</v>
      </c>
      <c r="C346" t="s">
        <v>1508</v>
      </c>
      <c r="D346" t="str">
        <f>Table3[[#This Row],[COMPANYNO]]&amp;"/"&amp;Table3[[#This Row],[DIVISIONNO]]&amp;"-"&amp;Table3[[#This Row],[COMPANYNAME]]</f>
        <v>80/727-55th St Vent Plant CMO13A-JV</v>
      </c>
      <c r="E346" s="23" t="s">
        <v>285</v>
      </c>
      <c r="F346" s="24">
        <v>80</v>
      </c>
      <c r="G346" s="24">
        <v>727</v>
      </c>
    </row>
    <row r="347" spans="1:7" x14ac:dyDescent="0.3">
      <c r="A347" t="str">
        <f>VLOOKUP(Table3[[#This Row],[COMPANYNO]],L:M,2)</f>
        <v>Schiavone</v>
      </c>
      <c r="B347" t="str">
        <f>VLOOKUP(Table3[[#This Row],[COMPANYNO]],L:N,3)</f>
        <v>New Jersey</v>
      </c>
      <c r="C347" t="s">
        <v>1508</v>
      </c>
      <c r="D347" t="str">
        <f>Table3[[#This Row],[COMPANYNO]]&amp;"/"&amp;Table3[[#This Row],[DIVISIONNO]]&amp;"-"&amp;Table3[[#This Row],[COMPANYNAME]]</f>
        <v>80/733-86th St Sta C26012-JV</v>
      </c>
      <c r="E347" s="21" t="s">
        <v>347</v>
      </c>
      <c r="F347" s="22">
        <v>80</v>
      </c>
      <c r="G347" s="22">
        <v>733</v>
      </c>
    </row>
    <row r="348" spans="1:7" x14ac:dyDescent="0.3">
      <c r="A348" t="str">
        <f>VLOOKUP(Table3[[#This Row],[COMPANYNO]],L:M,2)</f>
        <v>Schiavone</v>
      </c>
      <c r="B348" t="str">
        <f>VLOOKUP(Table3[[#This Row],[COMPANYNO]],L:N,3)</f>
        <v>New Jersey</v>
      </c>
      <c r="C348" t="s">
        <v>1508</v>
      </c>
      <c r="D348" t="str">
        <f>Table3[[#This Row],[COMPANYNO]]&amp;"/"&amp;Table3[[#This Row],[DIVISIONNO]]&amp;"-"&amp;Table3[[#This Row],[COMPANYNAME]]</f>
        <v>80/734-Harold Str CH057A-JV</v>
      </c>
      <c r="E348" s="23" t="s">
        <v>360</v>
      </c>
      <c r="F348" s="24">
        <v>80</v>
      </c>
      <c r="G348" s="24">
        <v>734</v>
      </c>
    </row>
    <row r="349" spans="1:7" x14ac:dyDescent="0.3">
      <c r="A349" t="str">
        <f>VLOOKUP(Table3[[#This Row],[COMPANYNO]],L:M,2)</f>
        <v>Schiavone</v>
      </c>
      <c r="B349" t="str">
        <f>VLOOKUP(Table3[[#This Row],[COMPANYNO]],L:N,3)</f>
        <v>New Jersey</v>
      </c>
      <c r="C349" t="s">
        <v>1508</v>
      </c>
      <c r="D349" t="str">
        <f>Table3[[#This Row],[COMPANYNO]]&amp;"/"&amp;Table3[[#This Row],[DIVISIONNO]]&amp;"-"&amp;Table3[[#This Row],[COMPANYNAME]]</f>
        <v>80/736-Dyre Ave Sta A-36919-JV</v>
      </c>
      <c r="E349" s="21" t="s">
        <v>435</v>
      </c>
      <c r="F349" s="22">
        <v>80</v>
      </c>
      <c r="G349" s="22">
        <v>736</v>
      </c>
    </row>
    <row r="350" spans="1:7" x14ac:dyDescent="0.3">
      <c r="A350" t="str">
        <f>VLOOKUP(Table3[[#This Row],[COMPANYNO]],L:M,2)</f>
        <v>Schiavone</v>
      </c>
      <c r="B350" t="str">
        <f>VLOOKUP(Table3[[#This Row],[COMPANYNO]],L:N,3)</f>
        <v>New Jersey</v>
      </c>
      <c r="C350" t="s">
        <v>1508</v>
      </c>
      <c r="D350" t="str">
        <f>Table3[[#This Row],[COMPANYNO]]&amp;"/"&amp;Table3[[#This Row],[DIVISIONNO]]&amp;"-"&amp;Table3[[#This Row],[COMPANYNAME]]</f>
        <v>80/737-GCT Concourse CM014B-JV</v>
      </c>
      <c r="E350" s="23" t="s">
        <v>436</v>
      </c>
      <c r="F350" s="24">
        <v>80</v>
      </c>
      <c r="G350" s="24">
        <v>737</v>
      </c>
    </row>
    <row r="351" spans="1:7" x14ac:dyDescent="0.3">
      <c r="A351" t="str">
        <f>VLOOKUP(Table3[[#This Row],[COMPANYNO]],L:M,2)</f>
        <v>Schiavone</v>
      </c>
      <c r="B351" t="str">
        <f>VLOOKUP(Table3[[#This Row],[COMPANYNO]],L:N,3)</f>
        <v>New Jersey</v>
      </c>
      <c r="C351" t="s">
        <v>1508</v>
      </c>
      <c r="D351" t="str">
        <f>Table3[[#This Row],[COMPANYNO]]&amp;"/"&amp;Table3[[#This Row],[DIVISIONNO]]&amp;"-"&amp;Table3[[#This Row],[COMPANYNAME]]</f>
        <v>80/741-Rplcmnt Bruckner Expwy JV</v>
      </c>
      <c r="E351" s="21" t="s">
        <v>673</v>
      </c>
      <c r="F351" s="22">
        <v>80</v>
      </c>
      <c r="G351" s="22">
        <v>741</v>
      </c>
    </row>
    <row r="352" spans="1:7" x14ac:dyDescent="0.3">
      <c r="A352" t="str">
        <f>VLOOKUP(Table3[[#This Row],[COMPANYNO]],L:M,2)</f>
        <v>Schiavone</v>
      </c>
      <c r="B352" t="str">
        <f>VLOOKUP(Table3[[#This Row],[COMPANYNO]],L:N,3)</f>
        <v>New Jersey</v>
      </c>
      <c r="C352" t="s">
        <v>1508</v>
      </c>
      <c r="D352" t="str">
        <f>Table3[[#This Row],[COMPANYNO]]&amp;"/"&amp;Table3[[#This Row],[DIVISIONNO]]&amp;"-"&amp;Table3[[#This Row],[COMPANYNAME]]</f>
        <v>80/742-HYATT GIRDER R-50739</v>
      </c>
      <c r="E352" s="23" t="s">
        <v>729</v>
      </c>
      <c r="F352" s="24">
        <v>80</v>
      </c>
      <c r="G352" s="24">
        <v>742</v>
      </c>
    </row>
    <row r="353" spans="1:7" x14ac:dyDescent="0.3">
      <c r="A353" t="str">
        <f>VLOOKUP(Table3[[#This Row],[COMPANYNO]],L:M,2)</f>
        <v>Schiavone</v>
      </c>
      <c r="B353" t="str">
        <f>VLOOKUP(Table3[[#This Row],[COMPANYNO]],L:N,3)</f>
        <v>New Jersey</v>
      </c>
      <c r="C353" t="s">
        <v>1508</v>
      </c>
      <c r="D353" t="str">
        <f>Table3[[#This Row],[COMPANYNO]]&amp;"/"&amp;Table3[[#This Row],[DIVISIONNO]]&amp;"-"&amp;Table3[[#This Row],[COMPANYNAME]]</f>
        <v>80/799-SCC - Pension Fund</v>
      </c>
      <c r="E353" s="21" t="s">
        <v>336</v>
      </c>
      <c r="F353" s="22">
        <v>80</v>
      </c>
      <c r="G353" s="22">
        <v>799</v>
      </c>
    </row>
    <row r="354" spans="1:7" x14ac:dyDescent="0.3">
      <c r="A354" t="str">
        <f>VLOOKUP(Table3[[#This Row],[COMPANYNO]],L:M,2)</f>
        <v>Dragados Canada</v>
      </c>
      <c r="B354" t="str">
        <f>VLOOKUP(Table3[[#This Row],[COMPANYNO]],L:N,3)</f>
        <v>East Canada</v>
      </c>
      <c r="C354" t="s">
        <v>1507</v>
      </c>
      <c r="D354" t="str">
        <f>Table3[[#This Row],[COMPANYNO]]&amp;"/"&amp;Table3[[#This Row],[DIVISIONNO]]&amp;"-"&amp;Table3[[#This Row],[COMPANYNAME]]</f>
        <v>9/501-A-30 - % JV</v>
      </c>
      <c r="E354" s="23" t="s">
        <v>155</v>
      </c>
      <c r="F354" s="24">
        <v>9</v>
      </c>
      <c r="G354" s="24">
        <v>501</v>
      </c>
    </row>
    <row r="355" spans="1:7" x14ac:dyDescent="0.3">
      <c r="A355" t="str">
        <f>VLOOKUP(Table3[[#This Row],[COMPANYNO]],L:M,2)</f>
        <v>Dragados Canada</v>
      </c>
      <c r="B355" t="str">
        <f>VLOOKUP(Table3[[#This Row],[COMPANYNO]],L:N,3)</f>
        <v>East Canada</v>
      </c>
      <c r="C355" t="s">
        <v>1507</v>
      </c>
      <c r="D355" t="str">
        <f>Table3[[#This Row],[COMPANYNO]]&amp;"/"&amp;Table3[[#This Row],[DIVISIONNO]]&amp;"-"&amp;Table3[[#This Row],[COMPANYNAME]]</f>
        <v>9/502-LRT-OTTAWA %JV</v>
      </c>
      <c r="E355" s="21" t="s">
        <v>339</v>
      </c>
      <c r="F355" s="22">
        <v>9</v>
      </c>
      <c r="G355" s="22">
        <v>502</v>
      </c>
    </row>
    <row r="356" spans="1:7" x14ac:dyDescent="0.3">
      <c r="A356" t="str">
        <f>VLOOKUP(Table3[[#This Row],[COMPANYNO]],L:M,2)</f>
        <v>Dragados Canada</v>
      </c>
      <c r="B356" t="str">
        <f>VLOOKUP(Table3[[#This Row],[COMPANYNO]],L:N,3)</f>
        <v>East Canada</v>
      </c>
      <c r="C356" t="s">
        <v>1507</v>
      </c>
      <c r="D356" t="str">
        <f>Table3[[#This Row],[COMPANYNO]]&amp;"/"&amp;Table3[[#This Row],[DIVISIONNO]]&amp;"-"&amp;Table3[[#This Row],[COMPANYNAME]]</f>
        <v>9/503-Eglington Tunnel - %JV</v>
      </c>
      <c r="E356" s="23" t="s">
        <v>357</v>
      </c>
      <c r="F356" s="24">
        <v>9</v>
      </c>
      <c r="G356" s="24">
        <v>503</v>
      </c>
    </row>
    <row r="357" spans="1:7" x14ac:dyDescent="0.3">
      <c r="A357" t="str">
        <f>VLOOKUP(Table3[[#This Row],[COMPANYNO]],L:M,2)</f>
        <v>Dragados Canada</v>
      </c>
      <c r="B357" t="str">
        <f>VLOOKUP(Table3[[#This Row],[COMPANYNO]],L:N,3)</f>
        <v>East Canada</v>
      </c>
      <c r="C357" t="s">
        <v>1507</v>
      </c>
      <c r="D357" t="str">
        <f>Table3[[#This Row],[COMPANYNO]]&amp;"/"&amp;Table3[[#This Row],[DIVISIONNO]]&amp;"-"&amp;Table3[[#This Row],[COMPANYNAME]]</f>
        <v>9/504-New Bridge St Lawrence - %JV</v>
      </c>
      <c r="E357" s="21" t="s">
        <v>426</v>
      </c>
      <c r="F357" s="22">
        <v>9</v>
      </c>
      <c r="G357" s="22">
        <v>504</v>
      </c>
    </row>
    <row r="358" spans="1:7" x14ac:dyDescent="0.3">
      <c r="A358" t="str">
        <f>VLOOKUP(Table3[[#This Row],[COMPANYNO]],L:M,2)</f>
        <v>Dragados Canada</v>
      </c>
      <c r="B358" t="str">
        <f>VLOOKUP(Table3[[#This Row],[COMPANYNO]],L:N,3)</f>
        <v>East Canada</v>
      </c>
      <c r="C358" t="s">
        <v>1507</v>
      </c>
      <c r="D358" t="str">
        <f>Table3[[#This Row],[COMPANYNO]]&amp;"/"&amp;Table3[[#This Row],[DIVISIONNO]]&amp;"-"&amp;Table3[[#This Row],[COMPANYNAME]]</f>
        <v>9/505-Eglinton Crosstown LRT - %JV</v>
      </c>
      <c r="E358" s="23" t="s">
        <v>490</v>
      </c>
      <c r="F358" s="24">
        <v>9</v>
      </c>
      <c r="G358" s="24">
        <v>505</v>
      </c>
    </row>
    <row r="359" spans="1:7" x14ac:dyDescent="0.3">
      <c r="A359" t="str">
        <f>VLOOKUP(Table3[[#This Row],[COMPANYNO]],L:M,2)</f>
        <v>Dragados Canada</v>
      </c>
      <c r="B359" t="str">
        <f>VLOOKUP(Table3[[#This Row],[COMPANYNO]],L:N,3)</f>
        <v>East Canada</v>
      </c>
      <c r="C359" t="s">
        <v>1507</v>
      </c>
      <c r="D359" t="str">
        <f>Table3[[#This Row],[COMPANYNO]]&amp;"/"&amp;Table3[[#This Row],[DIVISIONNO]]&amp;"-"&amp;Table3[[#This Row],[COMPANYNAME]]</f>
        <v>9/506-Ottawa Comb Sewage Tnl - %JV</v>
      </c>
      <c r="E359" s="21" t="s">
        <v>516</v>
      </c>
      <c r="F359" s="22">
        <v>9</v>
      </c>
      <c r="G359" s="22">
        <v>506</v>
      </c>
    </row>
    <row r="360" spans="1:7" x14ac:dyDescent="0.3">
      <c r="A360" t="str">
        <f>VLOOKUP(Table3[[#This Row],[COMPANYNO]],L:M,2)</f>
        <v>Dragados Canada</v>
      </c>
      <c r="B360" t="str">
        <f>VLOOKUP(Table3[[#This Row],[COMPANYNO]],L:N,3)</f>
        <v>East Canada</v>
      </c>
      <c r="C360" t="s">
        <v>1507</v>
      </c>
      <c r="D360" t="str">
        <f>Table3[[#This Row],[COMPANYNO]]&amp;"/"&amp;Table3[[#This Row],[DIVISIONNO]]&amp;"-"&amp;Table3[[#This Row],[COMPANYNAME]]</f>
        <v>9/507-Link 427 % JV</v>
      </c>
      <c r="E360" s="23" t="s">
        <v>542</v>
      </c>
      <c r="F360" s="24">
        <v>9</v>
      </c>
      <c r="G360" s="24">
        <v>507</v>
      </c>
    </row>
    <row r="361" spans="1:7" x14ac:dyDescent="0.3">
      <c r="A361" t="str">
        <f>VLOOKUP(Table3[[#This Row],[COMPANYNO]],L:M,2)</f>
        <v>Dragados Canada</v>
      </c>
      <c r="B361" t="str">
        <f>VLOOKUP(Table3[[#This Row],[COMPANYNO]],L:N,3)</f>
        <v>East Canada</v>
      </c>
      <c r="C361" t="s">
        <v>1507</v>
      </c>
      <c r="D361" t="str">
        <f>Table3[[#This Row],[COMPANYNO]]&amp;"/"&amp;Table3[[#This Row],[DIVISIONNO]]&amp;"-"&amp;Table3[[#This Row],[COMPANYNAME]]</f>
        <v>9/508-Cote-Vertu - %JV</v>
      </c>
      <c r="E361" s="21" t="s">
        <v>553</v>
      </c>
      <c r="F361" s="22">
        <v>9</v>
      </c>
      <c r="G361" s="22">
        <v>508</v>
      </c>
    </row>
    <row r="362" spans="1:7" x14ac:dyDescent="0.3">
      <c r="A362" t="str">
        <f>VLOOKUP(Table3[[#This Row],[COMPANYNO]],L:M,2)</f>
        <v>Dragados Canada</v>
      </c>
      <c r="B362" t="str">
        <f>VLOOKUP(Table3[[#This Row],[COMPANYNO]],L:N,3)</f>
        <v>East Canada</v>
      </c>
      <c r="C362" t="s">
        <v>1507</v>
      </c>
      <c r="D362" t="str">
        <f>Table3[[#This Row],[COMPANYNO]]&amp;"/"&amp;Table3[[#This Row],[DIVISIONNO]]&amp;"-"&amp;Table3[[#This Row],[COMPANYNAME]]</f>
        <v>9/509-Ottawa Phase II - %JV</v>
      </c>
      <c r="E362" s="23" t="s">
        <v>666</v>
      </c>
      <c r="F362" s="24">
        <v>9</v>
      </c>
      <c r="G362" s="24">
        <v>509</v>
      </c>
    </row>
    <row r="363" spans="1:7" x14ac:dyDescent="0.3">
      <c r="A363" t="str">
        <f>VLOOKUP(Table3[[#This Row],[COMPANYNO]],L:M,2)</f>
        <v>Dragados Canada</v>
      </c>
      <c r="B363" t="str">
        <f>VLOOKUP(Table3[[#This Row],[COMPANYNO]],L:N,3)</f>
        <v>East Canada</v>
      </c>
      <c r="C363" t="s">
        <v>1507</v>
      </c>
      <c r="D363" t="str">
        <f>Table3[[#This Row],[COMPANYNO]]&amp;"/"&amp;Table3[[#This Row],[DIVISIONNO]]&amp;"-"&amp;Table3[[#This Row],[COMPANYNAME]]</f>
        <v>9/510-White Rose %JV</v>
      </c>
      <c r="E363" s="21" t="s">
        <v>680</v>
      </c>
      <c r="F363" s="22">
        <v>9</v>
      </c>
      <c r="G363" s="22">
        <v>510</v>
      </c>
    </row>
    <row r="364" spans="1:7" x14ac:dyDescent="0.3">
      <c r="A364" t="str">
        <f>VLOOKUP(Table3[[#This Row],[COMPANYNO]],L:M,2)</f>
        <v>Dragados Canada</v>
      </c>
      <c r="B364" t="str">
        <f>VLOOKUP(Table3[[#This Row],[COMPANYNO]],L:N,3)</f>
        <v>East Canada</v>
      </c>
      <c r="C364" t="s">
        <v>1507</v>
      </c>
      <c r="D364" t="str">
        <f>Table3[[#This Row],[COMPANYNO]]&amp;"/"&amp;Table3[[#This Row],[DIVISIONNO]]&amp;"-"&amp;Table3[[#This Row],[COMPANYNAME]]</f>
        <v>9/511-REM - %JV</v>
      </c>
      <c r="E364" s="23" t="s">
        <v>722</v>
      </c>
      <c r="F364" s="24">
        <v>9</v>
      </c>
      <c r="G364" s="24">
        <v>511</v>
      </c>
    </row>
    <row r="365" spans="1:7" x14ac:dyDescent="0.3">
      <c r="A365" t="str">
        <f>VLOOKUP(Table3[[#This Row],[COMPANYNO]],L:M,2)</f>
        <v>Dragados Canada</v>
      </c>
      <c r="B365" t="str">
        <f>VLOOKUP(Table3[[#This Row],[COMPANYNO]],L:N,3)</f>
        <v>East Canada</v>
      </c>
      <c r="C365" t="s">
        <v>1507</v>
      </c>
      <c r="D365" t="str">
        <f>Table3[[#This Row],[COMPANYNO]]&amp;"/"&amp;Table3[[#This Row],[DIVISIONNO]]&amp;"-"&amp;Table3[[#This Row],[COMPANYNAME]]</f>
        <v>9/512-Finch LRT %JV</v>
      </c>
      <c r="E365" s="21" t="s">
        <v>728</v>
      </c>
      <c r="F365" s="22">
        <v>9</v>
      </c>
      <c r="G365" s="22">
        <v>512</v>
      </c>
    </row>
    <row r="366" spans="1:7" x14ac:dyDescent="0.3">
      <c r="A366" t="str">
        <f>VLOOKUP(Table3[[#This Row],[COMPANYNO]],L:M,2)</f>
        <v>Dragados Canada</v>
      </c>
      <c r="B366" t="str">
        <f>VLOOKUP(Table3[[#This Row],[COMPANYNO]],L:N,3)</f>
        <v>East Canada</v>
      </c>
      <c r="C366" t="s">
        <v>1507</v>
      </c>
      <c r="D366" t="str">
        <f>Table3[[#This Row],[COMPANYNO]]&amp;"/"&amp;Table3[[#This Row],[DIVISIONNO]]&amp;"-"&amp;Table3[[#This Row],[COMPANYNAME]]</f>
        <v>9/513-Gordie Howe Bridge - %JV</v>
      </c>
      <c r="E366" s="23" t="s">
        <v>761</v>
      </c>
      <c r="F366" s="24">
        <v>9</v>
      </c>
      <c r="G366" s="24">
        <v>513</v>
      </c>
    </row>
    <row r="367" spans="1:7" x14ac:dyDescent="0.3">
      <c r="A367" t="str">
        <f>VLOOKUP(Table3[[#This Row],[COMPANYNO]],L:M,2)</f>
        <v>Dragados Canada</v>
      </c>
      <c r="B367" t="str">
        <f>VLOOKUP(Table3[[#This Row],[COMPANYNO]],L:N,3)</f>
        <v>West canada</v>
      </c>
      <c r="C367" t="s">
        <v>1507</v>
      </c>
      <c r="D367" t="str">
        <f>Table3[[#This Row],[COMPANYNO]]&amp;"/"&amp;Table3[[#This Row],[DIVISIONNO]]&amp;"-"&amp;Table3[[#This Row],[COMPANYNAME]]</f>
        <v>10/501-South Fraser - % JV</v>
      </c>
      <c r="E367" s="21" t="s">
        <v>156</v>
      </c>
      <c r="F367" s="22">
        <v>10</v>
      </c>
      <c r="G367" s="22">
        <v>501</v>
      </c>
    </row>
    <row r="368" spans="1:7" x14ac:dyDescent="0.3">
      <c r="A368" t="str">
        <f>VLOOKUP(Table3[[#This Row],[COMPANYNO]],L:M,2)</f>
        <v>Dragados Canada</v>
      </c>
      <c r="B368" t="str">
        <f>VLOOKUP(Table3[[#This Row],[COMPANYNO]],L:N,3)</f>
        <v>West canada</v>
      </c>
      <c r="C368" t="s">
        <v>1507</v>
      </c>
      <c r="D368" t="str">
        <f>Table3[[#This Row],[COMPANYNO]]&amp;"/"&amp;Table3[[#This Row],[DIVISIONNO]]&amp;"-"&amp;Table3[[#This Row],[COMPANYNAME]]</f>
        <v>10/502-Neahd % JV</v>
      </c>
      <c r="E368" s="23" t="s">
        <v>250</v>
      </c>
      <c r="F368" s="24">
        <v>10</v>
      </c>
      <c r="G368" s="24">
        <v>502</v>
      </c>
    </row>
    <row r="369" spans="1:7" x14ac:dyDescent="0.3">
      <c r="A369" t="str">
        <f>VLOOKUP(Table3[[#This Row],[COMPANYNO]],L:M,2)</f>
        <v>Dragados Canada</v>
      </c>
      <c r="B369" t="str">
        <f>VLOOKUP(Table3[[#This Row],[COMPANYNO]],L:N,3)</f>
        <v>West canada</v>
      </c>
      <c r="C369" t="s">
        <v>1507</v>
      </c>
      <c r="D369" t="str">
        <f>Table3[[#This Row],[COMPANYNO]]&amp;"/"&amp;Table3[[#This Row],[DIVISIONNO]]&amp;"-"&amp;Table3[[#This Row],[COMPANYNAME]]</f>
        <v>10/503-Ruskin Dam %JV</v>
      </c>
      <c r="E369" s="21" t="s">
        <v>258</v>
      </c>
      <c r="F369" s="22">
        <v>10</v>
      </c>
      <c r="G369" s="22">
        <v>503</v>
      </c>
    </row>
    <row r="370" spans="1:7" x14ac:dyDescent="0.3">
      <c r="A370" t="str">
        <f>VLOOKUP(Table3[[#This Row],[COMPANYNO]],L:M,2)</f>
        <v>Dragados Canada</v>
      </c>
      <c r="B370" t="str">
        <f>VLOOKUP(Table3[[#This Row],[COMPANYNO]],L:N,3)</f>
        <v>West canada</v>
      </c>
      <c r="C370" t="s">
        <v>1507</v>
      </c>
      <c r="D370" t="str">
        <f>Table3[[#This Row],[COMPANYNO]]&amp;"/"&amp;Table3[[#This Row],[DIVISIONNO]]&amp;"-"&amp;Table3[[#This Row],[COMPANYNAME]]</f>
        <v>10/504-DTRRIP - % JV</v>
      </c>
      <c r="E370" s="23" t="s">
        <v>266</v>
      </c>
      <c r="F370" s="24">
        <v>10</v>
      </c>
      <c r="G370" s="24">
        <v>504</v>
      </c>
    </row>
    <row r="371" spans="1:7" x14ac:dyDescent="0.3">
      <c r="A371" t="str">
        <f>VLOOKUP(Table3[[#This Row],[COMPANYNO]],L:M,2)</f>
        <v>Dragados Canada</v>
      </c>
      <c r="B371" t="str">
        <f>VLOOKUP(Table3[[#This Row],[COMPANYNO]],L:N,3)</f>
        <v>West canada</v>
      </c>
      <c r="C371" t="s">
        <v>1507</v>
      </c>
      <c r="D371" t="str">
        <f>Table3[[#This Row],[COMPANYNO]]&amp;"/"&amp;Table3[[#This Row],[DIVISIONNO]]&amp;"-"&amp;Table3[[#This Row],[COMPANYNAME]]</f>
        <v>10/505-Site C - % JV</v>
      </c>
      <c r="E371" s="21" t="s">
        <v>700</v>
      </c>
      <c r="F371" s="22">
        <v>10</v>
      </c>
      <c r="G371" s="22">
        <v>505</v>
      </c>
    </row>
    <row r="372" spans="1:7" x14ac:dyDescent="0.3">
      <c r="A372" t="str">
        <f>VLOOKUP(Table3[[#This Row],[COMPANYNO]],L:M,2)</f>
        <v>Dragados Canada</v>
      </c>
      <c r="B372" t="str">
        <f>VLOOKUP(Table3[[#This Row],[COMPANYNO]],L:N,3)</f>
        <v>West canada</v>
      </c>
      <c r="C372" t="s">
        <v>1507</v>
      </c>
      <c r="D372" t="str">
        <f>Table3[[#This Row],[COMPANYNO]]&amp;"/"&amp;Table3[[#This Row],[DIVISIONNO]]&amp;"-"&amp;Table3[[#This Row],[COMPANYNAME]]</f>
        <v>10/506-Centerm Expansion Proj - %JV</v>
      </c>
      <c r="E372" s="23" t="s">
        <v>778</v>
      </c>
      <c r="F372" s="24">
        <v>10</v>
      </c>
      <c r="G372" s="24">
        <v>506</v>
      </c>
    </row>
    <row r="373" spans="1:7" x14ac:dyDescent="0.3">
      <c r="A373" t="str">
        <f>VLOOKUP(Table3[[#This Row],[COMPANYNO]],L:M,2)</f>
        <v>Dragados Canada</v>
      </c>
      <c r="B373" t="str">
        <f>VLOOKUP(Table3[[#This Row],[COMPANYNO]],L:N,3)</f>
        <v>Central Canada</v>
      </c>
      <c r="C373" t="s">
        <v>1507</v>
      </c>
      <c r="D373" t="str">
        <f>Table3[[#This Row],[COMPANYNO]]&amp;"/"&amp;Table3[[#This Row],[DIVISIONNO]]&amp;"-"&amp;Table3[[#This Row],[COMPANYNAME]]</f>
        <v>11/501-Windsor Essex Pkw - % JV</v>
      </c>
      <c r="E373" s="21" t="s">
        <v>157</v>
      </c>
      <c r="F373" s="22">
        <v>11</v>
      </c>
      <c r="G373" s="22">
        <v>501</v>
      </c>
    </row>
    <row r="374" spans="1:7" x14ac:dyDescent="0.3">
      <c r="A374" t="str">
        <f>VLOOKUP(Table3[[#This Row],[COMPANYNO]],L:M,2)</f>
        <v>Dragados USA</v>
      </c>
      <c r="B374" t="str">
        <f>VLOOKUP(Table3[[#This Row],[COMPANYNO]],L:N,3)</f>
        <v>New York</v>
      </c>
      <c r="C374" t="s">
        <v>1507</v>
      </c>
      <c r="D374" t="str">
        <f>Table3[[#This Row],[COMPANYNO]]&amp;"/"&amp;Table3[[#This Row],[DIVISIONNO]]&amp;"-"&amp;Table3[[#This Row],[COMPANYNAME]]</f>
        <v>1/501-* ESA CM009 - % JV</v>
      </c>
      <c r="E374" s="23" t="s">
        <v>146</v>
      </c>
      <c r="F374" s="24">
        <v>1</v>
      </c>
      <c r="G374" s="24">
        <v>501</v>
      </c>
    </row>
    <row r="375" spans="1:7" x14ac:dyDescent="0.3">
      <c r="A375" t="str">
        <f>VLOOKUP(Table3[[#This Row],[COMPANYNO]],L:M,2)</f>
        <v>Dragados USA</v>
      </c>
      <c r="B375" t="str">
        <f>VLOOKUP(Table3[[#This Row],[COMPANYNO]],L:N,3)</f>
        <v>New York</v>
      </c>
      <c r="C375" t="s">
        <v>1507</v>
      </c>
      <c r="D375" t="str">
        <f>Table3[[#This Row],[COMPANYNO]]&amp;"/"&amp;Table3[[#This Row],[DIVISIONNO]]&amp;"-"&amp;Table3[[#This Row],[COMPANYNAME]]</f>
        <v>1/502-* I287 - % JV</v>
      </c>
      <c r="E375" s="21" t="s">
        <v>147</v>
      </c>
      <c r="F375" s="22">
        <v>1</v>
      </c>
      <c r="G375" s="22">
        <v>502</v>
      </c>
    </row>
    <row r="376" spans="1:7" x14ac:dyDescent="0.3">
      <c r="A376" t="str">
        <f>VLOOKUP(Table3[[#This Row],[COMPANYNO]],L:M,2)</f>
        <v>Dragados USA</v>
      </c>
      <c r="B376" t="str">
        <f>VLOOKUP(Table3[[#This Row],[COMPANYNO]],L:N,3)</f>
        <v>New York</v>
      </c>
      <c r="C376" t="s">
        <v>1507</v>
      </c>
      <c r="D376" t="str">
        <f>Table3[[#This Row],[COMPANYNO]]&amp;"/"&amp;Table3[[#This Row],[DIVISIONNO]]&amp;"-"&amp;Table3[[#This Row],[COMPANYNAME]]</f>
        <v>1/503-* Croton Falls - % JV</v>
      </c>
      <c r="E376" s="23" t="s">
        <v>148</v>
      </c>
      <c r="F376" s="24">
        <v>1</v>
      </c>
      <c r="G376" s="24">
        <v>503</v>
      </c>
    </row>
    <row r="377" spans="1:7" x14ac:dyDescent="0.3">
      <c r="A377" t="str">
        <f>VLOOKUP(Table3[[#This Row],[COMPANYNO]],L:M,2)</f>
        <v>Dragados USA</v>
      </c>
      <c r="B377" t="str">
        <f>VLOOKUP(Table3[[#This Row],[COMPANYNO]],L:N,3)</f>
        <v>New York</v>
      </c>
      <c r="C377" t="s">
        <v>1507</v>
      </c>
      <c r="D377" t="str">
        <f>Table3[[#This Row],[COMPANYNO]]&amp;"/"&amp;Table3[[#This Row],[DIVISIONNO]]&amp;"-"&amp;Table3[[#This Row],[COMPANYNAME]]</f>
        <v>1/504-* ESA CM019 - % JV</v>
      </c>
      <c r="E377" s="21" t="s">
        <v>149</v>
      </c>
      <c r="F377" s="22">
        <v>1</v>
      </c>
      <c r="G377" s="22">
        <v>504</v>
      </c>
    </row>
    <row r="378" spans="1:7" x14ac:dyDescent="0.3">
      <c r="A378" t="str">
        <f>VLOOKUP(Table3[[#This Row],[COMPANYNO]],L:M,2)</f>
        <v>Dragados USA</v>
      </c>
      <c r="B378" t="str">
        <f>VLOOKUP(Table3[[#This Row],[COMPANYNO]],L:N,3)</f>
        <v>New York</v>
      </c>
      <c r="C378" t="s">
        <v>1507</v>
      </c>
      <c r="D378" t="str">
        <f>Table3[[#This Row],[COMPANYNO]]&amp;"/"&amp;Table3[[#This Row],[DIVISIONNO]]&amp;"-"&amp;Table3[[#This Row],[COMPANYNAME]]</f>
        <v>1/505-C538D - % JV</v>
      </c>
      <c r="E378" s="23" t="s">
        <v>150</v>
      </c>
      <c r="F378" s="24">
        <v>1</v>
      </c>
      <c r="G378" s="24">
        <v>505</v>
      </c>
    </row>
    <row r="379" spans="1:7" x14ac:dyDescent="0.3">
      <c r="A379" t="str">
        <f>VLOOKUP(Table3[[#This Row],[COMPANYNO]],L:M,2)</f>
        <v>Dragados USA</v>
      </c>
      <c r="B379" t="str">
        <f>VLOOKUP(Table3[[#This Row],[COMPANYNO]],L:N,3)</f>
        <v>New York</v>
      </c>
      <c r="C379" t="s">
        <v>1507</v>
      </c>
      <c r="D379" t="str">
        <f>Table3[[#This Row],[COMPANYNO]]&amp;"/"&amp;Table3[[#This Row],[DIVISIONNO]]&amp;"-"&amp;Table3[[#This Row],[COMPANYNAME]]</f>
        <v>1/506-3RD TRACK 6240 MAINLINE EXP</v>
      </c>
      <c r="E379" s="21" t="s">
        <v>695</v>
      </c>
      <c r="F379" s="22">
        <v>1</v>
      </c>
      <c r="G379" s="22">
        <v>506</v>
      </c>
    </row>
    <row r="380" spans="1:7" x14ac:dyDescent="0.3">
      <c r="A380" t="str">
        <f>VLOOKUP(Table3[[#This Row],[COMPANYNO]],L:M,2)</f>
        <v>Dragados USA</v>
      </c>
      <c r="B380" t="str">
        <f>VLOOKUP(Table3[[#This Row],[COMPANYNO]],L:N,3)</f>
        <v>Florida</v>
      </c>
      <c r="C380" t="s">
        <v>1507</v>
      </c>
      <c r="D380" t="str">
        <f>Table3[[#This Row],[COMPANYNO]]&amp;"/"&amp;Table3[[#This Row],[DIVISIONNO]]&amp;"-"&amp;Table3[[#This Row],[COMPANYNAME]]</f>
        <v>2/501-* Miami Airport - % JV</v>
      </c>
      <c r="E380" s="21" t="s">
        <v>158</v>
      </c>
      <c r="F380" s="22">
        <v>2</v>
      </c>
      <c r="G380" s="22">
        <v>501</v>
      </c>
    </row>
    <row r="381" spans="1:7" x14ac:dyDescent="0.3">
      <c r="A381" t="str">
        <f>VLOOKUP(Table3[[#This Row],[COMPANYNO]],L:M,2)</f>
        <v>Dragados USA</v>
      </c>
      <c r="B381" t="str">
        <f>VLOOKUP(Table3[[#This Row],[COMPANYNO]],L:N,3)</f>
        <v>Florida</v>
      </c>
      <c r="C381" t="s">
        <v>1507</v>
      </c>
      <c r="D381" t="str">
        <f>Table3[[#This Row],[COMPANYNO]]&amp;"/"&amp;Table3[[#This Row],[DIVISIONNO]]&amp;"-"&amp;Table3[[#This Row],[COMPANYNAME]]</f>
        <v>2/502-I-16 at I-95 Interchange %JV</v>
      </c>
      <c r="E381" s="23" t="s">
        <v>764</v>
      </c>
      <c r="F381" s="24">
        <v>2</v>
      </c>
      <c r="G381" s="24">
        <v>502</v>
      </c>
    </row>
    <row r="382" spans="1:7" x14ac:dyDescent="0.3">
      <c r="A382" t="str">
        <f>VLOOKUP(Table3[[#This Row],[COMPANYNO]],L:M,2)</f>
        <v>Dragados USA</v>
      </c>
      <c r="B382" t="str">
        <f>VLOOKUP(Table3[[#This Row],[COMPANYNO]],L:N,3)</f>
        <v>I-595</v>
      </c>
      <c r="C382" t="s">
        <v>1507</v>
      </c>
      <c r="D382" t="str">
        <f>Table3[[#This Row],[COMPANYNO]]&amp;"/"&amp;Table3[[#This Row],[DIVISIONNO]]&amp;"-"&amp;Table3[[#This Row],[COMPANYNAME]]</f>
        <v>4/501-* DUSA/Baker - % JV</v>
      </c>
      <c r="E382" s="21" t="s">
        <v>159</v>
      </c>
      <c r="F382" s="22">
        <v>4</v>
      </c>
      <c r="G382" s="22">
        <v>501</v>
      </c>
    </row>
    <row r="383" spans="1:7" x14ac:dyDescent="0.3">
      <c r="A383" t="str">
        <f>VLOOKUP(Table3[[#This Row],[COMPANYNO]],L:M,2)</f>
        <v>Dragados USA</v>
      </c>
      <c r="B383" t="str">
        <f>VLOOKUP(Table3[[#This Row],[COMPANYNO]],L:N,3)</f>
        <v>North Pacific</v>
      </c>
      <c r="C383" t="s">
        <v>1507</v>
      </c>
      <c r="D383" t="str">
        <f>Table3[[#This Row],[COMPANYNO]]&amp;"/"&amp;Table3[[#This Row],[DIVISIONNO]]&amp;"-"&amp;Table3[[#This Row],[COMPANYNAME]]</f>
        <v>5/501-SR-99 - JV</v>
      </c>
      <c r="E383" s="23" t="s">
        <v>160</v>
      </c>
      <c r="F383" s="24">
        <v>5</v>
      </c>
      <c r="G383" s="24">
        <v>501</v>
      </c>
    </row>
    <row r="384" spans="1:7" x14ac:dyDescent="0.3">
      <c r="A384" t="str">
        <f>VLOOKUP(Table3[[#This Row],[COMPANYNO]],L:M,2)</f>
        <v>Dragados USA</v>
      </c>
      <c r="B384" t="str">
        <f>VLOOKUP(Table3[[#This Row],[COMPANYNO]],L:N,3)</f>
        <v>California</v>
      </c>
      <c r="C384" t="s">
        <v>1507</v>
      </c>
      <c r="D384" t="str">
        <f>Table3[[#This Row],[COMPANYNO]]&amp;"/"&amp;Table3[[#This Row],[DIVISIONNO]]&amp;"-"&amp;Table3[[#This Row],[COMPANYNAME]]</f>
        <v>6/501-Calaveras DAM - %JV</v>
      </c>
      <c r="E384" s="23" t="s">
        <v>142</v>
      </c>
      <c r="F384" s="24">
        <v>6</v>
      </c>
      <c r="G384" s="24">
        <v>501</v>
      </c>
    </row>
    <row r="385" spans="1:7" x14ac:dyDescent="0.3">
      <c r="A385" t="str">
        <f>VLOOKUP(Table3[[#This Row],[COMPANYNO]],L:M,2)</f>
        <v>Dragados USA</v>
      </c>
      <c r="B385" t="str">
        <f>VLOOKUP(Table3[[#This Row],[COMPANYNO]],L:N,3)</f>
        <v>Mid Atlantic</v>
      </c>
      <c r="C385" t="s">
        <v>1507</v>
      </c>
      <c r="D385" t="str">
        <f>Table3[[#This Row],[COMPANYNO]]&amp;"/"&amp;Table3[[#This Row],[DIVISIONNO]]&amp;"-"&amp;Table3[[#This Row],[COMPANYNAME]]</f>
        <v>8/501-Portsmouth %JV</v>
      </c>
      <c r="E385" s="23" t="s">
        <v>460</v>
      </c>
      <c r="F385" s="24">
        <v>8</v>
      </c>
      <c r="G385" s="24">
        <v>501</v>
      </c>
    </row>
    <row r="386" spans="1:7" x14ac:dyDescent="0.3">
      <c r="A386" t="str">
        <f>VLOOKUP(Table3[[#This Row],[COMPANYNO]],L:M,2)</f>
        <v>Dragados USA</v>
      </c>
      <c r="B386" t="str">
        <f>VLOOKUP(Table3[[#This Row],[COMPANYNO]],L:N,3)</f>
        <v>Mid Atlantic</v>
      </c>
      <c r="C386" t="s">
        <v>1507</v>
      </c>
      <c r="D386" t="str">
        <f>Table3[[#This Row],[COMPANYNO]]&amp;"/"&amp;Table3[[#This Row],[DIVISIONNO]]&amp;"-"&amp;Table3[[#This Row],[COMPANYNAME]]</f>
        <v>8/502-Parallel Thimble Shoal Tnl %JV</v>
      </c>
      <c r="E386" s="21" t="s">
        <v>524</v>
      </c>
      <c r="F386" s="22">
        <v>8</v>
      </c>
      <c r="G386" s="22">
        <v>502</v>
      </c>
    </row>
    <row r="387" spans="1:7" x14ac:dyDescent="0.3">
      <c r="A387" t="str">
        <f>VLOOKUP(Table3[[#This Row],[COMPANYNO]],L:M,2)</f>
        <v>Dragados USA</v>
      </c>
      <c r="B387" t="str">
        <f>VLOOKUP(Table3[[#This Row],[COMPANYNO]],L:N,3)</f>
        <v>South California</v>
      </c>
      <c r="C387" t="s">
        <v>1507</v>
      </c>
      <c r="D387" t="str">
        <f>Table3[[#This Row],[COMPANYNO]]&amp;"/"&amp;Table3[[#This Row],[DIVISIONNO]]&amp;"-"&amp;Table3[[#This Row],[COMPANYNAME]]</f>
        <v>20/501-SH 288 - %JV</v>
      </c>
      <c r="E387" s="23" t="s">
        <v>475</v>
      </c>
      <c r="F387" s="24">
        <v>20</v>
      </c>
      <c r="G387" s="24">
        <v>501</v>
      </c>
    </row>
    <row r="388" spans="1:7" x14ac:dyDescent="0.3">
      <c r="A388" t="str">
        <f>VLOOKUP(Table3[[#This Row],[COMPANYNO]],L:M,2)</f>
        <v>Dragados USA</v>
      </c>
      <c r="B388" t="str">
        <f>VLOOKUP(Table3[[#This Row],[COMPANYNO]],L:N,3)</f>
        <v>South California</v>
      </c>
      <c r="C388" t="s">
        <v>1507</v>
      </c>
      <c r="D388" t="str">
        <f>Table3[[#This Row],[COMPANYNO]]&amp;"/"&amp;Table3[[#This Row],[DIVISIONNO]]&amp;"-"&amp;Table3[[#This Row],[COMPANYNAME]]</f>
        <v>20/502-Harbor Bridge - %JV</v>
      </c>
      <c r="E388" s="21" t="s">
        <v>478</v>
      </c>
      <c r="F388" s="22">
        <v>20</v>
      </c>
      <c r="G388" s="22">
        <v>502</v>
      </c>
    </row>
    <row r="389" spans="1:7" x14ac:dyDescent="0.3">
      <c r="A389" t="str">
        <f>VLOOKUP(Table3[[#This Row],[COMPANYNO]],L:M,2)</f>
        <v>Dragados USA</v>
      </c>
      <c r="B389" t="str">
        <f>VLOOKUP(Table3[[#This Row],[COMPANYNO]],L:N,3)</f>
        <v>Texas</v>
      </c>
      <c r="C389" t="s">
        <v>1507</v>
      </c>
      <c r="D389" t="str">
        <f>Table3[[#This Row],[COMPANYNO]]&amp;"/"&amp;Table3[[#This Row],[DIVISIONNO]]&amp;"-"&amp;Table3[[#This Row],[COMPANYNAME]]</f>
        <v>22/501-HSR 2-3 - %JV</v>
      </c>
      <c r="E389" s="21" t="s">
        <v>472</v>
      </c>
      <c r="F389" s="22">
        <v>22</v>
      </c>
      <c r="G389" s="22">
        <v>501</v>
      </c>
    </row>
    <row r="390" spans="1:7" x14ac:dyDescent="0.3">
      <c r="A390" t="str">
        <f>VLOOKUP(Table3[[#This Row],[COMPANYNO]],L:M,2)</f>
        <v>Dragados USA</v>
      </c>
      <c r="B390" t="str">
        <f>VLOOKUP(Table3[[#This Row],[COMPANYNO]],L:N,3)</f>
        <v>Texas</v>
      </c>
      <c r="C390" t="s">
        <v>1507</v>
      </c>
      <c r="D390" t="str">
        <f>Table3[[#This Row],[COMPANYNO]]&amp;"/"&amp;Table3[[#This Row],[DIVISIONNO]]&amp;"-"&amp;Table3[[#This Row],[COMPANYNAME]]</f>
        <v>22/502-Isabella Lake Dam %JV</v>
      </c>
      <c r="E390" s="23" t="s">
        <v>707</v>
      </c>
      <c r="F390" s="24">
        <v>22</v>
      </c>
      <c r="G390" s="24">
        <v>502</v>
      </c>
    </row>
    <row r="391" spans="1:7" x14ac:dyDescent="0.3">
      <c r="A391" t="str">
        <f>VLOOKUP(Table3[[#This Row],[COMPANYNO]],L:M,2)</f>
        <v>Dragados USA</v>
      </c>
      <c r="B391" t="str">
        <f>VLOOKUP(Table3[[#This Row],[COMPANYNO]],L:N,3)</f>
        <v>Texas</v>
      </c>
      <c r="C391" t="s">
        <v>1507</v>
      </c>
      <c r="D391" t="str">
        <f>Table3[[#This Row],[COMPANYNO]]&amp;"/"&amp;Table3[[#This Row],[DIVISIONNO]]&amp;"-"&amp;Table3[[#This Row],[COMPANYNAME]]</f>
        <v>22/503-Automated People Mover %JV</v>
      </c>
      <c r="E391" s="21" t="s">
        <v>734</v>
      </c>
      <c r="F391" s="22">
        <v>22</v>
      </c>
      <c r="G391" s="22">
        <v>503</v>
      </c>
    </row>
    <row r="392" spans="1:7" x14ac:dyDescent="0.3">
      <c r="A392" t="str">
        <f>VLOOKUP(Table3[[#This Row],[COMPANYNO]],L:M,2)</f>
        <v>JF White</v>
      </c>
      <c r="B392" t="str">
        <f>VLOOKUP(Table3[[#This Row],[COMPANYNO]],L:N,3)</f>
        <v>Boston</v>
      </c>
      <c r="C392" t="s">
        <v>1507</v>
      </c>
      <c r="D392" t="str">
        <f>Table3[[#This Row],[COMPANYNO]]&amp;"/"&amp;Table3[[#This Row],[DIVISIONNO]]&amp;"-"&amp;Table3[[#This Row],[COMPANYNAME]]</f>
        <v>45/501-Fore River Bridge Rplcmnt %JV</v>
      </c>
      <c r="E392" s="21" t="s">
        <v>644</v>
      </c>
      <c r="F392" s="22">
        <v>45</v>
      </c>
      <c r="G392" s="22">
        <v>501</v>
      </c>
    </row>
    <row r="393" spans="1:7" x14ac:dyDescent="0.3">
      <c r="A393" t="str">
        <f>VLOOKUP(Table3[[#This Row],[COMPANYNO]],L:M,2)</f>
        <v>JF White</v>
      </c>
      <c r="B393" t="str">
        <f>VLOOKUP(Table3[[#This Row],[COMPANYNO]],L:N,3)</f>
        <v>Boston</v>
      </c>
      <c r="C393" t="s">
        <v>1507</v>
      </c>
      <c r="D393" t="str">
        <f>Table3[[#This Row],[COMPANYNO]]&amp;"/"&amp;Table3[[#This Row],[DIVISIONNO]]&amp;"-"&amp;Table3[[#This Row],[COMPANYNAME]]</f>
        <v>45/502-Longfellow Bridge Rplcmnt %JV</v>
      </c>
      <c r="E393" s="23" t="s">
        <v>646</v>
      </c>
      <c r="F393" s="24">
        <v>45</v>
      </c>
      <c r="G393" s="24">
        <v>502</v>
      </c>
    </row>
    <row r="394" spans="1:7" x14ac:dyDescent="0.3">
      <c r="A394" t="str">
        <f>VLOOKUP(Table3[[#This Row],[COMPANYNO]],L:M,2)</f>
        <v>JF White</v>
      </c>
      <c r="B394" t="str">
        <f>VLOOKUP(Table3[[#This Row],[COMPANYNO]],L:N,3)</f>
        <v>Boston</v>
      </c>
      <c r="C394" t="s">
        <v>1507</v>
      </c>
      <c r="D394" t="str">
        <f>Table3[[#This Row],[COMPANYNO]]&amp;"/"&amp;Table3[[#This Row],[DIVISIONNO]]&amp;"-"&amp;Table3[[#This Row],[COMPANYNAME]]</f>
        <v>45/503-Fitchburg Comm Rail %JV</v>
      </c>
      <c r="E394" s="21" t="s">
        <v>648</v>
      </c>
      <c r="F394" s="22">
        <v>45</v>
      </c>
      <c r="G394" s="22">
        <v>503</v>
      </c>
    </row>
    <row r="395" spans="1:7" x14ac:dyDescent="0.3">
      <c r="A395" t="str">
        <f>VLOOKUP(Table3[[#This Row],[COMPANYNO]],L:M,2)</f>
        <v>JF White</v>
      </c>
      <c r="B395" t="str">
        <f>VLOOKUP(Table3[[#This Row],[COMPANYNO]],L:N,3)</f>
        <v>Boston</v>
      </c>
      <c r="C395" t="s">
        <v>1507</v>
      </c>
      <c r="D395" t="str">
        <f>Table3[[#This Row],[COMPANYNO]]&amp;"/"&amp;Table3[[#This Row],[DIVISIONNO]]&amp;"-"&amp;Table3[[#This Row],[COMPANYNAME]]</f>
        <v>45/504-Springfield I-91 Viaduct %JV</v>
      </c>
      <c r="E395" s="23" t="s">
        <v>650</v>
      </c>
      <c r="F395" s="24">
        <v>45</v>
      </c>
      <c r="G395" s="24">
        <v>504</v>
      </c>
    </row>
    <row r="396" spans="1:7" x14ac:dyDescent="0.3">
      <c r="A396" t="str">
        <f>VLOOKUP(Table3[[#This Row],[COMPANYNO]],L:M,2)</f>
        <v>JF White</v>
      </c>
      <c r="B396" t="str">
        <f>VLOOKUP(Table3[[#This Row],[COMPANYNO]],L:N,3)</f>
        <v>Boston</v>
      </c>
      <c r="C396" t="s">
        <v>1507</v>
      </c>
      <c r="D396" t="str">
        <f>Table3[[#This Row],[COMPANYNO]]&amp;"/"&amp;Table3[[#This Row],[DIVISIONNO]]&amp;"-"&amp;Table3[[#This Row],[COMPANYNAME]]</f>
        <v>45/505-* Green Line Extension %JV</v>
      </c>
      <c r="E396" s="21" t="s">
        <v>652</v>
      </c>
      <c r="F396" s="22">
        <v>45</v>
      </c>
      <c r="G396" s="22">
        <v>505</v>
      </c>
    </row>
    <row r="397" spans="1:7" x14ac:dyDescent="0.3">
      <c r="A397" t="str">
        <f>VLOOKUP(Table3[[#This Row],[COMPANYNO]],L:M,2)</f>
        <v>JF White</v>
      </c>
      <c r="B397" t="str">
        <f>VLOOKUP(Table3[[#This Row],[COMPANYNO]],L:N,3)</f>
        <v>Boston</v>
      </c>
      <c r="C397" t="s">
        <v>1507</v>
      </c>
      <c r="D397" t="str">
        <f>Table3[[#This Row],[COMPANYNO]]&amp;"/"&amp;Table3[[#This Row],[DIVISIONNO]]&amp;"-"&amp;Table3[[#This Row],[COMPANYNAME]]</f>
        <v>45/506-GLX IGMP #1  % JV</v>
      </c>
      <c r="E397" s="23" t="s">
        <v>654</v>
      </c>
      <c r="F397" s="24">
        <v>45</v>
      </c>
      <c r="G397" s="24">
        <v>506</v>
      </c>
    </row>
    <row r="398" spans="1:7" x14ac:dyDescent="0.3">
      <c r="A398" t="str">
        <f>VLOOKUP(Table3[[#This Row],[COMPANYNO]],L:M,2)</f>
        <v>JF White</v>
      </c>
      <c r="B398" t="str">
        <f>VLOOKUP(Table3[[#This Row],[COMPANYNO]],L:N,3)</f>
        <v>Boston</v>
      </c>
      <c r="C398" t="s">
        <v>1507</v>
      </c>
      <c r="D398" t="str">
        <f>Table3[[#This Row],[COMPANYNO]]&amp;"/"&amp;Table3[[#This Row],[DIVISIONNO]]&amp;"-"&amp;Table3[[#This Row],[COMPANYNAME]]</f>
        <v>45/507-GLX IGMP #2 % JV</v>
      </c>
      <c r="E398" s="21" t="s">
        <v>656</v>
      </c>
      <c r="F398" s="22">
        <v>45</v>
      </c>
      <c r="G398" s="22">
        <v>507</v>
      </c>
    </row>
    <row r="399" spans="1:7" x14ac:dyDescent="0.3">
      <c r="A399" t="str">
        <f>VLOOKUP(Table3[[#This Row],[COMPANYNO]],L:M,2)</f>
        <v>JF White</v>
      </c>
      <c r="B399" t="str">
        <f>VLOOKUP(Table3[[#This Row],[COMPANYNO]],L:N,3)</f>
        <v>Boston</v>
      </c>
      <c r="C399" t="s">
        <v>1507</v>
      </c>
      <c r="D399" t="str">
        <f>Table3[[#This Row],[COMPANYNO]]&amp;"/"&amp;Table3[[#This Row],[DIVISIONNO]]&amp;"-"&amp;Table3[[#This Row],[COMPANYNAME]]</f>
        <v>45/508-GLX IGMP #3  Int. Dpmt</v>
      </c>
      <c r="E399" s="23" t="s">
        <v>657</v>
      </c>
      <c r="F399" s="24">
        <v>45</v>
      </c>
      <c r="G399" s="24">
        <v>508</v>
      </c>
    </row>
    <row r="400" spans="1:7" x14ac:dyDescent="0.3">
      <c r="A400" t="str">
        <f>VLOOKUP(Table3[[#This Row],[COMPANYNO]],L:M,2)</f>
        <v>JF White</v>
      </c>
      <c r="B400" t="str">
        <f>VLOOKUP(Table3[[#This Row],[COMPANYNO]],L:N,3)</f>
        <v>Boston</v>
      </c>
      <c r="C400" t="s">
        <v>1507</v>
      </c>
      <c r="D400" t="str">
        <f>Table3[[#This Row],[COMPANYNO]]&amp;"/"&amp;Table3[[#This Row],[DIVISIONNO]]&amp;"-"&amp;Table3[[#This Row],[COMPANYNAME]]</f>
        <v>45/509-GLX GMP #4A % JV</v>
      </c>
      <c r="E400" s="21" t="s">
        <v>659</v>
      </c>
      <c r="F400" s="22">
        <v>45</v>
      </c>
      <c r="G400" s="22">
        <v>509</v>
      </c>
    </row>
    <row r="401" spans="1:7" x14ac:dyDescent="0.3">
      <c r="A401" t="str">
        <f>VLOOKUP(Table3[[#This Row],[COMPANYNO]],L:M,2)</f>
        <v>JF White</v>
      </c>
      <c r="B401" t="str">
        <f>VLOOKUP(Table3[[#This Row],[COMPANYNO]],L:N,3)</f>
        <v>Boston</v>
      </c>
      <c r="C401" t="s">
        <v>1507</v>
      </c>
      <c r="D401" t="str">
        <f>Table3[[#This Row],[COMPANYNO]]&amp;"/"&amp;Table3[[#This Row],[DIVISIONNO]]&amp;"-"&amp;Table3[[#This Row],[COMPANYNAME]]</f>
        <v>45/510-I93 Medford Superstructures JV</v>
      </c>
      <c r="E401" s="23" t="s">
        <v>661</v>
      </c>
      <c r="F401" s="24">
        <v>45</v>
      </c>
      <c r="G401" s="24">
        <v>510</v>
      </c>
    </row>
    <row r="402" spans="1:7" x14ac:dyDescent="0.3">
      <c r="A402" t="str">
        <f>VLOOKUP(Table3[[#This Row],[COMPANYNO]],L:M,2)</f>
        <v>JF White</v>
      </c>
      <c r="B402" t="str">
        <f>VLOOKUP(Table3[[#This Row],[COMPANYNO]],L:N,3)</f>
        <v>Boston</v>
      </c>
      <c r="C402" t="s">
        <v>1507</v>
      </c>
      <c r="D402" t="str">
        <f>Table3[[#This Row],[COMPANYNO]]&amp;"/"&amp;Table3[[#This Row],[DIVISIONNO]]&amp;"-"&amp;Table3[[#This Row],[COMPANYNAME]]</f>
        <v>45/511-SEW</v>
      </c>
      <c r="E402" s="21" t="s">
        <v>663</v>
      </c>
      <c r="F402" s="22">
        <v>45</v>
      </c>
      <c r="G402" s="22">
        <v>511</v>
      </c>
    </row>
    <row r="403" spans="1:7" x14ac:dyDescent="0.3">
      <c r="A403" t="str">
        <f>VLOOKUP(Table3[[#This Row],[COMPANYNO]],L:M,2)</f>
        <v>JF White</v>
      </c>
      <c r="B403" t="str">
        <f>VLOOKUP(Table3[[#This Row],[COMPANYNO]],L:N,3)</f>
        <v>Boston</v>
      </c>
      <c r="C403" t="s">
        <v>1507</v>
      </c>
      <c r="D403" t="str">
        <f>Table3[[#This Row],[COMPANYNO]]&amp;"/"&amp;Table3[[#This Row],[DIVISIONNO]]&amp;"-"&amp;Table3[[#This Row],[COMPANYNAME]]</f>
        <v>45/512-TBD</v>
      </c>
      <c r="E403" s="23" t="s">
        <v>664</v>
      </c>
      <c r="F403" s="24">
        <v>45</v>
      </c>
      <c r="G403" s="24">
        <v>512</v>
      </c>
    </row>
    <row r="404" spans="1:7" x14ac:dyDescent="0.3">
      <c r="A404" t="str">
        <f>VLOOKUP(Table3[[#This Row],[COMPANYNO]],L:M,2)</f>
        <v>JF White</v>
      </c>
      <c r="B404" t="str">
        <f>VLOOKUP(Table3[[#This Row],[COMPANYNO]],L:N,3)</f>
        <v>Boston</v>
      </c>
      <c r="C404" t="s">
        <v>1507</v>
      </c>
      <c r="D404" t="str">
        <f>Table3[[#This Row],[COMPANYNO]]&amp;"/"&amp;Table3[[#This Row],[DIVISIONNO]]&amp;"-"&amp;Table3[[#This Row],[COMPANYNAME]]</f>
        <v>45/550-GLX JV</v>
      </c>
      <c r="E404" s="21" t="s">
        <v>676</v>
      </c>
      <c r="F404" s="22">
        <v>45</v>
      </c>
      <c r="G404" s="22">
        <v>550</v>
      </c>
    </row>
    <row r="405" spans="1:7" x14ac:dyDescent="0.3">
      <c r="A405" t="str">
        <f>VLOOKUP(Table3[[#This Row],[COMPANYNO]],L:M,2)</f>
        <v>Picone</v>
      </c>
      <c r="B405" t="str">
        <f>VLOOKUP(Table3[[#This Row],[COMPANYNO]],L:N,3)</f>
        <v>Long Island City</v>
      </c>
      <c r="C405" t="s">
        <v>1507</v>
      </c>
      <c r="D405" t="str">
        <f>Table3[[#This Row],[COMPANYNO]]&amp;"/"&amp;Table3[[#This Row],[DIVISIONNO]]&amp;"-"&amp;Table3[[#This Row],[COMPANYNAME]]</f>
        <v>75/501-CROTON WT 312OSG</v>
      </c>
      <c r="E405" s="23" t="s">
        <v>230</v>
      </c>
      <c r="F405" s="24">
        <v>75</v>
      </c>
      <c r="G405" s="24">
        <v>501</v>
      </c>
    </row>
    <row r="406" spans="1:7" x14ac:dyDescent="0.3">
      <c r="A406" t="str">
        <f>VLOOKUP(Table3[[#This Row],[COMPANYNO]],L:M,2)</f>
        <v>Picone</v>
      </c>
      <c r="B406" t="str">
        <f>VLOOKUP(Table3[[#This Row],[COMPANYNO]],L:N,3)</f>
        <v>Long Island City</v>
      </c>
      <c r="C406" t="s">
        <v>1507</v>
      </c>
      <c r="D406" t="str">
        <f>Table3[[#This Row],[COMPANYNO]]&amp;"/"&amp;Table3[[#This Row],[DIVISIONNO]]&amp;"-"&amp;Table3[[#This Row],[COMPANYNAME]]</f>
        <v>75/502-CROTON WT CRO312P</v>
      </c>
      <c r="E406" s="21" t="s">
        <v>231</v>
      </c>
      <c r="F406" s="22">
        <v>75</v>
      </c>
      <c r="G406" s="22">
        <v>502</v>
      </c>
    </row>
    <row r="407" spans="1:7" x14ac:dyDescent="0.3">
      <c r="A407" t="str">
        <f>VLOOKUP(Table3[[#This Row],[COMPANYNO]],L:M,2)</f>
        <v>Picone</v>
      </c>
      <c r="B407" t="str">
        <f>VLOOKUP(Table3[[#This Row],[COMPANYNO]],L:N,3)</f>
        <v>Long Island City</v>
      </c>
      <c r="C407" t="s">
        <v>1507</v>
      </c>
      <c r="D407" t="str">
        <f>Table3[[#This Row],[COMPANYNO]]&amp;"/"&amp;Table3[[#This Row],[DIVISIONNO]]&amp;"-"&amp;Table3[[#This Row],[COMPANYNAME]]</f>
        <v>75/503-CITY TUN SHFT3 C538D</v>
      </c>
      <c r="E407" s="23" t="s">
        <v>232</v>
      </c>
      <c r="F407" s="24">
        <v>75</v>
      </c>
      <c r="G407" s="24">
        <v>503</v>
      </c>
    </row>
    <row r="408" spans="1:7" x14ac:dyDescent="0.3">
      <c r="A408" t="str">
        <f>VLOOKUP(Table3[[#This Row],[COMPANYNO]],L:M,2)</f>
        <v>Picone</v>
      </c>
      <c r="B408" t="str">
        <f>VLOOKUP(Table3[[#This Row],[COMPANYNO]],L:N,3)</f>
        <v>Long Island City</v>
      </c>
      <c r="C408" t="s">
        <v>1507</v>
      </c>
      <c r="D408" t="str">
        <f>Table3[[#This Row],[COMPANYNO]]&amp;"/"&amp;Table3[[#This Row],[DIVISIONNO]]&amp;"-"&amp;Table3[[#This Row],[COMPANYNAME]]</f>
        <v>75/504-NEWTOWN CRK NC-50G</v>
      </c>
      <c r="E408" s="21" t="s">
        <v>233</v>
      </c>
      <c r="F408" s="22">
        <v>75</v>
      </c>
      <c r="G408" s="22">
        <v>504</v>
      </c>
    </row>
    <row r="409" spans="1:7" x14ac:dyDescent="0.3">
      <c r="A409" t="str">
        <f>VLOOKUP(Table3[[#This Row],[COMPANYNO]],L:M,2)</f>
        <v>Picone</v>
      </c>
      <c r="B409" t="str">
        <f>VLOOKUP(Table3[[#This Row],[COMPANYNO]],L:N,3)</f>
        <v>Long Island City</v>
      </c>
      <c r="C409" t="s">
        <v>1507</v>
      </c>
      <c r="D409" t="str">
        <f>Table3[[#This Row],[COMPANYNO]]&amp;"/"&amp;Table3[[#This Row],[DIVISIONNO]]&amp;"-"&amp;Table3[[#This Row],[COMPANYNAME]]</f>
        <v>75/505-RONDOUT TUNNEL REHAB JV</v>
      </c>
      <c r="E409" s="23" t="s">
        <v>234</v>
      </c>
      <c r="F409" s="24">
        <v>75</v>
      </c>
      <c r="G409" s="24">
        <v>505</v>
      </c>
    </row>
    <row r="410" spans="1:7" x14ac:dyDescent="0.3">
      <c r="A410" t="str">
        <f>VLOOKUP(Table3[[#This Row],[COMPANYNO]],L:M,2)</f>
        <v>Picone</v>
      </c>
      <c r="B410" t="str">
        <f>VLOOKUP(Table3[[#This Row],[COMPANYNO]],L:N,3)</f>
        <v>Long Island City</v>
      </c>
      <c r="C410" t="s">
        <v>1507</v>
      </c>
      <c r="D410" t="str">
        <f>Table3[[#This Row],[COMPANYNO]]&amp;"/"&amp;Table3[[#This Row],[DIVISIONNO]]&amp;"-"&amp;Table3[[#This Row],[COMPANYNAME]]</f>
        <v>75/506-CROTON TUNNEL CRO313</v>
      </c>
      <c r="E410" s="21" t="s">
        <v>235</v>
      </c>
      <c r="F410" s="22">
        <v>75</v>
      </c>
      <c r="G410" s="22">
        <v>506</v>
      </c>
    </row>
    <row r="411" spans="1:7" x14ac:dyDescent="0.3">
      <c r="A411" t="str">
        <f>VLOOKUP(Table3[[#This Row],[COMPANYNO]],L:M,2)</f>
        <v>Picone</v>
      </c>
      <c r="B411" t="str">
        <f>VLOOKUP(Table3[[#This Row],[COMPANYNO]],L:N,3)</f>
        <v>Long Island City</v>
      </c>
      <c r="C411" t="s">
        <v>1507</v>
      </c>
      <c r="D411" t="str">
        <f>Table3[[#This Row],[COMPANYNO]]&amp;"/"&amp;Table3[[#This Row],[DIVISIONNO]]&amp;"-"&amp;Table3[[#This Row],[COMPANYNAME]]</f>
        <v>75/507-* 30TH ST W VNT REHAB</v>
      </c>
      <c r="E411" s="23" t="s">
        <v>236</v>
      </c>
      <c r="F411" s="24">
        <v>75</v>
      </c>
      <c r="G411" s="24">
        <v>507</v>
      </c>
    </row>
    <row r="412" spans="1:7" x14ac:dyDescent="0.3">
      <c r="A412" t="str">
        <f>VLOOKUP(Table3[[#This Row],[COMPANYNO]],L:M,2)</f>
        <v>Picone</v>
      </c>
      <c r="B412" t="str">
        <f>VLOOKUP(Table3[[#This Row],[COMPANYNO]],L:N,3)</f>
        <v>Long Island City</v>
      </c>
      <c r="C412" t="s">
        <v>1507</v>
      </c>
      <c r="D412" t="str">
        <f>Table3[[#This Row],[COMPANYNO]]&amp;"/"&amp;Table3[[#This Row],[DIVISIONNO]]&amp;"-"&amp;Table3[[#This Row],[COMPANYNAME]]</f>
        <v>75/508-CROTON TUN REHB 334G</v>
      </c>
      <c r="E412" s="21" t="s">
        <v>237</v>
      </c>
      <c r="F412" s="22">
        <v>75</v>
      </c>
      <c r="G412" s="22">
        <v>508</v>
      </c>
    </row>
    <row r="413" spans="1:7" x14ac:dyDescent="0.3">
      <c r="A413" t="str">
        <f>VLOOKUP(Table3[[#This Row],[COMPANYNO]],L:M,2)</f>
        <v>Picone</v>
      </c>
      <c r="B413" t="str">
        <f>VLOOKUP(Table3[[#This Row],[COMPANYNO]],L:N,3)</f>
        <v>Long Island City</v>
      </c>
      <c r="C413" t="s">
        <v>1507</v>
      </c>
      <c r="D413" t="str">
        <f>Table3[[#This Row],[COMPANYNO]]&amp;"/"&amp;Table3[[#This Row],[DIVISIONNO]]&amp;"-"&amp;Table3[[#This Row],[COMPANYNAME]]</f>
        <v>75/509-NC-41F SKANSKA/JPP</v>
      </c>
      <c r="E413" s="23" t="s">
        <v>238</v>
      </c>
      <c r="F413" s="24">
        <v>75</v>
      </c>
      <c r="G413" s="24">
        <v>509</v>
      </c>
    </row>
    <row r="414" spans="1:7" x14ac:dyDescent="0.3">
      <c r="A414" t="str">
        <f>VLOOKUP(Table3[[#This Row],[COMPANYNO]],L:M,2)</f>
        <v>Picone</v>
      </c>
      <c r="B414" t="str">
        <f>VLOOKUP(Table3[[#This Row],[COMPANYNO]],L:N,3)</f>
        <v>Long Island City</v>
      </c>
      <c r="C414" t="s">
        <v>1507</v>
      </c>
      <c r="D414" t="str">
        <f>Table3[[#This Row],[COMPANYNO]]&amp;"/"&amp;Table3[[#This Row],[DIVISIONNO]]&amp;"-"&amp;Table3[[#This Row],[COMPANYNAME]]</f>
        <v>75/510-NEWTOWN CREEK NC35G</v>
      </c>
      <c r="E414" s="21" t="s">
        <v>239</v>
      </c>
      <c r="F414" s="22">
        <v>75</v>
      </c>
      <c r="G414" s="22">
        <v>510</v>
      </c>
    </row>
    <row r="415" spans="1:7" x14ac:dyDescent="0.3">
      <c r="A415" t="str">
        <f>VLOOKUP(Table3[[#This Row],[COMPANYNO]],L:M,2)</f>
        <v>Picone</v>
      </c>
      <c r="B415" t="str">
        <f>VLOOKUP(Table3[[#This Row],[COMPANYNO]],L:N,3)</f>
        <v>Long Island City</v>
      </c>
      <c r="C415" t="s">
        <v>1507</v>
      </c>
      <c r="D415" t="str">
        <f>Table3[[#This Row],[COMPANYNO]]&amp;"/"&amp;Table3[[#This Row],[DIVISIONNO]]&amp;"-"&amp;Table3[[#This Row],[COMPANYNAME]]</f>
        <v>75/511-NEWTOWN CREEK NC47G</v>
      </c>
      <c r="E415" s="23" t="s">
        <v>240</v>
      </c>
      <c r="F415" s="24">
        <v>75</v>
      </c>
      <c r="G415" s="24">
        <v>511</v>
      </c>
    </row>
    <row r="416" spans="1:7" x14ac:dyDescent="0.3">
      <c r="A416" t="str">
        <f>VLOOKUP(Table3[[#This Row],[COMPANYNO]],L:M,2)</f>
        <v>Picone</v>
      </c>
      <c r="B416" t="str">
        <f>VLOOKUP(Table3[[#This Row],[COMPANYNO]],L:N,3)</f>
        <v>Long Island City</v>
      </c>
      <c r="C416" t="s">
        <v>1507</v>
      </c>
      <c r="D416" t="str">
        <f>Table3[[#This Row],[COMPANYNO]]&amp;"/"&amp;Table3[[#This Row],[DIVISIONNO]]&amp;"-"&amp;Table3[[#This Row],[COMPANYNAME]]</f>
        <v>75/512-NEWTOWN CREEK 41G</v>
      </c>
      <c r="E416" s="21" t="s">
        <v>241</v>
      </c>
      <c r="F416" s="22">
        <v>75</v>
      </c>
      <c r="G416" s="22">
        <v>512</v>
      </c>
    </row>
    <row r="417" spans="1:7" x14ac:dyDescent="0.3">
      <c r="A417" t="str">
        <f>VLOOKUP(Table3[[#This Row],[COMPANYNO]],L:M,2)</f>
        <v>Picone</v>
      </c>
      <c r="B417" t="str">
        <f>VLOOKUP(Table3[[#This Row],[COMPANYNO]],L:N,3)</f>
        <v>Long Island City</v>
      </c>
      <c r="C417" t="s">
        <v>1507</v>
      </c>
      <c r="D417" t="str">
        <f>Table3[[#This Row],[COMPANYNO]]&amp;"/"&amp;Table3[[#This Row],[DIVISIONNO]]&amp;"-"&amp;Table3[[#This Row],[COMPANYNAME]]</f>
        <v>75/513-* PICONE/SCARIANO JV</v>
      </c>
      <c r="E417" s="23" t="s">
        <v>242</v>
      </c>
      <c r="F417" s="24">
        <v>75</v>
      </c>
      <c r="G417" s="24">
        <v>513</v>
      </c>
    </row>
    <row r="418" spans="1:7" x14ac:dyDescent="0.3">
      <c r="A418" t="str">
        <f>VLOOKUP(Table3[[#This Row],[COMPANYNO]],L:M,2)</f>
        <v>Picone</v>
      </c>
      <c r="B418" t="str">
        <f>VLOOKUP(Table3[[#This Row],[COMPANYNO]],L:N,3)</f>
        <v>Long Island City</v>
      </c>
      <c r="C418" t="s">
        <v>1507</v>
      </c>
      <c r="D418" t="str">
        <f>Table3[[#This Row],[COMPANYNO]]&amp;"/"&amp;Table3[[#This Row],[DIVISIONNO]]&amp;"-"&amp;Table3[[#This Row],[COMPANYNAME]]</f>
        <v>75/514-* Hamlet Electric</v>
      </c>
      <c r="E418" s="21" t="s">
        <v>243</v>
      </c>
      <c r="F418" s="22">
        <v>75</v>
      </c>
      <c r="G418" s="22">
        <v>514</v>
      </c>
    </row>
    <row r="419" spans="1:7" x14ac:dyDescent="0.3">
      <c r="A419" t="str">
        <f>VLOOKUP(Table3[[#This Row],[COMPANYNO]],L:M,2)</f>
        <v>Picone</v>
      </c>
      <c r="B419" t="str">
        <f>VLOOKUP(Table3[[#This Row],[COMPANYNO]],L:N,3)</f>
        <v>Long Island City</v>
      </c>
      <c r="C419" t="s">
        <v>1507</v>
      </c>
      <c r="D419" t="str">
        <f>Table3[[#This Row],[COMPANYNO]]&amp;"/"&amp;Table3[[#This Row],[DIVISIONNO]]&amp;"-"&amp;Table3[[#This Row],[COMPANYNAME]]</f>
        <v>75/515-55TH ST VENT CMO13A</v>
      </c>
      <c r="E419" s="23" t="s">
        <v>262</v>
      </c>
      <c r="F419" s="24">
        <v>75</v>
      </c>
      <c r="G419" s="24">
        <v>515</v>
      </c>
    </row>
    <row r="420" spans="1:7" x14ac:dyDescent="0.3">
      <c r="A420" t="str">
        <f>VLOOKUP(Table3[[#This Row],[COMPANYNO]],L:M,2)</f>
        <v>Picone</v>
      </c>
      <c r="B420" t="str">
        <f>VLOOKUP(Table3[[#This Row],[COMPANYNO]],L:N,3)</f>
        <v>Long Island City</v>
      </c>
      <c r="C420" t="s">
        <v>1507</v>
      </c>
      <c r="D420" t="str">
        <f>Table3[[#This Row],[COMPANYNO]]&amp;"/"&amp;Table3[[#This Row],[DIVISIONNO]]&amp;"-"&amp;Table3[[#This Row],[COMPANYNAME]]</f>
        <v>75/516-* OCEAN PARKWAY D-262250</v>
      </c>
      <c r="E420" s="21" t="s">
        <v>290</v>
      </c>
      <c r="F420" s="22">
        <v>75</v>
      </c>
      <c r="G420" s="22">
        <v>516</v>
      </c>
    </row>
    <row r="421" spans="1:7" x14ac:dyDescent="0.3">
      <c r="A421" t="str">
        <f>VLOOKUP(Table3[[#This Row],[COMPANYNO]],L:M,2)</f>
        <v>Picone</v>
      </c>
      <c r="B421" t="str">
        <f>VLOOKUP(Table3[[#This Row],[COMPANYNO]],L:N,3)</f>
        <v>Long Island City</v>
      </c>
      <c r="C421" t="s">
        <v>1507</v>
      </c>
      <c r="D421" t="str">
        <f>Table3[[#This Row],[COMPANYNO]]&amp;"/"&amp;Table3[[#This Row],[DIVISIONNO]]&amp;"-"&amp;Table3[[#This Row],[COMPANYNAME]]</f>
        <v>75/517-86TH ST STAT C26012</v>
      </c>
      <c r="E421" s="23" t="s">
        <v>343</v>
      </c>
      <c r="F421" s="24">
        <v>75</v>
      </c>
      <c r="G421" s="24">
        <v>517</v>
      </c>
    </row>
    <row r="422" spans="1:7" x14ac:dyDescent="0.3">
      <c r="A422" t="str">
        <f>VLOOKUP(Table3[[#This Row],[COMPANYNO]],L:M,2)</f>
        <v>Picone</v>
      </c>
      <c r="B422" t="str">
        <f>VLOOKUP(Table3[[#This Row],[COMPANYNO]],L:N,3)</f>
        <v>Long Island City</v>
      </c>
      <c r="C422" t="s">
        <v>1507</v>
      </c>
      <c r="D422" t="str">
        <f>Table3[[#This Row],[COMPANYNO]]&amp;"/"&amp;Table3[[#This Row],[DIVISIONNO]]&amp;"-"&amp;Table3[[#This Row],[COMPANYNAME]]</f>
        <v>75/518-HAROLD STRUCT CH057A</v>
      </c>
      <c r="E422" s="21" t="s">
        <v>364</v>
      </c>
      <c r="F422" s="22">
        <v>75</v>
      </c>
      <c r="G422" s="22">
        <v>518</v>
      </c>
    </row>
    <row r="423" spans="1:7" x14ac:dyDescent="0.3">
      <c r="A423" t="str">
        <f>VLOOKUP(Table3[[#This Row],[COMPANYNO]],L:M,2)</f>
        <v>Picone</v>
      </c>
      <c r="B423" t="str">
        <f>VLOOKUP(Table3[[#This Row],[COMPANYNO]],L:N,3)</f>
        <v>Long Island City</v>
      </c>
      <c r="C423" t="s">
        <v>1507</v>
      </c>
      <c r="D423" t="str">
        <f>Table3[[#This Row],[COMPANYNO]]&amp;"/"&amp;Table3[[#This Row],[DIVISIONNO]]&amp;"-"&amp;Table3[[#This Row],[COMPANYNAME]]</f>
        <v>75/519-BWRY BY PMP STN BB64</v>
      </c>
      <c r="E423" s="23" t="s">
        <v>374</v>
      </c>
      <c r="F423" s="24">
        <v>75</v>
      </c>
      <c r="G423" s="24">
        <v>519</v>
      </c>
    </row>
    <row r="424" spans="1:7" x14ac:dyDescent="0.3">
      <c r="A424" t="str">
        <f>VLOOKUP(Table3[[#This Row],[COMPANYNO]],L:M,2)</f>
        <v>Picone</v>
      </c>
      <c r="B424" t="str">
        <f>VLOOKUP(Table3[[#This Row],[COMPANYNO]],L:N,3)</f>
        <v>Long Island City</v>
      </c>
      <c r="C424" t="s">
        <v>1507</v>
      </c>
      <c r="D424" t="str">
        <f>Table3[[#This Row],[COMPANYNO]]&amp;"/"&amp;Table3[[#This Row],[DIVISIONNO]]&amp;"-"&amp;Table3[[#This Row],[COMPANYNAME]]</f>
        <v>75/520-JOHNSON AVE YARD 6121</v>
      </c>
      <c r="E424" s="21" t="s">
        <v>371</v>
      </c>
      <c r="F424" s="22">
        <v>75</v>
      </c>
      <c r="G424" s="22">
        <v>520</v>
      </c>
    </row>
    <row r="425" spans="1:7" x14ac:dyDescent="0.3">
      <c r="A425" t="str">
        <f>VLOOKUP(Table3[[#This Row],[COMPANYNO]],L:M,2)</f>
        <v>Picone</v>
      </c>
      <c r="B425" t="str">
        <f>VLOOKUP(Table3[[#This Row],[COMPANYNO]],L:N,3)</f>
        <v>Long Island City</v>
      </c>
      <c r="C425" t="s">
        <v>1507</v>
      </c>
      <c r="D425" t="str">
        <f>Table3[[#This Row],[COMPANYNO]]&amp;"/"&amp;Table3[[#This Row],[DIVISIONNO]]&amp;"-"&amp;Table3[[#This Row],[COMPANYNAME]]</f>
        <v>75/521-GCT CONCOURSE CM014B</v>
      </c>
      <c r="E425" s="23" t="s">
        <v>458</v>
      </c>
      <c r="F425" s="24">
        <v>75</v>
      </c>
      <c r="G425" s="24">
        <v>521</v>
      </c>
    </row>
    <row r="426" spans="1:7" x14ac:dyDescent="0.3">
      <c r="A426" t="str">
        <f>VLOOKUP(Table3[[#This Row],[COMPANYNO]],L:M,2)</f>
        <v>Picone</v>
      </c>
      <c r="B426" t="str">
        <f>VLOOKUP(Table3[[#This Row],[COMPANYNO]],L:N,3)</f>
        <v>Long Island City</v>
      </c>
      <c r="C426" t="s">
        <v>1507</v>
      </c>
      <c r="D426" t="str">
        <f>Table3[[#This Row],[COMPANYNO]]&amp;"/"&amp;Table3[[#This Row],[DIVISIONNO]]&amp;"-"&amp;Table3[[#This Row],[COMPANYNAME]]</f>
        <v>75/522-DYRE AV STAT A-36916</v>
      </c>
      <c r="E426" s="21" t="s">
        <v>482</v>
      </c>
      <c r="F426" s="22">
        <v>75</v>
      </c>
      <c r="G426" s="22">
        <v>522</v>
      </c>
    </row>
    <row r="427" spans="1:7" x14ac:dyDescent="0.3">
      <c r="A427" t="str">
        <f>VLOOKUP(Table3[[#This Row],[COMPANYNO]],L:M,2)</f>
        <v>Picone</v>
      </c>
      <c r="B427" t="str">
        <f>VLOOKUP(Table3[[#This Row],[COMPANYNO]],L:N,3)</f>
        <v>Long Island City</v>
      </c>
      <c r="C427" t="s">
        <v>1507</v>
      </c>
      <c r="D427" t="str">
        <f>Table3[[#This Row],[COMPANYNO]]&amp;"/"&amp;Table3[[#This Row],[DIVISIONNO]]&amp;"-"&amp;Table3[[#This Row],[COMPANYNAME]]</f>
        <v>75/523-RT110 @ RT27 D900027</v>
      </c>
      <c r="E427" s="23" t="s">
        <v>484</v>
      </c>
      <c r="F427" s="24">
        <v>75</v>
      </c>
      <c r="G427" s="24">
        <v>523</v>
      </c>
    </row>
    <row r="428" spans="1:7" x14ac:dyDescent="0.3">
      <c r="A428" t="str">
        <f>VLOOKUP(Table3[[#This Row],[COMPANYNO]],L:M,2)</f>
        <v>Picone</v>
      </c>
      <c r="B428" t="str">
        <f>VLOOKUP(Table3[[#This Row],[COMPANYNO]],L:N,3)</f>
        <v>Long Island City</v>
      </c>
      <c r="C428" t="s">
        <v>1507</v>
      </c>
      <c r="D428" t="str">
        <f>Table3[[#This Row],[COMPANYNO]]&amp;"/"&amp;Table3[[#This Row],[DIVISIONNO]]&amp;"-"&amp;Table3[[#This Row],[COMPANYNAME]]</f>
        <v>75/524-WARD TRTMT PL 26W-20</v>
      </c>
      <c r="E428" s="21" t="s">
        <v>504</v>
      </c>
      <c r="F428" s="22">
        <v>75</v>
      </c>
      <c r="G428" s="22">
        <v>524</v>
      </c>
    </row>
    <row r="429" spans="1:7" x14ac:dyDescent="0.3">
      <c r="A429" t="str">
        <f>VLOOKUP(Table3[[#This Row],[COMPANYNO]],L:M,2)</f>
        <v>Picone</v>
      </c>
      <c r="B429" t="str">
        <f>VLOOKUP(Table3[[#This Row],[COMPANYNO]],L:N,3)</f>
        <v>Long Island City</v>
      </c>
      <c r="C429" t="s">
        <v>1507</v>
      </c>
      <c r="D429" t="str">
        <f>Table3[[#This Row],[COMPANYNO]]&amp;"/"&amp;Table3[[#This Row],[DIVISIONNO]]&amp;"-"&amp;Table3[[#This Row],[COMPANYNAME]]</f>
        <v>75/525-3RD TRACK 6240 MAINLINE EXP</v>
      </c>
      <c r="E429" s="23" t="s">
        <v>695</v>
      </c>
      <c r="F429" s="24">
        <v>75</v>
      </c>
      <c r="G429" s="24">
        <v>525</v>
      </c>
    </row>
    <row r="430" spans="1:7" x14ac:dyDescent="0.3">
      <c r="A430" t="str">
        <f>VLOOKUP(Table3[[#This Row],[COMPANYNO]],L:M,2)</f>
        <v>Picone</v>
      </c>
      <c r="B430" t="str">
        <f>VLOOKUP(Table3[[#This Row],[COMPANYNO]],L:N,3)</f>
        <v>Long Island City</v>
      </c>
      <c r="C430" t="s">
        <v>1507</v>
      </c>
      <c r="D430" t="str">
        <f>Table3[[#This Row],[COMPANYNO]]&amp;"/"&amp;Table3[[#This Row],[DIVISIONNO]]&amp;"-"&amp;Table3[[#This Row],[COMPANYNAME]]</f>
        <v>75/526-HYATT GIRDER R-50739 - %JV</v>
      </c>
      <c r="E430" s="21" t="s">
        <v>733</v>
      </c>
      <c r="F430" s="22">
        <v>75</v>
      </c>
      <c r="G430" s="22">
        <v>526</v>
      </c>
    </row>
    <row r="431" spans="1:7" x14ac:dyDescent="0.3">
      <c r="A431" t="str">
        <f>VLOOKUP(Table3[[#This Row],[COMPANYNO]],L:M,2)</f>
        <v>Prince</v>
      </c>
      <c r="B431" t="str">
        <f>VLOOKUP(Table3[[#This Row],[COMPANYNO]],L:N,3)</f>
        <v>Tampa</v>
      </c>
      <c r="C431" t="s">
        <v>1507</v>
      </c>
      <c r="D431" t="str">
        <f>Table3[[#This Row],[COMPANYNO]]&amp;"/"&amp;Table3[[#This Row],[DIVISIONNO]]&amp;"-"&amp;Table3[[#This Row],[COMPANYNAME]]</f>
        <v>50/501-I-16 at I-95 Interchange %JV</v>
      </c>
      <c r="E431" s="21" t="s">
        <v>764</v>
      </c>
      <c r="F431" s="22">
        <v>50</v>
      </c>
      <c r="G431" s="22">
        <v>501</v>
      </c>
    </row>
    <row r="432" spans="1:7" x14ac:dyDescent="0.3">
      <c r="A432" t="str">
        <f>VLOOKUP(Table3[[#This Row],[COMPANYNO]],L:M,2)</f>
        <v>Pulice</v>
      </c>
      <c r="B432" t="str">
        <f>VLOOKUP(Table3[[#This Row],[COMPANYNO]],L:N,3)</f>
        <v>Arizona</v>
      </c>
      <c r="C432" t="s">
        <v>1507</v>
      </c>
      <c r="D432" t="str">
        <f>Table3[[#This Row],[COMPANYNO]]&amp;"/"&amp;Table3[[#This Row],[DIVISIONNO]]&amp;"-"&amp;Table3[[#This Row],[COMPANYNAME]]</f>
        <v>60/501-Pulice Wadsworth</v>
      </c>
      <c r="E432" s="23" t="s">
        <v>391</v>
      </c>
      <c r="F432" s="24">
        <v>60</v>
      </c>
      <c r="G432" s="24">
        <v>501</v>
      </c>
    </row>
    <row r="433" spans="1:7" x14ac:dyDescent="0.3">
      <c r="A433" t="str">
        <f>VLOOKUP(Table3[[#This Row],[COMPANYNO]],L:M,2)</f>
        <v>Pulice</v>
      </c>
      <c r="B433" t="str">
        <f>VLOOKUP(Table3[[#This Row],[COMPANYNO]],L:N,3)</f>
        <v>Arizona</v>
      </c>
      <c r="C433" t="s">
        <v>1507</v>
      </c>
      <c r="D433" t="str">
        <f>Table3[[#This Row],[COMPANYNO]]&amp;"/"&amp;Table3[[#This Row],[DIVISIONNO]]&amp;"-"&amp;Table3[[#This Row],[COMPANYNAME]]</f>
        <v>60/502-Pulice - Granite</v>
      </c>
      <c r="E433" s="21" t="s">
        <v>394</v>
      </c>
      <c r="F433" s="22">
        <v>60</v>
      </c>
      <c r="G433" s="22">
        <v>502</v>
      </c>
    </row>
    <row r="434" spans="1:7" x14ac:dyDescent="0.3">
      <c r="A434" t="str">
        <f>VLOOKUP(Table3[[#This Row],[COMPANYNO]],L:M,2)</f>
        <v>Pulice</v>
      </c>
      <c r="B434" t="str">
        <f>VLOOKUP(Table3[[#This Row],[COMPANYNO]],L:N,3)</f>
        <v>Arizona</v>
      </c>
      <c r="C434" t="s">
        <v>1507</v>
      </c>
      <c r="D434" t="str">
        <f>Table3[[#This Row],[COMPANYNO]]&amp;"/"&amp;Table3[[#This Row],[DIVISIONNO]]&amp;"-"&amp;Table3[[#This Row],[COMPANYNAME]]</f>
        <v>60/503-Pulice-Granite Red Mtn</v>
      </c>
      <c r="E434" s="23" t="s">
        <v>419</v>
      </c>
      <c r="F434" s="24">
        <v>60</v>
      </c>
      <c r="G434" s="24">
        <v>503</v>
      </c>
    </row>
    <row r="435" spans="1:7" x14ac:dyDescent="0.3">
      <c r="A435" t="str">
        <f>VLOOKUP(Table3[[#This Row],[COMPANYNO]],L:M,2)</f>
        <v>Pulice</v>
      </c>
      <c r="B435" t="str">
        <f>VLOOKUP(Table3[[#This Row],[COMPANYNO]],L:N,3)</f>
        <v>California</v>
      </c>
      <c r="C435" t="s">
        <v>1507</v>
      </c>
      <c r="D435" t="str">
        <f>Table3[[#This Row],[COMPANYNO]]&amp;"/"&amp;Table3[[#This Row],[DIVISIONNO]]&amp;"-"&amp;Table3[[#This Row],[COMPANYNAME]]</f>
        <v>61/501-San Jose Creek Pump Stn</v>
      </c>
      <c r="E435" s="21" t="s">
        <v>413</v>
      </c>
      <c r="F435" s="22">
        <v>61</v>
      </c>
      <c r="G435" s="22">
        <v>501</v>
      </c>
    </row>
    <row r="436" spans="1:7" x14ac:dyDescent="0.3">
      <c r="A436" t="str">
        <f>VLOOKUP(Table3[[#This Row],[COMPANYNO]],L:M,2)</f>
        <v>Pulice</v>
      </c>
      <c r="B436" t="str">
        <f>VLOOKUP(Table3[[#This Row],[COMPANYNO]],L:N,3)</f>
        <v>Texas</v>
      </c>
      <c r="C436" t="s">
        <v>1507</v>
      </c>
      <c r="D436" t="str">
        <f>Table3[[#This Row],[COMPANYNO]]&amp;"/"&amp;Table3[[#This Row],[DIVISIONNO]]&amp;"-"&amp;Table3[[#This Row],[COMPANYNAME]]</f>
        <v>62/501-SH-288 Toll Lanes</v>
      </c>
      <c r="E436" s="23" t="s">
        <v>493</v>
      </c>
      <c r="F436" s="24">
        <v>62</v>
      </c>
      <c r="G436" s="24">
        <v>501</v>
      </c>
    </row>
    <row r="437" spans="1:7" x14ac:dyDescent="0.3">
      <c r="A437" t="str">
        <f>VLOOKUP(Table3[[#This Row],[COMPANYNO]],L:M,2)</f>
        <v>Schiavone</v>
      </c>
      <c r="B437" t="str">
        <f>VLOOKUP(Table3[[#This Row],[COMPANYNO]],L:N,3)</f>
        <v>New Jersey</v>
      </c>
      <c r="C437" t="s">
        <v>1507</v>
      </c>
      <c r="D437" t="str">
        <f>Table3[[#This Row],[COMPANYNO]]&amp;"/"&amp;Table3[[#This Row],[DIVISIONNO]]&amp;"-"&amp;Table3[[#This Row],[COMPANYNAME]]</f>
        <v>80/501-* Macombs Dam Bridge</v>
      </c>
      <c r="E437" s="23" t="s">
        <v>291</v>
      </c>
      <c r="F437" s="24">
        <v>80</v>
      </c>
      <c r="G437" s="24">
        <v>501</v>
      </c>
    </row>
    <row r="438" spans="1:7" x14ac:dyDescent="0.3">
      <c r="A438" t="str">
        <f>VLOOKUP(Table3[[#This Row],[COMPANYNO]],L:M,2)</f>
        <v>Schiavone</v>
      </c>
      <c r="B438" t="str">
        <f>VLOOKUP(Table3[[#This Row],[COMPANYNO]],L:N,3)</f>
        <v>New Jersey</v>
      </c>
      <c r="C438" t="s">
        <v>1507</v>
      </c>
      <c r="D438" t="str">
        <f>Table3[[#This Row],[COMPANYNO]]&amp;"/"&amp;Table3[[#This Row],[DIVISIONNO]]&amp;"-"&amp;Table3[[#This Row],[COMPANYNAME]]</f>
        <v>80/502-* SCC/FRONTKEMPER/SHEA</v>
      </c>
      <c r="E438" s="21" t="s">
        <v>292</v>
      </c>
      <c r="F438" s="22">
        <v>80</v>
      </c>
      <c r="G438" s="22">
        <v>502</v>
      </c>
    </row>
    <row r="439" spans="1:7" x14ac:dyDescent="0.3">
      <c r="A439" t="str">
        <f>VLOOKUP(Table3[[#This Row],[COMPANYNO]],L:M,2)</f>
        <v>Schiavone</v>
      </c>
      <c r="B439" t="str">
        <f>VLOOKUP(Table3[[#This Row],[COMPANYNO]],L:N,3)</f>
        <v>New Jersey</v>
      </c>
      <c r="C439" t="s">
        <v>1507</v>
      </c>
      <c r="D439" t="str">
        <f>Table3[[#This Row],[COMPANYNO]]&amp;"/"&amp;Table3[[#This Row],[DIVISIONNO]]&amp;"-"&amp;Table3[[#This Row],[COMPANYNAME]]</f>
        <v>80/503-Blue Clean Water LLC</v>
      </c>
      <c r="E439" s="23" t="s">
        <v>299</v>
      </c>
      <c r="F439" s="24">
        <v>80</v>
      </c>
      <c r="G439" s="24">
        <v>503</v>
      </c>
    </row>
    <row r="440" spans="1:7" x14ac:dyDescent="0.3">
      <c r="A440" t="str">
        <f>VLOOKUP(Table3[[#This Row],[COMPANYNO]],L:M,2)</f>
        <v>Schiavone</v>
      </c>
      <c r="B440" t="str">
        <f>VLOOKUP(Table3[[#This Row],[COMPANYNO]],L:N,3)</f>
        <v>New Jersey</v>
      </c>
      <c r="C440" t="s">
        <v>1507</v>
      </c>
      <c r="D440" t="str">
        <f>Table3[[#This Row],[COMPANYNO]]&amp;"/"&amp;Table3[[#This Row],[DIVISIONNO]]&amp;"-"&amp;Table3[[#This Row],[COMPANYNAME]]</f>
        <v>80/504-* Granite Halmar/SCC</v>
      </c>
      <c r="E440" s="21" t="s">
        <v>305</v>
      </c>
      <c r="F440" s="22">
        <v>80</v>
      </c>
      <c r="G440" s="22">
        <v>504</v>
      </c>
    </row>
    <row r="441" spans="1:7" x14ac:dyDescent="0.3">
      <c r="A441" t="str">
        <f>VLOOKUP(Table3[[#This Row],[COMPANYNO]],L:M,2)</f>
        <v>Schiavone</v>
      </c>
      <c r="B441" t="str">
        <f>VLOOKUP(Table3[[#This Row],[COMPANYNO]],L:N,3)</f>
        <v>New Jersey</v>
      </c>
      <c r="C441" t="s">
        <v>1507</v>
      </c>
      <c r="D441" t="str">
        <f>Table3[[#This Row],[COMPANYNO]]&amp;"/"&amp;Table3[[#This Row],[DIVISIONNO]]&amp;"-"&amp;Table3[[#This Row],[COMPANYNAME]]</f>
        <v>80/509-* City Water Tunnel 538C</v>
      </c>
      <c r="E441" s="23" t="s">
        <v>294</v>
      </c>
      <c r="F441" s="24">
        <v>80</v>
      </c>
      <c r="G441" s="24">
        <v>509</v>
      </c>
    </row>
    <row r="442" spans="1:7" x14ac:dyDescent="0.3">
      <c r="A442" t="str">
        <f>VLOOKUP(Table3[[#This Row],[COMPANYNO]],L:M,2)</f>
        <v>Schiavone</v>
      </c>
      <c r="B442" t="str">
        <f>VLOOKUP(Table3[[#This Row],[COMPANYNO]],L:N,3)</f>
        <v>New Jersey</v>
      </c>
      <c r="C442" t="s">
        <v>1507</v>
      </c>
      <c r="D442" t="str">
        <f>Table3[[#This Row],[COMPANYNO]]&amp;"/"&amp;Table3[[#This Row],[DIVISIONNO]]&amp;"-"&amp;Table3[[#This Row],[COMPANYNAME]]</f>
        <v>80/510-South Ferry Terminal</v>
      </c>
      <c r="E442" s="21" t="s">
        <v>293</v>
      </c>
      <c r="F442" s="22">
        <v>80</v>
      </c>
      <c r="G442" s="22">
        <v>510</v>
      </c>
    </row>
    <row r="443" spans="1:7" x14ac:dyDescent="0.3">
      <c r="A443" t="str">
        <f>VLOOKUP(Table3[[#This Row],[COMPANYNO]],L:M,2)</f>
        <v>Schiavone</v>
      </c>
      <c r="B443" t="str">
        <f>VLOOKUP(Table3[[#This Row],[COMPANYNO]],L:N,3)</f>
        <v>New Jersey</v>
      </c>
      <c r="C443" t="s">
        <v>1507</v>
      </c>
      <c r="D443" t="str">
        <f>Table3[[#This Row],[COMPANYNO]]&amp;"/"&amp;Table3[[#This Row],[DIVISIONNO]]&amp;"-"&amp;Table3[[#This Row],[COMPANYNAME]]</f>
        <v>80/511-Croton Tunnel CRO313</v>
      </c>
      <c r="E443" s="23" t="s">
        <v>295</v>
      </c>
      <c r="F443" s="24">
        <v>80</v>
      </c>
      <c r="G443" s="24">
        <v>511</v>
      </c>
    </row>
    <row r="444" spans="1:7" x14ac:dyDescent="0.3">
      <c r="A444" t="str">
        <f>VLOOKUP(Table3[[#This Row],[COMPANYNO]],L:M,2)</f>
        <v>Schiavone</v>
      </c>
      <c r="B444" t="str">
        <f>VLOOKUP(Table3[[#This Row],[COMPANYNO]],L:N,3)</f>
        <v>New Jersey</v>
      </c>
      <c r="C444" t="s">
        <v>1507</v>
      </c>
      <c r="D444" t="str">
        <f>Table3[[#This Row],[COMPANYNO]]&amp;"/"&amp;Table3[[#This Row],[DIVISIONNO]]&amp;"-"&amp;Table3[[#This Row],[COMPANYNAME]]</f>
        <v>80/512-* 30th St Vent Rehab</v>
      </c>
      <c r="E444" s="21" t="s">
        <v>296</v>
      </c>
      <c r="F444" s="22">
        <v>80</v>
      </c>
      <c r="G444" s="22">
        <v>512</v>
      </c>
    </row>
    <row r="445" spans="1:7" x14ac:dyDescent="0.3">
      <c r="A445" t="str">
        <f>VLOOKUP(Table3[[#This Row],[COMPANYNO]],L:M,2)</f>
        <v>Schiavone</v>
      </c>
      <c r="B445" t="str">
        <f>VLOOKUP(Table3[[#This Row],[COMPANYNO]],L:N,3)</f>
        <v>New Jersey</v>
      </c>
      <c r="C445" t="s">
        <v>1507</v>
      </c>
      <c r="D445" t="str">
        <f>Table3[[#This Row],[COMPANYNO]]&amp;"/"&amp;Table3[[#This Row],[DIVISIONNO]]&amp;"-"&amp;Table3[[#This Row],[COMPANYNAME]]</f>
        <v>80/513-Jay St Station Rehab</v>
      </c>
      <c r="E445" s="23" t="s">
        <v>297</v>
      </c>
      <c r="F445" s="24">
        <v>80</v>
      </c>
      <c r="G445" s="24">
        <v>513</v>
      </c>
    </row>
    <row r="446" spans="1:7" x14ac:dyDescent="0.3">
      <c r="A446" t="str">
        <f>VLOOKUP(Table3[[#This Row],[COMPANYNO]],L:M,2)</f>
        <v>Schiavone</v>
      </c>
      <c r="B446" t="str">
        <f>VLOOKUP(Table3[[#This Row],[COMPANYNO]],L:N,3)</f>
        <v>New Jersey</v>
      </c>
      <c r="C446" t="s">
        <v>1507</v>
      </c>
      <c r="D446" t="str">
        <f>Table3[[#This Row],[COMPANYNO]]&amp;"/"&amp;Table3[[#This Row],[DIVISIONNO]]&amp;"-"&amp;Table3[[#This Row],[COMPANYNAME]]</f>
        <v>80/514-2ND AVE SUBWAY S3II</v>
      </c>
      <c r="E446" s="21" t="s">
        <v>306</v>
      </c>
      <c r="F446" s="22">
        <v>80</v>
      </c>
      <c r="G446" s="22">
        <v>514</v>
      </c>
    </row>
    <row r="447" spans="1:7" x14ac:dyDescent="0.3">
      <c r="A447" t="str">
        <f>VLOOKUP(Table3[[#This Row],[COMPANYNO]],L:M,2)</f>
        <v>Schiavone</v>
      </c>
      <c r="B447" t="str">
        <f>VLOOKUP(Table3[[#This Row],[COMPANYNO]],L:N,3)</f>
        <v>New Jersey</v>
      </c>
      <c r="C447" t="s">
        <v>1507</v>
      </c>
      <c r="D447" t="str">
        <f>Table3[[#This Row],[COMPANYNO]]&amp;"/"&amp;Table3[[#This Row],[DIVISIONNO]]&amp;"-"&amp;Table3[[#This Row],[COMPANYNAME]]</f>
        <v>80/515-Rondout Tunnel Rehab</v>
      </c>
      <c r="E447" s="23" t="s">
        <v>298</v>
      </c>
      <c r="F447" s="24">
        <v>80</v>
      </c>
      <c r="G447" s="24">
        <v>515</v>
      </c>
    </row>
    <row r="448" spans="1:7" x14ac:dyDescent="0.3">
      <c r="A448" t="str">
        <f>VLOOKUP(Table3[[#This Row],[COMPANYNO]],L:M,2)</f>
        <v>Schiavone</v>
      </c>
      <c r="B448" t="str">
        <f>VLOOKUP(Table3[[#This Row],[COMPANYNO]],L:N,3)</f>
        <v>New Jersey</v>
      </c>
      <c r="C448" t="s">
        <v>1507</v>
      </c>
      <c r="D448" t="str">
        <f>Table3[[#This Row],[COMPANYNO]]&amp;"/"&amp;Table3[[#This Row],[DIVISIONNO]]&amp;"-"&amp;Table3[[#This Row],[COMPANYNAME]]</f>
        <v>80/516-7th Line Tunnel</v>
      </c>
      <c r="E448" s="21" t="s">
        <v>307</v>
      </c>
      <c r="F448" s="22">
        <v>80</v>
      </c>
      <c r="G448" s="22">
        <v>516</v>
      </c>
    </row>
    <row r="449" spans="1:7" x14ac:dyDescent="0.3">
      <c r="A449" t="str">
        <f>VLOOKUP(Table3[[#This Row],[COMPANYNO]],L:M,2)</f>
        <v>Schiavone</v>
      </c>
      <c r="B449" t="str">
        <f>VLOOKUP(Table3[[#This Row],[COMPANYNO]],L:N,3)</f>
        <v>New Jersey</v>
      </c>
      <c r="C449" t="s">
        <v>1507</v>
      </c>
      <c r="D449" t="str">
        <f>Table3[[#This Row],[COMPANYNO]]&amp;"/"&amp;Table3[[#This Row],[DIVISIONNO]]&amp;"-"&amp;Table3[[#This Row],[COMPANYNAME]]</f>
        <v>80/517-Croton WT 312OSG</v>
      </c>
      <c r="E449" s="23" t="s">
        <v>308</v>
      </c>
      <c r="F449" s="24">
        <v>80</v>
      </c>
      <c r="G449" s="24">
        <v>517</v>
      </c>
    </row>
    <row r="450" spans="1:7" x14ac:dyDescent="0.3">
      <c r="A450" t="str">
        <f>VLOOKUP(Table3[[#This Row],[COMPANYNO]],L:M,2)</f>
        <v>Schiavone</v>
      </c>
      <c r="B450" t="str">
        <f>VLOOKUP(Table3[[#This Row],[COMPANYNO]],L:N,3)</f>
        <v>New Jersey</v>
      </c>
      <c r="C450" t="s">
        <v>1507</v>
      </c>
      <c r="D450" t="str">
        <f>Table3[[#This Row],[COMPANYNO]]&amp;"/"&amp;Table3[[#This Row],[DIVISIONNO]]&amp;"-"&amp;Table3[[#This Row],[COMPANYNAME]]</f>
        <v>80/518-Croton Tunnel 334G</v>
      </c>
      <c r="E450" s="21" t="s">
        <v>309</v>
      </c>
      <c r="F450" s="22">
        <v>80</v>
      </c>
      <c r="G450" s="22">
        <v>518</v>
      </c>
    </row>
    <row r="451" spans="1:7" x14ac:dyDescent="0.3">
      <c r="A451" t="str">
        <f>VLOOKUP(Table3[[#This Row],[COMPANYNO]],L:M,2)</f>
        <v>Schiavone</v>
      </c>
      <c r="B451" t="str">
        <f>VLOOKUP(Table3[[#This Row],[COMPANYNO]],L:N,3)</f>
        <v>New Jersey</v>
      </c>
      <c r="C451" t="s">
        <v>1507</v>
      </c>
      <c r="D451" t="str">
        <f>Table3[[#This Row],[COMPANYNO]]&amp;"/"&amp;Table3[[#This Row],[DIVISIONNO]]&amp;"-"&amp;Table3[[#This Row],[COMPANYNAME]]</f>
        <v>80/519-City Tunnel SH#3 C538D</v>
      </c>
      <c r="E451" s="23" t="s">
        <v>310</v>
      </c>
      <c r="F451" s="24">
        <v>80</v>
      </c>
      <c r="G451" s="24">
        <v>519</v>
      </c>
    </row>
    <row r="452" spans="1:7" x14ac:dyDescent="0.3">
      <c r="A452" t="str">
        <f>VLOOKUP(Table3[[#This Row],[COMPANYNO]],L:M,2)</f>
        <v>Schiavone</v>
      </c>
      <c r="B452" t="str">
        <f>VLOOKUP(Table3[[#This Row],[COMPANYNO]],L:N,3)</f>
        <v>New Jersey</v>
      </c>
      <c r="C452" t="s">
        <v>1507</v>
      </c>
      <c r="D452" t="str">
        <f>Table3[[#This Row],[COMPANYNO]]&amp;"/"&amp;Table3[[#This Row],[DIVISIONNO]]&amp;"-"&amp;Table3[[#This Row],[COMPANYNAME]]</f>
        <v>80/520-Newtown Creek 41G</v>
      </c>
      <c r="E452" s="21" t="s">
        <v>300</v>
      </c>
      <c r="F452" s="22">
        <v>80</v>
      </c>
      <c r="G452" s="22">
        <v>520</v>
      </c>
    </row>
    <row r="453" spans="1:7" x14ac:dyDescent="0.3">
      <c r="A453" t="str">
        <f>VLOOKUP(Table3[[#This Row],[COMPANYNO]],L:M,2)</f>
        <v>Schiavone</v>
      </c>
      <c r="B453" t="str">
        <f>VLOOKUP(Table3[[#This Row],[COMPANYNO]],L:N,3)</f>
        <v>New Jersey</v>
      </c>
      <c r="C453" t="s">
        <v>1507</v>
      </c>
      <c r="D453" t="str">
        <f>Table3[[#This Row],[COMPANYNO]]&amp;"/"&amp;Table3[[#This Row],[DIVISIONNO]]&amp;"-"&amp;Table3[[#This Row],[COMPANYNAME]]</f>
        <v>80/521-* Northern Blvd CQ039</v>
      </c>
      <c r="E453" s="23" t="s">
        <v>301</v>
      </c>
      <c r="F453" s="24">
        <v>80</v>
      </c>
      <c r="G453" s="24">
        <v>521</v>
      </c>
    </row>
    <row r="454" spans="1:7" x14ac:dyDescent="0.3">
      <c r="A454" t="str">
        <f>VLOOKUP(Table3[[#This Row],[COMPANYNO]],L:M,2)</f>
        <v>Schiavone</v>
      </c>
      <c r="B454" t="str">
        <f>VLOOKUP(Table3[[#This Row],[COMPANYNO]],L:N,3)</f>
        <v>New Jersey</v>
      </c>
      <c r="C454" t="s">
        <v>1507</v>
      </c>
      <c r="D454" t="str">
        <f>Table3[[#This Row],[COMPANYNO]]&amp;"/"&amp;Table3[[#This Row],[DIVISIONNO]]&amp;"-"&amp;Table3[[#This Row],[COMPANYNAME]]</f>
        <v>80/522-* PALSDES TUN 09038X</v>
      </c>
      <c r="E454" s="21" t="s">
        <v>302</v>
      </c>
      <c r="F454" s="22">
        <v>80</v>
      </c>
      <c r="G454" s="22">
        <v>522</v>
      </c>
    </row>
    <row r="455" spans="1:7" x14ac:dyDescent="0.3">
      <c r="A455" t="str">
        <f>VLOOKUP(Table3[[#This Row],[COMPANYNO]],L:M,2)</f>
        <v>Schiavone</v>
      </c>
      <c r="B455" t="str">
        <f>VLOOKUP(Table3[[#This Row],[COMPANYNO]],L:N,3)</f>
        <v>New Jersey</v>
      </c>
      <c r="C455" t="s">
        <v>1507</v>
      </c>
      <c r="D455" t="str">
        <f>Table3[[#This Row],[COMPANYNO]]&amp;"/"&amp;Table3[[#This Row],[DIVISIONNO]]&amp;"-"&amp;Table3[[#This Row],[COMPANYNAME]]</f>
        <v>80/523-Fulton St Station</v>
      </c>
      <c r="E455" s="23" t="s">
        <v>311</v>
      </c>
      <c r="F455" s="24">
        <v>80</v>
      </c>
      <c r="G455" s="24">
        <v>523</v>
      </c>
    </row>
    <row r="456" spans="1:7" x14ac:dyDescent="0.3">
      <c r="A456" t="str">
        <f>VLOOKUP(Table3[[#This Row],[COMPANYNO]],L:M,2)</f>
        <v>Schiavone</v>
      </c>
      <c r="B456" t="str">
        <f>VLOOKUP(Table3[[#This Row],[COMPANYNO]],L:N,3)</f>
        <v>New Jersey</v>
      </c>
      <c r="C456" t="s">
        <v>1507</v>
      </c>
      <c r="D456" t="str">
        <f>Table3[[#This Row],[COMPANYNO]]&amp;"/"&amp;Table3[[#This Row],[DIVISIONNO]]&amp;"-"&amp;Table3[[#This Row],[COMPANYNAME]]</f>
        <v>80/524-72nd St. Station</v>
      </c>
      <c r="E456" s="21" t="s">
        <v>303</v>
      </c>
      <c r="F456" s="22">
        <v>80</v>
      </c>
      <c r="G456" s="22">
        <v>524</v>
      </c>
    </row>
    <row r="457" spans="1:7" x14ac:dyDescent="0.3">
      <c r="A457" t="str">
        <f>VLOOKUP(Table3[[#This Row],[COMPANYNO]],L:M,2)</f>
        <v>Schiavone</v>
      </c>
      <c r="B457" t="str">
        <f>VLOOKUP(Table3[[#This Row],[COMPANYNO]],L:N,3)</f>
        <v>New Jersey</v>
      </c>
      <c r="C457" t="s">
        <v>1507</v>
      </c>
      <c r="D457" t="str">
        <f>Table3[[#This Row],[COMPANYNO]]&amp;"/"&amp;Table3[[#This Row],[DIVISIONNO]]&amp;"-"&amp;Table3[[#This Row],[COMPANYNAME]]</f>
        <v>80/525-Busway Contract 2 CT</v>
      </c>
      <c r="E457" s="23" t="s">
        <v>312</v>
      </c>
      <c r="F457" s="24">
        <v>80</v>
      </c>
      <c r="G457" s="24">
        <v>525</v>
      </c>
    </row>
    <row r="458" spans="1:7" x14ac:dyDescent="0.3">
      <c r="A458" t="str">
        <f>VLOOKUP(Table3[[#This Row],[COMPANYNO]],L:M,2)</f>
        <v>Schiavone</v>
      </c>
      <c r="B458" t="str">
        <f>VLOOKUP(Table3[[#This Row],[COMPANYNO]],L:N,3)</f>
        <v>New Jersey</v>
      </c>
      <c r="C458" t="s">
        <v>1507</v>
      </c>
      <c r="D458" t="str">
        <f>Table3[[#This Row],[COMPANYNO]]&amp;"/"&amp;Table3[[#This Row],[DIVISIONNO]]&amp;"-"&amp;Table3[[#This Row],[COMPANYNAME]]</f>
        <v>80/527-55th St Vent CMO13A</v>
      </c>
      <c r="E458" s="21" t="s">
        <v>304</v>
      </c>
      <c r="F458" s="22">
        <v>80</v>
      </c>
      <c r="G458" s="22">
        <v>527</v>
      </c>
    </row>
    <row r="459" spans="1:7" x14ac:dyDescent="0.3">
      <c r="A459" t="str">
        <f>VLOOKUP(Table3[[#This Row],[COMPANYNO]],L:M,2)</f>
        <v>Schiavone</v>
      </c>
      <c r="B459" t="str">
        <f>VLOOKUP(Table3[[#This Row],[COMPANYNO]],L:N,3)</f>
        <v>New Jersey</v>
      </c>
      <c r="C459" t="s">
        <v>1507</v>
      </c>
      <c r="D459" t="str">
        <f>Table3[[#This Row],[COMPANYNO]]&amp;"/"&amp;Table3[[#This Row],[DIVISIONNO]]&amp;"-"&amp;Table3[[#This Row],[COMPANYNAME]]</f>
        <v>80/533-86th St Sta C26012</v>
      </c>
      <c r="E459" s="23" t="s">
        <v>346</v>
      </c>
      <c r="F459" s="24">
        <v>80</v>
      </c>
      <c r="G459" s="24">
        <v>533</v>
      </c>
    </row>
    <row r="460" spans="1:7" x14ac:dyDescent="0.3">
      <c r="A460" t="str">
        <f>VLOOKUP(Table3[[#This Row],[COMPANYNO]],L:M,2)</f>
        <v>Schiavone</v>
      </c>
      <c r="B460" t="str">
        <f>VLOOKUP(Table3[[#This Row],[COMPANYNO]],L:N,3)</f>
        <v>New Jersey</v>
      </c>
      <c r="C460" t="s">
        <v>1507</v>
      </c>
      <c r="D460" t="str">
        <f>Table3[[#This Row],[COMPANYNO]]&amp;"/"&amp;Table3[[#This Row],[DIVISIONNO]]&amp;"-"&amp;Table3[[#This Row],[COMPANYNAME]]</f>
        <v>80/534-Harold Str CH057A</v>
      </c>
      <c r="E460" s="21" t="s">
        <v>359</v>
      </c>
      <c r="F460" s="22">
        <v>80</v>
      </c>
      <c r="G460" s="22">
        <v>534</v>
      </c>
    </row>
    <row r="461" spans="1:7" x14ac:dyDescent="0.3">
      <c r="A461" t="str">
        <f>VLOOKUP(Table3[[#This Row],[COMPANYNO]],L:M,2)</f>
        <v>Schiavone</v>
      </c>
      <c r="B461" t="str">
        <f>VLOOKUP(Table3[[#This Row],[COMPANYNO]],L:N,3)</f>
        <v>New Jersey</v>
      </c>
      <c r="C461" t="s">
        <v>1507</v>
      </c>
      <c r="D461" t="str">
        <f>Table3[[#This Row],[COMPANYNO]]&amp;"/"&amp;Table3[[#This Row],[DIVISIONNO]]&amp;"-"&amp;Table3[[#This Row],[COMPANYNAME]]</f>
        <v>80/535-Johnson Ave Yard 6121</v>
      </c>
      <c r="E461" s="23" t="s">
        <v>409</v>
      </c>
      <c r="F461" s="24">
        <v>80</v>
      </c>
      <c r="G461" s="24">
        <v>535</v>
      </c>
    </row>
    <row r="462" spans="1:7" x14ac:dyDescent="0.3">
      <c r="A462" t="str">
        <f>VLOOKUP(Table3[[#This Row],[COMPANYNO]],L:M,2)</f>
        <v>Schiavone</v>
      </c>
      <c r="B462" t="str">
        <f>VLOOKUP(Table3[[#This Row],[COMPANYNO]],L:N,3)</f>
        <v>New Jersey</v>
      </c>
      <c r="C462" t="s">
        <v>1507</v>
      </c>
      <c r="D462" t="str">
        <f>Table3[[#This Row],[COMPANYNO]]&amp;"/"&amp;Table3[[#This Row],[DIVISIONNO]]&amp;"-"&amp;Table3[[#This Row],[COMPANYNAME]]</f>
        <v>80/536-Dyre Ave Sta A-36916</v>
      </c>
      <c r="E462" s="21" t="s">
        <v>434</v>
      </c>
      <c r="F462" s="22">
        <v>80</v>
      </c>
      <c r="G462" s="22">
        <v>536</v>
      </c>
    </row>
    <row r="463" spans="1:7" x14ac:dyDescent="0.3">
      <c r="A463" t="str">
        <f>VLOOKUP(Table3[[#This Row],[COMPANYNO]],L:M,2)</f>
        <v>Schiavone</v>
      </c>
      <c r="B463" t="str">
        <f>VLOOKUP(Table3[[#This Row],[COMPANYNO]],L:N,3)</f>
        <v>New Jersey</v>
      </c>
      <c r="C463" t="s">
        <v>1507</v>
      </c>
      <c r="D463" t="str">
        <f>Table3[[#This Row],[COMPANYNO]]&amp;"/"&amp;Table3[[#This Row],[DIVISIONNO]]&amp;"-"&amp;Table3[[#This Row],[COMPANYNAME]]</f>
        <v>80/537-GCT Concourse CM014B</v>
      </c>
      <c r="E463" s="23" t="s">
        <v>437</v>
      </c>
      <c r="F463" s="24">
        <v>80</v>
      </c>
      <c r="G463" s="24">
        <v>537</v>
      </c>
    </row>
    <row r="464" spans="1:7" x14ac:dyDescent="0.3">
      <c r="A464" t="str">
        <f>VLOOKUP(Table3[[#This Row],[COMPANYNO]],L:M,2)</f>
        <v>Schiavone</v>
      </c>
      <c r="B464" t="str">
        <f>VLOOKUP(Table3[[#This Row],[COMPANYNO]],L:N,3)</f>
        <v>New Jersey</v>
      </c>
      <c r="C464" t="s">
        <v>1507</v>
      </c>
      <c r="D464" t="str">
        <f>Table3[[#This Row],[COMPANYNO]]&amp;"/"&amp;Table3[[#This Row],[DIVISIONNO]]&amp;"-"&amp;Table3[[#This Row],[COMPANYNAME]]</f>
        <v>80/538-I-91 Viaduct</v>
      </c>
      <c r="E464" s="21" t="s">
        <v>469</v>
      </c>
      <c r="F464" s="22">
        <v>80</v>
      </c>
      <c r="G464" s="22">
        <v>538</v>
      </c>
    </row>
    <row r="465" spans="1:7" x14ac:dyDescent="0.3">
      <c r="A465" t="str">
        <f>VLOOKUP(Table3[[#This Row],[COMPANYNO]],L:M,2)</f>
        <v>Schiavone</v>
      </c>
      <c r="B465" t="str">
        <f>VLOOKUP(Table3[[#This Row],[COMPANYNO]],L:N,3)</f>
        <v>New Jersey</v>
      </c>
      <c r="C465" t="s">
        <v>1507</v>
      </c>
      <c r="D465" t="str">
        <f>Table3[[#This Row],[COMPANYNO]]&amp;"/"&amp;Table3[[#This Row],[DIVISIONNO]]&amp;"-"&amp;Table3[[#This Row],[COMPANYNAME]]</f>
        <v>80/539-Bowery Bay BB64</v>
      </c>
      <c r="E465" s="23" t="s">
        <v>487</v>
      </c>
      <c r="F465" s="24">
        <v>80</v>
      </c>
      <c r="G465" s="24">
        <v>539</v>
      </c>
    </row>
    <row r="466" spans="1:7" x14ac:dyDescent="0.3">
      <c r="A466" t="str">
        <f>VLOOKUP(Table3[[#This Row],[COMPANYNO]],L:M,2)</f>
        <v>Schiavone</v>
      </c>
      <c r="B466" t="str">
        <f>VLOOKUP(Table3[[#This Row],[COMPANYNO]],L:N,3)</f>
        <v>New Jersey</v>
      </c>
      <c r="C466" t="s">
        <v>1507</v>
      </c>
      <c r="D466" t="str">
        <f>Table3[[#This Row],[COMPANYNO]]&amp;"/"&amp;Table3[[#This Row],[DIVISIONNO]]&amp;"-"&amp;Table3[[#This Row],[COMPANYNAME]]</f>
        <v>80/540-Parallel Thimble Shoal Tnl</v>
      </c>
      <c r="E466" s="21" t="s">
        <v>521</v>
      </c>
      <c r="F466" s="22">
        <v>80</v>
      </c>
      <c r="G466" s="22">
        <v>540</v>
      </c>
    </row>
    <row r="467" spans="1:7" x14ac:dyDescent="0.3">
      <c r="A467" t="str">
        <f>VLOOKUP(Table3[[#This Row],[COMPANYNO]],L:M,2)</f>
        <v>Schiavone</v>
      </c>
      <c r="B467" t="str">
        <f>VLOOKUP(Table3[[#This Row],[COMPANYNO]],L:N,3)</f>
        <v>New Jersey</v>
      </c>
      <c r="C467" t="s">
        <v>1507</v>
      </c>
      <c r="D467" t="str">
        <f>Table3[[#This Row],[COMPANYNO]]&amp;"/"&amp;Table3[[#This Row],[DIVISIONNO]]&amp;"-"&amp;Table3[[#This Row],[COMPANYNAME]]</f>
        <v>80/541-Rplcmnt Bruckner Expwy</v>
      </c>
      <c r="E467" s="23" t="s">
        <v>674</v>
      </c>
      <c r="F467" s="24">
        <v>80</v>
      </c>
      <c r="G467" s="24">
        <v>541</v>
      </c>
    </row>
    <row r="468" spans="1:7" x14ac:dyDescent="0.3">
      <c r="A468" t="str">
        <f>VLOOKUP(Table3[[#This Row],[COMPANYNO]],L:M,2)</f>
        <v>Schiavone</v>
      </c>
      <c r="B468" t="str">
        <f>VLOOKUP(Table3[[#This Row],[COMPANYNO]],L:N,3)</f>
        <v>New Jersey</v>
      </c>
      <c r="C468" t="s">
        <v>1507</v>
      </c>
      <c r="D468" t="str">
        <f>Table3[[#This Row],[COMPANYNO]]&amp;"/"&amp;Table3[[#This Row],[DIVISIONNO]]&amp;"-"&amp;Table3[[#This Row],[COMPANYNAME]]</f>
        <v>80/542-HYATT GIRDER R-50739 - %JV</v>
      </c>
      <c r="E468" s="21" t="s">
        <v>733</v>
      </c>
      <c r="F468" s="22">
        <v>80</v>
      </c>
      <c r="G468" s="22">
        <v>542</v>
      </c>
    </row>
    <row r="469" spans="1:7" x14ac:dyDescent="0.3">
      <c r="A469" t="str">
        <f>VLOOKUP(Table3[[#This Row],[COMPANYNO]],L:M,2)</f>
        <v>Schiavone</v>
      </c>
      <c r="B469" t="str">
        <f>VLOOKUP(Table3[[#This Row],[COMPANYNO]],L:N,3)</f>
        <v>New Jersey</v>
      </c>
      <c r="C469" t="s">
        <v>1507</v>
      </c>
      <c r="D469" t="str">
        <f>Table3[[#This Row],[COMPANYNO]]&amp;"/"&amp;Table3[[#This Row],[DIVISIONNO]]&amp;"-"&amp;Table3[[#This Row],[COMPANYNAME]]</f>
        <v>80/543-Potomac Yard Railstation %JV</v>
      </c>
      <c r="E469" s="23" t="s">
        <v>770</v>
      </c>
      <c r="F469" s="24">
        <v>80</v>
      </c>
      <c r="G469" s="24">
        <v>543</v>
      </c>
    </row>
    <row r="470" spans="1:7" x14ac:dyDescent="0.3">
      <c r="A470" t="str">
        <f>VLOOKUP(Table3[[#This Row],[COMPANYNO]],L:M,2)</f>
        <v>Dragados Canada</v>
      </c>
      <c r="B470" t="str">
        <f>VLOOKUP(Table3[[#This Row],[COMPANYNO]],L:N,3)</f>
        <v>East Canada</v>
      </c>
      <c r="C470" t="s">
        <v>1511</v>
      </c>
      <c r="D470" t="str">
        <f>Table3[[#This Row],[COMPANYNO]]&amp;"/"&amp;Table3[[#This Row],[DIVISIONNO]]&amp;"-"&amp;Table3[[#This Row],[COMPANYNAME]]</f>
        <v>9/301-A-30 - Int. Dpt.</v>
      </c>
      <c r="E470" s="21" t="s">
        <v>152</v>
      </c>
      <c r="F470" s="22">
        <v>9</v>
      </c>
      <c r="G470" s="22">
        <v>301</v>
      </c>
    </row>
    <row r="471" spans="1:7" x14ac:dyDescent="0.3">
      <c r="A471" t="str">
        <f>VLOOKUP(Table3[[#This Row],[COMPANYNO]],L:M,2)</f>
        <v>Dragados Canada</v>
      </c>
      <c r="B471" t="str">
        <f>VLOOKUP(Table3[[#This Row],[COMPANYNO]],L:N,3)</f>
        <v>East Canada</v>
      </c>
      <c r="C471" t="s">
        <v>1511</v>
      </c>
      <c r="D471" t="str">
        <f>Table3[[#This Row],[COMPANYNO]]&amp;"/"&amp;Table3[[#This Row],[DIVISIONNO]]&amp;"-"&amp;Table3[[#This Row],[COMPANYNAME]]</f>
        <v>9/302-LRT-OTTAWA Int Dept</v>
      </c>
      <c r="E471" s="23" t="s">
        <v>338</v>
      </c>
      <c r="F471" s="24">
        <v>9</v>
      </c>
      <c r="G471" s="24">
        <v>302</v>
      </c>
    </row>
    <row r="472" spans="1:7" x14ac:dyDescent="0.3">
      <c r="A472" t="str">
        <f>VLOOKUP(Table3[[#This Row],[COMPANYNO]],L:M,2)</f>
        <v>Dragados Canada</v>
      </c>
      <c r="B472" t="str">
        <f>VLOOKUP(Table3[[#This Row],[COMPANYNO]],L:N,3)</f>
        <v>East Canada</v>
      </c>
      <c r="C472" t="s">
        <v>1511</v>
      </c>
      <c r="D472" t="str">
        <f>Table3[[#This Row],[COMPANYNO]]&amp;"/"&amp;Table3[[#This Row],[DIVISIONNO]]&amp;"-"&amp;Table3[[#This Row],[COMPANYNAME]]</f>
        <v>9/303-Eglington Tunnel - Int. Dpt.</v>
      </c>
      <c r="E472" s="21" t="s">
        <v>356</v>
      </c>
      <c r="F472" s="22">
        <v>9</v>
      </c>
      <c r="G472" s="22">
        <v>303</v>
      </c>
    </row>
    <row r="473" spans="1:7" x14ac:dyDescent="0.3">
      <c r="A473" t="str">
        <f>VLOOKUP(Table3[[#This Row],[COMPANYNO]],L:M,2)</f>
        <v>Dragados Canada</v>
      </c>
      <c r="B473" t="str">
        <f>VLOOKUP(Table3[[#This Row],[COMPANYNO]],L:N,3)</f>
        <v>East Canada</v>
      </c>
      <c r="C473" t="s">
        <v>1511</v>
      </c>
      <c r="D473" t="str">
        <f>Table3[[#This Row],[COMPANYNO]]&amp;"/"&amp;Table3[[#This Row],[DIVISIONNO]]&amp;"-"&amp;Table3[[#This Row],[COMPANYNAME]]</f>
        <v>9/304-New Brdg St Lawrence - Int Dpt</v>
      </c>
      <c r="E473" s="23" t="s">
        <v>425</v>
      </c>
      <c r="F473" s="24">
        <v>9</v>
      </c>
      <c r="G473" s="24">
        <v>304</v>
      </c>
    </row>
    <row r="474" spans="1:7" x14ac:dyDescent="0.3">
      <c r="A474" t="str">
        <f>VLOOKUP(Table3[[#This Row],[COMPANYNO]],L:M,2)</f>
        <v>Dragados Canada</v>
      </c>
      <c r="B474" t="str">
        <f>VLOOKUP(Table3[[#This Row],[COMPANYNO]],L:N,3)</f>
        <v>East Canada</v>
      </c>
      <c r="C474" t="s">
        <v>1511</v>
      </c>
      <c r="D474" t="str">
        <f>Table3[[#This Row],[COMPANYNO]]&amp;"/"&amp;Table3[[#This Row],[DIVISIONNO]]&amp;"-"&amp;Table3[[#This Row],[COMPANYNAME]]</f>
        <v>9/305-Eglinton LRT - Int Dept</v>
      </c>
      <c r="E474" s="21" t="s">
        <v>489</v>
      </c>
      <c r="F474" s="22">
        <v>9</v>
      </c>
      <c r="G474" s="22">
        <v>305</v>
      </c>
    </row>
    <row r="475" spans="1:7" x14ac:dyDescent="0.3">
      <c r="A475" t="str">
        <f>VLOOKUP(Table3[[#This Row],[COMPANYNO]],L:M,2)</f>
        <v>Dragados Canada</v>
      </c>
      <c r="B475" t="str">
        <f>VLOOKUP(Table3[[#This Row],[COMPANYNO]],L:N,3)</f>
        <v>East Canada</v>
      </c>
      <c r="C475" t="s">
        <v>1511</v>
      </c>
      <c r="D475" t="str">
        <f>Table3[[#This Row],[COMPANYNO]]&amp;"/"&amp;Table3[[#This Row],[DIVISIONNO]]&amp;"-"&amp;Table3[[#This Row],[COMPANYNAME]]</f>
        <v>9/306-Ottawa Cmb Sewage Tnl - IntDpt</v>
      </c>
      <c r="E475" s="23" t="s">
        <v>515</v>
      </c>
      <c r="F475" s="24">
        <v>9</v>
      </c>
      <c r="G475" s="24">
        <v>306</v>
      </c>
    </row>
    <row r="476" spans="1:7" x14ac:dyDescent="0.3">
      <c r="A476" t="str">
        <f>VLOOKUP(Table3[[#This Row],[COMPANYNO]],L:M,2)</f>
        <v>Dragados Canada</v>
      </c>
      <c r="B476" t="str">
        <f>VLOOKUP(Table3[[#This Row],[COMPANYNO]],L:N,3)</f>
        <v>East Canada</v>
      </c>
      <c r="C476" t="s">
        <v>1511</v>
      </c>
      <c r="D476" t="str">
        <f>Table3[[#This Row],[COMPANYNO]]&amp;"/"&amp;Table3[[#This Row],[DIVISIONNO]]&amp;"-"&amp;Table3[[#This Row],[COMPANYNAME]]</f>
        <v>9/307-Link 427 Internal Dept</v>
      </c>
      <c r="E476" s="21" t="s">
        <v>541</v>
      </c>
      <c r="F476" s="22">
        <v>9</v>
      </c>
      <c r="G476" s="22">
        <v>307</v>
      </c>
    </row>
    <row r="477" spans="1:7" x14ac:dyDescent="0.3">
      <c r="A477" t="str">
        <f>VLOOKUP(Table3[[#This Row],[COMPANYNO]],L:M,2)</f>
        <v>Dragados Canada</v>
      </c>
      <c r="B477" t="str">
        <f>VLOOKUP(Table3[[#This Row],[COMPANYNO]],L:N,3)</f>
        <v>East Canada</v>
      </c>
      <c r="C477" t="s">
        <v>1511</v>
      </c>
      <c r="D477" t="str">
        <f>Table3[[#This Row],[COMPANYNO]]&amp;"/"&amp;Table3[[#This Row],[DIVISIONNO]]&amp;"-"&amp;Table3[[#This Row],[COMPANYNAME]]</f>
        <v>9/308-Cote-Vertu - Int Dpt.</v>
      </c>
      <c r="E477" s="23" t="s">
        <v>552</v>
      </c>
      <c r="F477" s="24">
        <v>9</v>
      </c>
      <c r="G477" s="24">
        <v>308</v>
      </c>
    </row>
    <row r="478" spans="1:7" x14ac:dyDescent="0.3">
      <c r="A478" t="str">
        <f>VLOOKUP(Table3[[#This Row],[COMPANYNO]],L:M,2)</f>
        <v>Dragados Canada</v>
      </c>
      <c r="B478" t="str">
        <f>VLOOKUP(Table3[[#This Row],[COMPANYNO]],L:N,3)</f>
        <v>East Canada</v>
      </c>
      <c r="C478" t="s">
        <v>1511</v>
      </c>
      <c r="D478" t="str">
        <f>Table3[[#This Row],[COMPANYNO]]&amp;"/"&amp;Table3[[#This Row],[DIVISIONNO]]&amp;"-"&amp;Table3[[#This Row],[COMPANYNAME]]</f>
        <v>9/309-Ottawa Phase II - Int Dept</v>
      </c>
      <c r="E478" s="21" t="s">
        <v>665</v>
      </c>
      <c r="F478" s="22">
        <v>9</v>
      </c>
      <c r="G478" s="22">
        <v>309</v>
      </c>
    </row>
    <row r="479" spans="1:7" x14ac:dyDescent="0.3">
      <c r="A479" t="str">
        <f>VLOOKUP(Table3[[#This Row],[COMPANYNO]],L:M,2)</f>
        <v>Dragados Canada</v>
      </c>
      <c r="B479" t="str">
        <f>VLOOKUP(Table3[[#This Row],[COMPANYNO]],L:N,3)</f>
        <v>East Canada</v>
      </c>
      <c r="C479" t="s">
        <v>1511</v>
      </c>
      <c r="D479" t="str">
        <f>Table3[[#This Row],[COMPANYNO]]&amp;"/"&amp;Table3[[#This Row],[DIVISIONNO]]&amp;"-"&amp;Table3[[#This Row],[COMPANYNAME]]</f>
        <v>9/310-White Rose Int Dept</v>
      </c>
      <c r="E479" s="23" t="s">
        <v>679</v>
      </c>
      <c r="F479" s="24">
        <v>9</v>
      </c>
      <c r="G479" s="24">
        <v>310</v>
      </c>
    </row>
    <row r="480" spans="1:7" x14ac:dyDescent="0.3">
      <c r="A480" t="str">
        <f>VLOOKUP(Table3[[#This Row],[COMPANYNO]],L:M,2)</f>
        <v>Dragados Canada</v>
      </c>
      <c r="B480" t="str">
        <f>VLOOKUP(Table3[[#This Row],[COMPANYNO]],L:N,3)</f>
        <v>East Canada</v>
      </c>
      <c r="C480" t="s">
        <v>1511</v>
      </c>
      <c r="D480" t="str">
        <f>Table3[[#This Row],[COMPANYNO]]&amp;"/"&amp;Table3[[#This Row],[DIVISIONNO]]&amp;"-"&amp;Table3[[#This Row],[COMPANYNAME]]</f>
        <v>9/311-REM - Int Dept.</v>
      </c>
      <c r="E480" s="21" t="s">
        <v>721</v>
      </c>
      <c r="F480" s="22">
        <v>9</v>
      </c>
      <c r="G480" s="22">
        <v>311</v>
      </c>
    </row>
    <row r="481" spans="1:7" x14ac:dyDescent="0.3">
      <c r="A481" t="str">
        <f>VLOOKUP(Table3[[#This Row],[COMPANYNO]],L:M,2)</f>
        <v>Dragados Canada</v>
      </c>
      <c r="B481" t="str">
        <f>VLOOKUP(Table3[[#This Row],[COMPANYNO]],L:N,3)</f>
        <v>East Canada</v>
      </c>
      <c r="C481" t="s">
        <v>1511</v>
      </c>
      <c r="D481" t="str">
        <f>Table3[[#This Row],[COMPANYNO]]&amp;"/"&amp;Table3[[#This Row],[DIVISIONNO]]&amp;"-"&amp;Table3[[#This Row],[COMPANYNAME]]</f>
        <v>9/312-Finch LRT Int. Dept</v>
      </c>
      <c r="E481" s="23" t="s">
        <v>727</v>
      </c>
      <c r="F481" s="24">
        <v>9</v>
      </c>
      <c r="G481" s="24">
        <v>312</v>
      </c>
    </row>
    <row r="482" spans="1:7" x14ac:dyDescent="0.3">
      <c r="A482" t="str">
        <f>VLOOKUP(Table3[[#This Row],[COMPANYNO]],L:M,2)</f>
        <v>Dragados Canada</v>
      </c>
      <c r="B482" t="str">
        <f>VLOOKUP(Table3[[#This Row],[COMPANYNO]],L:N,3)</f>
        <v>East Canada</v>
      </c>
      <c r="C482" t="s">
        <v>1511</v>
      </c>
      <c r="D482" t="str">
        <f>Table3[[#This Row],[COMPANYNO]]&amp;"/"&amp;Table3[[#This Row],[DIVISIONNO]]&amp;"-"&amp;Table3[[#This Row],[COMPANYNAME]]</f>
        <v>9/313-Gordie Howe Bridge Int Dept.</v>
      </c>
      <c r="E482" s="21" t="s">
        <v>759</v>
      </c>
      <c r="F482" s="22">
        <v>9</v>
      </c>
      <c r="G482" s="22">
        <v>313</v>
      </c>
    </row>
    <row r="483" spans="1:7" x14ac:dyDescent="0.3">
      <c r="A483" t="str">
        <f>VLOOKUP(Table3[[#This Row],[COMPANYNO]],L:M,2)</f>
        <v>Dragados Canada</v>
      </c>
      <c r="B483" t="str">
        <f>VLOOKUP(Table3[[#This Row],[COMPANYNO]],L:N,3)</f>
        <v>West canada</v>
      </c>
      <c r="C483" t="s">
        <v>1511</v>
      </c>
      <c r="D483" t="str">
        <f>Table3[[#This Row],[COMPANYNO]]&amp;"/"&amp;Table3[[#This Row],[DIVISIONNO]]&amp;"-"&amp;Table3[[#This Row],[COMPANYNAME]]</f>
        <v>10/301-South Fraser - Int. Dpt.</v>
      </c>
      <c r="E483" s="21" t="s">
        <v>153</v>
      </c>
      <c r="F483" s="22">
        <v>10</v>
      </c>
      <c r="G483" s="22">
        <v>301</v>
      </c>
    </row>
    <row r="484" spans="1:7" x14ac:dyDescent="0.3">
      <c r="A484" t="str">
        <f>VLOOKUP(Table3[[#This Row],[COMPANYNO]],L:M,2)</f>
        <v>Dragados Canada</v>
      </c>
      <c r="B484" t="str">
        <f>VLOOKUP(Table3[[#This Row],[COMPANYNO]],L:N,3)</f>
        <v>West canada</v>
      </c>
      <c r="C484" t="s">
        <v>1511</v>
      </c>
      <c r="D484" t="str">
        <f>Table3[[#This Row],[COMPANYNO]]&amp;"/"&amp;Table3[[#This Row],[DIVISIONNO]]&amp;"-"&amp;Table3[[#This Row],[COMPANYNAME]]</f>
        <v>10/302-Neahd - Int. Dept.</v>
      </c>
      <c r="E484" s="23" t="s">
        <v>249</v>
      </c>
      <c r="F484" s="24">
        <v>10</v>
      </c>
      <c r="G484" s="24">
        <v>302</v>
      </c>
    </row>
    <row r="485" spans="1:7" x14ac:dyDescent="0.3">
      <c r="A485" t="str">
        <f>VLOOKUP(Table3[[#This Row],[COMPANYNO]],L:M,2)</f>
        <v>Dragados Canada</v>
      </c>
      <c r="B485" t="str">
        <f>VLOOKUP(Table3[[#This Row],[COMPANYNO]],L:N,3)</f>
        <v>West canada</v>
      </c>
      <c r="C485" t="s">
        <v>1511</v>
      </c>
      <c r="D485" t="str">
        <f>Table3[[#This Row],[COMPANYNO]]&amp;"/"&amp;Table3[[#This Row],[DIVISIONNO]]&amp;"-"&amp;Table3[[#This Row],[COMPANYNAME]]</f>
        <v>10/303-Ruskin Dam - Int. Dpt.</v>
      </c>
      <c r="E485" s="21" t="s">
        <v>257</v>
      </c>
      <c r="F485" s="22">
        <v>10</v>
      </c>
      <c r="G485" s="22">
        <v>303</v>
      </c>
    </row>
    <row r="486" spans="1:7" x14ac:dyDescent="0.3">
      <c r="A486" t="str">
        <f>VLOOKUP(Table3[[#This Row],[COMPANYNO]],L:M,2)</f>
        <v>Dragados Canada</v>
      </c>
      <c r="B486" t="str">
        <f>VLOOKUP(Table3[[#This Row],[COMPANYNO]],L:N,3)</f>
        <v>West canada</v>
      </c>
      <c r="C486" t="s">
        <v>1511</v>
      </c>
      <c r="D486" t="str">
        <f>Table3[[#This Row],[COMPANYNO]]&amp;"/"&amp;Table3[[#This Row],[DIVISIONNO]]&amp;"-"&amp;Table3[[#This Row],[COMPANYNAME]]</f>
        <v>10/304-DTRRIP JV - Int. Dept.</v>
      </c>
      <c r="E486" s="23" t="s">
        <v>265</v>
      </c>
      <c r="F486" s="24">
        <v>10</v>
      </c>
      <c r="G486" s="24">
        <v>304</v>
      </c>
    </row>
    <row r="487" spans="1:7" x14ac:dyDescent="0.3">
      <c r="A487" t="str">
        <f>VLOOKUP(Table3[[#This Row],[COMPANYNO]],L:M,2)</f>
        <v>Dragados Canada</v>
      </c>
      <c r="B487" t="str">
        <f>VLOOKUP(Table3[[#This Row],[COMPANYNO]],L:N,3)</f>
        <v>West canada</v>
      </c>
      <c r="C487" t="s">
        <v>1511</v>
      </c>
      <c r="D487" t="str">
        <f>Table3[[#This Row],[COMPANYNO]]&amp;"/"&amp;Table3[[#This Row],[DIVISIONNO]]&amp;"-"&amp;Table3[[#This Row],[COMPANYNAME]]</f>
        <v>10/305-Site C - INT DEP</v>
      </c>
      <c r="E487" s="21" t="s">
        <v>699</v>
      </c>
      <c r="F487" s="22">
        <v>10</v>
      </c>
      <c r="G487" s="22">
        <v>305</v>
      </c>
    </row>
    <row r="488" spans="1:7" x14ac:dyDescent="0.3">
      <c r="A488" t="str">
        <f>VLOOKUP(Table3[[#This Row],[COMPANYNO]],L:M,2)</f>
        <v>Dragados Canada</v>
      </c>
      <c r="B488" t="str">
        <f>VLOOKUP(Table3[[#This Row],[COMPANYNO]],L:N,3)</f>
        <v>West canada</v>
      </c>
      <c r="C488" t="s">
        <v>1511</v>
      </c>
      <c r="D488" t="str">
        <f>Table3[[#This Row],[COMPANYNO]]&amp;"/"&amp;Table3[[#This Row],[DIVISIONNO]]&amp;"-"&amp;Table3[[#This Row],[COMPANYNAME]]</f>
        <v>10/306-Centerm Expansion Proj Int Dpt</v>
      </c>
      <c r="E488" s="23" t="s">
        <v>777</v>
      </c>
      <c r="F488" s="24">
        <v>10</v>
      </c>
      <c r="G488" s="24">
        <v>306</v>
      </c>
    </row>
    <row r="489" spans="1:7" x14ac:dyDescent="0.3">
      <c r="A489" t="str">
        <f>VLOOKUP(Table3[[#This Row],[COMPANYNO]],L:M,2)</f>
        <v>Dragados Canada</v>
      </c>
      <c r="B489" t="str">
        <f>VLOOKUP(Table3[[#This Row],[COMPANYNO]],L:N,3)</f>
        <v>Central Canada</v>
      </c>
      <c r="C489" t="s">
        <v>1511</v>
      </c>
      <c r="D489" t="str">
        <f>Table3[[#This Row],[COMPANYNO]]&amp;"/"&amp;Table3[[#This Row],[DIVISIONNO]]&amp;"-"&amp;Table3[[#This Row],[COMPANYNAME]]</f>
        <v>11/301-Windsor Essex Pkw - Int. Dpt.</v>
      </c>
      <c r="E489" s="23" t="s">
        <v>154</v>
      </c>
      <c r="F489" s="24">
        <v>11</v>
      </c>
      <c r="G489" s="24">
        <v>301</v>
      </c>
    </row>
    <row r="490" spans="1:7" x14ac:dyDescent="0.3">
      <c r="A490" t="str">
        <f>VLOOKUP(Table3[[#This Row],[COMPANYNO]],L:M,2)</f>
        <v>Dragados USA</v>
      </c>
      <c r="B490" t="str">
        <f>VLOOKUP(Table3[[#This Row],[COMPANYNO]],L:N,3)</f>
        <v>New York</v>
      </c>
      <c r="C490" t="s">
        <v>1511</v>
      </c>
      <c r="D490" t="str">
        <f>Table3[[#This Row],[COMPANYNO]]&amp;"/"&amp;Table3[[#This Row],[DIVISIONNO]]&amp;"-"&amp;Table3[[#This Row],[COMPANYNAME]]</f>
        <v>1/301-* ESA CM009 - Int. Dpt.</v>
      </c>
      <c r="E490" s="23" t="s">
        <v>137</v>
      </c>
      <c r="F490" s="24">
        <v>1</v>
      </c>
      <c r="G490" s="24">
        <v>301</v>
      </c>
    </row>
    <row r="491" spans="1:7" x14ac:dyDescent="0.3">
      <c r="A491" t="str">
        <f>VLOOKUP(Table3[[#This Row],[COMPANYNO]],L:M,2)</f>
        <v>Dragados USA</v>
      </c>
      <c r="B491" t="str">
        <f>VLOOKUP(Table3[[#This Row],[COMPANYNO]],L:N,3)</f>
        <v>New York</v>
      </c>
      <c r="C491" t="s">
        <v>1511</v>
      </c>
      <c r="D491" t="str">
        <f>Table3[[#This Row],[COMPANYNO]]&amp;"/"&amp;Table3[[#This Row],[DIVISIONNO]]&amp;"-"&amp;Table3[[#This Row],[COMPANYNAME]]</f>
        <v>1/302-* I287 - Int. Dpt.</v>
      </c>
      <c r="E491" s="21" t="s">
        <v>138</v>
      </c>
      <c r="F491" s="22">
        <v>1</v>
      </c>
      <c r="G491" s="22">
        <v>302</v>
      </c>
    </row>
    <row r="492" spans="1:7" x14ac:dyDescent="0.3">
      <c r="A492" t="str">
        <f>VLOOKUP(Table3[[#This Row],[COMPANYNO]],L:M,2)</f>
        <v>Dragados USA</v>
      </c>
      <c r="B492" t="str">
        <f>VLOOKUP(Table3[[#This Row],[COMPANYNO]],L:N,3)</f>
        <v>New York</v>
      </c>
      <c r="C492" t="s">
        <v>1511</v>
      </c>
      <c r="D492" t="str">
        <f>Table3[[#This Row],[COMPANYNO]]&amp;"/"&amp;Table3[[#This Row],[DIVISIONNO]]&amp;"-"&amp;Table3[[#This Row],[COMPANYNAME]]</f>
        <v>1/303-* Croton Falls - Int. Dpt.</v>
      </c>
      <c r="E492" s="23" t="s">
        <v>139</v>
      </c>
      <c r="F492" s="24">
        <v>1</v>
      </c>
      <c r="G492" s="24">
        <v>303</v>
      </c>
    </row>
    <row r="493" spans="1:7" x14ac:dyDescent="0.3">
      <c r="A493" t="str">
        <f>VLOOKUP(Table3[[#This Row],[COMPANYNO]],L:M,2)</f>
        <v>Dragados USA</v>
      </c>
      <c r="B493" t="str">
        <f>VLOOKUP(Table3[[#This Row],[COMPANYNO]],L:N,3)</f>
        <v>New York</v>
      </c>
      <c r="C493" t="s">
        <v>1511</v>
      </c>
      <c r="D493" t="str">
        <f>Table3[[#This Row],[COMPANYNO]]&amp;"/"&amp;Table3[[#This Row],[DIVISIONNO]]&amp;"-"&amp;Table3[[#This Row],[COMPANYNAME]]</f>
        <v>1/304-* ESA CM019 - Int. Dpt.</v>
      </c>
      <c r="E493" s="21" t="s">
        <v>140</v>
      </c>
      <c r="F493" s="22">
        <v>1</v>
      </c>
      <c r="G493" s="22">
        <v>304</v>
      </c>
    </row>
    <row r="494" spans="1:7" x14ac:dyDescent="0.3">
      <c r="A494" t="str">
        <f>VLOOKUP(Table3[[#This Row],[COMPANYNO]],L:M,2)</f>
        <v>Dragados USA</v>
      </c>
      <c r="B494" t="str">
        <f>VLOOKUP(Table3[[#This Row],[COMPANYNO]],L:N,3)</f>
        <v>New York</v>
      </c>
      <c r="C494" t="s">
        <v>1511</v>
      </c>
      <c r="D494" t="str">
        <f>Table3[[#This Row],[COMPANYNO]]&amp;"/"&amp;Table3[[#This Row],[DIVISIONNO]]&amp;"-"&amp;Table3[[#This Row],[COMPANYNAME]]</f>
        <v>1/305-C-538D - Int. Dpt.</v>
      </c>
      <c r="E494" s="23" t="s">
        <v>141</v>
      </c>
      <c r="F494" s="24">
        <v>1</v>
      </c>
      <c r="G494" s="24">
        <v>305</v>
      </c>
    </row>
    <row r="495" spans="1:7" x14ac:dyDescent="0.3">
      <c r="A495" t="str">
        <f>VLOOKUP(Table3[[#This Row],[COMPANYNO]],L:M,2)</f>
        <v>Dragados USA</v>
      </c>
      <c r="B495" t="str">
        <f>VLOOKUP(Table3[[#This Row],[COMPANYNO]],L:N,3)</f>
        <v>New York</v>
      </c>
      <c r="C495" t="s">
        <v>1511</v>
      </c>
      <c r="D495" t="str">
        <f>Table3[[#This Row],[COMPANYNO]]&amp;"/"&amp;Table3[[#This Row],[DIVISIONNO]]&amp;"-"&amp;Table3[[#This Row],[COMPANYNAME]]</f>
        <v>1/306-LIRR Expansion - Int Dept</v>
      </c>
      <c r="E495" s="21" t="s">
        <v>697</v>
      </c>
      <c r="F495" s="22">
        <v>1</v>
      </c>
      <c r="G495" s="22">
        <v>306</v>
      </c>
    </row>
    <row r="496" spans="1:7" x14ac:dyDescent="0.3">
      <c r="A496" t="str">
        <f>VLOOKUP(Table3[[#This Row],[COMPANYNO]],L:M,2)</f>
        <v>Dragados USA</v>
      </c>
      <c r="B496" t="str">
        <f>VLOOKUP(Table3[[#This Row],[COMPANYNO]],L:N,3)</f>
        <v>Florida</v>
      </c>
      <c r="C496" t="s">
        <v>1511</v>
      </c>
      <c r="D496" t="str">
        <f>Table3[[#This Row],[COMPANYNO]]&amp;"/"&amp;Table3[[#This Row],[DIVISIONNO]]&amp;"-"&amp;Table3[[#This Row],[COMPANYNAME]]</f>
        <v>2/301-* Miami Airport Int. Dpt.</v>
      </c>
      <c r="E496" s="21" t="s">
        <v>129</v>
      </c>
      <c r="F496" s="22">
        <v>2</v>
      </c>
      <c r="G496" s="22">
        <v>301</v>
      </c>
    </row>
    <row r="497" spans="1:7" x14ac:dyDescent="0.3">
      <c r="A497" t="str">
        <f>VLOOKUP(Table3[[#This Row],[COMPANYNO]],L:M,2)</f>
        <v>Dragados USA</v>
      </c>
      <c r="B497" t="str">
        <f>VLOOKUP(Table3[[#This Row],[COMPANYNO]],L:N,3)</f>
        <v>Florida</v>
      </c>
      <c r="C497" t="s">
        <v>1511</v>
      </c>
      <c r="D497" t="str">
        <f>Table3[[#This Row],[COMPANYNO]]&amp;"/"&amp;Table3[[#This Row],[DIVISIONNO]]&amp;"-"&amp;Table3[[#This Row],[COMPANYNAME]]</f>
        <v>2/302-I16 at I95 Interchange-Int Dpt</v>
      </c>
      <c r="E497" s="23" t="s">
        <v>762</v>
      </c>
      <c r="F497" s="24">
        <v>2</v>
      </c>
      <c r="G497" s="24">
        <v>302</v>
      </c>
    </row>
    <row r="498" spans="1:7" x14ac:dyDescent="0.3">
      <c r="A498" t="str">
        <f>VLOOKUP(Table3[[#This Row],[COMPANYNO]],L:M,2)</f>
        <v>Dragados USA</v>
      </c>
      <c r="B498" t="str">
        <f>VLOOKUP(Table3[[#This Row],[COMPANYNO]],L:N,3)</f>
        <v>I-595</v>
      </c>
      <c r="C498" t="s">
        <v>1511</v>
      </c>
      <c r="D498" t="str">
        <f>Table3[[#This Row],[COMPANYNO]]&amp;"/"&amp;Table3[[#This Row],[DIVISIONNO]]&amp;"-"&amp;Table3[[#This Row],[COMPANYNAME]]</f>
        <v>4/301-* DUSA/Baker - Int. Dpt.</v>
      </c>
      <c r="E498" s="23" t="s">
        <v>161</v>
      </c>
      <c r="F498" s="24">
        <v>4</v>
      </c>
      <c r="G498" s="24">
        <v>301</v>
      </c>
    </row>
    <row r="499" spans="1:7" x14ac:dyDescent="0.3">
      <c r="A499" t="str">
        <f>VLOOKUP(Table3[[#This Row],[COMPANYNO]],L:M,2)</f>
        <v>Dragados USA</v>
      </c>
      <c r="B499" t="str">
        <f>VLOOKUP(Table3[[#This Row],[COMPANYNO]],L:N,3)</f>
        <v>North Pacific</v>
      </c>
      <c r="C499" t="s">
        <v>1511</v>
      </c>
      <c r="D499" t="str">
        <f>Table3[[#This Row],[COMPANYNO]]&amp;"/"&amp;Table3[[#This Row],[DIVISIONNO]]&amp;"-"&amp;Table3[[#This Row],[COMPANYNAME]]</f>
        <v>5/301-SR-99 - Int. Dpt.</v>
      </c>
      <c r="E499" s="21" t="s">
        <v>143</v>
      </c>
      <c r="F499" s="22">
        <v>5</v>
      </c>
      <c r="G499" s="22">
        <v>301</v>
      </c>
    </row>
    <row r="500" spans="1:7" x14ac:dyDescent="0.3">
      <c r="A500" t="str">
        <f>VLOOKUP(Table3[[#This Row],[COMPANYNO]],L:M,2)</f>
        <v>Dragados USA</v>
      </c>
      <c r="B500" t="str">
        <f>VLOOKUP(Table3[[#This Row],[COMPANYNO]],L:N,3)</f>
        <v>California</v>
      </c>
      <c r="C500" t="s">
        <v>1511</v>
      </c>
      <c r="D500" t="str">
        <f>Table3[[#This Row],[COMPANYNO]]&amp;"/"&amp;Table3[[#This Row],[DIVISIONNO]]&amp;"-"&amp;Table3[[#This Row],[COMPANYNAME]]</f>
        <v>6/301-Calaveras DAM - Int Dpt</v>
      </c>
      <c r="E500" s="21" t="s">
        <v>167</v>
      </c>
      <c r="F500" s="22">
        <v>6</v>
      </c>
      <c r="G500" s="22">
        <v>301</v>
      </c>
    </row>
    <row r="501" spans="1:7" x14ac:dyDescent="0.3">
      <c r="A501" t="str">
        <f>VLOOKUP(Table3[[#This Row],[COMPANYNO]],L:M,2)</f>
        <v>Dragados USA</v>
      </c>
      <c r="B501" t="str">
        <f>VLOOKUP(Table3[[#This Row],[COMPANYNO]],L:N,3)</f>
        <v>Mid Atlantic</v>
      </c>
      <c r="C501" t="s">
        <v>1511</v>
      </c>
      <c r="D501" t="str">
        <f>Table3[[#This Row],[COMPANYNO]]&amp;"/"&amp;Table3[[#This Row],[DIVISIONNO]]&amp;"-"&amp;Table3[[#This Row],[COMPANYNAME]]</f>
        <v>8/301-Portsmouth JV - Int Dept</v>
      </c>
      <c r="E501" s="23" t="s">
        <v>459</v>
      </c>
      <c r="F501" s="24">
        <v>8</v>
      </c>
      <c r="G501" s="24">
        <v>301</v>
      </c>
    </row>
    <row r="502" spans="1:7" x14ac:dyDescent="0.3">
      <c r="A502" t="str">
        <f>VLOOKUP(Table3[[#This Row],[COMPANYNO]],L:M,2)</f>
        <v>Dragados USA</v>
      </c>
      <c r="B502" t="str">
        <f>VLOOKUP(Table3[[#This Row],[COMPANYNO]],L:N,3)</f>
        <v>Mid Atlantic</v>
      </c>
      <c r="C502" t="s">
        <v>1511</v>
      </c>
      <c r="D502" t="str">
        <f>Table3[[#This Row],[COMPANYNO]]&amp;"/"&amp;Table3[[#This Row],[DIVISIONNO]]&amp;"-"&amp;Table3[[#This Row],[COMPANYNAME]]</f>
        <v>8/302-Parallel Thimble Shoal Int Dpt</v>
      </c>
      <c r="E502" s="21" t="s">
        <v>520</v>
      </c>
      <c r="F502" s="22">
        <v>8</v>
      </c>
      <c r="G502" s="22">
        <v>302</v>
      </c>
    </row>
    <row r="503" spans="1:7" x14ac:dyDescent="0.3">
      <c r="A503" t="str">
        <f>VLOOKUP(Table3[[#This Row],[COMPANYNO]],L:M,2)</f>
        <v>Dragados USA</v>
      </c>
      <c r="B503" t="str">
        <f>VLOOKUP(Table3[[#This Row],[COMPANYNO]],L:N,3)</f>
        <v>South California</v>
      </c>
      <c r="C503" t="s">
        <v>1511</v>
      </c>
      <c r="D503" t="str">
        <f>Table3[[#This Row],[COMPANYNO]]&amp;"/"&amp;Table3[[#This Row],[DIVISIONNO]]&amp;"-"&amp;Table3[[#This Row],[COMPANYNAME]]</f>
        <v>20/301-SH 288 - Int Dept</v>
      </c>
      <c r="E503" s="23" t="s">
        <v>474</v>
      </c>
      <c r="F503" s="24">
        <v>20</v>
      </c>
      <c r="G503" s="24">
        <v>301</v>
      </c>
    </row>
    <row r="504" spans="1:7" x14ac:dyDescent="0.3">
      <c r="A504" t="str">
        <f>VLOOKUP(Table3[[#This Row],[COMPANYNO]],L:M,2)</f>
        <v>Dragados USA</v>
      </c>
      <c r="B504" t="str">
        <f>VLOOKUP(Table3[[#This Row],[COMPANYNO]],L:N,3)</f>
        <v>South California</v>
      </c>
      <c r="C504" t="s">
        <v>1511</v>
      </c>
      <c r="D504" t="str">
        <f>Table3[[#This Row],[COMPANYNO]]&amp;"/"&amp;Table3[[#This Row],[DIVISIONNO]]&amp;"-"&amp;Table3[[#This Row],[COMPANYNAME]]</f>
        <v>20/302-Harbor Bridge - Int Dept</v>
      </c>
      <c r="E504" s="21" t="s">
        <v>477</v>
      </c>
      <c r="F504" s="22">
        <v>20</v>
      </c>
      <c r="G504" s="22">
        <v>302</v>
      </c>
    </row>
    <row r="505" spans="1:7" x14ac:dyDescent="0.3">
      <c r="A505" t="str">
        <f>VLOOKUP(Table3[[#This Row],[COMPANYNO]],L:M,2)</f>
        <v>Dragados USA</v>
      </c>
      <c r="B505" t="str">
        <f>VLOOKUP(Table3[[#This Row],[COMPANYNO]],L:N,3)</f>
        <v>Texas</v>
      </c>
      <c r="C505" t="s">
        <v>1511</v>
      </c>
      <c r="D505" t="str">
        <f>Table3[[#This Row],[COMPANYNO]]&amp;"/"&amp;Table3[[#This Row],[DIVISIONNO]]&amp;"-"&amp;Table3[[#This Row],[COMPANYNAME]]</f>
        <v>22/301-HSR 2-3 - Int Dept</v>
      </c>
      <c r="E505" s="23" t="s">
        <v>471</v>
      </c>
      <c r="F505" s="24">
        <v>22</v>
      </c>
      <c r="G505" s="24">
        <v>301</v>
      </c>
    </row>
    <row r="506" spans="1:7" x14ac:dyDescent="0.3">
      <c r="A506" t="str">
        <f>VLOOKUP(Table3[[#This Row],[COMPANYNO]],L:M,2)</f>
        <v>Dragados USA</v>
      </c>
      <c r="B506" t="str">
        <f>VLOOKUP(Table3[[#This Row],[COMPANYNO]],L:N,3)</f>
        <v>Texas</v>
      </c>
      <c r="C506" t="s">
        <v>1511</v>
      </c>
      <c r="D506" t="str">
        <f>Table3[[#This Row],[COMPANYNO]]&amp;"/"&amp;Table3[[#This Row],[DIVISIONNO]]&amp;"-"&amp;Table3[[#This Row],[COMPANYNAME]]</f>
        <v>22/302-Isabella Lake Dam Int Dept.</v>
      </c>
      <c r="E506" s="21" t="s">
        <v>708</v>
      </c>
      <c r="F506" s="22">
        <v>22</v>
      </c>
      <c r="G506" s="22">
        <v>302</v>
      </c>
    </row>
    <row r="507" spans="1:7" x14ac:dyDescent="0.3">
      <c r="A507" t="str">
        <f>VLOOKUP(Table3[[#This Row],[COMPANYNO]],L:M,2)</f>
        <v>Dragados USA</v>
      </c>
      <c r="B507" t="str">
        <f>VLOOKUP(Table3[[#This Row],[COMPANYNO]],L:N,3)</f>
        <v>Texas</v>
      </c>
      <c r="C507" t="s">
        <v>1511</v>
      </c>
      <c r="D507" t="str">
        <f>Table3[[#This Row],[COMPANYNO]]&amp;"/"&amp;Table3[[#This Row],[DIVISIONNO]]&amp;"-"&amp;Table3[[#This Row],[COMPANYNAME]]</f>
        <v>22/303-Automated People Mover Int Dpt</v>
      </c>
      <c r="E507" s="23" t="s">
        <v>735</v>
      </c>
      <c r="F507" s="24">
        <v>22</v>
      </c>
      <c r="G507" s="24">
        <v>303</v>
      </c>
    </row>
    <row r="508" spans="1:7" x14ac:dyDescent="0.3">
      <c r="A508" t="str">
        <f>VLOOKUP(Table3[[#This Row],[COMPANYNO]],L:M,2)</f>
        <v>JF White</v>
      </c>
      <c r="B508" t="str">
        <f>VLOOKUP(Table3[[#This Row],[COMPANYNO]],L:N,3)</f>
        <v>Boston</v>
      </c>
      <c r="C508" t="s">
        <v>1511</v>
      </c>
      <c r="D508" t="str">
        <f>Table3[[#This Row],[COMPANYNO]]&amp;"/"&amp;Table3[[#This Row],[DIVISIONNO]]&amp;"-"&amp;Table3[[#This Row],[COMPANYNAME]]</f>
        <v>45/301-Fore River Bridge Int Dpt</v>
      </c>
      <c r="E508" s="23" t="s">
        <v>643</v>
      </c>
      <c r="F508" s="24">
        <v>45</v>
      </c>
      <c r="G508" s="24">
        <v>301</v>
      </c>
    </row>
    <row r="509" spans="1:7" x14ac:dyDescent="0.3">
      <c r="A509" t="str">
        <f>VLOOKUP(Table3[[#This Row],[COMPANYNO]],L:M,2)</f>
        <v>JF White</v>
      </c>
      <c r="B509" t="str">
        <f>VLOOKUP(Table3[[#This Row],[COMPANYNO]],L:N,3)</f>
        <v>Boston</v>
      </c>
      <c r="C509" t="s">
        <v>1511</v>
      </c>
      <c r="D509" t="str">
        <f>Table3[[#This Row],[COMPANYNO]]&amp;"/"&amp;Table3[[#This Row],[DIVISIONNO]]&amp;"-"&amp;Table3[[#This Row],[COMPANYNAME]]</f>
        <v>45/302-Longfellow Bridge Int Dpt</v>
      </c>
      <c r="E509" s="21" t="s">
        <v>645</v>
      </c>
      <c r="F509" s="22">
        <v>45</v>
      </c>
      <c r="G509" s="22">
        <v>302</v>
      </c>
    </row>
    <row r="510" spans="1:7" x14ac:dyDescent="0.3">
      <c r="A510" t="str">
        <f>VLOOKUP(Table3[[#This Row],[COMPANYNO]],L:M,2)</f>
        <v>JF White</v>
      </c>
      <c r="B510" t="str">
        <f>VLOOKUP(Table3[[#This Row],[COMPANYNO]],L:N,3)</f>
        <v>Boston</v>
      </c>
      <c r="C510" t="s">
        <v>1511</v>
      </c>
      <c r="D510" t="str">
        <f>Table3[[#This Row],[COMPANYNO]]&amp;"/"&amp;Table3[[#This Row],[DIVISIONNO]]&amp;"-"&amp;Table3[[#This Row],[COMPANYNAME]]</f>
        <v>45/303-Fitchburg Comm Rail Int Dpt</v>
      </c>
      <c r="E510" s="23" t="s">
        <v>647</v>
      </c>
      <c r="F510" s="24">
        <v>45</v>
      </c>
      <c r="G510" s="24">
        <v>303</v>
      </c>
    </row>
    <row r="511" spans="1:7" x14ac:dyDescent="0.3">
      <c r="A511" t="str">
        <f>VLOOKUP(Table3[[#This Row],[COMPANYNO]],L:M,2)</f>
        <v>JF White</v>
      </c>
      <c r="B511" t="str">
        <f>VLOOKUP(Table3[[#This Row],[COMPANYNO]],L:N,3)</f>
        <v>Boston</v>
      </c>
      <c r="C511" t="s">
        <v>1511</v>
      </c>
      <c r="D511" t="str">
        <f>Table3[[#This Row],[COMPANYNO]]&amp;"/"&amp;Table3[[#This Row],[DIVISIONNO]]&amp;"-"&amp;Table3[[#This Row],[COMPANYNAME]]</f>
        <v>45/304-I91 Springfield Viaduct IntDpt</v>
      </c>
      <c r="E511" s="21" t="s">
        <v>649</v>
      </c>
      <c r="F511" s="22">
        <v>45</v>
      </c>
      <c r="G511" s="22">
        <v>304</v>
      </c>
    </row>
    <row r="512" spans="1:7" x14ac:dyDescent="0.3">
      <c r="A512" t="str">
        <f>VLOOKUP(Table3[[#This Row],[COMPANYNO]],L:M,2)</f>
        <v>JF White</v>
      </c>
      <c r="B512" t="str">
        <f>VLOOKUP(Table3[[#This Row],[COMPANYNO]],L:N,3)</f>
        <v>Boston</v>
      </c>
      <c r="C512" t="s">
        <v>1511</v>
      </c>
      <c r="D512" t="str">
        <f>Table3[[#This Row],[COMPANYNO]]&amp;"/"&amp;Table3[[#This Row],[DIVISIONNO]]&amp;"-"&amp;Table3[[#This Row],[COMPANYNAME]]</f>
        <v>45/305-* Green Line Extension Int Dpt</v>
      </c>
      <c r="E512" s="23" t="s">
        <v>651</v>
      </c>
      <c r="F512" s="24">
        <v>45</v>
      </c>
      <c r="G512" s="24">
        <v>305</v>
      </c>
    </row>
    <row r="513" spans="1:7" x14ac:dyDescent="0.3">
      <c r="A513" t="str">
        <f>VLOOKUP(Table3[[#This Row],[COMPANYNO]],L:M,2)</f>
        <v>JF White</v>
      </c>
      <c r="B513" t="str">
        <f>VLOOKUP(Table3[[#This Row],[COMPANYNO]],L:N,3)</f>
        <v>Boston</v>
      </c>
      <c r="C513" t="s">
        <v>1511</v>
      </c>
      <c r="D513" t="str">
        <f>Table3[[#This Row],[COMPANYNO]]&amp;"/"&amp;Table3[[#This Row],[DIVISIONNO]]&amp;"-"&amp;Table3[[#This Row],[COMPANYNAME]]</f>
        <v>45/306-GLX IGMP #1  Int. Dpmt</v>
      </c>
      <c r="E513" s="21" t="s">
        <v>653</v>
      </c>
      <c r="F513" s="22">
        <v>45</v>
      </c>
      <c r="G513" s="22">
        <v>306</v>
      </c>
    </row>
    <row r="514" spans="1:7" x14ac:dyDescent="0.3">
      <c r="A514" t="str">
        <f>VLOOKUP(Table3[[#This Row],[COMPANYNO]],L:M,2)</f>
        <v>JF White</v>
      </c>
      <c r="B514" t="str">
        <f>VLOOKUP(Table3[[#This Row],[COMPANYNO]],L:N,3)</f>
        <v>Boston</v>
      </c>
      <c r="C514" t="s">
        <v>1511</v>
      </c>
      <c r="D514" t="str">
        <f>Table3[[#This Row],[COMPANYNO]]&amp;"/"&amp;Table3[[#This Row],[DIVISIONNO]]&amp;"-"&amp;Table3[[#This Row],[COMPANYNAME]]</f>
        <v>45/307-GLX IGMP #2 Int. Dpmt</v>
      </c>
      <c r="E514" s="23" t="s">
        <v>655</v>
      </c>
      <c r="F514" s="24">
        <v>45</v>
      </c>
      <c r="G514" s="24">
        <v>307</v>
      </c>
    </row>
    <row r="515" spans="1:7" x14ac:dyDescent="0.3">
      <c r="A515" t="str">
        <f>VLOOKUP(Table3[[#This Row],[COMPANYNO]],L:M,2)</f>
        <v>JF White</v>
      </c>
      <c r="B515" t="str">
        <f>VLOOKUP(Table3[[#This Row],[COMPANYNO]],L:N,3)</f>
        <v>Boston</v>
      </c>
      <c r="C515" t="s">
        <v>1511</v>
      </c>
      <c r="D515" t="str">
        <f>Table3[[#This Row],[COMPANYNO]]&amp;"/"&amp;Table3[[#This Row],[DIVISIONNO]]&amp;"-"&amp;Table3[[#This Row],[COMPANYNAME]]</f>
        <v>45/308-GLX IGMP #3  Int. Dpmt</v>
      </c>
      <c r="E515" s="21" t="s">
        <v>657</v>
      </c>
      <c r="F515" s="22">
        <v>45</v>
      </c>
      <c r="G515" s="22">
        <v>308</v>
      </c>
    </row>
    <row r="516" spans="1:7" x14ac:dyDescent="0.3">
      <c r="A516" t="str">
        <f>VLOOKUP(Table3[[#This Row],[COMPANYNO]],L:M,2)</f>
        <v>JF White</v>
      </c>
      <c r="B516" t="str">
        <f>VLOOKUP(Table3[[#This Row],[COMPANYNO]],L:N,3)</f>
        <v>Boston</v>
      </c>
      <c r="C516" t="s">
        <v>1511</v>
      </c>
      <c r="D516" t="str">
        <f>Table3[[#This Row],[COMPANYNO]]&amp;"/"&amp;Table3[[#This Row],[DIVISIONNO]]&amp;"-"&amp;Table3[[#This Row],[COMPANYNAME]]</f>
        <v>45/309-GLX GMP #4A Int. Dpmt</v>
      </c>
      <c r="E516" s="23" t="s">
        <v>658</v>
      </c>
      <c r="F516" s="24">
        <v>45</v>
      </c>
      <c r="G516" s="24">
        <v>309</v>
      </c>
    </row>
    <row r="517" spans="1:7" x14ac:dyDescent="0.3">
      <c r="A517" t="str">
        <f>VLOOKUP(Table3[[#This Row],[COMPANYNO]],L:M,2)</f>
        <v>JF White</v>
      </c>
      <c r="B517" t="str">
        <f>VLOOKUP(Table3[[#This Row],[COMPANYNO]],L:N,3)</f>
        <v>Boston</v>
      </c>
      <c r="C517" t="s">
        <v>1511</v>
      </c>
      <c r="D517" t="str">
        <f>Table3[[#This Row],[COMPANYNO]]&amp;"/"&amp;Table3[[#This Row],[DIVISIONNO]]&amp;"-"&amp;Table3[[#This Row],[COMPANYNAME]]</f>
        <v>45/310-JF WHITE/EMPIRE   - Int. Dpmt</v>
      </c>
      <c r="E517" s="21" t="s">
        <v>660</v>
      </c>
      <c r="F517" s="22">
        <v>45</v>
      </c>
      <c r="G517" s="22">
        <v>310</v>
      </c>
    </row>
    <row r="518" spans="1:7" x14ac:dyDescent="0.3">
      <c r="A518" t="str">
        <f>VLOOKUP(Table3[[#This Row],[COMPANYNO]],L:M,2)</f>
        <v>JF White</v>
      </c>
      <c r="B518" t="str">
        <f>VLOOKUP(Table3[[#This Row],[COMPANYNO]],L:N,3)</f>
        <v>Boston</v>
      </c>
      <c r="C518" t="s">
        <v>1511</v>
      </c>
      <c r="D518" t="str">
        <f>Table3[[#This Row],[COMPANYNO]]&amp;"/"&amp;Table3[[#This Row],[DIVISIONNO]]&amp;"-"&amp;Table3[[#This Row],[COMPANYNAME]]</f>
        <v>45/311-SEW JV - Int. Dpmt</v>
      </c>
      <c r="E518" s="23" t="s">
        <v>662</v>
      </c>
      <c r="F518" s="24">
        <v>45</v>
      </c>
      <c r="G518" s="24">
        <v>311</v>
      </c>
    </row>
    <row r="519" spans="1:7" x14ac:dyDescent="0.3">
      <c r="A519" t="str">
        <f>VLOOKUP(Table3[[#This Row],[COMPANYNO]],L:M,2)</f>
        <v>JF White</v>
      </c>
      <c r="B519" t="str">
        <f>VLOOKUP(Table3[[#This Row],[COMPANYNO]],L:N,3)</f>
        <v>Boston</v>
      </c>
      <c r="C519" t="s">
        <v>1511</v>
      </c>
      <c r="D519" t="str">
        <f>Table3[[#This Row],[COMPANYNO]]&amp;"/"&amp;Table3[[#This Row],[DIVISIONNO]]&amp;"-"&amp;Table3[[#This Row],[COMPANYNAME]]</f>
        <v>45/312-TBD</v>
      </c>
      <c r="E519" s="21" t="s">
        <v>664</v>
      </c>
      <c r="F519" s="22">
        <v>45</v>
      </c>
      <c r="G519" s="22">
        <v>312</v>
      </c>
    </row>
    <row r="520" spans="1:7" x14ac:dyDescent="0.3">
      <c r="A520" t="str">
        <f>VLOOKUP(Table3[[#This Row],[COMPANYNO]],L:M,2)</f>
        <v>JF White</v>
      </c>
      <c r="B520" t="str">
        <f>VLOOKUP(Table3[[#This Row],[COMPANYNO]],L:N,3)</f>
        <v>Boston</v>
      </c>
      <c r="C520" t="s">
        <v>1511</v>
      </c>
      <c r="D520" t="str">
        <f>Table3[[#This Row],[COMPANYNO]]&amp;"/"&amp;Table3[[#This Row],[DIVISIONNO]]&amp;"-"&amp;Table3[[#This Row],[COMPANYNAME]]</f>
        <v>45/350-GLX G&amp;A Int Dept</v>
      </c>
      <c r="E520" s="23" t="s">
        <v>671</v>
      </c>
      <c r="F520" s="24">
        <v>45</v>
      </c>
      <c r="G520" s="24">
        <v>350</v>
      </c>
    </row>
    <row r="521" spans="1:7" x14ac:dyDescent="0.3">
      <c r="A521" t="str">
        <f>VLOOKUP(Table3[[#This Row],[COMPANYNO]],L:M,2)</f>
        <v>Picone</v>
      </c>
      <c r="B521" t="str">
        <f>VLOOKUP(Table3[[#This Row],[COMPANYNO]],L:N,3)</f>
        <v>Long Island City</v>
      </c>
      <c r="C521" t="s">
        <v>1511</v>
      </c>
      <c r="D521" t="str">
        <f>Table3[[#This Row],[COMPANYNO]]&amp;"/"&amp;Table3[[#This Row],[DIVISIONNO]]&amp;"-"&amp;Table3[[#This Row],[COMPANYNAME]]</f>
        <v>75/301-Croton WT 312OSG IntDpt</v>
      </c>
      <c r="E521" s="23" t="s">
        <v>216</v>
      </c>
      <c r="F521" s="24">
        <v>75</v>
      </c>
      <c r="G521" s="24">
        <v>301</v>
      </c>
    </row>
    <row r="522" spans="1:7" x14ac:dyDescent="0.3">
      <c r="A522" t="str">
        <f>VLOOKUP(Table3[[#This Row],[COMPANYNO]],L:M,2)</f>
        <v>Picone</v>
      </c>
      <c r="B522" t="str">
        <f>VLOOKUP(Table3[[#This Row],[COMPANYNO]],L:N,3)</f>
        <v>Long Island City</v>
      </c>
      <c r="C522" t="s">
        <v>1511</v>
      </c>
      <c r="D522" t="str">
        <f>Table3[[#This Row],[COMPANYNO]]&amp;"/"&amp;Table3[[#This Row],[DIVISIONNO]]&amp;"-"&amp;Table3[[#This Row],[COMPANYNAME]]</f>
        <v>75/302-Croton Tmt PltCRO312P IntDpt</v>
      </c>
      <c r="E522" s="21" t="s">
        <v>217</v>
      </c>
      <c r="F522" s="22">
        <v>75</v>
      </c>
      <c r="G522" s="22">
        <v>302</v>
      </c>
    </row>
    <row r="523" spans="1:7" x14ac:dyDescent="0.3">
      <c r="A523" t="str">
        <f>VLOOKUP(Table3[[#This Row],[COMPANYNO]],L:M,2)</f>
        <v>Picone</v>
      </c>
      <c r="B523" t="str">
        <f>VLOOKUP(Table3[[#This Row],[COMPANYNO]],L:N,3)</f>
        <v>Long Island City</v>
      </c>
      <c r="C523" t="s">
        <v>1511</v>
      </c>
      <c r="D523" t="str">
        <f>Table3[[#This Row],[COMPANYNO]]&amp;"/"&amp;Table3[[#This Row],[DIVISIONNO]]&amp;"-"&amp;Table3[[#This Row],[COMPANYNAME]]</f>
        <v>75/303-City Tnl Shafts#3 C538D IntDpt</v>
      </c>
      <c r="E523" s="23" t="s">
        <v>218</v>
      </c>
      <c r="F523" s="24">
        <v>75</v>
      </c>
      <c r="G523" s="24">
        <v>303</v>
      </c>
    </row>
    <row r="524" spans="1:7" x14ac:dyDescent="0.3">
      <c r="A524" t="str">
        <f>VLOOKUP(Table3[[#This Row],[COMPANYNO]],L:M,2)</f>
        <v>Picone</v>
      </c>
      <c r="B524" t="str">
        <f>VLOOKUP(Table3[[#This Row],[COMPANYNO]],L:N,3)</f>
        <v>Long Island City</v>
      </c>
      <c r="C524" t="s">
        <v>1511</v>
      </c>
      <c r="D524" t="str">
        <f>Table3[[#This Row],[COMPANYNO]]&amp;"/"&amp;Table3[[#This Row],[DIVISIONNO]]&amp;"-"&amp;Table3[[#This Row],[COMPANYNAME]]</f>
        <v>75/304-NC-50G IntDpt</v>
      </c>
      <c r="E524" s="21" t="s">
        <v>219</v>
      </c>
      <c r="F524" s="22">
        <v>75</v>
      </c>
      <c r="G524" s="22">
        <v>304</v>
      </c>
    </row>
    <row r="525" spans="1:7" x14ac:dyDescent="0.3">
      <c r="A525" t="str">
        <f>VLOOKUP(Table3[[#This Row],[COMPANYNO]],L:M,2)</f>
        <v>Picone</v>
      </c>
      <c r="B525" t="str">
        <f>VLOOKUP(Table3[[#This Row],[COMPANYNO]],L:N,3)</f>
        <v>Long Island City</v>
      </c>
      <c r="C525" t="s">
        <v>1511</v>
      </c>
      <c r="D525" t="str">
        <f>Table3[[#This Row],[COMPANYNO]]&amp;"/"&amp;Table3[[#This Row],[DIVISIONNO]]&amp;"-"&amp;Table3[[#This Row],[COMPANYNAME]]</f>
        <v>75/305-Rondout Tunnel Rehab  IntDpt</v>
      </c>
      <c r="E525" s="23" t="s">
        <v>220</v>
      </c>
      <c r="F525" s="24">
        <v>75</v>
      </c>
      <c r="G525" s="24">
        <v>305</v>
      </c>
    </row>
    <row r="526" spans="1:7" x14ac:dyDescent="0.3">
      <c r="A526" t="str">
        <f>VLOOKUP(Table3[[#This Row],[COMPANYNO]],L:M,2)</f>
        <v>Picone</v>
      </c>
      <c r="B526" t="str">
        <f>VLOOKUP(Table3[[#This Row],[COMPANYNO]],L:N,3)</f>
        <v>Long Island City</v>
      </c>
      <c r="C526" t="s">
        <v>1511</v>
      </c>
      <c r="D526" t="str">
        <f>Table3[[#This Row],[COMPANYNO]]&amp;"/"&amp;Table3[[#This Row],[DIVISIONNO]]&amp;"-"&amp;Table3[[#This Row],[COMPANYNAME]]</f>
        <v>75/306-Croton Tunnel CRO313 IntDpt</v>
      </c>
      <c r="E526" s="21" t="s">
        <v>221</v>
      </c>
      <c r="F526" s="22">
        <v>75</v>
      </c>
      <c r="G526" s="22">
        <v>306</v>
      </c>
    </row>
    <row r="527" spans="1:7" x14ac:dyDescent="0.3">
      <c r="A527" t="str">
        <f>VLOOKUP(Table3[[#This Row],[COMPANYNO]],L:M,2)</f>
        <v>Picone</v>
      </c>
      <c r="B527" t="str">
        <f>VLOOKUP(Table3[[#This Row],[COMPANYNO]],L:N,3)</f>
        <v>Long Island City</v>
      </c>
      <c r="C527" t="s">
        <v>1511</v>
      </c>
      <c r="D527" t="str">
        <f>Table3[[#This Row],[COMPANYNO]]&amp;"/"&amp;Table3[[#This Row],[DIVISIONNO]]&amp;"-"&amp;Table3[[#This Row],[COMPANYNAME]]</f>
        <v>75/307-* 30 St W Vent Plt Rehab IntDp</v>
      </c>
      <c r="E527" s="23" t="s">
        <v>222</v>
      </c>
      <c r="F527" s="24">
        <v>75</v>
      </c>
      <c r="G527" s="24">
        <v>307</v>
      </c>
    </row>
    <row r="528" spans="1:7" x14ac:dyDescent="0.3">
      <c r="A528" t="str">
        <f>VLOOKUP(Table3[[#This Row],[COMPANYNO]],L:M,2)</f>
        <v>Picone</v>
      </c>
      <c r="B528" t="str">
        <f>VLOOKUP(Table3[[#This Row],[COMPANYNO]],L:N,3)</f>
        <v>Long Island City</v>
      </c>
      <c r="C528" t="s">
        <v>1511</v>
      </c>
      <c r="D528" t="str">
        <f>Table3[[#This Row],[COMPANYNO]]&amp;"/"&amp;Table3[[#This Row],[DIVISIONNO]]&amp;"-"&amp;Table3[[#This Row],[COMPANYNAME]]</f>
        <v>75/308-Croton Tunnel Rehab334G IntDpt</v>
      </c>
      <c r="E528" s="21" t="s">
        <v>223</v>
      </c>
      <c r="F528" s="22">
        <v>75</v>
      </c>
      <c r="G528" s="22">
        <v>308</v>
      </c>
    </row>
    <row r="529" spans="1:7" x14ac:dyDescent="0.3">
      <c r="A529" t="str">
        <f>VLOOKUP(Table3[[#This Row],[COMPANYNO]],L:M,2)</f>
        <v>Picone</v>
      </c>
      <c r="B529" t="str">
        <f>VLOOKUP(Table3[[#This Row],[COMPANYNO]],L:N,3)</f>
        <v>Long Island City</v>
      </c>
      <c r="C529" t="s">
        <v>1511</v>
      </c>
      <c r="D529" t="str">
        <f>Table3[[#This Row],[COMPANYNO]]&amp;"/"&amp;Table3[[#This Row],[DIVISIONNO]]&amp;"-"&amp;Table3[[#This Row],[COMPANYNAME]]</f>
        <v>75/309-IntDpt NC-41F Skanska/Picone</v>
      </c>
      <c r="E529" s="23" t="s">
        <v>224</v>
      </c>
      <c r="F529" s="24">
        <v>75</v>
      </c>
      <c r="G529" s="24">
        <v>309</v>
      </c>
    </row>
    <row r="530" spans="1:7" x14ac:dyDescent="0.3">
      <c r="A530" t="str">
        <f>VLOOKUP(Table3[[#This Row],[COMPANYNO]],L:M,2)</f>
        <v>Picone</v>
      </c>
      <c r="B530" t="str">
        <f>VLOOKUP(Table3[[#This Row],[COMPANYNO]],L:N,3)</f>
        <v>Long Island City</v>
      </c>
      <c r="C530" t="s">
        <v>1511</v>
      </c>
      <c r="D530" t="str">
        <f>Table3[[#This Row],[COMPANYNO]]&amp;"/"&amp;Table3[[#This Row],[DIVISIONNO]]&amp;"-"&amp;Table3[[#This Row],[COMPANYNAME]]</f>
        <v>75/310-Newtown Creek NC35G IntDpt</v>
      </c>
      <c r="E530" s="21" t="s">
        <v>225</v>
      </c>
      <c r="F530" s="22">
        <v>75</v>
      </c>
      <c r="G530" s="22">
        <v>310</v>
      </c>
    </row>
    <row r="531" spans="1:7" x14ac:dyDescent="0.3">
      <c r="A531" t="str">
        <f>VLOOKUP(Table3[[#This Row],[COMPANYNO]],L:M,2)</f>
        <v>Picone</v>
      </c>
      <c r="B531" t="str">
        <f>VLOOKUP(Table3[[#This Row],[COMPANYNO]],L:N,3)</f>
        <v>Long Island City</v>
      </c>
      <c r="C531" t="s">
        <v>1511</v>
      </c>
      <c r="D531" t="str">
        <f>Table3[[#This Row],[COMPANYNO]]&amp;"/"&amp;Table3[[#This Row],[DIVISIONNO]]&amp;"-"&amp;Table3[[#This Row],[COMPANYNAME]]</f>
        <v>75/311-Newtown Creek NC47G IntDpt</v>
      </c>
      <c r="E531" s="23" t="s">
        <v>226</v>
      </c>
      <c r="F531" s="24">
        <v>75</v>
      </c>
      <c r="G531" s="24">
        <v>311</v>
      </c>
    </row>
    <row r="532" spans="1:7" x14ac:dyDescent="0.3">
      <c r="A532" t="str">
        <f>VLOOKUP(Table3[[#This Row],[COMPANYNO]],L:M,2)</f>
        <v>Picone</v>
      </c>
      <c r="B532" t="str">
        <f>VLOOKUP(Table3[[#This Row],[COMPANYNO]],L:N,3)</f>
        <v>Long Island City</v>
      </c>
      <c r="C532" t="s">
        <v>1511</v>
      </c>
      <c r="D532" t="str">
        <f>Table3[[#This Row],[COMPANYNO]]&amp;"/"&amp;Table3[[#This Row],[DIVISIONNO]]&amp;"-"&amp;Table3[[#This Row],[COMPANYNAME]]</f>
        <v>75/312-Newtown Creek 41G IntDpt</v>
      </c>
      <c r="E532" s="21" t="s">
        <v>227</v>
      </c>
      <c r="F532" s="22">
        <v>75</v>
      </c>
      <c r="G532" s="22">
        <v>312</v>
      </c>
    </row>
    <row r="533" spans="1:7" x14ac:dyDescent="0.3">
      <c r="A533" t="str">
        <f>VLOOKUP(Table3[[#This Row],[COMPANYNO]],L:M,2)</f>
        <v>Picone</v>
      </c>
      <c r="B533" t="str">
        <f>VLOOKUP(Table3[[#This Row],[COMPANYNO]],L:N,3)</f>
        <v>Long Island City</v>
      </c>
      <c r="C533" t="s">
        <v>1511</v>
      </c>
      <c r="D533" t="str">
        <f>Table3[[#This Row],[COMPANYNO]]&amp;"/"&amp;Table3[[#This Row],[DIVISIONNO]]&amp;"-"&amp;Table3[[#This Row],[COMPANYNAME]]</f>
        <v>75/313-* IntDpt Picone/Scariano JV</v>
      </c>
      <c r="E533" s="23" t="s">
        <v>228</v>
      </c>
      <c r="F533" s="24">
        <v>75</v>
      </c>
      <c r="G533" s="24">
        <v>313</v>
      </c>
    </row>
    <row r="534" spans="1:7" x14ac:dyDescent="0.3">
      <c r="A534" t="str">
        <f>VLOOKUP(Table3[[#This Row],[COMPANYNO]],L:M,2)</f>
        <v>Picone</v>
      </c>
      <c r="B534" t="str">
        <f>VLOOKUP(Table3[[#This Row],[COMPANYNO]],L:N,3)</f>
        <v>Long Island City</v>
      </c>
      <c r="C534" t="s">
        <v>1511</v>
      </c>
      <c r="D534" t="str">
        <f>Table3[[#This Row],[COMPANYNO]]&amp;"/"&amp;Table3[[#This Row],[DIVISIONNO]]&amp;"-"&amp;Table3[[#This Row],[COMPANYNAME]]</f>
        <v>75/314-* Hamlet Electric IntDpt</v>
      </c>
      <c r="E534" s="21" t="s">
        <v>229</v>
      </c>
      <c r="F534" s="22">
        <v>75</v>
      </c>
      <c r="G534" s="22">
        <v>314</v>
      </c>
    </row>
    <row r="535" spans="1:7" x14ac:dyDescent="0.3">
      <c r="A535" t="str">
        <f>VLOOKUP(Table3[[#This Row],[COMPANYNO]],L:M,2)</f>
        <v>Picone</v>
      </c>
      <c r="B535" t="str">
        <f>VLOOKUP(Table3[[#This Row],[COMPANYNO]],L:N,3)</f>
        <v>Long Island City</v>
      </c>
      <c r="C535" t="s">
        <v>1511</v>
      </c>
      <c r="D535" t="str">
        <f>Table3[[#This Row],[COMPANYNO]]&amp;"/"&amp;Table3[[#This Row],[DIVISIONNO]]&amp;"-"&amp;Table3[[#This Row],[COMPANYNAME]]</f>
        <v>75/315-55 St Vent Plant CMO13A IntDpt</v>
      </c>
      <c r="E535" s="23" t="s">
        <v>261</v>
      </c>
      <c r="F535" s="24">
        <v>75</v>
      </c>
      <c r="G535" s="24">
        <v>315</v>
      </c>
    </row>
    <row r="536" spans="1:7" x14ac:dyDescent="0.3">
      <c r="A536" t="str">
        <f>VLOOKUP(Table3[[#This Row],[COMPANYNO]],L:M,2)</f>
        <v>Picone</v>
      </c>
      <c r="B536" t="str">
        <f>VLOOKUP(Table3[[#This Row],[COMPANYNO]],L:N,3)</f>
        <v>Long Island City</v>
      </c>
      <c r="C536" t="s">
        <v>1511</v>
      </c>
      <c r="D536" t="str">
        <f>Table3[[#This Row],[COMPANYNO]]&amp;"/"&amp;Table3[[#This Row],[DIVISIONNO]]&amp;"-"&amp;Table3[[#This Row],[COMPANYNAME]]</f>
        <v>75/316-* Ocean Parkway D-262250  Int</v>
      </c>
      <c r="E536" s="21" t="s">
        <v>289</v>
      </c>
      <c r="F536" s="22">
        <v>75</v>
      </c>
      <c r="G536" s="22">
        <v>316</v>
      </c>
    </row>
    <row r="537" spans="1:7" x14ac:dyDescent="0.3">
      <c r="A537" t="str">
        <f>VLOOKUP(Table3[[#This Row],[COMPANYNO]],L:M,2)</f>
        <v>Picone</v>
      </c>
      <c r="B537" t="str">
        <f>VLOOKUP(Table3[[#This Row],[COMPANYNO]],L:N,3)</f>
        <v>Long Island City</v>
      </c>
      <c r="C537" t="s">
        <v>1511</v>
      </c>
      <c r="D537" t="str">
        <f>Table3[[#This Row],[COMPANYNO]]&amp;"/"&amp;Table3[[#This Row],[DIVISIONNO]]&amp;"-"&amp;Table3[[#This Row],[COMPANYNAME]]</f>
        <v>75/317-86th St Station C26012 IntDpt</v>
      </c>
      <c r="E537" s="23" t="s">
        <v>342</v>
      </c>
      <c r="F537" s="24">
        <v>75</v>
      </c>
      <c r="G537" s="24">
        <v>317</v>
      </c>
    </row>
    <row r="538" spans="1:7" x14ac:dyDescent="0.3">
      <c r="A538" t="str">
        <f>VLOOKUP(Table3[[#This Row],[COMPANYNO]],L:M,2)</f>
        <v>Picone</v>
      </c>
      <c r="B538" t="str">
        <f>VLOOKUP(Table3[[#This Row],[COMPANYNO]],L:N,3)</f>
        <v>Long Island City</v>
      </c>
      <c r="C538" t="s">
        <v>1511</v>
      </c>
      <c r="D538" t="str">
        <f>Table3[[#This Row],[COMPANYNO]]&amp;"/"&amp;Table3[[#This Row],[DIVISIONNO]]&amp;"-"&amp;Table3[[#This Row],[COMPANYNAME]]</f>
        <v>75/318-Harold Structure CH057A IntDpt</v>
      </c>
      <c r="E538" s="21" t="s">
        <v>363</v>
      </c>
      <c r="F538" s="22">
        <v>75</v>
      </c>
      <c r="G538" s="22">
        <v>318</v>
      </c>
    </row>
    <row r="539" spans="1:7" x14ac:dyDescent="0.3">
      <c r="A539" t="str">
        <f>VLOOKUP(Table3[[#This Row],[COMPANYNO]],L:M,2)</f>
        <v>Picone</v>
      </c>
      <c r="B539" t="str">
        <f>VLOOKUP(Table3[[#This Row],[COMPANYNO]],L:N,3)</f>
        <v>Long Island City</v>
      </c>
      <c r="C539" t="s">
        <v>1511</v>
      </c>
      <c r="D539" t="str">
        <f>Table3[[#This Row],[COMPANYNO]]&amp;"/"&amp;Table3[[#This Row],[DIVISIONNO]]&amp;"-"&amp;Table3[[#This Row],[COMPANYNAME]]</f>
        <v>75/319-Bowery Bay Pump Station IntDpt</v>
      </c>
      <c r="E539" s="23" t="s">
        <v>375</v>
      </c>
      <c r="F539" s="24">
        <v>75</v>
      </c>
      <c r="G539" s="24">
        <v>319</v>
      </c>
    </row>
    <row r="540" spans="1:7" x14ac:dyDescent="0.3">
      <c r="A540" t="str">
        <f>VLOOKUP(Table3[[#This Row],[COMPANYNO]],L:M,2)</f>
        <v>Picone</v>
      </c>
      <c r="B540" t="str">
        <f>VLOOKUP(Table3[[#This Row],[COMPANYNO]],L:N,3)</f>
        <v>Long Island City</v>
      </c>
      <c r="C540" t="s">
        <v>1511</v>
      </c>
      <c r="D540" t="str">
        <f>Table3[[#This Row],[COMPANYNO]]&amp;"/"&amp;Table3[[#This Row],[DIVISIONNO]]&amp;"-"&amp;Table3[[#This Row],[COMPANYNAME]]</f>
        <v>75/320-Johnson Ave Track 6121 IntDpt</v>
      </c>
      <c r="E540" s="21" t="s">
        <v>372</v>
      </c>
      <c r="F540" s="22">
        <v>75</v>
      </c>
      <c r="G540" s="22">
        <v>320</v>
      </c>
    </row>
    <row r="541" spans="1:7" x14ac:dyDescent="0.3">
      <c r="A541" t="str">
        <f>VLOOKUP(Table3[[#This Row],[COMPANYNO]],L:M,2)</f>
        <v>Picone</v>
      </c>
      <c r="B541" t="str">
        <f>VLOOKUP(Table3[[#This Row],[COMPANYNO]],L:N,3)</f>
        <v>Long Island City</v>
      </c>
      <c r="C541" t="s">
        <v>1511</v>
      </c>
      <c r="D541" t="str">
        <f>Table3[[#This Row],[COMPANYNO]]&amp;"/"&amp;Table3[[#This Row],[DIVISIONNO]]&amp;"-"&amp;Table3[[#This Row],[COMPANYNAME]]</f>
        <v>75/321-GCT Concourse CM014B IntDpt</v>
      </c>
      <c r="E541" s="23" t="s">
        <v>457</v>
      </c>
      <c r="F541" s="24">
        <v>75</v>
      </c>
      <c r="G541" s="24">
        <v>321</v>
      </c>
    </row>
    <row r="542" spans="1:7" x14ac:dyDescent="0.3">
      <c r="A542" t="str">
        <f>VLOOKUP(Table3[[#This Row],[COMPANYNO]],L:M,2)</f>
        <v>Picone</v>
      </c>
      <c r="B542" t="str">
        <f>VLOOKUP(Table3[[#This Row],[COMPANYNO]],L:N,3)</f>
        <v>Long Island City</v>
      </c>
      <c r="C542" t="s">
        <v>1511</v>
      </c>
      <c r="D542" t="str">
        <f>Table3[[#This Row],[COMPANYNO]]&amp;"/"&amp;Table3[[#This Row],[DIVISIONNO]]&amp;"-"&amp;Table3[[#This Row],[COMPANYNAME]]</f>
        <v>75/322-Dyre Av Station A36916 IntDpt</v>
      </c>
      <c r="E542" s="21" t="s">
        <v>481</v>
      </c>
      <c r="F542" s="22">
        <v>75</v>
      </c>
      <c r="G542" s="22">
        <v>322</v>
      </c>
    </row>
    <row r="543" spans="1:7" x14ac:dyDescent="0.3">
      <c r="A543" t="str">
        <f>VLOOKUP(Table3[[#This Row],[COMPANYNO]],L:M,2)</f>
        <v>Picone</v>
      </c>
      <c r="B543" t="str">
        <f>VLOOKUP(Table3[[#This Row],[COMPANYNO]],L:N,3)</f>
        <v>Long Island City</v>
      </c>
      <c r="C543" t="s">
        <v>1511</v>
      </c>
      <c r="D543" t="str">
        <f>Table3[[#This Row],[COMPANYNO]]&amp;"/"&amp;Table3[[#This Row],[DIVISIONNO]]&amp;"-"&amp;Table3[[#This Row],[COMPANYNAME]]</f>
        <v>75/323-Rt110 Sunrise Hwy DB IntDpt</v>
      </c>
      <c r="E543" s="23" t="s">
        <v>483</v>
      </c>
      <c r="F543" s="24">
        <v>75</v>
      </c>
      <c r="G543" s="24">
        <v>323</v>
      </c>
    </row>
    <row r="544" spans="1:7" x14ac:dyDescent="0.3">
      <c r="A544" t="str">
        <f>VLOOKUP(Table3[[#This Row],[COMPANYNO]],L:M,2)</f>
        <v>Picone</v>
      </c>
      <c r="B544" t="str">
        <f>VLOOKUP(Table3[[#This Row],[COMPANYNO]],L:N,3)</f>
        <v>Long Island City</v>
      </c>
      <c r="C544" t="s">
        <v>1511</v>
      </c>
      <c r="D544" t="str">
        <f>Table3[[#This Row],[COMPANYNO]]&amp;"/"&amp;Table3[[#This Row],[DIVISIONNO]]&amp;"-"&amp;Table3[[#This Row],[COMPANYNAME]]</f>
        <v>75/324-Prelim Treatm Rel Impr IntDpt</v>
      </c>
      <c r="E544" s="21" t="s">
        <v>502</v>
      </c>
      <c r="F544" s="22">
        <v>75</v>
      </c>
      <c r="G544" s="22">
        <v>324</v>
      </c>
    </row>
    <row r="545" spans="1:7" x14ac:dyDescent="0.3">
      <c r="A545" t="str">
        <f>VLOOKUP(Table3[[#This Row],[COMPANYNO]],L:M,2)</f>
        <v>Picone</v>
      </c>
      <c r="B545" t="str">
        <f>VLOOKUP(Table3[[#This Row],[COMPANYNO]],L:N,3)</f>
        <v>Long Island City</v>
      </c>
      <c r="C545" t="s">
        <v>1511</v>
      </c>
      <c r="D545" t="str">
        <f>Table3[[#This Row],[COMPANYNO]]&amp;"/"&amp;Table3[[#This Row],[DIVISIONNO]]&amp;"-"&amp;Table3[[#This Row],[COMPANYNAME]]</f>
        <v>75/325-3rd Track Int Dept</v>
      </c>
      <c r="E545" s="23" t="s">
        <v>696</v>
      </c>
      <c r="F545" s="24">
        <v>75</v>
      </c>
      <c r="G545" s="24">
        <v>325</v>
      </c>
    </row>
    <row r="546" spans="1:7" x14ac:dyDescent="0.3">
      <c r="A546" t="str">
        <f>VLOOKUP(Table3[[#This Row],[COMPANYNO]],L:M,2)</f>
        <v>Picone</v>
      </c>
      <c r="B546" t="str">
        <f>VLOOKUP(Table3[[#This Row],[COMPANYNO]],L:N,3)</f>
        <v>Long Island City</v>
      </c>
      <c r="C546" t="s">
        <v>1511</v>
      </c>
      <c r="D546" t="str">
        <f>Table3[[#This Row],[COMPANYNO]]&amp;"/"&amp;Table3[[#This Row],[DIVISIONNO]]&amp;"-"&amp;Table3[[#This Row],[COMPANYNAME]]</f>
        <v>75/326-HYATT GIRDER - Int Dept</v>
      </c>
      <c r="E546" s="21" t="s">
        <v>739</v>
      </c>
      <c r="F546" s="22">
        <v>75</v>
      </c>
      <c r="G546" s="22">
        <v>326</v>
      </c>
    </row>
    <row r="547" spans="1:7" x14ac:dyDescent="0.3">
      <c r="A547" t="str">
        <f>VLOOKUP(Table3[[#This Row],[COMPANYNO]],L:M,2)</f>
        <v>Prince</v>
      </c>
      <c r="B547" t="str">
        <f>VLOOKUP(Table3[[#This Row],[COMPANYNO]],L:N,3)</f>
        <v>Tampa</v>
      </c>
      <c r="C547" t="s">
        <v>1511</v>
      </c>
      <c r="D547" t="str">
        <f>Table3[[#This Row],[COMPANYNO]]&amp;"/"&amp;Table3[[#This Row],[DIVISIONNO]]&amp;"-"&amp;Table3[[#This Row],[COMPANYNAME]]</f>
        <v>50/301-I16 at I95 Interchange-Int Dpt</v>
      </c>
      <c r="E547" s="23" t="s">
        <v>762</v>
      </c>
      <c r="F547" s="24">
        <v>50</v>
      </c>
      <c r="G547" s="24">
        <v>301</v>
      </c>
    </row>
    <row r="548" spans="1:7" x14ac:dyDescent="0.3">
      <c r="A548" t="str">
        <f>VLOOKUP(Table3[[#This Row],[COMPANYNO]],L:M,2)</f>
        <v>Pulice</v>
      </c>
      <c r="B548" t="str">
        <f>VLOOKUP(Table3[[#This Row],[COMPANYNO]],L:N,3)</f>
        <v>Arizona</v>
      </c>
      <c r="C548" t="s">
        <v>1511</v>
      </c>
      <c r="D548" t="str">
        <f>Table3[[#This Row],[COMPANYNO]]&amp;"/"&amp;Table3[[#This Row],[DIVISIONNO]]&amp;"-"&amp;Table3[[#This Row],[COMPANYNAME]]</f>
        <v>60/301-Pulice Wadsworth - Int. Dpmt.</v>
      </c>
      <c r="E548" s="21" t="s">
        <v>390</v>
      </c>
      <c r="F548" s="22">
        <v>60</v>
      </c>
      <c r="G548" s="22">
        <v>301</v>
      </c>
    </row>
    <row r="549" spans="1:7" x14ac:dyDescent="0.3">
      <c r="A549" t="str">
        <f>VLOOKUP(Table3[[#This Row],[COMPANYNO]],L:M,2)</f>
        <v>Pulice</v>
      </c>
      <c r="B549" t="str">
        <f>VLOOKUP(Table3[[#This Row],[COMPANYNO]],L:N,3)</f>
        <v>Arizona</v>
      </c>
      <c r="C549" t="s">
        <v>1511</v>
      </c>
      <c r="D549" t="str">
        <f>Table3[[#This Row],[COMPANYNO]]&amp;"/"&amp;Table3[[#This Row],[DIVISIONNO]]&amp;"-"&amp;Table3[[#This Row],[COMPANYNAME]]</f>
        <v>60/302-Pulice - Granite Int. Dpmt.</v>
      </c>
      <c r="E549" s="23" t="s">
        <v>393</v>
      </c>
      <c r="F549" s="24">
        <v>60</v>
      </c>
      <c r="G549" s="24">
        <v>302</v>
      </c>
    </row>
    <row r="550" spans="1:7" x14ac:dyDescent="0.3">
      <c r="A550" t="str">
        <f>VLOOKUP(Table3[[#This Row],[COMPANYNO]],L:M,2)</f>
        <v>Pulice</v>
      </c>
      <c r="B550" t="str">
        <f>VLOOKUP(Table3[[#This Row],[COMPANYNO]],L:N,3)</f>
        <v>Arizona</v>
      </c>
      <c r="C550" t="s">
        <v>1511</v>
      </c>
      <c r="D550" t="str">
        <f>Table3[[#This Row],[COMPANYNO]]&amp;"/"&amp;Table3[[#This Row],[DIVISIONNO]]&amp;"-"&amp;Table3[[#This Row],[COMPANYNAME]]</f>
        <v>60/303-Pulice-Granite Red Mtn IntDep</v>
      </c>
      <c r="E550" s="21" t="s">
        <v>418</v>
      </c>
      <c r="F550" s="22">
        <v>60</v>
      </c>
      <c r="G550" s="22">
        <v>303</v>
      </c>
    </row>
    <row r="551" spans="1:7" x14ac:dyDescent="0.3">
      <c r="A551" t="str">
        <f>VLOOKUP(Table3[[#This Row],[COMPANYNO]],L:M,2)</f>
        <v>Pulice</v>
      </c>
      <c r="B551" t="str">
        <f>VLOOKUP(Table3[[#This Row],[COMPANYNO]],L:N,3)</f>
        <v>California</v>
      </c>
      <c r="C551" t="s">
        <v>1511</v>
      </c>
      <c r="D551" t="str">
        <f>Table3[[#This Row],[COMPANYNO]]&amp;"/"&amp;Table3[[#This Row],[DIVISIONNO]]&amp;"-"&amp;Table3[[#This Row],[COMPANYNAME]]</f>
        <v>61/301-San Jose Creek - Int Dept</v>
      </c>
      <c r="E551" s="23" t="s">
        <v>412</v>
      </c>
      <c r="F551" s="24">
        <v>61</v>
      </c>
      <c r="G551" s="24">
        <v>301</v>
      </c>
    </row>
    <row r="552" spans="1:7" x14ac:dyDescent="0.3">
      <c r="A552" t="str">
        <f>VLOOKUP(Table3[[#This Row],[COMPANYNO]],L:M,2)</f>
        <v>Pulice</v>
      </c>
      <c r="B552" t="str">
        <f>VLOOKUP(Table3[[#This Row],[COMPANYNO]],L:N,3)</f>
        <v>Texas</v>
      </c>
      <c r="C552" t="s">
        <v>1511</v>
      </c>
      <c r="D552" t="str">
        <f>Table3[[#This Row],[COMPANYNO]]&amp;"/"&amp;Table3[[#This Row],[DIVISIONNO]]&amp;"-"&amp;Table3[[#This Row],[COMPANYNAME]]</f>
        <v>62/301-SH-288 Toll Lanes Int Dept</v>
      </c>
      <c r="E552" s="21" t="s">
        <v>492</v>
      </c>
      <c r="F552" s="22">
        <v>62</v>
      </c>
      <c r="G552" s="22">
        <v>301</v>
      </c>
    </row>
    <row r="553" spans="1:7" x14ac:dyDescent="0.3">
      <c r="A553" t="str">
        <f>VLOOKUP(Table3[[#This Row],[COMPANYNO]],L:M,2)</f>
        <v>Schiavone</v>
      </c>
      <c r="B553" t="str">
        <f>VLOOKUP(Table3[[#This Row],[COMPANYNO]],L:N,3)</f>
        <v>New Jersey</v>
      </c>
      <c r="C553" t="s">
        <v>1511</v>
      </c>
      <c r="D553" t="str">
        <f>Table3[[#This Row],[COMPANYNO]]&amp;"/"&amp;Table3[[#This Row],[DIVISIONNO]]&amp;"-"&amp;Table3[[#This Row],[COMPANYNAME]]</f>
        <v>80/301-Macomb's Dam Bridge Int Dept</v>
      </c>
      <c r="E553" s="21" t="s">
        <v>314</v>
      </c>
      <c r="F553" s="22">
        <v>80</v>
      </c>
      <c r="G553" s="22">
        <v>301</v>
      </c>
    </row>
    <row r="554" spans="1:7" x14ac:dyDescent="0.3">
      <c r="A554" t="str">
        <f>VLOOKUP(Table3[[#This Row],[COMPANYNO]],L:M,2)</f>
        <v>Schiavone</v>
      </c>
      <c r="B554" t="str">
        <f>VLOOKUP(Table3[[#This Row],[COMPANYNO]],L:N,3)</f>
        <v>New Jersey</v>
      </c>
      <c r="C554" t="s">
        <v>1511</v>
      </c>
      <c r="D554" t="str">
        <f>Table3[[#This Row],[COMPANYNO]]&amp;"/"&amp;Table3[[#This Row],[DIVISIONNO]]&amp;"-"&amp;Table3[[#This Row],[COMPANYNAME]]</f>
        <v>80/302-SCC/FRONTIER-KEMPER/SHEA</v>
      </c>
      <c r="E554" s="23" t="s">
        <v>315</v>
      </c>
      <c r="F554" s="24">
        <v>80</v>
      </c>
      <c r="G554" s="24">
        <v>302</v>
      </c>
    </row>
    <row r="555" spans="1:7" x14ac:dyDescent="0.3">
      <c r="A555" t="str">
        <f>VLOOKUP(Table3[[#This Row],[COMPANYNO]],L:M,2)</f>
        <v>Schiavone</v>
      </c>
      <c r="B555" t="str">
        <f>VLOOKUP(Table3[[#This Row],[COMPANYNO]],L:N,3)</f>
        <v>New Jersey</v>
      </c>
      <c r="C555" t="s">
        <v>1511</v>
      </c>
      <c r="D555" t="str">
        <f>Table3[[#This Row],[COMPANYNO]]&amp;"/"&amp;Table3[[#This Row],[DIVISIONNO]]&amp;"-"&amp;Table3[[#This Row],[COMPANYNAME]]</f>
        <v>80/303-BLUE CLEAN WATER, LLC</v>
      </c>
      <c r="E555" s="21" t="s">
        <v>280</v>
      </c>
      <c r="F555" s="22">
        <v>80</v>
      </c>
      <c r="G555" s="22">
        <v>303</v>
      </c>
    </row>
    <row r="556" spans="1:7" x14ac:dyDescent="0.3">
      <c r="A556" t="str">
        <f>VLOOKUP(Table3[[#This Row],[COMPANYNO]],L:M,2)</f>
        <v>Schiavone</v>
      </c>
      <c r="B556" t="str">
        <f>VLOOKUP(Table3[[#This Row],[COMPANYNO]],L:N,3)</f>
        <v>New Jersey</v>
      </c>
      <c r="C556" t="s">
        <v>1511</v>
      </c>
      <c r="D556" t="str">
        <f>Table3[[#This Row],[COMPANYNO]]&amp;"/"&amp;Table3[[#This Row],[DIVISIONNO]]&amp;"-"&amp;Table3[[#This Row],[COMPANYNAME]]</f>
        <v>80/304-GRANITE HALMAR/SCC A JV</v>
      </c>
      <c r="E556" s="23" t="s">
        <v>316</v>
      </c>
      <c r="F556" s="24">
        <v>80</v>
      </c>
      <c r="G556" s="24">
        <v>304</v>
      </c>
    </row>
    <row r="557" spans="1:7" x14ac:dyDescent="0.3">
      <c r="A557" t="str">
        <f>VLOOKUP(Table3[[#This Row],[COMPANYNO]],L:M,2)</f>
        <v>Schiavone</v>
      </c>
      <c r="B557" t="str">
        <f>VLOOKUP(Table3[[#This Row],[COMPANYNO]],L:N,3)</f>
        <v>New Jersey</v>
      </c>
      <c r="C557" t="s">
        <v>1511</v>
      </c>
      <c r="D557" t="str">
        <f>Table3[[#This Row],[COMPANYNO]]&amp;"/"&amp;Table3[[#This Row],[DIVISIONNO]]&amp;"-"&amp;Table3[[#This Row],[COMPANYNAME]]</f>
        <v>80/309-WtrTnlExcv#3Stg2 C538C IntDept</v>
      </c>
      <c r="E557" s="21" t="s">
        <v>317</v>
      </c>
      <c r="F557" s="22">
        <v>80</v>
      </c>
      <c r="G557" s="22">
        <v>309</v>
      </c>
    </row>
    <row r="558" spans="1:7" x14ac:dyDescent="0.3">
      <c r="A558" t="str">
        <f>VLOOKUP(Table3[[#This Row],[COMPANYNO]],L:M,2)</f>
        <v>Schiavone</v>
      </c>
      <c r="B558" t="str">
        <f>VLOOKUP(Table3[[#This Row],[COMPANYNO]],L:N,3)</f>
        <v>New Jersey</v>
      </c>
      <c r="C558" t="s">
        <v>1511</v>
      </c>
      <c r="D558" t="str">
        <f>Table3[[#This Row],[COMPANYNO]]&amp;"/"&amp;Table3[[#This Row],[DIVISIONNO]]&amp;"-"&amp;Table3[[#This Row],[COMPANYNAME]]</f>
        <v>80/310-South Ferry Terminal  Int Dept</v>
      </c>
      <c r="E558" s="23" t="s">
        <v>318</v>
      </c>
      <c r="F558" s="24">
        <v>80</v>
      </c>
      <c r="G558" s="24">
        <v>310</v>
      </c>
    </row>
    <row r="559" spans="1:7" x14ac:dyDescent="0.3">
      <c r="A559" t="str">
        <f>VLOOKUP(Table3[[#This Row],[COMPANYNO]],L:M,2)</f>
        <v>Schiavone</v>
      </c>
      <c r="B559" t="str">
        <f>VLOOKUP(Table3[[#This Row],[COMPANYNO]],L:N,3)</f>
        <v>New Jersey</v>
      </c>
      <c r="C559" t="s">
        <v>1511</v>
      </c>
      <c r="D559" t="str">
        <f>Table3[[#This Row],[COMPANYNO]]&amp;"/"&amp;Table3[[#This Row],[DIVISIONNO]]&amp;"-"&amp;Table3[[#This Row],[COMPANYNAME]]</f>
        <v>80/311-Croton Tunnel CRO313 Int Dept</v>
      </c>
      <c r="E559" s="21" t="s">
        <v>319</v>
      </c>
      <c r="F559" s="22">
        <v>80</v>
      </c>
      <c r="G559" s="22">
        <v>311</v>
      </c>
    </row>
    <row r="560" spans="1:7" x14ac:dyDescent="0.3">
      <c r="A560" t="str">
        <f>VLOOKUP(Table3[[#This Row],[COMPANYNO]],L:M,2)</f>
        <v>Schiavone</v>
      </c>
      <c r="B560" t="str">
        <f>VLOOKUP(Table3[[#This Row],[COMPANYNO]],L:N,3)</f>
        <v>New Jersey</v>
      </c>
      <c r="C560" t="s">
        <v>1511</v>
      </c>
      <c r="D560" t="str">
        <f>Table3[[#This Row],[COMPANYNO]]&amp;"/"&amp;Table3[[#This Row],[DIVISIONNO]]&amp;"-"&amp;Table3[[#This Row],[COMPANYNAME]]</f>
        <v>80/312-30St W VentPlantRehab Int Dept</v>
      </c>
      <c r="E560" s="23" t="s">
        <v>320</v>
      </c>
      <c r="F560" s="24">
        <v>80</v>
      </c>
      <c r="G560" s="24">
        <v>312</v>
      </c>
    </row>
    <row r="561" spans="1:7" x14ac:dyDescent="0.3">
      <c r="A561" t="str">
        <f>VLOOKUP(Table3[[#This Row],[COMPANYNO]],L:M,2)</f>
        <v>Schiavone</v>
      </c>
      <c r="B561" t="str">
        <f>VLOOKUP(Table3[[#This Row],[COMPANYNO]],L:N,3)</f>
        <v>New Jersey</v>
      </c>
      <c r="C561" t="s">
        <v>1511</v>
      </c>
      <c r="D561" t="str">
        <f>Table3[[#This Row],[COMPANYNO]]&amp;"/"&amp;Table3[[#This Row],[DIVISIONNO]]&amp;"-"&amp;Table3[[#This Row],[COMPANYNAME]]</f>
        <v>80/313-Jay Str Station Rehab Int Dept</v>
      </c>
      <c r="E561" s="21" t="s">
        <v>321</v>
      </c>
      <c r="F561" s="22">
        <v>80</v>
      </c>
      <c r="G561" s="22">
        <v>313</v>
      </c>
    </row>
    <row r="562" spans="1:7" x14ac:dyDescent="0.3">
      <c r="A562" t="str">
        <f>VLOOKUP(Table3[[#This Row],[COMPANYNO]],L:M,2)</f>
        <v>Schiavone</v>
      </c>
      <c r="B562" t="str">
        <f>VLOOKUP(Table3[[#This Row],[COMPANYNO]],L:N,3)</f>
        <v>New Jersey</v>
      </c>
      <c r="C562" t="s">
        <v>1511</v>
      </c>
      <c r="D562" t="str">
        <f>Table3[[#This Row],[COMPANYNO]]&amp;"/"&amp;Table3[[#This Row],[DIVISIONNO]]&amp;"-"&amp;Table3[[#This Row],[COMPANYNAME]]</f>
        <v>80/314-2nd Ave Subway S3II Int Dept</v>
      </c>
      <c r="E562" s="23" t="s">
        <v>322</v>
      </c>
      <c r="F562" s="24">
        <v>80</v>
      </c>
      <c r="G562" s="24">
        <v>314</v>
      </c>
    </row>
    <row r="563" spans="1:7" x14ac:dyDescent="0.3">
      <c r="A563" t="str">
        <f>VLOOKUP(Table3[[#This Row],[COMPANYNO]],L:M,2)</f>
        <v>Schiavone</v>
      </c>
      <c r="B563" t="str">
        <f>VLOOKUP(Table3[[#This Row],[COMPANYNO]],L:N,3)</f>
        <v>New Jersey</v>
      </c>
      <c r="C563" t="s">
        <v>1511</v>
      </c>
      <c r="D563" t="str">
        <f>Table3[[#This Row],[COMPANYNO]]&amp;"/"&amp;Table3[[#This Row],[DIVISIONNO]]&amp;"-"&amp;Table3[[#This Row],[COMPANYNAME]]</f>
        <v>80/315-Rondout Tunnel Rehab  Int Dept</v>
      </c>
      <c r="E563" s="21" t="s">
        <v>323</v>
      </c>
      <c r="F563" s="22">
        <v>80</v>
      </c>
      <c r="G563" s="22">
        <v>315</v>
      </c>
    </row>
    <row r="564" spans="1:7" x14ac:dyDescent="0.3">
      <c r="A564" t="str">
        <f>VLOOKUP(Table3[[#This Row],[COMPANYNO]],L:M,2)</f>
        <v>Schiavone</v>
      </c>
      <c r="B564" t="str">
        <f>VLOOKUP(Table3[[#This Row],[COMPANYNO]],L:N,3)</f>
        <v>New Jersey</v>
      </c>
      <c r="C564" t="s">
        <v>1511</v>
      </c>
      <c r="D564" t="str">
        <f>Table3[[#This Row],[COMPANYNO]]&amp;"/"&amp;Table3[[#This Row],[DIVISIONNO]]&amp;"-"&amp;Table3[[#This Row],[COMPANYNAME]]</f>
        <v>80/316-7th Line Tunnel Int Dept</v>
      </c>
      <c r="E564" s="23" t="s">
        <v>324</v>
      </c>
      <c r="F564" s="24">
        <v>80</v>
      </c>
      <c r="G564" s="24">
        <v>316</v>
      </c>
    </row>
    <row r="565" spans="1:7" x14ac:dyDescent="0.3">
      <c r="A565" t="str">
        <f>VLOOKUP(Table3[[#This Row],[COMPANYNO]],L:M,2)</f>
        <v>Schiavone</v>
      </c>
      <c r="B565" t="str">
        <f>VLOOKUP(Table3[[#This Row],[COMPANYNO]],L:N,3)</f>
        <v>New Jersey</v>
      </c>
      <c r="C565" t="s">
        <v>1511</v>
      </c>
      <c r="D565" t="str">
        <f>Table3[[#This Row],[COMPANYNO]]&amp;"/"&amp;Table3[[#This Row],[DIVISIONNO]]&amp;"-"&amp;Table3[[#This Row],[COMPANYNAME]]</f>
        <v>80/317-Croton WT 312OSG Int Dept</v>
      </c>
      <c r="E565" s="21" t="s">
        <v>325</v>
      </c>
      <c r="F565" s="22">
        <v>80</v>
      </c>
      <c r="G565" s="22">
        <v>317</v>
      </c>
    </row>
    <row r="566" spans="1:7" x14ac:dyDescent="0.3">
      <c r="A566" t="str">
        <f>VLOOKUP(Table3[[#This Row],[COMPANYNO]],L:M,2)</f>
        <v>Schiavone</v>
      </c>
      <c r="B566" t="str">
        <f>VLOOKUP(Table3[[#This Row],[COMPANYNO]],L:N,3)</f>
        <v>New Jersey</v>
      </c>
      <c r="C566" t="s">
        <v>1511</v>
      </c>
      <c r="D566" t="str">
        <f>Table3[[#This Row],[COMPANYNO]]&amp;"/"&amp;Table3[[#This Row],[DIVISIONNO]]&amp;"-"&amp;Table3[[#This Row],[COMPANYNAME]]</f>
        <v>80/318-Croton TunnelRehab334G Int Dpt</v>
      </c>
      <c r="E566" s="23" t="s">
        <v>326</v>
      </c>
      <c r="F566" s="24">
        <v>80</v>
      </c>
      <c r="G566" s="24">
        <v>318</v>
      </c>
    </row>
    <row r="567" spans="1:7" x14ac:dyDescent="0.3">
      <c r="A567" t="str">
        <f>VLOOKUP(Table3[[#This Row],[COMPANYNO]],L:M,2)</f>
        <v>Schiavone</v>
      </c>
      <c r="B567" t="str">
        <f>VLOOKUP(Table3[[#This Row],[COMPANYNO]],L:N,3)</f>
        <v>New Jersey</v>
      </c>
      <c r="C567" t="s">
        <v>1511</v>
      </c>
      <c r="D567" t="str">
        <f>Table3[[#This Row],[COMPANYNO]]&amp;"/"&amp;Table3[[#This Row],[DIVISIONNO]]&amp;"-"&amp;Table3[[#This Row],[COMPANYNAME]]</f>
        <v>80/319-CityTnl Shafts#3 C538D Int Dpt</v>
      </c>
      <c r="E567" s="21" t="s">
        <v>327</v>
      </c>
      <c r="F567" s="22">
        <v>80</v>
      </c>
      <c r="G567" s="22">
        <v>319</v>
      </c>
    </row>
    <row r="568" spans="1:7" x14ac:dyDescent="0.3">
      <c r="A568" t="str">
        <f>VLOOKUP(Table3[[#This Row],[COMPANYNO]],L:M,2)</f>
        <v>Schiavone</v>
      </c>
      <c r="B568" t="str">
        <f>VLOOKUP(Table3[[#This Row],[COMPANYNO]],L:N,3)</f>
        <v>New Jersey</v>
      </c>
      <c r="C568" t="s">
        <v>1511</v>
      </c>
      <c r="D568" t="str">
        <f>Table3[[#This Row],[COMPANYNO]]&amp;"/"&amp;Table3[[#This Row],[DIVISIONNO]]&amp;"-"&amp;Table3[[#This Row],[COMPANYNAME]]</f>
        <v>80/320-Newtown Creek 41G Int Dept</v>
      </c>
      <c r="E568" s="23" t="s">
        <v>328</v>
      </c>
      <c r="F568" s="24">
        <v>80</v>
      </c>
      <c r="G568" s="24">
        <v>320</v>
      </c>
    </row>
    <row r="569" spans="1:7" x14ac:dyDescent="0.3">
      <c r="A569" t="str">
        <f>VLOOKUP(Table3[[#This Row],[COMPANYNO]],L:M,2)</f>
        <v>Schiavone</v>
      </c>
      <c r="B569" t="str">
        <f>VLOOKUP(Table3[[#This Row],[COMPANYNO]],L:N,3)</f>
        <v>New Jersey</v>
      </c>
      <c r="C569" t="s">
        <v>1511</v>
      </c>
      <c r="D569" t="str">
        <f>Table3[[#This Row],[COMPANYNO]]&amp;"/"&amp;Table3[[#This Row],[DIVISIONNO]]&amp;"-"&amp;Table3[[#This Row],[COMPANYNAME]]</f>
        <v>80/321-Northn Blv Cross CQ039 IntDpt</v>
      </c>
      <c r="E569" s="21" t="s">
        <v>329</v>
      </c>
      <c r="F569" s="22">
        <v>80</v>
      </c>
      <c r="G569" s="22">
        <v>321</v>
      </c>
    </row>
    <row r="570" spans="1:7" x14ac:dyDescent="0.3">
      <c r="A570" t="str">
        <f>VLOOKUP(Table3[[#This Row],[COMPANYNO]],L:M,2)</f>
        <v>Schiavone</v>
      </c>
      <c r="B570" t="str">
        <f>VLOOKUP(Table3[[#This Row],[COMPANYNO]],L:N,3)</f>
        <v>New Jersey</v>
      </c>
      <c r="C570" t="s">
        <v>1511</v>
      </c>
      <c r="D570" t="str">
        <f>Table3[[#This Row],[COMPANYNO]]&amp;"/"&amp;Table3[[#This Row],[DIVISIONNO]]&amp;"-"&amp;Table3[[#This Row],[COMPANYNAME]]</f>
        <v>80/322-Palisades Tnl IFB09038X IntDpt</v>
      </c>
      <c r="E570" s="23" t="s">
        <v>330</v>
      </c>
      <c r="F570" s="24">
        <v>80</v>
      </c>
      <c r="G570" s="24">
        <v>322</v>
      </c>
    </row>
    <row r="571" spans="1:7" x14ac:dyDescent="0.3">
      <c r="A571" t="str">
        <f>VLOOKUP(Table3[[#This Row],[COMPANYNO]],L:M,2)</f>
        <v>Schiavone</v>
      </c>
      <c r="B571" t="str">
        <f>VLOOKUP(Table3[[#This Row],[COMPANYNO]],L:N,3)</f>
        <v>New Jersey</v>
      </c>
      <c r="C571" t="s">
        <v>1511</v>
      </c>
      <c r="D571" t="str">
        <f>Table3[[#This Row],[COMPANYNO]]&amp;"/"&amp;Table3[[#This Row],[DIVISIONNO]]&amp;"-"&amp;Table3[[#This Row],[COMPANYNAME]]</f>
        <v>80/323-Fulton St Station Int Dept</v>
      </c>
      <c r="E571" s="21" t="s">
        <v>331</v>
      </c>
      <c r="F571" s="22">
        <v>80</v>
      </c>
      <c r="G571" s="22">
        <v>323</v>
      </c>
    </row>
    <row r="572" spans="1:7" x14ac:dyDescent="0.3">
      <c r="A572" t="str">
        <f>VLOOKUP(Table3[[#This Row],[COMPANYNO]],L:M,2)</f>
        <v>Schiavone</v>
      </c>
      <c r="B572" t="str">
        <f>VLOOKUP(Table3[[#This Row],[COMPANYNO]],L:N,3)</f>
        <v>New Jersey</v>
      </c>
      <c r="C572" t="s">
        <v>1511</v>
      </c>
      <c r="D572" t="str">
        <f>Table3[[#This Row],[COMPANYNO]]&amp;"/"&amp;Table3[[#This Row],[DIVISIONNO]]&amp;"-"&amp;Table3[[#This Row],[COMPANYNAME]]</f>
        <v>80/324-72nd St Stn Excavation IntDpt</v>
      </c>
      <c r="E572" s="23" t="s">
        <v>332</v>
      </c>
      <c r="F572" s="24">
        <v>80</v>
      </c>
      <c r="G572" s="24">
        <v>324</v>
      </c>
    </row>
    <row r="573" spans="1:7" x14ac:dyDescent="0.3">
      <c r="A573" t="str">
        <f>VLOOKUP(Table3[[#This Row],[COMPANYNO]],L:M,2)</f>
        <v>Schiavone</v>
      </c>
      <c r="B573" t="str">
        <f>VLOOKUP(Table3[[#This Row],[COMPANYNO]],L:N,3)</f>
        <v>New Jersey</v>
      </c>
      <c r="C573" t="s">
        <v>1511</v>
      </c>
      <c r="D573" t="str">
        <f>Table3[[#This Row],[COMPANYNO]]&amp;"/"&amp;Table3[[#This Row],[DIVISIONNO]]&amp;"-"&amp;Table3[[#This Row],[COMPANYNAME]]</f>
        <v>80/325-NewBritain-Htf Busway IntDpt</v>
      </c>
      <c r="E573" s="21" t="s">
        <v>333</v>
      </c>
      <c r="F573" s="22">
        <v>80</v>
      </c>
      <c r="G573" s="22">
        <v>325</v>
      </c>
    </row>
    <row r="574" spans="1:7" x14ac:dyDescent="0.3">
      <c r="A574" t="str">
        <f>VLOOKUP(Table3[[#This Row],[COMPANYNO]],L:M,2)</f>
        <v>Schiavone</v>
      </c>
      <c r="B574" t="str">
        <f>VLOOKUP(Table3[[#This Row],[COMPANYNO]],L:N,3)</f>
        <v>New Jersey</v>
      </c>
      <c r="C574" t="s">
        <v>1511</v>
      </c>
      <c r="D574" t="str">
        <f>Table3[[#This Row],[COMPANYNO]]&amp;"/"&amp;Table3[[#This Row],[DIVISIONNO]]&amp;"-"&amp;Table3[[#This Row],[COMPANYNAME]]</f>
        <v>80/327-55 St Vent Plant CMO13A IntDpt</v>
      </c>
      <c r="E574" s="23" t="s">
        <v>261</v>
      </c>
      <c r="F574" s="24">
        <v>80</v>
      </c>
      <c r="G574" s="24">
        <v>327</v>
      </c>
    </row>
    <row r="575" spans="1:7" x14ac:dyDescent="0.3">
      <c r="A575" t="str">
        <f>VLOOKUP(Table3[[#This Row],[COMPANYNO]],L:M,2)</f>
        <v>Schiavone</v>
      </c>
      <c r="B575" t="str">
        <f>VLOOKUP(Table3[[#This Row],[COMPANYNO]],L:N,3)</f>
        <v>New Jersey</v>
      </c>
      <c r="C575" t="s">
        <v>1511</v>
      </c>
      <c r="D575" t="str">
        <f>Table3[[#This Row],[COMPANYNO]]&amp;"/"&amp;Table3[[#This Row],[DIVISIONNO]]&amp;"-"&amp;Table3[[#This Row],[COMPANYNAME]]</f>
        <v>80/333-86 St Station C26012 Int Dept</v>
      </c>
      <c r="E575" s="21" t="s">
        <v>345</v>
      </c>
      <c r="F575" s="22">
        <v>80</v>
      </c>
      <c r="G575" s="22">
        <v>333</v>
      </c>
    </row>
    <row r="576" spans="1:7" x14ac:dyDescent="0.3">
      <c r="A576" t="str">
        <f>VLOOKUP(Table3[[#This Row],[COMPANYNO]],L:M,2)</f>
        <v>Schiavone</v>
      </c>
      <c r="B576" t="str">
        <f>VLOOKUP(Table3[[#This Row],[COMPANYNO]],L:N,3)</f>
        <v>New Jersey</v>
      </c>
      <c r="C576" t="s">
        <v>1511</v>
      </c>
      <c r="D576" t="str">
        <f>Table3[[#This Row],[COMPANYNO]]&amp;"/"&amp;Table3[[#This Row],[DIVISIONNO]]&amp;"-"&amp;Table3[[#This Row],[COMPANYNAME]]</f>
        <v>80/334-Harold StructESA CH057A IntDpt</v>
      </c>
      <c r="E576" s="23" t="s">
        <v>358</v>
      </c>
      <c r="F576" s="24">
        <v>80</v>
      </c>
      <c r="G576" s="24">
        <v>334</v>
      </c>
    </row>
    <row r="577" spans="1:7" x14ac:dyDescent="0.3">
      <c r="A577" t="str">
        <f>VLOOKUP(Table3[[#This Row],[COMPANYNO]],L:M,2)</f>
        <v>Schiavone</v>
      </c>
      <c r="B577" t="str">
        <f>VLOOKUP(Table3[[#This Row],[COMPANYNO]],L:N,3)</f>
        <v>New Jersey</v>
      </c>
      <c r="C577" t="s">
        <v>1511</v>
      </c>
      <c r="D577" t="str">
        <f>Table3[[#This Row],[COMPANYNO]]&amp;"/"&amp;Table3[[#This Row],[DIVISIONNO]]&amp;"-"&amp;Table3[[#This Row],[COMPANYNAME]]</f>
        <v>80/335-Johnson Ave Yard 6121 IntDpt</v>
      </c>
      <c r="E577" s="21" t="s">
        <v>410</v>
      </c>
      <c r="F577" s="22">
        <v>80</v>
      </c>
      <c r="G577" s="22">
        <v>335</v>
      </c>
    </row>
    <row r="578" spans="1:7" x14ac:dyDescent="0.3">
      <c r="A578" t="str">
        <f>VLOOKUP(Table3[[#This Row],[COMPANYNO]],L:M,2)</f>
        <v>Schiavone</v>
      </c>
      <c r="B578" t="str">
        <f>VLOOKUP(Table3[[#This Row],[COMPANYNO]],L:N,3)</f>
        <v>New Jersey</v>
      </c>
      <c r="C578" t="s">
        <v>1511</v>
      </c>
      <c r="D578" t="str">
        <f>Table3[[#This Row],[COMPANYNO]]&amp;"/"&amp;Table3[[#This Row],[DIVISIONNO]]&amp;"-"&amp;Table3[[#This Row],[COMPANYNAME]]</f>
        <v>80/336-Dyre Av StationA-36916  IntDpt</v>
      </c>
      <c r="E578" s="23" t="s">
        <v>433</v>
      </c>
      <c r="F578" s="24">
        <v>80</v>
      </c>
      <c r="G578" s="24">
        <v>336</v>
      </c>
    </row>
    <row r="579" spans="1:7" x14ac:dyDescent="0.3">
      <c r="A579" t="str">
        <f>VLOOKUP(Table3[[#This Row],[COMPANYNO]],L:M,2)</f>
        <v>Schiavone</v>
      </c>
      <c r="B579" t="str">
        <f>VLOOKUP(Table3[[#This Row],[COMPANYNO]],L:N,3)</f>
        <v>New Jersey</v>
      </c>
      <c r="C579" t="s">
        <v>1511</v>
      </c>
      <c r="D579" t="str">
        <f>Table3[[#This Row],[COMPANYNO]]&amp;"/"&amp;Table3[[#This Row],[DIVISIONNO]]&amp;"-"&amp;Table3[[#This Row],[COMPANYNAME]]</f>
        <v>80/337-GCT Concourse CM014B  Int Dept</v>
      </c>
      <c r="E579" s="21" t="s">
        <v>438</v>
      </c>
      <c r="F579" s="22">
        <v>80</v>
      </c>
      <c r="G579" s="22">
        <v>337</v>
      </c>
    </row>
    <row r="580" spans="1:7" x14ac:dyDescent="0.3">
      <c r="A580" t="str">
        <f>VLOOKUP(Table3[[#This Row],[COMPANYNO]],L:M,2)</f>
        <v>Schiavone</v>
      </c>
      <c r="B580" t="str">
        <f>VLOOKUP(Table3[[#This Row],[COMPANYNO]],L:N,3)</f>
        <v>New Jersey</v>
      </c>
      <c r="C580" t="s">
        <v>1511</v>
      </c>
      <c r="D580" t="str">
        <f>Table3[[#This Row],[COMPANYNO]]&amp;"/"&amp;Table3[[#This Row],[DIVISIONNO]]&amp;"-"&amp;Table3[[#This Row],[COMPANYNAME]]</f>
        <v>80/338-I-91 Viaduct Mass Int Dept</v>
      </c>
      <c r="E580" s="23" t="s">
        <v>470</v>
      </c>
      <c r="F580" s="24">
        <v>80</v>
      </c>
      <c r="G580" s="24">
        <v>338</v>
      </c>
    </row>
    <row r="581" spans="1:7" x14ac:dyDescent="0.3">
      <c r="A581" t="str">
        <f>VLOOKUP(Table3[[#This Row],[COMPANYNO]],L:M,2)</f>
        <v>Schiavone</v>
      </c>
      <c r="B581" t="str">
        <f>VLOOKUP(Table3[[#This Row],[COMPANYNO]],L:N,3)</f>
        <v>New Jersey</v>
      </c>
      <c r="C581" t="s">
        <v>1511</v>
      </c>
      <c r="D581" t="str">
        <f>Table3[[#This Row],[COMPANYNO]]&amp;"/"&amp;Table3[[#This Row],[DIVISIONNO]]&amp;"-"&amp;Table3[[#This Row],[COMPANYNAME]]</f>
        <v>80/339-BoweryBay Pump Stn BB64 IntDpt</v>
      </c>
      <c r="E581" s="21" t="s">
        <v>488</v>
      </c>
      <c r="F581" s="22">
        <v>80</v>
      </c>
      <c r="G581" s="22">
        <v>339</v>
      </c>
    </row>
    <row r="582" spans="1:7" x14ac:dyDescent="0.3">
      <c r="A582" t="str">
        <f>VLOOKUP(Table3[[#This Row],[COMPANYNO]],L:M,2)</f>
        <v>Schiavone</v>
      </c>
      <c r="B582" t="str">
        <f>VLOOKUP(Table3[[#This Row],[COMPANYNO]],L:N,3)</f>
        <v>New Jersey</v>
      </c>
      <c r="C582" t="s">
        <v>1511</v>
      </c>
      <c r="D582" t="str">
        <f>Table3[[#This Row],[COMPANYNO]]&amp;"/"&amp;Table3[[#This Row],[DIVISIONNO]]&amp;"-"&amp;Table3[[#This Row],[COMPANYNAME]]</f>
        <v>80/340-Parallel Thimble Shoal Int Dpt</v>
      </c>
      <c r="E582" s="23" t="s">
        <v>520</v>
      </c>
      <c r="F582" s="24">
        <v>80</v>
      </c>
      <c r="G582" s="24">
        <v>340</v>
      </c>
    </row>
    <row r="583" spans="1:7" x14ac:dyDescent="0.3">
      <c r="A583" t="str">
        <f>VLOOKUP(Table3[[#This Row],[COMPANYNO]],L:M,2)</f>
        <v>Schiavone</v>
      </c>
      <c r="B583" t="str">
        <f>VLOOKUP(Table3[[#This Row],[COMPANYNO]],L:N,3)</f>
        <v>New Jersey</v>
      </c>
      <c r="C583" t="s">
        <v>1511</v>
      </c>
      <c r="D583" t="str">
        <f>Table3[[#This Row],[COMPANYNO]]&amp;"/"&amp;Table3[[#This Row],[DIVISIONNO]]&amp;"-"&amp;Table3[[#This Row],[COMPANYNAME]]</f>
        <v>80/341-Rplcmnt Bruckner Expwy Int Dpt</v>
      </c>
      <c r="E583" s="21" t="s">
        <v>672</v>
      </c>
      <c r="F583" s="22">
        <v>80</v>
      </c>
      <c r="G583" s="22">
        <v>341</v>
      </c>
    </row>
    <row r="584" spans="1:7" x14ac:dyDescent="0.3">
      <c r="A584" t="str">
        <f>VLOOKUP(Table3[[#This Row],[COMPANYNO]],L:M,2)</f>
        <v>Schiavone</v>
      </c>
      <c r="B584" t="str">
        <f>VLOOKUP(Table3[[#This Row],[COMPANYNO]],L:N,3)</f>
        <v>New Jersey</v>
      </c>
      <c r="C584" t="s">
        <v>1511</v>
      </c>
      <c r="D584" t="str">
        <f>Table3[[#This Row],[COMPANYNO]]&amp;"/"&amp;Table3[[#This Row],[DIVISIONNO]]&amp;"-"&amp;Table3[[#This Row],[COMPANYNAME]]</f>
        <v>80/342-Hyatt Girder Int Dept</v>
      </c>
      <c r="E584" s="23" t="s">
        <v>732</v>
      </c>
      <c r="F584" s="24">
        <v>80</v>
      </c>
      <c r="G584" s="24">
        <v>342</v>
      </c>
    </row>
    <row r="585" spans="1:7" x14ac:dyDescent="0.3">
      <c r="A585" t="str">
        <f>VLOOKUP(Table3[[#This Row],[COMPANYNO]],L:M,2)</f>
        <v>Schiavone</v>
      </c>
      <c r="B585" t="str">
        <f>VLOOKUP(Table3[[#This Row],[COMPANYNO]],L:N,3)</f>
        <v>New Jersey</v>
      </c>
      <c r="C585" t="s">
        <v>1511</v>
      </c>
      <c r="D585" t="str">
        <f>Table3[[#This Row],[COMPANYNO]]&amp;"/"&amp;Table3[[#This Row],[DIVISIONNO]]&amp;"-"&amp;Table3[[#This Row],[COMPANYNAME]]</f>
        <v>80/343-Potomac Yard Railstn Int Dpt</v>
      </c>
      <c r="E585" s="21" t="s">
        <v>769</v>
      </c>
      <c r="F585" s="22">
        <v>80</v>
      </c>
      <c r="G585" s="22">
        <v>343</v>
      </c>
    </row>
    <row r="586" spans="1:7" x14ac:dyDescent="0.3">
      <c r="A586" t="str">
        <f>VLOOKUP(Table3[[#This Row],[COMPANYNO]],L:M,2)</f>
        <v>Dragados USA</v>
      </c>
      <c r="B586" t="str">
        <f>VLOOKUP(Table3[[#This Row],[COMPANYNO]],L:N,3)</f>
        <v>New York</v>
      </c>
      <c r="C586" t="s">
        <v>1510</v>
      </c>
      <c r="D586" t="str">
        <f>Table3[[#This Row],[COMPANYNO]]&amp;"/"&amp;Table3[[#This Row],[DIVISIONNO]]&amp;"-"&amp;Table3[[#This Row],[COMPANYNAME]]</f>
        <v>1/299-Dragados USA Equipment Div</v>
      </c>
      <c r="E586" s="21" t="s">
        <v>376</v>
      </c>
      <c r="F586" s="22">
        <v>1</v>
      </c>
      <c r="G586" s="22">
        <v>299</v>
      </c>
    </row>
    <row r="587" spans="1:7" x14ac:dyDescent="0.3">
      <c r="A587" t="str">
        <f>VLOOKUP(Table3[[#This Row],[COMPANYNO]],L:M,2)</f>
        <v>JF White</v>
      </c>
      <c r="B587" t="str">
        <f>VLOOKUP(Table3[[#This Row],[COMPANYNO]],L:N,3)</f>
        <v>Boston</v>
      </c>
      <c r="C587" t="s">
        <v>1510</v>
      </c>
      <c r="D587" t="str">
        <f>Table3[[#This Row],[COMPANYNO]]&amp;"/"&amp;Table3[[#This Row],[DIVISIONNO]]&amp;"-"&amp;Table3[[#This Row],[COMPANYNAME]]</f>
        <v>45/299-WELCO - Equipment Division</v>
      </c>
      <c r="E587" s="21" t="s">
        <v>626</v>
      </c>
      <c r="F587" s="22">
        <v>45</v>
      </c>
      <c r="G587" s="22">
        <v>299</v>
      </c>
    </row>
    <row r="588" spans="1:7" x14ac:dyDescent="0.3">
      <c r="A588" t="str">
        <f>VLOOKUP(Table3[[#This Row],[COMPANYNO]],L:M,2)</f>
        <v>Schiavone</v>
      </c>
      <c r="B588" t="str">
        <f>VLOOKUP(Table3[[#This Row],[COMPANYNO]],L:N,3)</f>
        <v>New Jersey</v>
      </c>
      <c r="C588" t="s">
        <v>1510</v>
      </c>
      <c r="D588" t="str">
        <f>Table3[[#This Row],[COMPANYNO]]&amp;"/"&amp;Table3[[#This Row],[DIVISIONNO]]&amp;"-"&amp;Table3[[#This Row],[COMPANYNAME]]</f>
        <v>80/901-SCHIAVONE EQUIPMENT DIVISION</v>
      </c>
      <c r="E588" s="23" t="s">
        <v>286</v>
      </c>
      <c r="F588" s="24">
        <v>80</v>
      </c>
      <c r="G588" s="24">
        <v>901</v>
      </c>
    </row>
    <row r="589" spans="1:7" x14ac:dyDescent="0.3">
      <c r="A589" t="str">
        <f>VLOOKUP(Table3[[#This Row],[COMPANYNO]],L:M,2)</f>
        <v>Schiavone</v>
      </c>
      <c r="B589" t="str">
        <f>VLOOKUP(Table3[[#This Row],[COMPANYNO]],L:N,3)</f>
        <v>New Jersey</v>
      </c>
      <c r="C589" t="s">
        <v>1510</v>
      </c>
      <c r="D589" t="str">
        <f>Table3[[#This Row],[COMPANYNO]]&amp;"/"&amp;Table3[[#This Row],[DIVISIONNO]]&amp;"-"&amp;Table3[[#This Row],[COMPANYNAME]]</f>
        <v>80/902-SCHIAVONE FABRICATION DIVISION</v>
      </c>
      <c r="E589" s="21" t="s">
        <v>287</v>
      </c>
      <c r="F589" s="22">
        <v>80</v>
      </c>
      <c r="G589" s="22">
        <v>902</v>
      </c>
    </row>
    <row r="590" spans="1:7" x14ac:dyDescent="0.3">
      <c r="A590" t="str">
        <f>VLOOKUP(Table3[[#This Row],[COMPANYNO]],L:M,2)</f>
        <v>Other</v>
      </c>
      <c r="B590" t="str">
        <f>VLOOKUP(Table3[[#This Row],[COMPANYNO]],L:N,3)</f>
        <v>Vias</v>
      </c>
      <c r="C590" t="s">
        <v>1510</v>
      </c>
      <c r="D590" t="str">
        <f>Table3[[#This Row],[COMPANYNO]]&amp;"/"&amp;Table3[[#This Row],[DIVISIONNO]]&amp;"-"&amp;Table3[[#This Row],[COMPANYNAME]]</f>
        <v>12/299-Vias Equipment Div</v>
      </c>
      <c r="E590" s="21" t="s">
        <v>510</v>
      </c>
      <c r="F590" s="22">
        <v>12</v>
      </c>
      <c r="G590" s="22">
        <v>299</v>
      </c>
    </row>
    <row r="591" spans="1:7" x14ac:dyDescent="0.3">
      <c r="A591" t="str">
        <f>VLOOKUP(Table3[[#This Row],[COMPANYNO]],L:M,2)</f>
        <v>Picone</v>
      </c>
      <c r="B591" t="str">
        <f>VLOOKUP(Table3[[#This Row],[COMPANYNO]],L:N,3)</f>
        <v>Long Island City</v>
      </c>
      <c r="C591" t="s">
        <v>1510</v>
      </c>
      <c r="D591" t="str">
        <f>Table3[[#This Row],[COMPANYNO]]&amp;"/"&amp;Table3[[#This Row],[DIVISIONNO]]&amp;"-"&amp;Table3[[#This Row],[COMPANYNAME]]</f>
        <v>75/299-JPPMC - Small&amp;Prev Closed Jobs</v>
      </c>
      <c r="E591" s="21" t="s">
        <v>210</v>
      </c>
      <c r="F591" s="22">
        <v>75</v>
      </c>
      <c r="G591" s="22">
        <v>299</v>
      </c>
    </row>
    <row r="592" spans="1:7" x14ac:dyDescent="0.3">
      <c r="A592" t="str">
        <f>VLOOKUP(Table3[[#This Row],[COMPANYNO]],L:M,2)</f>
        <v>Prince</v>
      </c>
      <c r="B592" t="str">
        <f>VLOOKUP(Table3[[#This Row],[COMPANYNO]],L:N,3)</f>
        <v>Tampa</v>
      </c>
      <c r="C592" t="s">
        <v>1510</v>
      </c>
      <c r="D592" t="str">
        <f>Table3[[#This Row],[COMPANYNO]]&amp;"/"&amp;Table3[[#This Row],[DIVISIONNO]]&amp;"-"&amp;Table3[[#This Row],[COMPANYNAME]]</f>
        <v>50/299-Equipment Division</v>
      </c>
      <c r="E592" s="21" t="s">
        <v>456</v>
      </c>
      <c r="F592" s="22">
        <v>50</v>
      </c>
      <c r="G592" s="22">
        <v>299</v>
      </c>
    </row>
    <row r="593" spans="1:7" x14ac:dyDescent="0.3">
      <c r="A593" t="str">
        <f>VLOOKUP(Table3[[#This Row],[COMPANYNO]],L:M,2)</f>
        <v>Pulice</v>
      </c>
      <c r="B593" t="str">
        <f>VLOOKUP(Table3[[#This Row],[COMPANYNO]],L:N,3)</f>
        <v>Arizona</v>
      </c>
      <c r="C593" t="s">
        <v>1510</v>
      </c>
      <c r="D593" t="str">
        <f>Table3[[#This Row],[COMPANYNO]]&amp;"/"&amp;Table3[[#This Row],[DIVISIONNO]]&amp;"-"&amp;Table3[[#This Row],[COMPANYNAME]]</f>
        <v>60/299-Equipment Department</v>
      </c>
      <c r="E593" s="23" t="s">
        <v>389</v>
      </c>
      <c r="F593" s="24">
        <v>60</v>
      </c>
      <c r="G593" s="24">
        <v>299</v>
      </c>
    </row>
    <row r="594" spans="1:7" x14ac:dyDescent="0.3">
      <c r="A594" t="str">
        <f>VLOOKUP(Table3[[#This Row],[COMPANYNO]],L:M,2)</f>
        <v>Pulice</v>
      </c>
      <c r="B594" t="str">
        <f>VLOOKUP(Table3[[#This Row],[COMPANYNO]],L:N,3)</f>
        <v>McNeil</v>
      </c>
      <c r="C594" t="s">
        <v>1510</v>
      </c>
      <c r="D594" t="str">
        <f>Table3[[#This Row],[COMPANYNO]]&amp;"/"&amp;Table3[[#This Row],[DIVISIONNO]]&amp;"-"&amp;Table3[[#This Row],[COMPANYNAME]]</f>
        <v>65/299-McNeil Equipment</v>
      </c>
      <c r="E594" s="23" t="s">
        <v>400</v>
      </c>
      <c r="F594" s="24">
        <v>65</v>
      </c>
      <c r="G594" s="24">
        <v>299</v>
      </c>
    </row>
    <row r="595" spans="1:7" x14ac:dyDescent="0.3">
      <c r="A595" t="str">
        <f>VLOOKUP(Table3[[#This Row],[COMPANYNO]],L:M,2)</f>
        <v>Pulice</v>
      </c>
      <c r="B595" t="str">
        <f>VLOOKUP(Table3[[#This Row],[COMPANYNO]],L:N,3)</f>
        <v>Roadway</v>
      </c>
      <c r="C595" t="s">
        <v>1510</v>
      </c>
      <c r="D595" t="str">
        <f>Table3[[#This Row],[COMPANYNO]]&amp;"/"&amp;Table3[[#This Row],[DIVISIONNO]]&amp;"-"&amp;Table3[[#This Row],[COMPANYNAME]]</f>
        <v>68/299-Roadway Equipment</v>
      </c>
      <c r="E595" s="23" t="s">
        <v>401</v>
      </c>
      <c r="F595" s="24">
        <v>68</v>
      </c>
      <c r="G595" s="24">
        <v>299</v>
      </c>
    </row>
    <row r="596" spans="1:7" x14ac:dyDescent="0.3">
      <c r="A596" t="str">
        <f>VLOOKUP(Table3[[#This Row],[COMPANYNO]],L:M,2)</f>
        <v>Dragados Canada</v>
      </c>
      <c r="B596" t="str">
        <f>VLOOKUP(Table3[[#This Row],[COMPANYNO]],L:N,3)</f>
        <v>East Canada</v>
      </c>
      <c r="C596" t="s">
        <v>823</v>
      </c>
      <c r="D596" t="str">
        <f>Table3[[#This Row],[COMPANYNO]]&amp;"/"&amp;Table3[[#This Row],[DIVISIONNO]]&amp;"-"&amp;Table3[[#This Row],[COMPANYNAME]]</f>
        <v>9/1-East Canada Branch</v>
      </c>
      <c r="E596" s="23" t="s">
        <v>165</v>
      </c>
      <c r="F596" s="24">
        <v>9</v>
      </c>
      <c r="G596" s="24">
        <v>1</v>
      </c>
    </row>
    <row r="597" spans="1:7" x14ac:dyDescent="0.3">
      <c r="A597" t="str">
        <f>VLOOKUP(Table3[[#This Row],[COMPANYNO]],L:M,2)</f>
        <v>Dragados Canada</v>
      </c>
      <c r="B597" t="str">
        <f>VLOOKUP(Table3[[#This Row],[COMPANYNO]],L:N,3)</f>
        <v>West canada</v>
      </c>
      <c r="C597" t="s">
        <v>823</v>
      </c>
      <c r="D597" t="str">
        <f>Table3[[#This Row],[COMPANYNO]]&amp;"/"&amp;Table3[[#This Row],[DIVISIONNO]]&amp;"-"&amp;Table3[[#This Row],[COMPANYNAME]]</f>
        <v>10/1-Vancouver Branch</v>
      </c>
      <c r="E597" s="23" t="s">
        <v>164</v>
      </c>
      <c r="F597" s="24">
        <v>10</v>
      </c>
      <c r="G597" s="24">
        <v>1</v>
      </c>
    </row>
    <row r="598" spans="1:7" x14ac:dyDescent="0.3">
      <c r="A598" t="str">
        <f>VLOOKUP(Table3[[#This Row],[COMPANYNO]],L:M,2)</f>
        <v>Dragados Canada</v>
      </c>
      <c r="B598" t="str">
        <f>VLOOKUP(Table3[[#This Row],[COMPANYNO]],L:N,3)</f>
        <v>Payroll</v>
      </c>
      <c r="C598" t="s">
        <v>823</v>
      </c>
      <c r="D598" t="str">
        <f>Table3[[#This Row],[COMPANYNO]]&amp;"/"&amp;Table3[[#This Row],[DIVISIONNO]]&amp;"-"&amp;Table3[[#This Row],[COMPANYNAME]]</f>
        <v>13/1-DT CSST Inc Branch</v>
      </c>
      <c r="E598" s="23" t="s">
        <v>554</v>
      </c>
      <c r="F598" s="24">
        <v>13</v>
      </c>
      <c r="G598" s="24">
        <v>1</v>
      </c>
    </row>
    <row r="599" spans="1:7" x14ac:dyDescent="0.3">
      <c r="A599" t="str">
        <f>VLOOKUP(Table3[[#This Row],[COMPANYNO]],L:M,2)</f>
        <v>Dragados Canada</v>
      </c>
      <c r="B599" t="str">
        <f>VLOOKUP(Table3[[#This Row],[COMPANYNO]],L:N,3)</f>
        <v>Corporate</v>
      </c>
      <c r="C599" t="s">
        <v>823</v>
      </c>
      <c r="D599" t="str">
        <f>Table3[[#This Row],[COMPANYNO]]&amp;"/"&amp;Table3[[#This Row],[DIVISIONNO]]&amp;"-"&amp;Table3[[#This Row],[COMPANYNAME]]</f>
        <v>91/1-Dragados Canada, Inc.</v>
      </c>
      <c r="E599" s="23" t="s">
        <v>120</v>
      </c>
      <c r="F599" s="24">
        <v>91</v>
      </c>
      <c r="G599" s="24">
        <v>1</v>
      </c>
    </row>
    <row r="600" spans="1:7" x14ac:dyDescent="0.3">
      <c r="A600" t="str">
        <f>VLOOKUP(Table3[[#This Row],[COMPANYNO]],L:M,2)</f>
        <v>Dragados USA</v>
      </c>
      <c r="B600" t="str">
        <f>VLOOKUP(Table3[[#This Row],[COMPANYNO]],L:N,3)</f>
        <v>New York</v>
      </c>
      <c r="C600" t="s">
        <v>823</v>
      </c>
      <c r="D600" t="str">
        <f>Table3[[#This Row],[COMPANYNO]]&amp;"/"&amp;Table3[[#This Row],[DIVISIONNO]]&amp;"-"&amp;Table3[[#This Row],[COMPANYNAME]]</f>
        <v>1/1-New York Branch</v>
      </c>
      <c r="E600" s="23" t="s">
        <v>134</v>
      </c>
      <c r="F600" s="24">
        <v>1</v>
      </c>
      <c r="G600" s="24">
        <v>1</v>
      </c>
    </row>
    <row r="601" spans="1:7" x14ac:dyDescent="0.3">
      <c r="A601" t="str">
        <f>VLOOKUP(Table3[[#This Row],[COMPANYNO]],L:M,2)</f>
        <v>Dragados USA</v>
      </c>
      <c r="B601" t="str">
        <f>VLOOKUP(Table3[[#This Row],[COMPANYNO]],L:N,3)</f>
        <v>Florida</v>
      </c>
      <c r="C601" t="s">
        <v>823</v>
      </c>
      <c r="D601" t="str">
        <f>Table3[[#This Row],[COMPANYNO]]&amp;"/"&amp;Table3[[#This Row],[DIVISIONNO]]&amp;"-"&amp;Table3[[#This Row],[COMPANYNAME]]</f>
        <v>2/1-Florida Branch</v>
      </c>
      <c r="E601" s="23" t="s">
        <v>127</v>
      </c>
      <c r="F601" s="24">
        <v>2</v>
      </c>
      <c r="G601" s="24">
        <v>1</v>
      </c>
    </row>
    <row r="602" spans="1:7" x14ac:dyDescent="0.3">
      <c r="A602" t="str">
        <f>VLOOKUP(Table3[[#This Row],[COMPANYNO]],L:M,2)</f>
        <v>Dragados USA</v>
      </c>
      <c r="B602" t="str">
        <f>VLOOKUP(Table3[[#This Row],[COMPANYNO]],L:N,3)</f>
        <v>Puerto Rico</v>
      </c>
      <c r="C602" t="s">
        <v>823</v>
      </c>
      <c r="D602" t="str">
        <f>Table3[[#This Row],[COMPANYNO]]&amp;"/"&amp;Table3[[#This Row],[DIVISIONNO]]&amp;"-"&amp;Table3[[#This Row],[COMPANYNAME]]</f>
        <v>3/1-Puerto Rico Branch</v>
      </c>
      <c r="E602" s="23" t="s">
        <v>163</v>
      </c>
      <c r="F602" s="24">
        <v>3</v>
      </c>
      <c r="G602" s="24">
        <v>1</v>
      </c>
    </row>
    <row r="603" spans="1:7" x14ac:dyDescent="0.3">
      <c r="A603" t="str">
        <f>VLOOKUP(Table3[[#This Row],[COMPANYNO]],L:M,2)</f>
        <v>Dragados USA</v>
      </c>
      <c r="B603" t="str">
        <f>VLOOKUP(Table3[[#This Row],[COMPANYNO]],L:N,3)</f>
        <v>I-595</v>
      </c>
      <c r="C603" t="s">
        <v>823</v>
      </c>
      <c r="D603" t="str">
        <f>Table3[[#This Row],[COMPANYNO]]&amp;"/"&amp;Table3[[#This Row],[DIVISIONNO]]&amp;"-"&amp;Table3[[#This Row],[COMPANYNAME]]</f>
        <v>4/1-I-595 Branch</v>
      </c>
      <c r="E603" s="23" t="s">
        <v>136</v>
      </c>
      <c r="F603" s="24">
        <v>4</v>
      </c>
      <c r="G603" s="24">
        <v>1</v>
      </c>
    </row>
    <row r="604" spans="1:7" x14ac:dyDescent="0.3">
      <c r="A604" t="str">
        <f>VLOOKUP(Table3[[#This Row],[COMPANYNO]],L:M,2)</f>
        <v>Dragados USA</v>
      </c>
      <c r="B604" t="str">
        <f>VLOOKUP(Table3[[#This Row],[COMPANYNO]],L:N,3)</f>
        <v>North Pacific</v>
      </c>
      <c r="C604" t="s">
        <v>823</v>
      </c>
      <c r="D604" t="str">
        <f>Table3[[#This Row],[COMPANYNO]]&amp;"/"&amp;Table3[[#This Row],[DIVISIONNO]]&amp;"-"&amp;Table3[[#This Row],[COMPANYNAME]]</f>
        <v>5/1-North Pacific Branch</v>
      </c>
      <c r="E604" s="21" t="s">
        <v>126</v>
      </c>
      <c r="F604" s="22">
        <v>5</v>
      </c>
      <c r="G604" s="22">
        <v>1</v>
      </c>
    </row>
    <row r="605" spans="1:7" x14ac:dyDescent="0.3">
      <c r="A605" t="str">
        <f>VLOOKUP(Table3[[#This Row],[COMPANYNO]],L:M,2)</f>
        <v>Dragados USA</v>
      </c>
      <c r="B605" t="str">
        <f>VLOOKUP(Table3[[#This Row],[COMPANYNO]],L:N,3)</f>
        <v>California</v>
      </c>
      <c r="C605" t="s">
        <v>823</v>
      </c>
      <c r="D605" t="str">
        <f>Table3[[#This Row],[COMPANYNO]]&amp;"/"&amp;Table3[[#This Row],[DIVISIONNO]]&amp;"-"&amp;Table3[[#This Row],[COMPANYNAME]]</f>
        <v>6/1-California Branch</v>
      </c>
      <c r="E605" s="23" t="s">
        <v>135</v>
      </c>
      <c r="F605" s="24">
        <v>6</v>
      </c>
      <c r="G605" s="24">
        <v>1</v>
      </c>
    </row>
    <row r="606" spans="1:7" x14ac:dyDescent="0.3">
      <c r="A606" t="str">
        <f>VLOOKUP(Table3[[#This Row],[COMPANYNO]],L:M,2)</f>
        <v>Dragados USA</v>
      </c>
      <c r="B606" t="str">
        <f>VLOOKUP(Table3[[#This Row],[COMPANYNO]],L:N,3)</f>
        <v>Massachusets</v>
      </c>
      <c r="C606" t="s">
        <v>823</v>
      </c>
      <c r="D606" t="str">
        <f>Table3[[#This Row],[COMPANYNO]]&amp;"/"&amp;Table3[[#This Row],[DIVISIONNO]]&amp;"-"&amp;Table3[[#This Row],[COMPANYNAME]]</f>
        <v>7/1-* Massachusets Branch</v>
      </c>
      <c r="E606" s="23" t="s">
        <v>170</v>
      </c>
      <c r="F606" s="24">
        <v>7</v>
      </c>
      <c r="G606" s="24">
        <v>1</v>
      </c>
    </row>
    <row r="607" spans="1:7" x14ac:dyDescent="0.3">
      <c r="A607" t="str">
        <f>VLOOKUP(Table3[[#This Row],[COMPANYNO]],L:M,2)</f>
        <v>Dragados USA</v>
      </c>
      <c r="B607" t="str">
        <f>VLOOKUP(Table3[[#This Row],[COMPANYNO]],L:N,3)</f>
        <v>Mid Atlantic</v>
      </c>
      <c r="C607" t="s">
        <v>823</v>
      </c>
      <c r="D607" t="str">
        <f>Table3[[#This Row],[COMPANYNO]]&amp;"/"&amp;Table3[[#This Row],[DIVISIONNO]]&amp;"-"&amp;Table3[[#This Row],[COMPANYNAME]]</f>
        <v>8/1-Mid-Atlantic Branch</v>
      </c>
      <c r="E607" s="23" t="s">
        <v>254</v>
      </c>
      <c r="F607" s="24">
        <v>8</v>
      </c>
      <c r="G607" s="24">
        <v>1</v>
      </c>
    </row>
    <row r="608" spans="1:7" x14ac:dyDescent="0.3">
      <c r="A608" t="str">
        <f>VLOOKUP(Table3[[#This Row],[COMPANYNO]],L:M,2)</f>
        <v>Dragados USA</v>
      </c>
      <c r="B608" t="str">
        <f>VLOOKUP(Table3[[#This Row],[COMPANYNO]],L:N,3)</f>
        <v>South California</v>
      </c>
      <c r="C608" t="s">
        <v>823</v>
      </c>
      <c r="D608" t="str">
        <f>Table3[[#This Row],[COMPANYNO]]&amp;"/"&amp;Table3[[#This Row],[DIVISIONNO]]&amp;"-"&amp;Table3[[#This Row],[COMPANYNAME]]</f>
        <v>20/1-Texas Branch</v>
      </c>
      <c r="E608" s="21" t="s">
        <v>397</v>
      </c>
      <c r="F608" s="22">
        <v>20</v>
      </c>
      <c r="G608" s="22">
        <v>1</v>
      </c>
    </row>
    <row r="609" spans="1:7" x14ac:dyDescent="0.3">
      <c r="A609" t="str">
        <f>VLOOKUP(Table3[[#This Row],[COMPANYNO]],L:M,2)</f>
        <v>Dragados USA</v>
      </c>
      <c r="B609" t="str">
        <f>VLOOKUP(Table3[[#This Row],[COMPANYNO]],L:N,3)</f>
        <v>Texas</v>
      </c>
      <c r="C609" t="s">
        <v>823</v>
      </c>
      <c r="D609" t="str">
        <f>Table3[[#This Row],[COMPANYNO]]&amp;"/"&amp;Table3[[#This Row],[DIVISIONNO]]&amp;"-"&amp;Table3[[#This Row],[COMPANYNAME]]</f>
        <v>22/1-Southern California Branch</v>
      </c>
      <c r="E609" s="23" t="s">
        <v>431</v>
      </c>
      <c r="F609" s="24">
        <v>22</v>
      </c>
      <c r="G609" s="24">
        <v>1</v>
      </c>
    </row>
    <row r="610" spans="1:7" x14ac:dyDescent="0.3">
      <c r="A610" t="str">
        <f>VLOOKUP(Table3[[#This Row],[COMPANYNO]],L:M,2)</f>
        <v>Dragados USA</v>
      </c>
      <c r="B610" t="str">
        <f>VLOOKUP(Table3[[#This Row],[COMPANYNO]],L:N,3)</f>
        <v>Corporate</v>
      </c>
      <c r="C610" t="s">
        <v>823</v>
      </c>
      <c r="D610" t="str">
        <f>Table3[[#This Row],[COMPANYNO]]&amp;"/"&amp;Table3[[#This Row],[DIVISIONNO]]&amp;"-"&amp;Table3[[#This Row],[COMPANYNAME]]</f>
        <v>90/1-Dragados USA, Inc.</v>
      </c>
      <c r="E610" s="21" t="s">
        <v>133</v>
      </c>
      <c r="F610" s="22">
        <v>90</v>
      </c>
      <c r="G610" s="22">
        <v>1</v>
      </c>
    </row>
    <row r="611" spans="1:7" x14ac:dyDescent="0.3">
      <c r="A611" t="str">
        <f>VLOOKUP(Table3[[#This Row],[COMPANYNO]],L:M,2)</f>
        <v>JF White</v>
      </c>
      <c r="B611" t="str">
        <f>VLOOKUP(Table3[[#This Row],[COMPANYNO]],L:N,3)</f>
        <v>Boston</v>
      </c>
      <c r="C611" t="s">
        <v>823</v>
      </c>
      <c r="D611" t="str">
        <f>Table3[[#This Row],[COMPANYNO]]&amp;"/"&amp;Table3[[#This Row],[DIVISIONNO]]&amp;"-"&amp;Table3[[#This Row],[COMPANYNAME]]</f>
        <v>45/1-J.F. White Contracting Co</v>
      </c>
      <c r="E611" s="21" t="s">
        <v>558</v>
      </c>
      <c r="F611" s="22">
        <v>45</v>
      </c>
      <c r="G611" s="22">
        <v>1</v>
      </c>
    </row>
    <row r="612" spans="1:7" x14ac:dyDescent="0.3">
      <c r="A612" t="str">
        <f>VLOOKUP(Table3[[#This Row],[COMPANYNO]],L:M,2)</f>
        <v>Other</v>
      </c>
      <c r="B612" t="str">
        <f>VLOOKUP(Table3[[#This Row],[COMPANYNO]],L:N,3)</f>
        <v>Vias</v>
      </c>
      <c r="C612" t="s">
        <v>823</v>
      </c>
      <c r="D612" t="str">
        <f>Table3[[#This Row],[COMPANYNO]]&amp;"/"&amp;Table3[[#This Row],[DIVISIONNO]]&amp;"-"&amp;Table3[[#This Row],[COMPANYNAME]]</f>
        <v>12/1-Vias Canada Projects</v>
      </c>
      <c r="E612" s="23" t="s">
        <v>462</v>
      </c>
      <c r="F612" s="24">
        <v>12</v>
      </c>
      <c r="G612" s="24">
        <v>1</v>
      </c>
    </row>
    <row r="613" spans="1:7" x14ac:dyDescent="0.3">
      <c r="A613" t="str">
        <f>VLOOKUP(Table3[[#This Row],[COMPANYNO]],L:M,2)</f>
        <v>Other</v>
      </c>
      <c r="B613" t="str">
        <f>VLOOKUP(Table3[[#This Row],[COMPANYNO]],L:N,3)</f>
        <v>Vias</v>
      </c>
      <c r="C613" t="s">
        <v>823</v>
      </c>
      <c r="D613" t="str">
        <f>Table3[[#This Row],[COMPANYNO]]&amp;"/"&amp;Table3[[#This Row],[DIVISIONNO]]&amp;"-"&amp;Table3[[#This Row],[COMPANYNAME]]</f>
        <v>70/1-VIAS Florida Branch</v>
      </c>
      <c r="E613" s="21" t="s">
        <v>169</v>
      </c>
      <c r="F613" s="22">
        <v>70</v>
      </c>
      <c r="G613" s="22">
        <v>1</v>
      </c>
    </row>
    <row r="614" spans="1:7" x14ac:dyDescent="0.3">
      <c r="A614" t="str">
        <f>VLOOKUP(Table3[[#This Row],[COMPANYNO]],L:M,2)</f>
        <v>Other</v>
      </c>
      <c r="B614" t="str">
        <f>VLOOKUP(Table3[[#This Row],[COMPANYNO]],L:N,3)</f>
        <v>Vias</v>
      </c>
      <c r="C614" t="s">
        <v>823</v>
      </c>
      <c r="D614" t="str">
        <f>Table3[[#This Row],[COMPANYNO]]&amp;"/"&amp;Table3[[#This Row],[DIVISIONNO]]&amp;"-"&amp;Table3[[#This Row],[COMPANYNAME]]</f>
        <v>71/1-VIAS USA California Branch</v>
      </c>
      <c r="E614" s="23" t="s">
        <v>174</v>
      </c>
      <c r="F614" s="24">
        <v>71</v>
      </c>
      <c r="G614" s="24">
        <v>1</v>
      </c>
    </row>
    <row r="615" spans="1:7" x14ac:dyDescent="0.3">
      <c r="A615" t="str">
        <f>VLOOKUP(Table3[[#This Row],[COMPANYNO]],L:M,2)</f>
        <v>Other</v>
      </c>
      <c r="B615" t="str">
        <f>VLOOKUP(Table3[[#This Row],[COMPANYNO]],L:N,3)</f>
        <v>Other</v>
      </c>
      <c r="C615" t="s">
        <v>823</v>
      </c>
      <c r="D615" t="str">
        <f>Table3[[#This Row],[COMPANYNO]]&amp;"/"&amp;Table3[[#This Row],[DIVISIONNO]]&amp;"-"&amp;Table3[[#This Row],[COMPANYNAME]]</f>
        <v>81/1-Schiavone Equ. Branch</v>
      </c>
      <c r="E615" s="23" t="s">
        <v>259</v>
      </c>
      <c r="F615" s="24">
        <v>81</v>
      </c>
      <c r="G615" s="24">
        <v>1</v>
      </c>
    </row>
    <row r="616" spans="1:7" x14ac:dyDescent="0.3">
      <c r="A616" t="str">
        <f>VLOOKUP(Table3[[#This Row],[COMPANYNO]],L:M,2)</f>
        <v>Other</v>
      </c>
      <c r="B616" t="str">
        <f>VLOOKUP(Table3[[#This Row],[COMPANYNO]],L:N,3)</f>
        <v>Corporate</v>
      </c>
      <c r="C616" t="s">
        <v>823</v>
      </c>
      <c r="D616" t="str">
        <f>Table3[[#This Row],[COMPANYNO]]&amp;"/"&amp;Table3[[#This Row],[DIVISIONNO]]&amp;"-"&amp;Table3[[#This Row],[COMPANYNAME]]</f>
        <v>92/1-VIAS USA, Inc.</v>
      </c>
      <c r="E616" s="23" t="s">
        <v>168</v>
      </c>
      <c r="F616" s="24">
        <v>92</v>
      </c>
      <c r="G616" s="24">
        <v>1</v>
      </c>
    </row>
    <row r="617" spans="1:7" x14ac:dyDescent="0.3">
      <c r="A617" t="str">
        <f>VLOOKUP(Table3[[#This Row],[COMPANYNO]],L:M,2)</f>
        <v>Other</v>
      </c>
      <c r="B617" t="str">
        <f>VLOOKUP(Table3[[#This Row],[COMPANYNO]],L:N,3)</f>
        <v>Corporate</v>
      </c>
      <c r="C617" t="s">
        <v>823</v>
      </c>
      <c r="D617" t="str">
        <f>Table3[[#This Row],[COMPANYNO]]&amp;"/"&amp;Table3[[#This Row],[DIVISIONNO]]&amp;"-"&amp;Table3[[#This Row],[COMPANYNAME]]</f>
        <v>93/1-Drace USA , Inc.</v>
      </c>
      <c r="E617" s="23" t="s">
        <v>175</v>
      </c>
      <c r="F617" s="24">
        <v>93</v>
      </c>
      <c r="G617" s="24">
        <v>1</v>
      </c>
    </row>
    <row r="618" spans="1:7" x14ac:dyDescent="0.3">
      <c r="A618" t="str">
        <f>VLOOKUP(Table3[[#This Row],[COMPANYNO]],L:M,2)</f>
        <v>Other</v>
      </c>
      <c r="B618" t="str">
        <f>VLOOKUP(Table3[[#This Row],[COMPANYNO]],L:N,3)</f>
        <v>Corporate</v>
      </c>
      <c r="C618" t="s">
        <v>823</v>
      </c>
      <c r="D618" t="str">
        <f>Table3[[#This Row],[COMPANYNO]]&amp;"/"&amp;Table3[[#This Row],[DIVISIONNO]]&amp;"-"&amp;Table3[[#This Row],[COMPANYNAME]]</f>
        <v>94/1-Newark Real Estate Holding,Inc</v>
      </c>
      <c r="E618" s="23" t="s">
        <v>176</v>
      </c>
      <c r="F618" s="24">
        <v>94</v>
      </c>
      <c r="G618" s="24">
        <v>1</v>
      </c>
    </row>
    <row r="619" spans="1:7" x14ac:dyDescent="0.3">
      <c r="A619" t="str">
        <f>VLOOKUP(Table3[[#This Row],[COMPANYNO]],L:M,2)</f>
        <v>Other</v>
      </c>
      <c r="B619" t="str">
        <f>VLOOKUP(Table3[[#This Row],[COMPANYNO]],L:N,3)</f>
        <v>Corporate</v>
      </c>
      <c r="C619" t="s">
        <v>823</v>
      </c>
      <c r="D619" t="str">
        <f>Table3[[#This Row],[COMPANYNO]]&amp;"/"&amp;Table3[[#This Row],[DIVISIONNO]]&amp;"-"&amp;Table3[[#This Row],[COMPANYNAME]]</f>
        <v>95/1-Dragados Construction</v>
      </c>
      <c r="E619" s="21" t="s">
        <v>340</v>
      </c>
      <c r="F619" s="22">
        <v>95</v>
      </c>
      <c r="G619" s="22">
        <v>1</v>
      </c>
    </row>
    <row r="620" spans="1:7" x14ac:dyDescent="0.3">
      <c r="A620" t="str">
        <f>VLOOKUP(Table3[[#This Row],[COMPANYNO]],L:M,2)</f>
        <v>Other</v>
      </c>
      <c r="B620" t="str">
        <f>VLOOKUP(Table3[[#This Row],[COMPANYNO]],L:N,3)</f>
        <v>Corporate</v>
      </c>
      <c r="C620" t="s">
        <v>823</v>
      </c>
      <c r="D620" t="str">
        <f>Table3[[#This Row],[COMPANYNO]]&amp;"/"&amp;Table3[[#This Row],[DIVISIONNO]]&amp;"-"&amp;Table3[[#This Row],[COMPANYNAME]]</f>
        <v>97/1-GEOCISA USA, Inc</v>
      </c>
      <c r="E620" s="23" t="s">
        <v>702</v>
      </c>
      <c r="F620" s="24">
        <v>97</v>
      </c>
      <c r="G620" s="24">
        <v>1</v>
      </c>
    </row>
    <row r="621" spans="1:7" x14ac:dyDescent="0.3">
      <c r="A621" t="str">
        <f>VLOOKUP(Table3[[#This Row],[COMPANYNO]],L:M,2)</f>
        <v>Picone</v>
      </c>
      <c r="B621" t="str">
        <f>VLOOKUP(Table3[[#This Row],[COMPANYNO]],L:N,3)</f>
        <v>Long Island City</v>
      </c>
      <c r="C621" t="s">
        <v>823</v>
      </c>
      <c r="D621" t="str">
        <f>Table3[[#This Row],[COMPANYNO]]&amp;"/"&amp;Table3[[#This Row],[DIVISIONNO]]&amp;"-"&amp;Table3[[#This Row],[COMPANYNAME]]</f>
        <v>75/1-John P Picone, Inc.</v>
      </c>
      <c r="E621" s="23" t="s">
        <v>180</v>
      </c>
      <c r="F621" s="24">
        <v>75</v>
      </c>
      <c r="G621" s="24">
        <v>1</v>
      </c>
    </row>
    <row r="622" spans="1:7" x14ac:dyDescent="0.3">
      <c r="A622" t="str">
        <f>VLOOKUP(Table3[[#This Row],[COMPANYNO]],L:M,2)</f>
        <v>Prince</v>
      </c>
      <c r="B622" t="str">
        <f>VLOOKUP(Table3[[#This Row],[COMPANYNO]],L:N,3)</f>
        <v>Tampa</v>
      </c>
      <c r="C622" t="s">
        <v>823</v>
      </c>
      <c r="D622" t="str">
        <f>Table3[[#This Row],[COMPANYNO]]&amp;"/"&amp;Table3[[#This Row],[DIVISIONNO]]&amp;"-"&amp;Table3[[#This Row],[COMPANYNAME]]</f>
        <v>50/1-Prince Contracting, LLC</v>
      </c>
      <c r="E622" s="23" t="s">
        <v>439</v>
      </c>
      <c r="F622" s="24">
        <v>50</v>
      </c>
      <c r="G622" s="24">
        <v>1</v>
      </c>
    </row>
    <row r="623" spans="1:7" x14ac:dyDescent="0.3">
      <c r="A623" t="str">
        <f>VLOOKUP(Table3[[#This Row],[COMPANYNO]],L:M,2)</f>
        <v>Pulice</v>
      </c>
      <c r="B623" t="str">
        <f>VLOOKUP(Table3[[#This Row],[COMPANYNO]],L:N,3)</f>
        <v>Arizona</v>
      </c>
      <c r="C623" t="s">
        <v>823</v>
      </c>
      <c r="D623" t="str">
        <f>Table3[[#This Row],[COMPANYNO]]&amp;"/"&amp;Table3[[#This Row],[DIVISIONNO]]&amp;"-"&amp;Table3[[#This Row],[COMPANYNAME]]</f>
        <v>60/1-Pulice Arizona Branch</v>
      </c>
      <c r="E623" s="21" t="s">
        <v>379</v>
      </c>
      <c r="F623" s="22">
        <v>60</v>
      </c>
      <c r="G623" s="22">
        <v>1</v>
      </c>
    </row>
    <row r="624" spans="1:7" x14ac:dyDescent="0.3">
      <c r="A624" t="str">
        <f>VLOOKUP(Table3[[#This Row],[COMPANYNO]],L:M,2)</f>
        <v>Pulice</v>
      </c>
      <c r="B624" t="str">
        <f>VLOOKUP(Table3[[#This Row],[COMPANYNO]],L:N,3)</f>
        <v>California</v>
      </c>
      <c r="C624" t="s">
        <v>823</v>
      </c>
      <c r="D624" t="str">
        <f>Table3[[#This Row],[COMPANYNO]]&amp;"/"&amp;Table3[[#This Row],[DIVISIONNO]]&amp;"-"&amp;Table3[[#This Row],[COMPANYNAME]]</f>
        <v>61/1-Pulice California Branch</v>
      </c>
      <c r="E624" s="21" t="s">
        <v>402</v>
      </c>
      <c r="F624" s="22">
        <v>61</v>
      </c>
      <c r="G624" s="22">
        <v>1</v>
      </c>
    </row>
    <row r="625" spans="1:7" x14ac:dyDescent="0.3">
      <c r="A625" t="str">
        <f>VLOOKUP(Table3[[#This Row],[COMPANYNO]],L:M,2)</f>
        <v>Pulice</v>
      </c>
      <c r="B625" t="str">
        <f>VLOOKUP(Table3[[#This Row],[COMPANYNO]],L:N,3)</f>
        <v>Texas</v>
      </c>
      <c r="C625" t="s">
        <v>823</v>
      </c>
      <c r="D625" t="str">
        <f>Table3[[#This Row],[COMPANYNO]]&amp;"/"&amp;Table3[[#This Row],[DIVISIONNO]]&amp;"-"&amp;Table3[[#This Row],[COMPANYNAME]]</f>
        <v>62/1-Pulice Texas Branch</v>
      </c>
      <c r="E625" s="21" t="s">
        <v>464</v>
      </c>
      <c r="F625" s="22">
        <v>62</v>
      </c>
      <c r="G625" s="22">
        <v>1</v>
      </c>
    </row>
    <row r="626" spans="1:7" x14ac:dyDescent="0.3">
      <c r="A626" t="str">
        <f>VLOOKUP(Table3[[#This Row],[COMPANYNO]],L:M,2)</f>
        <v>Pulice</v>
      </c>
      <c r="B626" t="str">
        <f>VLOOKUP(Table3[[#This Row],[COMPANYNO]],L:N,3)</f>
        <v>McNeil</v>
      </c>
      <c r="C626" t="s">
        <v>823</v>
      </c>
      <c r="D626" t="str">
        <f>Table3[[#This Row],[COMPANYNO]]&amp;"/"&amp;Table3[[#This Row],[DIVISIONNO]]&amp;"-"&amp;Table3[[#This Row],[COMPANYNAME]]</f>
        <v>65/1-McNeil Brothers</v>
      </c>
      <c r="E626" s="23" t="s">
        <v>398</v>
      </c>
      <c r="F626" s="24">
        <v>65</v>
      </c>
      <c r="G626" s="24">
        <v>1</v>
      </c>
    </row>
    <row r="627" spans="1:7" x14ac:dyDescent="0.3">
      <c r="A627" t="str">
        <f>VLOOKUP(Table3[[#This Row],[COMPANYNO]],L:M,2)</f>
        <v>Pulice</v>
      </c>
      <c r="B627" t="str">
        <f>VLOOKUP(Table3[[#This Row],[COMPANYNO]],L:N,3)</f>
        <v>Roadway</v>
      </c>
      <c r="C627" t="s">
        <v>823</v>
      </c>
      <c r="D627" t="str">
        <f>Table3[[#This Row],[COMPANYNO]]&amp;"/"&amp;Table3[[#This Row],[DIVISIONNO]]&amp;"-"&amp;Table3[[#This Row],[COMPANYNAME]]</f>
        <v>68/1-Roadway Electric, LLC</v>
      </c>
      <c r="E627" s="21" t="s">
        <v>399</v>
      </c>
      <c r="F627" s="22">
        <v>68</v>
      </c>
      <c r="G627" s="22">
        <v>1</v>
      </c>
    </row>
    <row r="628" spans="1:7" x14ac:dyDescent="0.3">
      <c r="A628" t="str">
        <f>VLOOKUP(Table3[[#This Row],[COMPANYNO]],L:M,2)</f>
        <v>Pulice</v>
      </c>
      <c r="B628" t="str">
        <f>VLOOKUP(Table3[[#This Row],[COMPANYNO]],L:N,3)</f>
        <v>Corporate</v>
      </c>
      <c r="C628" t="s">
        <v>823</v>
      </c>
      <c r="D628" t="str">
        <f>Table3[[#This Row],[COMPANYNO]]&amp;"/"&amp;Table3[[#This Row],[DIVISIONNO]]&amp;"-"&amp;Table3[[#This Row],[COMPANYNAME]]</f>
        <v>96/1-Pulice Corporate</v>
      </c>
      <c r="E628" s="23" t="s">
        <v>509</v>
      </c>
      <c r="F628" s="24">
        <v>96</v>
      </c>
      <c r="G628" s="24">
        <v>1</v>
      </c>
    </row>
    <row r="629" spans="1:7" x14ac:dyDescent="0.3">
      <c r="A629" t="str">
        <f>VLOOKUP(Table3[[#This Row],[COMPANYNO]],L:M,2)</f>
        <v>Schiavone</v>
      </c>
      <c r="B629" t="str">
        <f>VLOOKUP(Table3[[#This Row],[COMPANYNO]],L:N,3)</f>
        <v>New Jersey</v>
      </c>
      <c r="C629" t="s">
        <v>823</v>
      </c>
      <c r="D629" t="str">
        <f>Table3[[#This Row],[COMPANYNO]]&amp;"/"&amp;Table3[[#This Row],[DIVISIONNO]]&amp;"-"&amp;Table3[[#This Row],[COMPANYNAME]]</f>
        <v>80/1-Schiavone Construction Co. LLC</v>
      </c>
      <c r="E629" s="21" t="s">
        <v>268</v>
      </c>
      <c r="F629" s="22">
        <v>80</v>
      </c>
      <c r="G629" s="22">
        <v>1</v>
      </c>
    </row>
    <row r="630" spans="1:7" x14ac:dyDescent="0.3">
      <c r="A630" t="str">
        <f>VLOOKUP(Table3[[#This Row],[COMPANYNO]],L:M,2)</f>
        <v>Dragados Canada</v>
      </c>
      <c r="B630" t="str">
        <f>VLOOKUP(Table3[[#This Row],[COMPANYNO]],L:N,3)</f>
        <v>West canada</v>
      </c>
      <c r="C630" t="s">
        <v>1512</v>
      </c>
      <c r="D630" t="str">
        <f>Table3[[#This Row],[COMPANYNO]]&amp;"/"&amp;Table3[[#This Row],[DIVISIONNO]]&amp;"-"&amp;Table3[[#This Row],[COMPANYNAME]]</f>
        <v>10/999-IFRS 15</v>
      </c>
      <c r="E630" s="21" t="s">
        <v>758</v>
      </c>
      <c r="F630" s="22">
        <v>10</v>
      </c>
      <c r="G630" s="22">
        <v>999</v>
      </c>
    </row>
    <row r="631" spans="1:7" x14ac:dyDescent="0.3">
      <c r="A631" t="str">
        <f>VLOOKUP(Table3[[#This Row],[COMPANYNO]],L:M,2)</f>
        <v>Dragados Canada</v>
      </c>
      <c r="B631" t="str">
        <f>VLOOKUP(Table3[[#This Row],[COMPANYNO]],L:N,3)</f>
        <v>Corporate</v>
      </c>
      <c r="C631" t="s">
        <v>1512</v>
      </c>
      <c r="D631" t="str">
        <f>Table3[[#This Row],[COMPANYNO]]&amp;"/"&amp;Table3[[#This Row],[DIVISIONNO]]&amp;"-"&amp;Table3[[#This Row],[COMPANYNAME]]</f>
        <v>91/998-Dragados Canada IFRS 15 Adj</v>
      </c>
      <c r="E631" s="23" t="s">
        <v>773</v>
      </c>
      <c r="F631" s="24">
        <v>91</v>
      </c>
      <c r="G631" s="24">
        <v>998</v>
      </c>
    </row>
    <row r="632" spans="1:7" x14ac:dyDescent="0.3">
      <c r="A632" t="str">
        <f>VLOOKUP(Table3[[#This Row],[COMPANYNO]],L:M,2)</f>
        <v>Dragados Canada</v>
      </c>
      <c r="B632" t="str">
        <f>VLOOKUP(Table3[[#This Row],[COMPANYNO]],L:N,3)</f>
        <v>Corporate</v>
      </c>
      <c r="C632" t="s">
        <v>1512</v>
      </c>
      <c r="D632" t="str">
        <f>Table3[[#This Row],[COMPANYNO]]&amp;"/"&amp;Table3[[#This Row],[DIVISIONNO]]&amp;"-"&amp;Table3[[#This Row],[COMPANYNAME]]</f>
        <v>91/999-Canada Adj + Elim</v>
      </c>
      <c r="E632" s="21" t="s">
        <v>260</v>
      </c>
      <c r="F632" s="22">
        <v>91</v>
      </c>
      <c r="G632" s="22">
        <v>999</v>
      </c>
    </row>
    <row r="633" spans="1:7" x14ac:dyDescent="0.3">
      <c r="A633" t="str">
        <f>VLOOKUP(Table3[[#This Row],[COMPANYNO]],L:M,2)</f>
        <v>Dragados USA</v>
      </c>
      <c r="B633" t="str">
        <f>VLOOKUP(Table3[[#This Row],[COMPANYNO]],L:N,3)</f>
        <v>Corporate</v>
      </c>
      <c r="C633" t="s">
        <v>1512</v>
      </c>
      <c r="D633" t="str">
        <f>Table3[[#This Row],[COMPANYNO]]&amp;"/"&amp;Table3[[#This Row],[DIVISIONNO]]&amp;"-"&amp;Table3[[#This Row],[COMPANYNAME]]</f>
        <v>90/998-Dragados USA IFRS to USGAAP</v>
      </c>
      <c r="E633" s="23" t="s">
        <v>743</v>
      </c>
      <c r="F633" s="24">
        <v>90</v>
      </c>
      <c r="G633" s="24">
        <v>998</v>
      </c>
    </row>
    <row r="634" spans="1:7" x14ac:dyDescent="0.3">
      <c r="A634" t="str">
        <f>VLOOKUP(Table3[[#This Row],[COMPANYNO]],L:M,2)</f>
        <v>Dragados USA</v>
      </c>
      <c r="B634" t="str">
        <f>VLOOKUP(Table3[[#This Row],[COMPANYNO]],L:N,3)</f>
        <v>Corporate</v>
      </c>
      <c r="C634" t="s">
        <v>1512</v>
      </c>
      <c r="D634" t="str">
        <f>Table3[[#This Row],[COMPANYNO]]&amp;"/"&amp;Table3[[#This Row],[DIVISIONNO]]&amp;"-"&amp;Table3[[#This Row],[COMPANYNAME]]</f>
        <v>90/999-Dragados USA Eliminations</v>
      </c>
      <c r="E634" s="21" t="s">
        <v>742</v>
      </c>
      <c r="F634" s="22">
        <v>90</v>
      </c>
      <c r="G634" s="22">
        <v>999</v>
      </c>
    </row>
    <row r="635" spans="1:7" x14ac:dyDescent="0.3">
      <c r="A635" t="str">
        <f>VLOOKUP(Table3[[#This Row],[COMPANYNO]],L:M,2)</f>
        <v>JF White</v>
      </c>
      <c r="B635" t="str">
        <f>VLOOKUP(Table3[[#This Row],[COMPANYNO]],L:N,3)</f>
        <v>Boston</v>
      </c>
      <c r="C635" t="s">
        <v>1512</v>
      </c>
      <c r="D635" t="str">
        <f>Table3[[#This Row],[COMPANYNO]]&amp;"/"&amp;Table3[[#This Row],[DIVISIONNO]]&amp;"-"&amp;Table3[[#This Row],[COMPANYNAME]]</f>
        <v>45/990-JF White Reporting Division</v>
      </c>
      <c r="E635" s="23" t="s">
        <v>736</v>
      </c>
      <c r="F635" s="24">
        <v>45</v>
      </c>
      <c r="G635" s="24">
        <v>990</v>
      </c>
    </row>
    <row r="636" spans="1:7" x14ac:dyDescent="0.3">
      <c r="A636" t="str">
        <f>VLOOKUP(Table3[[#This Row],[COMPANYNO]],L:M,2)</f>
        <v>JF White</v>
      </c>
      <c r="B636" t="str">
        <f>VLOOKUP(Table3[[#This Row],[COMPANYNO]],L:N,3)</f>
        <v>Boston</v>
      </c>
      <c r="C636" t="s">
        <v>1512</v>
      </c>
      <c r="D636" t="str">
        <f>Table3[[#This Row],[COMPANYNO]]&amp;"/"&amp;Table3[[#This Row],[DIVISIONNO]]&amp;"-"&amp;Table3[[#This Row],[COMPANYNAME]]</f>
        <v>45/999-JFW Adj and Eliminations</v>
      </c>
      <c r="E636" s="21" t="s">
        <v>633</v>
      </c>
      <c r="F636" s="22">
        <v>45</v>
      </c>
      <c r="G636" s="22">
        <v>999</v>
      </c>
    </row>
    <row r="637" spans="1:7" x14ac:dyDescent="0.3">
      <c r="A637" t="str">
        <f>VLOOKUP(Table3[[#This Row],[COMPANYNO]],L:M,2)</f>
        <v>Other</v>
      </c>
      <c r="B637" t="str">
        <f>VLOOKUP(Table3[[#This Row],[COMPANYNO]],L:N,3)</f>
        <v>Corporate</v>
      </c>
      <c r="C637" t="s">
        <v>1512</v>
      </c>
      <c r="D637" t="str">
        <f>Table3[[#This Row],[COMPANYNO]]&amp;"/"&amp;Table3[[#This Row],[DIVISIONNO]]&amp;"-"&amp;Table3[[#This Row],[COMPANYNAME]]</f>
        <v>95/994-DCON GAAP ADJ</v>
      </c>
      <c r="E637" s="23" t="s">
        <v>723</v>
      </c>
      <c r="F637" s="24">
        <v>95</v>
      </c>
      <c r="G637" s="24">
        <v>994</v>
      </c>
    </row>
    <row r="638" spans="1:7" x14ac:dyDescent="0.3">
      <c r="A638" t="str">
        <f>VLOOKUP(Table3[[#This Row],[COMPANYNO]],L:M,2)</f>
        <v>Other</v>
      </c>
      <c r="B638" t="str">
        <f>VLOOKUP(Table3[[#This Row],[COMPANYNO]],L:N,3)</f>
        <v>Corporate</v>
      </c>
      <c r="C638" t="s">
        <v>1512</v>
      </c>
      <c r="D638" t="str">
        <f>Table3[[#This Row],[COMPANYNO]]&amp;"/"&amp;Table3[[#This Row],[DIVISIONNO]]&amp;"-"&amp;Table3[[#This Row],[COMPANYNAME]]</f>
        <v>95/995-DCON JF White Eliminations</v>
      </c>
      <c r="E638" s="21" t="s">
        <v>718</v>
      </c>
      <c r="F638" s="22">
        <v>95</v>
      </c>
      <c r="G638" s="22">
        <v>995</v>
      </c>
    </row>
    <row r="639" spans="1:7" x14ac:dyDescent="0.3">
      <c r="A639" t="str">
        <f>VLOOKUP(Table3[[#This Row],[COMPANYNO]],L:M,2)</f>
        <v>Other</v>
      </c>
      <c r="B639" t="str">
        <f>VLOOKUP(Table3[[#This Row],[COMPANYNO]],L:N,3)</f>
        <v>Corporate</v>
      </c>
      <c r="C639" t="s">
        <v>1512</v>
      </c>
      <c r="D639" t="str">
        <f>Table3[[#This Row],[COMPANYNO]]&amp;"/"&amp;Table3[[#This Row],[DIVISIONNO]]&amp;"-"&amp;Table3[[#This Row],[COMPANYNAME]]</f>
        <v>95/996-DCON Prince Eliminations</v>
      </c>
      <c r="E639" s="23" t="s">
        <v>717</v>
      </c>
      <c r="F639" s="24">
        <v>95</v>
      </c>
      <c r="G639" s="24">
        <v>996</v>
      </c>
    </row>
    <row r="640" spans="1:7" x14ac:dyDescent="0.3">
      <c r="A640" t="str">
        <f>VLOOKUP(Table3[[#This Row],[COMPANYNO]],L:M,2)</f>
        <v>Other</v>
      </c>
      <c r="B640" t="str">
        <f>VLOOKUP(Table3[[#This Row],[COMPANYNO]],L:N,3)</f>
        <v>Corporate</v>
      </c>
      <c r="C640" t="s">
        <v>1512</v>
      </c>
      <c r="D640" t="str">
        <f>Table3[[#This Row],[COMPANYNO]]&amp;"/"&amp;Table3[[#This Row],[DIVISIONNO]]&amp;"-"&amp;Table3[[#This Row],[COMPANYNAME]]</f>
        <v>95/997-DCON Picone Eliminations</v>
      </c>
      <c r="E640" s="21" t="s">
        <v>716</v>
      </c>
      <c r="F640" s="22">
        <v>95</v>
      </c>
      <c r="G640" s="22">
        <v>997</v>
      </c>
    </row>
    <row r="641" spans="1:7" x14ac:dyDescent="0.3">
      <c r="A641" t="str">
        <f>VLOOKUP(Table3[[#This Row],[COMPANYNO]],L:M,2)</f>
        <v>Other</v>
      </c>
      <c r="B641" t="str">
        <f>VLOOKUP(Table3[[#This Row],[COMPANYNO]],L:N,3)</f>
        <v>Corporate</v>
      </c>
      <c r="C641" t="s">
        <v>1512</v>
      </c>
      <c r="D641" t="str">
        <f>Table3[[#This Row],[COMPANYNO]]&amp;"/"&amp;Table3[[#This Row],[DIVISIONNO]]&amp;"-"&amp;Table3[[#This Row],[COMPANYNAME]]</f>
        <v>95/998-DCON Pulice Eliminations</v>
      </c>
      <c r="E641" s="23" t="s">
        <v>715</v>
      </c>
      <c r="F641" s="24">
        <v>95</v>
      </c>
      <c r="G641" s="24">
        <v>998</v>
      </c>
    </row>
    <row r="642" spans="1:7" x14ac:dyDescent="0.3">
      <c r="A642" t="str">
        <f>VLOOKUP(Table3[[#This Row],[COMPANYNO]],L:M,2)</f>
        <v>Other</v>
      </c>
      <c r="B642" t="str">
        <f>VLOOKUP(Table3[[#This Row],[COMPANYNO]],L:N,3)</f>
        <v>Corporate</v>
      </c>
      <c r="C642" t="s">
        <v>1512</v>
      </c>
      <c r="D642" t="str">
        <f>Table3[[#This Row],[COMPANYNO]]&amp;"/"&amp;Table3[[#This Row],[DIVISIONNO]]&amp;"-"&amp;Table3[[#This Row],[COMPANYNAME]]</f>
        <v>95/999-Dragados Constr Eliminations</v>
      </c>
      <c r="E642" s="21" t="s">
        <v>714</v>
      </c>
      <c r="F642" s="22">
        <v>95</v>
      </c>
      <c r="G642" s="22">
        <v>999</v>
      </c>
    </row>
    <row r="643" spans="1:7" x14ac:dyDescent="0.3">
      <c r="A643" t="str">
        <f>VLOOKUP(Table3[[#This Row],[COMPANYNO]],L:M,2)</f>
        <v>Other</v>
      </c>
      <c r="B643" t="str">
        <f>VLOOKUP(Table3[[#This Row],[COMPANYNO]],L:N,3)</f>
        <v>Corporate</v>
      </c>
      <c r="C643" t="s">
        <v>1512</v>
      </c>
      <c r="D643" t="str">
        <f>Table3[[#This Row],[COMPANYNO]]&amp;"/"&amp;Table3[[#This Row],[DIVISIONNO]]&amp;"-"&amp;Table3[[#This Row],[COMPANYNAME]]</f>
        <v>99/990-REPORTING DIVISION</v>
      </c>
      <c r="E643" s="23" t="s">
        <v>367</v>
      </c>
      <c r="F643" s="24">
        <v>99</v>
      </c>
      <c r="G643" s="24">
        <v>990</v>
      </c>
    </row>
    <row r="644" spans="1:7" x14ac:dyDescent="0.3">
      <c r="A644" t="str">
        <f>VLOOKUP(Table3[[#This Row],[COMPANYNO]],L:M,2)</f>
        <v>Other</v>
      </c>
      <c r="B644" t="str">
        <f>VLOOKUP(Table3[[#This Row],[COMPANYNO]],L:N,3)</f>
        <v>Corporate</v>
      </c>
      <c r="C644" t="s">
        <v>1512</v>
      </c>
      <c r="D644" t="str">
        <f>Table3[[#This Row],[COMPANYNO]]&amp;"/"&amp;Table3[[#This Row],[DIVISIONNO]]&amp;"-"&amp;Table3[[#This Row],[COMPANYNAME]]</f>
        <v>99/992-I/C Chart Of Accounts</v>
      </c>
      <c r="E644" s="21" t="s">
        <v>144</v>
      </c>
      <c r="F644" s="22">
        <v>99</v>
      </c>
      <c r="G644" s="22">
        <v>992</v>
      </c>
    </row>
    <row r="645" spans="1:7" x14ac:dyDescent="0.3">
      <c r="A645" t="str">
        <f>VLOOKUP(Table3[[#This Row],[COMPANYNO]],L:M,2)</f>
        <v>Other</v>
      </c>
      <c r="B645" t="str">
        <f>VLOOKUP(Table3[[#This Row],[COMPANYNO]],L:N,3)</f>
        <v>Corporate</v>
      </c>
      <c r="C645" t="s">
        <v>1512</v>
      </c>
      <c r="D645" t="str">
        <f>Table3[[#This Row],[COMPANYNO]]&amp;"/"&amp;Table3[[#This Row],[DIVISIONNO]]&amp;"-"&amp;Table3[[#This Row],[COMPANYNAME]]</f>
        <v>99/993-Template % JV</v>
      </c>
      <c r="E645" s="23" t="s">
        <v>145</v>
      </c>
      <c r="F645" s="24">
        <v>99</v>
      </c>
      <c r="G645" s="24">
        <v>993</v>
      </c>
    </row>
    <row r="646" spans="1:7" x14ac:dyDescent="0.3">
      <c r="A646" t="str">
        <f>VLOOKUP(Table3[[#This Row],[COMPANYNO]],L:M,2)</f>
        <v>Other</v>
      </c>
      <c r="B646" t="str">
        <f>VLOOKUP(Table3[[#This Row],[COMPANYNO]],L:N,3)</f>
        <v>Corporate</v>
      </c>
      <c r="C646" t="s">
        <v>1512</v>
      </c>
      <c r="D646" t="str">
        <f>Table3[[#This Row],[COMPANYNO]]&amp;"/"&amp;Table3[[#This Row],[DIVISIONNO]]&amp;"-"&amp;Table3[[#This Row],[COMPANYNAME]]</f>
        <v>99/994-Template Internal Department</v>
      </c>
      <c r="E646" s="21" t="s">
        <v>128</v>
      </c>
      <c r="F646" s="22">
        <v>99</v>
      </c>
      <c r="G646" s="22">
        <v>994</v>
      </c>
    </row>
    <row r="647" spans="1:7" x14ac:dyDescent="0.3">
      <c r="A647" t="str">
        <f>VLOOKUP(Table3[[#This Row],[COMPANYNO]],L:M,2)</f>
        <v>Other</v>
      </c>
      <c r="B647" t="str">
        <f>VLOOKUP(Table3[[#This Row],[COMPANYNO]],L:N,3)</f>
        <v>Corporate</v>
      </c>
      <c r="C647" t="s">
        <v>1512</v>
      </c>
      <c r="D647" t="str">
        <f>Table3[[#This Row],[COMPANYNO]]&amp;"/"&amp;Table3[[#This Row],[DIVISIONNO]]&amp;"-"&amp;Table3[[#This Row],[COMPANYNAME]]</f>
        <v>99/995-Template Branch</v>
      </c>
      <c r="E647" s="23" t="s">
        <v>125</v>
      </c>
      <c r="F647" s="24">
        <v>99</v>
      </c>
      <c r="G647" s="24">
        <v>995</v>
      </c>
    </row>
    <row r="648" spans="1:7" x14ac:dyDescent="0.3">
      <c r="A648" t="str">
        <f>VLOOKUP(Table3[[#This Row],[COMPANYNO]],L:M,2)</f>
        <v>Other</v>
      </c>
      <c r="B648" t="str">
        <f>VLOOKUP(Table3[[#This Row],[COMPANYNO]],L:N,3)</f>
        <v>Corporate</v>
      </c>
      <c r="C648" t="s">
        <v>1512</v>
      </c>
      <c r="D648" t="str">
        <f>Table3[[#This Row],[COMPANYNO]]&amp;"/"&amp;Table3[[#This Row],[DIVISIONNO]]&amp;"-"&amp;Table3[[#This Row],[COMPANYNAME]]</f>
        <v>99/996-Template Own Project - JV</v>
      </c>
      <c r="E648" s="21" t="s">
        <v>124</v>
      </c>
      <c r="F648" s="22">
        <v>99</v>
      </c>
      <c r="G648" s="22">
        <v>996</v>
      </c>
    </row>
    <row r="649" spans="1:7" x14ac:dyDescent="0.3">
      <c r="A649" t="str">
        <f>VLOOKUP(Table3[[#This Row],[COMPANYNO]],L:M,2)</f>
        <v>Other</v>
      </c>
      <c r="B649" t="str">
        <f>VLOOKUP(Table3[[#This Row],[COMPANYNO]],L:N,3)</f>
        <v>Corporate</v>
      </c>
      <c r="C649" t="s">
        <v>1512</v>
      </c>
      <c r="D649" t="str">
        <f>Table3[[#This Row],[COMPANYNO]]&amp;"/"&amp;Table3[[#This Row],[DIVISIONNO]]&amp;"-"&amp;Table3[[#This Row],[COMPANYNAME]]</f>
        <v>99/997-Template Corporate</v>
      </c>
      <c r="E649" s="23" t="s">
        <v>123</v>
      </c>
      <c r="F649" s="24">
        <v>99</v>
      </c>
      <c r="G649" s="24">
        <v>997</v>
      </c>
    </row>
    <row r="650" spans="1:7" x14ac:dyDescent="0.3">
      <c r="A650" t="str">
        <f>VLOOKUP(Table3[[#This Row],[COMPANYNO]],L:M,2)</f>
        <v>Other</v>
      </c>
      <c r="B650" t="str">
        <f>VLOOKUP(Table3[[#This Row],[COMPANYNO]],L:N,3)</f>
        <v>Corporate</v>
      </c>
      <c r="C650" t="s">
        <v>1512</v>
      </c>
      <c r="D650" t="str">
        <f>Table3[[#This Row],[COMPANYNO]]&amp;"/"&amp;Table3[[#This Row],[DIVISIONNO]]&amp;"-"&amp;Table3[[#This Row],[COMPANYNAME]]</f>
        <v>99/998-Chart Of Accounts</v>
      </c>
      <c r="E650" s="21" t="s">
        <v>121</v>
      </c>
      <c r="F650" s="22">
        <v>99</v>
      </c>
      <c r="G650" s="22">
        <v>998</v>
      </c>
    </row>
    <row r="651" spans="1:7" x14ac:dyDescent="0.3">
      <c r="A651" t="str">
        <f>VLOOKUP(Table3[[#This Row],[COMPANYNO]],L:M,2)</f>
        <v>Other</v>
      </c>
      <c r="B651" t="str">
        <f>VLOOKUP(Table3[[#This Row],[COMPANYNO]],L:N,3)</f>
        <v>Corporate</v>
      </c>
      <c r="C651" t="s">
        <v>1512</v>
      </c>
      <c r="D651" t="str">
        <f>Table3[[#This Row],[COMPANYNO]]&amp;"/"&amp;Table3[[#This Row],[DIVISIONNO]]&amp;"-"&amp;Table3[[#This Row],[COMPANYNAME]]</f>
        <v>99/999-Universal Vendors</v>
      </c>
      <c r="E651" s="23" t="s">
        <v>122</v>
      </c>
      <c r="F651" s="24">
        <v>99</v>
      </c>
      <c r="G651" s="24">
        <v>999</v>
      </c>
    </row>
    <row r="652" spans="1:7" x14ac:dyDescent="0.3">
      <c r="A652" t="str">
        <f>VLOOKUP(Table3[[#This Row],[COMPANYNO]],L:M,2)</f>
        <v>Picone</v>
      </c>
      <c r="B652" t="str">
        <f>VLOOKUP(Table3[[#This Row],[COMPANYNO]],L:N,3)</f>
        <v>Long Island City</v>
      </c>
      <c r="C652" t="s">
        <v>1512</v>
      </c>
      <c r="D652" t="str">
        <f>Table3[[#This Row],[COMPANYNO]]&amp;"/"&amp;Table3[[#This Row],[DIVISIONNO]]&amp;"-"&amp;Table3[[#This Row],[COMPANYNAME]]</f>
        <v>75/903-JPPP WIP CRO312OSP/26WARD</v>
      </c>
      <c r="E652" s="23" t="s">
        <v>246</v>
      </c>
      <c r="F652" s="24">
        <v>75</v>
      </c>
      <c r="G652" s="24">
        <v>903</v>
      </c>
    </row>
    <row r="653" spans="1:7" x14ac:dyDescent="0.3">
      <c r="A653" t="str">
        <f>VLOOKUP(Table3[[#This Row],[COMPANYNO]],L:M,2)</f>
        <v>Picone</v>
      </c>
      <c r="B653" t="str">
        <f>VLOOKUP(Table3[[#This Row],[COMPANYNO]],L:N,3)</f>
        <v>Long Island City</v>
      </c>
      <c r="C653" t="s">
        <v>1512</v>
      </c>
      <c r="D653" t="str">
        <f>Table3[[#This Row],[COMPANYNO]]&amp;"/"&amp;Table3[[#This Row],[DIVISIONNO]]&amp;"-"&amp;Table3[[#This Row],[COMPANYNAME]]</f>
        <v>75/995-JPP USF v IFRS</v>
      </c>
      <c r="E653" s="21" t="s">
        <v>744</v>
      </c>
      <c r="F653" s="22">
        <v>75</v>
      </c>
      <c r="G653" s="22">
        <v>995</v>
      </c>
    </row>
    <row r="654" spans="1:7" x14ac:dyDescent="0.3">
      <c r="A654" t="str">
        <f>VLOOKUP(Table3[[#This Row],[COMPANYNO]],L:M,2)</f>
        <v>Picone</v>
      </c>
      <c r="B654" t="str">
        <f>VLOOKUP(Table3[[#This Row],[COMPANYNO]],L:N,3)</f>
        <v>Long Island City</v>
      </c>
      <c r="C654" t="s">
        <v>1512</v>
      </c>
      <c r="D654" t="str">
        <f>Table3[[#This Row],[COMPANYNO]]&amp;"/"&amp;Table3[[#This Row],[DIVISIONNO]]&amp;"-"&amp;Table3[[#This Row],[COMPANYNAME]]</f>
        <v>75/999-Picone Adjust-Eliminations</v>
      </c>
      <c r="E654" s="23" t="s">
        <v>251</v>
      </c>
      <c r="F654" s="24">
        <v>75</v>
      </c>
      <c r="G654" s="24">
        <v>999</v>
      </c>
    </row>
    <row r="655" spans="1:7" x14ac:dyDescent="0.3">
      <c r="A655" t="str">
        <f>VLOOKUP(Table3[[#This Row],[COMPANYNO]],L:M,2)</f>
        <v>Prince</v>
      </c>
      <c r="B655" t="str">
        <f>VLOOKUP(Table3[[#This Row],[COMPANYNO]],L:N,3)</f>
        <v>Tampa</v>
      </c>
      <c r="C655" t="s">
        <v>1512</v>
      </c>
      <c r="D655" t="str">
        <f>Table3[[#This Row],[COMPANYNO]]&amp;"/"&amp;Table3[[#This Row],[DIVISIONNO]]&amp;"-"&amp;Table3[[#This Row],[COMPANYNAME]]</f>
        <v>50/999-Prince Adj and Eliminations</v>
      </c>
      <c r="E655" s="23" t="s">
        <v>784</v>
      </c>
      <c r="F655" s="24">
        <v>50</v>
      </c>
      <c r="G655" s="24">
        <v>999</v>
      </c>
    </row>
    <row r="656" spans="1:7" x14ac:dyDescent="0.3">
      <c r="A656" t="str">
        <f>VLOOKUP(Table3[[#This Row],[COMPANYNO]],L:M,2)</f>
        <v>Pulice</v>
      </c>
      <c r="B656" t="str">
        <f>VLOOKUP(Table3[[#This Row],[COMPANYNO]],L:N,3)</f>
        <v>Arizona</v>
      </c>
      <c r="C656" t="s">
        <v>1512</v>
      </c>
      <c r="D656" t="str">
        <f>Table3[[#This Row],[COMPANYNO]]&amp;"/"&amp;Table3[[#This Row],[DIVISIONNO]]&amp;"-"&amp;Table3[[#This Row],[COMPANYNAME]]</f>
        <v>60/999-Pulice Adj &amp; Elim</v>
      </c>
      <c r="E656" s="23" t="s">
        <v>497</v>
      </c>
      <c r="F656" s="24">
        <v>60</v>
      </c>
      <c r="G656" s="24">
        <v>999</v>
      </c>
    </row>
    <row r="657" spans="1:7" x14ac:dyDescent="0.3">
      <c r="A657" t="str">
        <f>VLOOKUP(Table3[[#This Row],[COMPANYNO]],L:M,2)</f>
        <v>Pulice</v>
      </c>
      <c r="B657" t="str">
        <f>VLOOKUP(Table3[[#This Row],[COMPANYNO]],L:N,3)</f>
        <v>Texas</v>
      </c>
      <c r="C657" t="s">
        <v>1512</v>
      </c>
      <c r="D657" t="str">
        <f>Table3[[#This Row],[COMPANYNO]]&amp;"/"&amp;Table3[[#This Row],[DIVISIONNO]]&amp;"-"&amp;Table3[[#This Row],[COMPANYNAME]]</f>
        <v>62/999-Texas Eliminations</v>
      </c>
      <c r="E657" s="21" t="s">
        <v>555</v>
      </c>
      <c r="F657" s="22">
        <v>62</v>
      </c>
      <c r="G657" s="22">
        <v>999</v>
      </c>
    </row>
    <row r="658" spans="1:7" x14ac:dyDescent="0.3">
      <c r="A658" t="str">
        <f>VLOOKUP(Table3[[#This Row],[COMPANYNO]],L:M,2)</f>
        <v>Pulice</v>
      </c>
      <c r="B658" t="str">
        <f>VLOOKUP(Table3[[#This Row],[COMPANYNO]],L:N,3)</f>
        <v>Corporate</v>
      </c>
      <c r="C658" t="s">
        <v>1512</v>
      </c>
      <c r="D658" t="str">
        <f>Table3[[#This Row],[COMPANYNO]]&amp;"/"&amp;Table3[[#This Row],[DIVISIONNO]]&amp;"-"&amp;Table3[[#This Row],[COMPANYNAME]]</f>
        <v>96/996-Pulice IFRS Entries</v>
      </c>
      <c r="E658" s="21" t="s">
        <v>757</v>
      </c>
      <c r="F658" s="22">
        <v>96</v>
      </c>
      <c r="G658" s="22">
        <v>996</v>
      </c>
    </row>
    <row r="659" spans="1:7" x14ac:dyDescent="0.3">
      <c r="A659" t="str">
        <f>VLOOKUP(Table3[[#This Row],[COMPANYNO]],L:M,2)</f>
        <v>Pulice</v>
      </c>
      <c r="B659" t="str">
        <f>VLOOKUP(Table3[[#This Row],[COMPANYNO]],L:N,3)</f>
        <v>Corporate</v>
      </c>
      <c r="C659" t="s">
        <v>1512</v>
      </c>
      <c r="D659" t="str">
        <f>Table3[[#This Row],[COMPANYNO]]&amp;"/"&amp;Table3[[#This Row],[DIVISIONNO]]&amp;"-"&amp;Table3[[#This Row],[COMPANYNAME]]</f>
        <v>96/997-McNeil bros ADJ &amp; Elim</v>
      </c>
      <c r="E659" s="23" t="s">
        <v>526</v>
      </c>
      <c r="F659" s="24">
        <v>96</v>
      </c>
      <c r="G659" s="24">
        <v>997</v>
      </c>
    </row>
    <row r="660" spans="1:7" x14ac:dyDescent="0.3">
      <c r="A660" t="str">
        <f>VLOOKUP(Table3[[#This Row],[COMPANYNO]],L:M,2)</f>
        <v>Pulice</v>
      </c>
      <c r="B660" t="str">
        <f>VLOOKUP(Table3[[#This Row],[COMPANYNO]],L:N,3)</f>
        <v>Corporate</v>
      </c>
      <c r="C660" t="s">
        <v>1512</v>
      </c>
      <c r="D660" t="str">
        <f>Table3[[#This Row],[COMPANYNO]]&amp;"/"&amp;Table3[[#This Row],[DIVISIONNO]]&amp;"-"&amp;Table3[[#This Row],[COMPANYNAME]]</f>
        <v>96/998-Roadway ADJ &amp; ELIM</v>
      </c>
      <c r="E660" s="21" t="s">
        <v>525</v>
      </c>
      <c r="F660" s="22">
        <v>96</v>
      </c>
      <c r="G660" s="22">
        <v>998</v>
      </c>
    </row>
    <row r="661" spans="1:7" x14ac:dyDescent="0.3">
      <c r="A661" t="str">
        <f>VLOOKUP(Table3[[#This Row],[COMPANYNO]],L:M,2)</f>
        <v>Schiavone</v>
      </c>
      <c r="B661" t="str">
        <f>VLOOKUP(Table3[[#This Row],[COMPANYNO]],L:N,3)</f>
        <v>New Jersey</v>
      </c>
      <c r="C661" t="s">
        <v>1512</v>
      </c>
      <c r="D661" t="str">
        <f>Table3[[#This Row],[COMPANYNO]]&amp;"/"&amp;Table3[[#This Row],[DIVISIONNO]]&amp;"-"&amp;Table3[[#This Row],[COMPANYNAME]]</f>
        <v>80/998-Adjusments JVs</v>
      </c>
      <c r="E661" s="23" t="s">
        <v>334</v>
      </c>
      <c r="F661" s="24">
        <v>80</v>
      </c>
      <c r="G661" s="24">
        <v>998</v>
      </c>
    </row>
    <row r="662" spans="1:7" x14ac:dyDescent="0.3">
      <c r="A662" t="str">
        <f>VLOOKUP(Table3[[#This Row],[COMPANYNO]],L:M,2)</f>
        <v>Schiavone</v>
      </c>
      <c r="B662" t="str">
        <f>VLOOKUP(Table3[[#This Row],[COMPANYNO]],L:N,3)</f>
        <v>New Jersey</v>
      </c>
      <c r="C662" t="s">
        <v>1512</v>
      </c>
      <c r="D662" t="str">
        <f>Table3[[#This Row],[COMPANYNO]]&amp;"/"&amp;Table3[[#This Row],[DIVISIONNO]]&amp;"-"&amp;Table3[[#This Row],[COMPANYNAME]]</f>
        <v>80/999-Adjustments SCC</v>
      </c>
      <c r="E662" s="21" t="s">
        <v>335</v>
      </c>
      <c r="F662" s="22">
        <v>80</v>
      </c>
      <c r="G662" s="22">
        <v>999</v>
      </c>
    </row>
    <row r="663" spans="1:7" x14ac:dyDescent="0.3">
      <c r="A663" t="str">
        <f>VLOOKUP(Table3[[#This Row],[COMPANYNO]],L:M,2)</f>
        <v>Dragados USA</v>
      </c>
      <c r="B663" t="str">
        <f>VLOOKUP(Table3[[#This Row],[COMPANYNO]],L:N,3)</f>
        <v>North Pacific</v>
      </c>
      <c r="C663" t="s">
        <v>797</v>
      </c>
      <c r="D663" t="str">
        <f>Table3[[#This Row],[COMPANYNO]]&amp;"/"&amp;Table3[[#This Row],[DIVISIONNO]]&amp;"-"&amp;Table3[[#This Row],[COMPANYNAME]]</f>
        <v>5/0-Seattle Partners Consolidated</v>
      </c>
      <c r="E663" s="23" t="s">
        <v>171</v>
      </c>
      <c r="F663" s="24">
        <v>5</v>
      </c>
      <c r="G663" s="24">
        <v>0</v>
      </c>
    </row>
    <row r="664" spans="1:7" x14ac:dyDescent="0.3">
      <c r="A664" t="str">
        <f>VLOOKUP(Table3[[#This Row],[COMPANYNO]],L:M,2)</f>
        <v>JF White</v>
      </c>
      <c r="B664" t="str">
        <f>VLOOKUP(Table3[[#This Row],[COMPANYNO]],L:N,3)</f>
        <v>Boston</v>
      </c>
      <c r="C664" t="s">
        <v>1509</v>
      </c>
      <c r="D664" t="str">
        <f>Table3[[#This Row],[COMPANYNO]]&amp;"/"&amp;Table3[[#This Row],[DIVISIONNO]]&amp;"-"&amp;Table3[[#This Row],[COMPANYNAME]]</f>
        <v>45/260-Mechanical 2016</v>
      </c>
      <c r="E664" s="23" t="s">
        <v>620</v>
      </c>
      <c r="F664" s="24">
        <v>45</v>
      </c>
      <c r="G664" s="24">
        <v>260</v>
      </c>
    </row>
    <row r="665" spans="1:7" x14ac:dyDescent="0.3">
      <c r="A665" t="str">
        <f>VLOOKUP(Table3[[#This Row],[COMPANYNO]],L:M,2)</f>
        <v>JF White</v>
      </c>
      <c r="B665" t="str">
        <f>VLOOKUP(Table3[[#This Row],[COMPANYNO]],L:N,3)</f>
        <v>Boston</v>
      </c>
      <c r="C665" t="s">
        <v>1509</v>
      </c>
      <c r="D665" t="str">
        <f>Table3[[#This Row],[COMPANYNO]]&amp;"/"&amp;Table3[[#This Row],[DIVISIONNO]]&amp;"-"&amp;Table3[[#This Row],[COMPANYNAME]]</f>
        <v>45/261-Mechanical 2017</v>
      </c>
      <c r="E665" s="21" t="s">
        <v>630</v>
      </c>
      <c r="F665" s="22">
        <v>45</v>
      </c>
      <c r="G665" s="22">
        <v>261</v>
      </c>
    </row>
    <row r="666" spans="1:7" x14ac:dyDescent="0.3">
      <c r="A666" t="str">
        <f>VLOOKUP(Table3[[#This Row],[COMPANYNO]],L:M,2)</f>
        <v>JF White</v>
      </c>
      <c r="B666" t="str">
        <f>VLOOKUP(Table3[[#This Row],[COMPANYNO]],L:N,3)</f>
        <v>Boston</v>
      </c>
      <c r="C666" t="s">
        <v>1509</v>
      </c>
      <c r="D666" t="str">
        <f>Table3[[#This Row],[COMPANYNO]]&amp;"/"&amp;Table3[[#This Row],[DIVISIONNO]]&amp;"-"&amp;Table3[[#This Row],[COMPANYNAME]]</f>
        <v>45/270-ROV Inspection at Shaft 5A</v>
      </c>
      <c r="E666" s="23" t="s">
        <v>621</v>
      </c>
      <c r="F666" s="24">
        <v>45</v>
      </c>
      <c r="G666" s="24">
        <v>270</v>
      </c>
    </row>
    <row r="667" spans="1:7" x14ac:dyDescent="0.3">
      <c r="A667" t="str">
        <f>VLOOKUP(Table3[[#This Row],[COMPANYNO]],L:M,2)</f>
        <v>JF White</v>
      </c>
      <c r="B667" t="str">
        <f>VLOOKUP(Table3[[#This Row],[COMPANYNO]],L:N,3)</f>
        <v>Boston</v>
      </c>
      <c r="C667" t="s">
        <v>1509</v>
      </c>
      <c r="D667" t="str">
        <f>Table3[[#This Row],[COMPANYNO]]&amp;"/"&amp;Table3[[#This Row],[DIVISIONNO]]&amp;"-"&amp;Table3[[#This Row],[COMPANYNAME]]</f>
        <v>45/271-Diving 2016</v>
      </c>
      <c r="E667" s="21" t="s">
        <v>622</v>
      </c>
      <c r="F667" s="22">
        <v>45</v>
      </c>
      <c r="G667" s="22">
        <v>271</v>
      </c>
    </row>
    <row r="668" spans="1:7" x14ac:dyDescent="0.3">
      <c r="A668" t="str">
        <f>VLOOKUP(Table3[[#This Row],[COMPANYNO]],L:M,2)</f>
        <v>JF White</v>
      </c>
      <c r="B668" t="str">
        <f>VLOOKUP(Table3[[#This Row],[COMPANYNO]],L:N,3)</f>
        <v>Boston</v>
      </c>
      <c r="C668" t="s">
        <v>1509</v>
      </c>
      <c r="D668" t="str">
        <f>Table3[[#This Row],[COMPANYNO]]&amp;"/"&amp;Table3[[#This Row],[DIVISIONNO]]&amp;"-"&amp;Table3[[#This Row],[COMPANYNAME]]</f>
        <v>45/272-Diving 2017</v>
      </c>
      <c r="E668" s="23" t="s">
        <v>631</v>
      </c>
      <c r="F668" s="24">
        <v>45</v>
      </c>
      <c r="G668" s="24">
        <v>272</v>
      </c>
    </row>
    <row r="669" spans="1:7" x14ac:dyDescent="0.3">
      <c r="A669" t="str">
        <f>VLOOKUP(Table3[[#This Row],[COMPANYNO]],L:M,2)</f>
        <v>JF White</v>
      </c>
      <c r="B669" t="str">
        <f>VLOOKUP(Table3[[#This Row],[COMPANYNO]],L:N,3)</f>
        <v>Boston</v>
      </c>
      <c r="C669" t="s">
        <v>1510</v>
      </c>
      <c r="D669" t="str">
        <f>Table3[[#This Row],[COMPANYNO]]&amp;"/"&amp;Table3[[#This Row],[DIVISIONNO]]&amp;"-"&amp;Table3[[#This Row],[COMPANYNAME]]</f>
        <v>45/280-Formwork 2016</v>
      </c>
      <c r="E669" s="21" t="s">
        <v>623</v>
      </c>
      <c r="F669" s="22">
        <v>45</v>
      </c>
      <c r="G669" s="22">
        <v>280</v>
      </c>
    </row>
    <row r="670" spans="1:7" x14ac:dyDescent="0.3">
      <c r="A670" t="str">
        <f>VLOOKUP(Table3[[#This Row],[COMPANYNO]],L:M,2)</f>
        <v>JF White</v>
      </c>
      <c r="B670" t="str">
        <f>VLOOKUP(Table3[[#This Row],[COMPANYNO]],L:N,3)</f>
        <v>Boston</v>
      </c>
      <c r="C670" t="s">
        <v>1510</v>
      </c>
      <c r="D670" t="str">
        <f>Table3[[#This Row],[COMPANYNO]]&amp;"/"&amp;Table3[[#This Row],[DIVISIONNO]]&amp;"-"&amp;Table3[[#This Row],[COMPANYNAME]]</f>
        <v>45/281-Formwork 2017</v>
      </c>
      <c r="E670" s="23" t="s">
        <v>624</v>
      </c>
      <c r="F670" s="24">
        <v>45</v>
      </c>
      <c r="G670" s="24">
        <v>281</v>
      </c>
    </row>
    <row r="671" spans="1:7" x14ac:dyDescent="0.3">
      <c r="A671" t="str">
        <f>VLOOKUP(Table3[[#This Row],[COMPANYNO]],L:M,2)</f>
        <v>Other</v>
      </c>
      <c r="B671" t="str">
        <f>VLOOKUP(Table3[[#This Row],[COMPANYNO]],L:N,3)</f>
        <v>AllCoAllDiv</v>
      </c>
      <c r="C671" t="s">
        <v>797</v>
      </c>
      <c r="D671" t="str">
        <f>Table3[[#This Row],[COMPANYNO]]&amp;"/"&amp;Table3[[#This Row],[DIVISIONNO]]&amp;"-"&amp;Table3[[#This Row],[COMPANYNAME]]</f>
        <v>0/0-Consolidate Dragdados Corp</v>
      </c>
      <c r="E671" s="21" t="s">
        <v>162</v>
      </c>
      <c r="F671" s="22">
        <v>0</v>
      </c>
      <c r="G671" s="22">
        <v>0</v>
      </c>
    </row>
    <row r="672" spans="1:7" x14ac:dyDescent="0.3">
      <c r="A672" t="str">
        <f>VLOOKUP(Table3[[#This Row],[COMPANYNO]],L:M,2)</f>
        <v>Other</v>
      </c>
      <c r="B672" t="str">
        <f>VLOOKUP(Table3[[#This Row],[COMPANYNO]],L:N,3)</f>
        <v>Corporate</v>
      </c>
      <c r="C672" t="s">
        <v>797</v>
      </c>
      <c r="D672" t="str">
        <f>Table3[[#This Row],[COMPANYNO]]&amp;"/"&amp;Table3[[#This Row],[DIVISIONNO]]&amp;"-"&amp;Table3[[#This Row],[COMPANYNAME]]</f>
        <v>98/0-TEST/TRAINING COMPANY</v>
      </c>
      <c r="E672" s="21" t="s">
        <v>119</v>
      </c>
      <c r="F672" s="22">
        <v>98</v>
      </c>
      <c r="G672" s="22">
        <v>0</v>
      </c>
    </row>
    <row r="673" spans="1:7" x14ac:dyDescent="0.3">
      <c r="A673" t="str">
        <f>VLOOKUP(Table3[[#This Row],[COMPANYNO]],L:M,2)</f>
        <v>Picone</v>
      </c>
      <c r="B673" t="str">
        <f>VLOOKUP(Table3[[#This Row],[COMPANYNO]],L:N,3)</f>
        <v>Long Island City</v>
      </c>
      <c r="C673" t="s">
        <v>797</v>
      </c>
      <c r="D673" t="str">
        <f>Table3[[#This Row],[COMPANYNO]]&amp;"/"&amp;Table3[[#This Row],[DIVISIONNO]]&amp;"-"&amp;Table3[[#This Row],[COMPANYNAME]]</f>
        <v>75/0-Picone, All divisions</v>
      </c>
      <c r="E673" s="21" t="s">
        <v>248</v>
      </c>
      <c r="F673" s="22">
        <v>75</v>
      </c>
      <c r="G673" s="22">
        <v>0</v>
      </c>
    </row>
    <row r="674" spans="1:7" x14ac:dyDescent="0.3">
      <c r="A674" t="str">
        <f>VLOOKUP(Table3[[#This Row],[COMPANYNO]],L:M,2)</f>
        <v>Picone</v>
      </c>
      <c r="B674" t="str">
        <f>VLOOKUP(Table3[[#This Row],[COMPANYNO]],L:N,3)</f>
        <v>Long Island City</v>
      </c>
      <c r="C674" t="s">
        <v>823</v>
      </c>
      <c r="D674" t="str">
        <f>Table3[[#This Row],[COMPANYNO]]&amp;"/"&amp;Table3[[#This Row],[DIVISIONNO]]&amp;"-"&amp;Table3[[#This Row],[COMPANYNAME]]</f>
        <v>75/250-JPPMC NY Branch</v>
      </c>
      <c r="E674" s="21" t="s">
        <v>247</v>
      </c>
      <c r="F674" s="22">
        <v>75</v>
      </c>
      <c r="G674" s="22">
        <v>250</v>
      </c>
    </row>
    <row r="675" spans="1:7" x14ac:dyDescent="0.3">
      <c r="A675" t="str">
        <f>VLOOKUP(Table3[[#This Row],[COMPANYNO]],L:M,2)</f>
        <v>Picone</v>
      </c>
      <c r="B675" t="str">
        <f>VLOOKUP(Table3[[#This Row],[COMPANYNO]],L:N,3)</f>
        <v>Long Island City</v>
      </c>
      <c r="C675" t="s">
        <v>1509</v>
      </c>
      <c r="D675" t="str">
        <f>Table3[[#This Row],[COMPANYNO]]&amp;"/"&amp;Table3[[#This Row],[DIVISIONNO]]&amp;"-"&amp;Table3[[#This Row],[COMPANYNAME]]</f>
        <v>75/251-* SC-1G Spring Creek WPCP</v>
      </c>
      <c r="E675" s="23" t="s">
        <v>204</v>
      </c>
      <c r="F675" s="24">
        <v>75</v>
      </c>
      <c r="G675" s="24">
        <v>251</v>
      </c>
    </row>
    <row r="676" spans="1:7" x14ac:dyDescent="0.3">
      <c r="A676" t="str">
        <f>VLOOKUP(Table3[[#This Row],[COMPANYNO]],L:M,2)</f>
        <v>Picone</v>
      </c>
      <c r="B676" t="str">
        <f>VLOOKUP(Table3[[#This Row],[COMPANYNO]],L:N,3)</f>
        <v>Long Island City</v>
      </c>
      <c r="C676" t="s">
        <v>1509</v>
      </c>
      <c r="D676" t="str">
        <f>Table3[[#This Row],[COMPANYNO]]&amp;"/"&amp;Table3[[#This Row],[DIVISIONNO]]&amp;"-"&amp;Table3[[#This Row],[COMPANYNAME]]</f>
        <v>75/252-* HP-1G Hunts Point WPCP</v>
      </c>
      <c r="E676" s="21" t="s">
        <v>205</v>
      </c>
      <c r="F676" s="22">
        <v>75</v>
      </c>
      <c r="G676" s="22">
        <v>252</v>
      </c>
    </row>
    <row r="677" spans="1:7" x14ac:dyDescent="0.3">
      <c r="A677" t="str">
        <f>VLOOKUP(Table3[[#This Row],[COMPANYNO]],L:M,2)</f>
        <v>Picone</v>
      </c>
      <c r="B677" t="str">
        <f>VLOOKUP(Table3[[#This Row],[COMPANYNO]],L:N,3)</f>
        <v>Long Island City</v>
      </c>
      <c r="C677" t="s">
        <v>1509</v>
      </c>
      <c r="D677" t="str">
        <f>Table3[[#This Row],[COMPANYNO]]&amp;"/"&amp;Table3[[#This Row],[DIVISIONNO]]&amp;"-"&amp;Table3[[#This Row],[COMPANYNAME]]</f>
        <v>75/253-Tallman Island TI-3G</v>
      </c>
      <c r="E677" s="23" t="s">
        <v>206</v>
      </c>
      <c r="F677" s="24">
        <v>75</v>
      </c>
      <c r="G677" s="24">
        <v>253</v>
      </c>
    </row>
    <row r="678" spans="1:7" x14ac:dyDescent="0.3">
      <c r="A678" t="str">
        <f>VLOOKUP(Table3[[#This Row],[COMPANYNO]],L:M,2)</f>
        <v>Picone</v>
      </c>
      <c r="B678" t="str">
        <f>VLOOKUP(Table3[[#This Row],[COMPANYNO]],L:N,3)</f>
        <v>Long Island City</v>
      </c>
      <c r="C678" t="s">
        <v>1509</v>
      </c>
      <c r="D678" t="str">
        <f>Table3[[#This Row],[COMPANYNO]]&amp;"/"&amp;Table3[[#This Row],[DIVISIONNO]]&amp;"-"&amp;Table3[[#This Row],[COMPANYNAME]]</f>
        <v>75/254-Avenue V Pump Station PS-79G</v>
      </c>
      <c r="E678" s="21" t="s">
        <v>207</v>
      </c>
      <c r="F678" s="22">
        <v>75</v>
      </c>
      <c r="G678" s="22">
        <v>254</v>
      </c>
    </row>
    <row r="679" spans="1:7" x14ac:dyDescent="0.3">
      <c r="A679" t="str">
        <f>VLOOKUP(Table3[[#This Row],[COMPANYNO]],L:M,2)</f>
        <v>Picone</v>
      </c>
      <c r="B679" t="str">
        <f>VLOOKUP(Table3[[#This Row],[COMPANYNO]],L:N,3)</f>
        <v>Long Island City</v>
      </c>
      <c r="C679" t="s">
        <v>1509</v>
      </c>
      <c r="D679" t="str">
        <f>Table3[[#This Row],[COMPANYNO]]&amp;"/"&amp;Table3[[#This Row],[DIVISIONNO]]&amp;"-"&amp;Table3[[#This Row],[COMPANYNAME]]</f>
        <v>75/255-* WI-74G Wards Island WPCP</v>
      </c>
      <c r="E679" s="23" t="s">
        <v>208</v>
      </c>
      <c r="F679" s="24">
        <v>75</v>
      </c>
      <c r="G679" s="24">
        <v>255</v>
      </c>
    </row>
    <row r="680" spans="1:7" x14ac:dyDescent="0.3">
      <c r="A680" t="str">
        <f>VLOOKUP(Table3[[#This Row],[COMPANYNO]],L:M,2)</f>
        <v>Picone</v>
      </c>
      <c r="B680" t="str">
        <f>VLOOKUP(Table3[[#This Row],[COMPANYNO]],L:N,3)</f>
        <v>Long Island City</v>
      </c>
      <c r="C680" t="s">
        <v>1509</v>
      </c>
      <c r="D680" t="str">
        <f>Table3[[#This Row],[COMPANYNO]]&amp;"/"&amp;Table3[[#This Row],[DIVISIONNO]]&amp;"-"&amp;Table3[[#This Row],[COMPANYNAME]]</f>
        <v>75/256-Wards Island-78G</v>
      </c>
      <c r="E680" s="21" t="s">
        <v>209</v>
      </c>
      <c r="F680" s="22">
        <v>75</v>
      </c>
      <c r="G680" s="22">
        <v>256</v>
      </c>
    </row>
    <row r="681" spans="1:7" x14ac:dyDescent="0.3">
      <c r="A681" t="str">
        <f>VLOOKUP(Table3[[#This Row],[COMPANYNO]],L:M,2)</f>
        <v>Picone</v>
      </c>
      <c r="B681" t="str">
        <f>VLOOKUP(Table3[[#This Row],[COMPANYNO]],L:N,3)</f>
        <v>Long Island City</v>
      </c>
      <c r="C681" t="s">
        <v>1510</v>
      </c>
      <c r="D681" t="str">
        <f>Table3[[#This Row],[COMPANYNO]]&amp;"/"&amp;Table3[[#This Row],[DIVISIONNO]]&amp;"-"&amp;Table3[[#This Row],[COMPANYNAME]]</f>
        <v>75/296-Equipment Department Shop</v>
      </c>
      <c r="E681" s="23" t="s">
        <v>182</v>
      </c>
      <c r="F681" s="24">
        <v>75</v>
      </c>
      <c r="G681" s="24">
        <v>296</v>
      </c>
    </row>
    <row r="682" spans="1:7" x14ac:dyDescent="0.3">
      <c r="A682" t="str">
        <f>VLOOKUP(Table3[[#This Row],[COMPANYNO]],L:M,2)</f>
        <v>Picone</v>
      </c>
      <c r="B682" t="str">
        <f>VLOOKUP(Table3[[#This Row],[COMPANYNO]],L:N,3)</f>
        <v>Long Island City</v>
      </c>
      <c r="C682" t="s">
        <v>1510</v>
      </c>
      <c r="D682" t="str">
        <f>Table3[[#This Row],[COMPANYNO]]&amp;"/"&amp;Table3[[#This Row],[DIVISIONNO]]&amp;"-"&amp;Table3[[#This Row],[COMPANYNAME]]</f>
        <v>75/297-Pipe Shop</v>
      </c>
      <c r="E682" s="21" t="s">
        <v>183</v>
      </c>
      <c r="F682" s="22">
        <v>75</v>
      </c>
      <c r="G682" s="22">
        <v>297</v>
      </c>
    </row>
    <row r="683" spans="1:7" x14ac:dyDescent="0.3">
      <c r="A683" t="str">
        <f>VLOOKUP(Table3[[#This Row],[COMPANYNO]],L:M,2)</f>
        <v>Picone</v>
      </c>
      <c r="B683" t="str">
        <f>VLOOKUP(Table3[[#This Row],[COMPANYNO]],L:N,3)</f>
        <v>Long Island City</v>
      </c>
      <c r="C683" t="s">
        <v>797</v>
      </c>
      <c r="D683" t="str">
        <f>Table3[[#This Row],[COMPANYNO]]&amp;"/"&amp;Table3[[#This Row],[DIVISIONNO]]&amp;"-"&amp;Table3[[#This Row],[COMPANYNAME]]</f>
        <v>75/298-JPP - Small&amp;Prev.Closed Jobs</v>
      </c>
      <c r="E683" s="14" t="s">
        <v>203</v>
      </c>
      <c r="F683" s="15">
        <v>75</v>
      </c>
      <c r="G683" s="15">
        <v>298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control</vt:lpstr>
      <vt:lpstr>Listas</vt:lpstr>
      <vt:lpstr>MF-Vendor</vt:lpstr>
      <vt:lpstr>MF-CostCodes</vt:lpstr>
      <vt:lpstr>Contracts</vt:lpstr>
      <vt:lpstr>Receipts</vt:lpstr>
      <vt:lpstr>TreeView</vt:lpstr>
      <vt:lpstr>TreeView (2)</vt:lpstr>
      <vt:lpstr>Sheet1</vt:lpstr>
      <vt:lpstr>Sheet2</vt:lpstr>
      <vt:lpstr>TreeView (3)</vt:lpstr>
      <vt:lpstr>Sheet4</vt:lpstr>
      <vt:lpstr>activiades</vt:lpstr>
      <vt:lpstr>actividades</vt:lpstr>
      <vt:lpstr>capitulos</vt:lpstr>
      <vt:lpstr>costtypes</vt:lpstr>
      <vt:lpstr>Ctypes</vt:lpstr>
      <vt:lpstr>subcapitulos</vt:lpstr>
      <vt:lpstr>vendor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Bravo, Juan Carlos</dc:creator>
  <cp:lastModifiedBy>Bravo, Juan Carlos</cp:lastModifiedBy>
  <dcterms:created xsi:type="dcterms:W3CDTF">2019-03-31T06:52:29Z</dcterms:created>
  <dcterms:modified xsi:type="dcterms:W3CDTF">2019-04-09T18:30:20Z</dcterms:modified>
</cp:coreProperties>
</file>